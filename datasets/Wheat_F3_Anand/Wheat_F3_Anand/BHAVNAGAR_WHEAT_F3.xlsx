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IELD FORECAST\2015_16\RABI_2015\WHEAT\STATISTICAL\F3\"/>
    </mc:Choice>
  </mc:AlternateContent>
  <bookViews>
    <workbookView xWindow="360" yWindow="420" windowWidth="14895" windowHeight="7755"/>
  </bookViews>
  <sheets>
    <sheet name="WEATHER INDICES" sheetId="2" r:id="rId1"/>
    <sheet name="TIME TREND" sheetId="4" r:id="rId2"/>
    <sheet name="VALIDATION" sheetId="3" r:id="rId3"/>
    <sheet name="SPSS" sheetId="7" r:id="rId4"/>
  </sheets>
  <calcPr calcId="152511"/>
</workbook>
</file>

<file path=xl/calcChain.xml><?xml version="1.0" encoding="utf-8"?>
<calcChain xmlns="http://schemas.openxmlformats.org/spreadsheetml/2006/main">
  <c r="C31" i="3" l="1"/>
  <c r="C29" i="3" l="1"/>
  <c r="C30" i="3"/>
  <c r="C28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949" i="2" l="1"/>
  <c r="E949" i="2"/>
  <c r="F949" i="2"/>
  <c r="G949" i="2"/>
  <c r="Y949" i="2" s="1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U949" i="2"/>
  <c r="V949" i="2"/>
  <c r="W949" i="2"/>
  <c r="D915" i="2"/>
  <c r="E915" i="2"/>
  <c r="F915" i="2"/>
  <c r="G915" i="2"/>
  <c r="Y915" i="2" s="1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U915" i="2"/>
  <c r="V915" i="2"/>
  <c r="W915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U881" i="2"/>
  <c r="V881" i="2"/>
  <c r="W881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U847" i="2"/>
  <c r="V847" i="2"/>
  <c r="W847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U779" i="2"/>
  <c r="V779" i="2"/>
  <c r="W779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V745" i="2"/>
  <c r="W745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V677" i="2"/>
  <c r="W677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V643" i="2"/>
  <c r="W643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V575" i="2"/>
  <c r="W575" i="2"/>
  <c r="D541" i="2"/>
  <c r="E541" i="2"/>
  <c r="Y541" i="2" s="1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Y405" i="2"/>
  <c r="D371" i="2"/>
  <c r="E371" i="2"/>
  <c r="Y371" i="2" s="1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Y235" i="2"/>
  <c r="Y201" i="2"/>
  <c r="Y167" i="2"/>
  <c r="Y133" i="2"/>
  <c r="Y99" i="2"/>
  <c r="Y65" i="2"/>
  <c r="Y31" i="2"/>
  <c r="T66" i="2"/>
  <c r="Z949" i="2" l="1"/>
  <c r="Y303" i="2"/>
  <c r="Y439" i="2"/>
  <c r="Y473" i="2"/>
  <c r="Y507" i="2"/>
  <c r="Y813" i="2"/>
  <c r="Y269" i="2"/>
  <c r="Y337" i="2"/>
  <c r="Y575" i="2"/>
  <c r="Y609" i="2"/>
  <c r="Y643" i="2"/>
  <c r="Y677" i="2"/>
  <c r="Y745" i="2"/>
  <c r="Y779" i="2"/>
  <c r="Y711" i="2"/>
  <c r="Y847" i="2"/>
  <c r="Y881" i="2"/>
  <c r="D29" i="3" l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D236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D202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D168" i="2"/>
  <c r="Z167" i="2" s="1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D134" i="2"/>
  <c r="Z133" i="2" s="1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D100" i="2"/>
  <c r="Z99" i="2" s="1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U66" i="2"/>
  <c r="V66" i="2"/>
  <c r="W66" i="2"/>
  <c r="D66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D32" i="2"/>
  <c r="Z31" i="2" s="1"/>
  <c r="Z201" i="2" l="1"/>
  <c r="Z235" i="2"/>
  <c r="Z65" i="2"/>
  <c r="Y234" i="2"/>
  <c r="Y233" i="2"/>
  <c r="Y232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0" i="2"/>
  <c r="Y199" i="2"/>
  <c r="Y198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66" i="2"/>
  <c r="Y165" i="2"/>
  <c r="Y164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2" i="2"/>
  <c r="Y131" i="2"/>
  <c r="Y130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98" i="2"/>
  <c r="Y97" i="2"/>
  <c r="Y96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4" i="2"/>
  <c r="Y63" i="2"/>
  <c r="Y62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8" i="2"/>
  <c r="Y29" i="2"/>
  <c r="Y30" i="2"/>
  <c r="Y2" i="2"/>
  <c r="T240" i="2" l="1"/>
  <c r="U240" i="2"/>
  <c r="V240" i="2"/>
  <c r="W240" i="2"/>
  <c r="T241" i="2"/>
  <c r="U241" i="2"/>
  <c r="V241" i="2"/>
  <c r="W241" i="2"/>
  <c r="T242" i="2"/>
  <c r="U242" i="2"/>
  <c r="V242" i="2"/>
  <c r="W242" i="2"/>
  <c r="T243" i="2"/>
  <c r="U243" i="2"/>
  <c r="V243" i="2"/>
  <c r="W243" i="2"/>
  <c r="T244" i="2"/>
  <c r="U244" i="2"/>
  <c r="V244" i="2"/>
  <c r="W244" i="2"/>
  <c r="T245" i="2"/>
  <c r="U245" i="2"/>
  <c r="V245" i="2"/>
  <c r="W245" i="2"/>
  <c r="T246" i="2"/>
  <c r="U246" i="2"/>
  <c r="V246" i="2"/>
  <c r="W246" i="2"/>
  <c r="T247" i="2"/>
  <c r="U247" i="2"/>
  <c r="V247" i="2"/>
  <c r="W247" i="2"/>
  <c r="T248" i="2"/>
  <c r="U248" i="2"/>
  <c r="V248" i="2"/>
  <c r="W248" i="2"/>
  <c r="T249" i="2"/>
  <c r="U249" i="2"/>
  <c r="V249" i="2"/>
  <c r="W249" i="2"/>
  <c r="T250" i="2"/>
  <c r="U250" i="2"/>
  <c r="V250" i="2"/>
  <c r="W250" i="2"/>
  <c r="T251" i="2"/>
  <c r="U251" i="2"/>
  <c r="V251" i="2"/>
  <c r="W251" i="2"/>
  <c r="T252" i="2"/>
  <c r="U252" i="2"/>
  <c r="V252" i="2"/>
  <c r="W252" i="2"/>
  <c r="T253" i="2"/>
  <c r="U253" i="2"/>
  <c r="V253" i="2"/>
  <c r="W253" i="2"/>
  <c r="T254" i="2"/>
  <c r="U254" i="2"/>
  <c r="V254" i="2"/>
  <c r="W254" i="2"/>
  <c r="T255" i="2"/>
  <c r="U255" i="2"/>
  <c r="V255" i="2"/>
  <c r="W255" i="2"/>
  <c r="T256" i="2"/>
  <c r="U256" i="2"/>
  <c r="V256" i="2"/>
  <c r="W256" i="2"/>
  <c r="T257" i="2"/>
  <c r="U257" i="2"/>
  <c r="V257" i="2"/>
  <c r="W257" i="2"/>
  <c r="T258" i="2"/>
  <c r="U258" i="2"/>
  <c r="V258" i="2"/>
  <c r="W258" i="2"/>
  <c r="T259" i="2"/>
  <c r="U259" i="2"/>
  <c r="V259" i="2"/>
  <c r="W259" i="2"/>
  <c r="T260" i="2"/>
  <c r="U260" i="2"/>
  <c r="V260" i="2"/>
  <c r="W260" i="2"/>
  <c r="T261" i="2"/>
  <c r="U261" i="2"/>
  <c r="V261" i="2"/>
  <c r="W261" i="2"/>
  <c r="T262" i="2"/>
  <c r="U262" i="2"/>
  <c r="V262" i="2"/>
  <c r="W262" i="2"/>
  <c r="T263" i="2"/>
  <c r="U263" i="2"/>
  <c r="V263" i="2"/>
  <c r="W263" i="2"/>
  <c r="T264" i="2"/>
  <c r="U264" i="2"/>
  <c r="V264" i="2"/>
  <c r="W264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79" i="2"/>
  <c r="U279" i="2"/>
  <c r="V279" i="2"/>
  <c r="W279" i="2"/>
  <c r="T280" i="2"/>
  <c r="U280" i="2"/>
  <c r="V280" i="2"/>
  <c r="W280" i="2"/>
  <c r="T281" i="2"/>
  <c r="U281" i="2"/>
  <c r="V281" i="2"/>
  <c r="W281" i="2"/>
  <c r="T282" i="2"/>
  <c r="U282" i="2"/>
  <c r="V282" i="2"/>
  <c r="W282" i="2"/>
  <c r="T283" i="2"/>
  <c r="U283" i="2"/>
  <c r="V283" i="2"/>
  <c r="W283" i="2"/>
  <c r="T284" i="2"/>
  <c r="U284" i="2"/>
  <c r="V284" i="2"/>
  <c r="W284" i="2"/>
  <c r="T285" i="2"/>
  <c r="U285" i="2"/>
  <c r="V285" i="2"/>
  <c r="W285" i="2"/>
  <c r="T286" i="2"/>
  <c r="U286" i="2"/>
  <c r="V286" i="2"/>
  <c r="W286" i="2"/>
  <c r="T287" i="2"/>
  <c r="U287" i="2"/>
  <c r="V287" i="2"/>
  <c r="W287" i="2"/>
  <c r="T288" i="2"/>
  <c r="U288" i="2"/>
  <c r="V288" i="2"/>
  <c r="W288" i="2"/>
  <c r="T289" i="2"/>
  <c r="U289" i="2"/>
  <c r="V289" i="2"/>
  <c r="W289" i="2"/>
  <c r="T290" i="2"/>
  <c r="U290" i="2"/>
  <c r="V290" i="2"/>
  <c r="W290" i="2"/>
  <c r="T291" i="2"/>
  <c r="U291" i="2"/>
  <c r="V291" i="2"/>
  <c r="W291" i="2"/>
  <c r="T292" i="2"/>
  <c r="U292" i="2"/>
  <c r="V292" i="2"/>
  <c r="W292" i="2"/>
  <c r="T293" i="2"/>
  <c r="U293" i="2"/>
  <c r="V293" i="2"/>
  <c r="W293" i="2"/>
  <c r="T294" i="2"/>
  <c r="U294" i="2"/>
  <c r="V294" i="2"/>
  <c r="W294" i="2"/>
  <c r="T295" i="2"/>
  <c r="U295" i="2"/>
  <c r="V295" i="2"/>
  <c r="W295" i="2"/>
  <c r="T296" i="2"/>
  <c r="U296" i="2"/>
  <c r="V296" i="2"/>
  <c r="W296" i="2"/>
  <c r="T297" i="2"/>
  <c r="U297" i="2"/>
  <c r="V297" i="2"/>
  <c r="W297" i="2"/>
  <c r="T298" i="2"/>
  <c r="U298" i="2"/>
  <c r="V298" i="2"/>
  <c r="W298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2" i="2"/>
  <c r="U312" i="2"/>
  <c r="V312" i="2"/>
  <c r="W312" i="2"/>
  <c r="T313" i="2"/>
  <c r="U313" i="2"/>
  <c r="V313" i="2"/>
  <c r="W313" i="2"/>
  <c r="T314" i="2"/>
  <c r="U314" i="2"/>
  <c r="V314" i="2"/>
  <c r="W314" i="2"/>
  <c r="T315" i="2"/>
  <c r="U315" i="2"/>
  <c r="V315" i="2"/>
  <c r="W315" i="2"/>
  <c r="T316" i="2"/>
  <c r="U316" i="2"/>
  <c r="V316" i="2"/>
  <c r="W316" i="2"/>
  <c r="T317" i="2"/>
  <c r="U317" i="2"/>
  <c r="V317" i="2"/>
  <c r="W317" i="2"/>
  <c r="T318" i="2"/>
  <c r="U318" i="2"/>
  <c r="V318" i="2"/>
  <c r="W318" i="2"/>
  <c r="T319" i="2"/>
  <c r="U319" i="2"/>
  <c r="V319" i="2"/>
  <c r="W319" i="2"/>
  <c r="T320" i="2"/>
  <c r="U320" i="2"/>
  <c r="V320" i="2"/>
  <c r="W320" i="2"/>
  <c r="T321" i="2"/>
  <c r="U321" i="2"/>
  <c r="V321" i="2"/>
  <c r="W321" i="2"/>
  <c r="T322" i="2"/>
  <c r="U322" i="2"/>
  <c r="V322" i="2"/>
  <c r="W322" i="2"/>
  <c r="T323" i="2"/>
  <c r="U323" i="2"/>
  <c r="V323" i="2"/>
  <c r="W323" i="2"/>
  <c r="T324" i="2"/>
  <c r="U324" i="2"/>
  <c r="V324" i="2"/>
  <c r="W324" i="2"/>
  <c r="T325" i="2"/>
  <c r="U325" i="2"/>
  <c r="V325" i="2"/>
  <c r="W325" i="2"/>
  <c r="T326" i="2"/>
  <c r="U326" i="2"/>
  <c r="V326" i="2"/>
  <c r="W326" i="2"/>
  <c r="T327" i="2"/>
  <c r="U327" i="2"/>
  <c r="V327" i="2"/>
  <c r="W327" i="2"/>
  <c r="T328" i="2"/>
  <c r="U328" i="2"/>
  <c r="V328" i="2"/>
  <c r="W328" i="2"/>
  <c r="T329" i="2"/>
  <c r="U329" i="2"/>
  <c r="V329" i="2"/>
  <c r="W329" i="2"/>
  <c r="T330" i="2"/>
  <c r="U330" i="2"/>
  <c r="V330" i="2"/>
  <c r="W330" i="2"/>
  <c r="T331" i="2"/>
  <c r="U331" i="2"/>
  <c r="V331" i="2"/>
  <c r="W331" i="2"/>
  <c r="T332" i="2"/>
  <c r="U332" i="2"/>
  <c r="V332" i="2"/>
  <c r="W332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45" i="2"/>
  <c r="U345" i="2"/>
  <c r="V345" i="2"/>
  <c r="W345" i="2"/>
  <c r="T346" i="2"/>
  <c r="U346" i="2"/>
  <c r="V346" i="2"/>
  <c r="W346" i="2"/>
  <c r="T347" i="2"/>
  <c r="U347" i="2"/>
  <c r="V347" i="2"/>
  <c r="W347" i="2"/>
  <c r="T348" i="2"/>
  <c r="U348" i="2"/>
  <c r="V348" i="2"/>
  <c r="W348" i="2"/>
  <c r="T349" i="2"/>
  <c r="U349" i="2"/>
  <c r="V349" i="2"/>
  <c r="W349" i="2"/>
  <c r="T350" i="2"/>
  <c r="U350" i="2"/>
  <c r="V350" i="2"/>
  <c r="W350" i="2"/>
  <c r="T351" i="2"/>
  <c r="U351" i="2"/>
  <c r="V351" i="2"/>
  <c r="W351" i="2"/>
  <c r="T352" i="2"/>
  <c r="U352" i="2"/>
  <c r="V352" i="2"/>
  <c r="W352" i="2"/>
  <c r="T353" i="2"/>
  <c r="U353" i="2"/>
  <c r="V353" i="2"/>
  <c r="W353" i="2"/>
  <c r="T354" i="2"/>
  <c r="U354" i="2"/>
  <c r="V354" i="2"/>
  <c r="W354" i="2"/>
  <c r="T355" i="2"/>
  <c r="U355" i="2"/>
  <c r="V355" i="2"/>
  <c r="W355" i="2"/>
  <c r="T356" i="2"/>
  <c r="U356" i="2"/>
  <c r="V356" i="2"/>
  <c r="W356" i="2"/>
  <c r="T357" i="2"/>
  <c r="U357" i="2"/>
  <c r="V357" i="2"/>
  <c r="W357" i="2"/>
  <c r="T358" i="2"/>
  <c r="U358" i="2"/>
  <c r="V358" i="2"/>
  <c r="W358" i="2"/>
  <c r="T359" i="2"/>
  <c r="U359" i="2"/>
  <c r="V359" i="2"/>
  <c r="W359" i="2"/>
  <c r="T360" i="2"/>
  <c r="U360" i="2"/>
  <c r="V360" i="2"/>
  <c r="W360" i="2"/>
  <c r="T361" i="2"/>
  <c r="U361" i="2"/>
  <c r="V361" i="2"/>
  <c r="W361" i="2"/>
  <c r="T362" i="2"/>
  <c r="U362" i="2"/>
  <c r="V362" i="2"/>
  <c r="W362" i="2"/>
  <c r="T363" i="2"/>
  <c r="U363" i="2"/>
  <c r="V363" i="2"/>
  <c r="W363" i="2"/>
  <c r="T364" i="2"/>
  <c r="U364" i="2"/>
  <c r="V364" i="2"/>
  <c r="W364" i="2"/>
  <c r="T365" i="2"/>
  <c r="U365" i="2"/>
  <c r="V365" i="2"/>
  <c r="W365" i="2"/>
  <c r="T366" i="2"/>
  <c r="U366" i="2"/>
  <c r="V366" i="2"/>
  <c r="W366" i="2"/>
  <c r="T368" i="2"/>
  <c r="U368" i="2"/>
  <c r="V368" i="2"/>
  <c r="W368" i="2"/>
  <c r="T369" i="2"/>
  <c r="U369" i="2"/>
  <c r="V369" i="2"/>
  <c r="W369" i="2"/>
  <c r="T370" i="2"/>
  <c r="U370" i="2"/>
  <c r="V370" i="2"/>
  <c r="W370" i="2"/>
  <c r="T376" i="2"/>
  <c r="U376" i="2"/>
  <c r="V376" i="2"/>
  <c r="W376" i="2"/>
  <c r="T377" i="2"/>
  <c r="U377" i="2"/>
  <c r="V377" i="2"/>
  <c r="W377" i="2"/>
  <c r="T378" i="2"/>
  <c r="U378" i="2"/>
  <c r="V378" i="2"/>
  <c r="W378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7" i="2"/>
  <c r="U387" i="2"/>
  <c r="V387" i="2"/>
  <c r="W387" i="2"/>
  <c r="T388" i="2"/>
  <c r="U388" i="2"/>
  <c r="V388" i="2"/>
  <c r="W388" i="2"/>
  <c r="T389" i="2"/>
  <c r="U389" i="2"/>
  <c r="V389" i="2"/>
  <c r="W389" i="2"/>
  <c r="T390" i="2"/>
  <c r="U390" i="2"/>
  <c r="V390" i="2"/>
  <c r="W390" i="2"/>
  <c r="T391" i="2"/>
  <c r="U391" i="2"/>
  <c r="V391" i="2"/>
  <c r="W391" i="2"/>
  <c r="T392" i="2"/>
  <c r="U392" i="2"/>
  <c r="V392" i="2"/>
  <c r="W392" i="2"/>
  <c r="T393" i="2"/>
  <c r="U393" i="2"/>
  <c r="V393" i="2"/>
  <c r="W393" i="2"/>
  <c r="T394" i="2"/>
  <c r="U394" i="2"/>
  <c r="V394" i="2"/>
  <c r="W394" i="2"/>
  <c r="T395" i="2"/>
  <c r="U395" i="2"/>
  <c r="V395" i="2"/>
  <c r="W395" i="2"/>
  <c r="T396" i="2"/>
  <c r="U396" i="2"/>
  <c r="V396" i="2"/>
  <c r="W396" i="2"/>
  <c r="T397" i="2"/>
  <c r="U397" i="2"/>
  <c r="V397" i="2"/>
  <c r="W397" i="2"/>
  <c r="T398" i="2"/>
  <c r="U398" i="2"/>
  <c r="V398" i="2"/>
  <c r="W398" i="2"/>
  <c r="T399" i="2"/>
  <c r="U399" i="2"/>
  <c r="V399" i="2"/>
  <c r="W399" i="2"/>
  <c r="T400" i="2"/>
  <c r="U400" i="2"/>
  <c r="V400" i="2"/>
  <c r="W400" i="2"/>
  <c r="T402" i="2"/>
  <c r="U402" i="2"/>
  <c r="V402" i="2"/>
  <c r="W402" i="2"/>
  <c r="T403" i="2"/>
  <c r="U403" i="2"/>
  <c r="V403" i="2"/>
  <c r="W403" i="2"/>
  <c r="T404" i="2"/>
  <c r="U404" i="2"/>
  <c r="V404" i="2"/>
  <c r="W404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2" i="2"/>
  <c r="U422" i="2"/>
  <c r="V422" i="2"/>
  <c r="W422" i="2"/>
  <c r="T423" i="2"/>
  <c r="U423" i="2"/>
  <c r="V423" i="2"/>
  <c r="W423" i="2"/>
  <c r="T424" i="2"/>
  <c r="U424" i="2"/>
  <c r="V424" i="2"/>
  <c r="W424" i="2"/>
  <c r="T425" i="2"/>
  <c r="U425" i="2"/>
  <c r="V425" i="2"/>
  <c r="W425" i="2"/>
  <c r="T426" i="2"/>
  <c r="U426" i="2"/>
  <c r="V426" i="2"/>
  <c r="W426" i="2"/>
  <c r="T427" i="2"/>
  <c r="U427" i="2"/>
  <c r="V427" i="2"/>
  <c r="W427" i="2"/>
  <c r="T428" i="2"/>
  <c r="U428" i="2"/>
  <c r="V428" i="2"/>
  <c r="W428" i="2"/>
  <c r="T429" i="2"/>
  <c r="U429" i="2"/>
  <c r="V429" i="2"/>
  <c r="W429" i="2"/>
  <c r="T430" i="2"/>
  <c r="U430" i="2"/>
  <c r="V430" i="2"/>
  <c r="W430" i="2"/>
  <c r="T431" i="2"/>
  <c r="U431" i="2"/>
  <c r="V431" i="2"/>
  <c r="W431" i="2"/>
  <c r="T432" i="2"/>
  <c r="U432" i="2"/>
  <c r="V432" i="2"/>
  <c r="W432" i="2"/>
  <c r="T433" i="2"/>
  <c r="U433" i="2"/>
  <c r="V433" i="2"/>
  <c r="W433" i="2"/>
  <c r="T434" i="2"/>
  <c r="U434" i="2"/>
  <c r="V434" i="2"/>
  <c r="W434" i="2"/>
  <c r="T436" i="2"/>
  <c r="U436" i="2"/>
  <c r="V436" i="2"/>
  <c r="W436" i="2"/>
  <c r="T437" i="2"/>
  <c r="U437" i="2"/>
  <c r="V437" i="2"/>
  <c r="W437" i="2"/>
  <c r="T438" i="2"/>
  <c r="U438" i="2"/>
  <c r="V438" i="2"/>
  <c r="W438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5" i="2"/>
  <c r="U455" i="2"/>
  <c r="V455" i="2"/>
  <c r="W455" i="2"/>
  <c r="T456" i="2"/>
  <c r="U456" i="2"/>
  <c r="V456" i="2"/>
  <c r="W456" i="2"/>
  <c r="T457" i="2"/>
  <c r="U457" i="2"/>
  <c r="V457" i="2"/>
  <c r="W457" i="2"/>
  <c r="T458" i="2"/>
  <c r="U458" i="2"/>
  <c r="V458" i="2"/>
  <c r="W458" i="2"/>
  <c r="T459" i="2"/>
  <c r="U459" i="2"/>
  <c r="V459" i="2"/>
  <c r="W459" i="2"/>
  <c r="T460" i="2"/>
  <c r="U460" i="2"/>
  <c r="V460" i="2"/>
  <c r="W460" i="2"/>
  <c r="T461" i="2"/>
  <c r="U461" i="2"/>
  <c r="V461" i="2"/>
  <c r="W461" i="2"/>
  <c r="T462" i="2"/>
  <c r="U462" i="2"/>
  <c r="V462" i="2"/>
  <c r="W462" i="2"/>
  <c r="T463" i="2"/>
  <c r="U463" i="2"/>
  <c r="V463" i="2"/>
  <c r="W463" i="2"/>
  <c r="T464" i="2"/>
  <c r="U464" i="2"/>
  <c r="V464" i="2"/>
  <c r="W464" i="2"/>
  <c r="T465" i="2"/>
  <c r="U465" i="2"/>
  <c r="V465" i="2"/>
  <c r="W465" i="2"/>
  <c r="T466" i="2"/>
  <c r="U466" i="2"/>
  <c r="V466" i="2"/>
  <c r="W466" i="2"/>
  <c r="T467" i="2"/>
  <c r="U467" i="2"/>
  <c r="V467" i="2"/>
  <c r="W467" i="2"/>
  <c r="T468" i="2"/>
  <c r="U468" i="2"/>
  <c r="V468" i="2"/>
  <c r="W468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6" i="2"/>
  <c r="U486" i="2"/>
  <c r="V486" i="2"/>
  <c r="W486" i="2"/>
  <c r="T487" i="2"/>
  <c r="U487" i="2"/>
  <c r="V487" i="2"/>
  <c r="W487" i="2"/>
  <c r="T488" i="2"/>
  <c r="U488" i="2"/>
  <c r="V488" i="2"/>
  <c r="W488" i="2"/>
  <c r="T489" i="2"/>
  <c r="U489" i="2"/>
  <c r="V489" i="2"/>
  <c r="W489" i="2"/>
  <c r="T490" i="2"/>
  <c r="U490" i="2"/>
  <c r="V490" i="2"/>
  <c r="W490" i="2"/>
  <c r="T491" i="2"/>
  <c r="U491" i="2"/>
  <c r="V491" i="2"/>
  <c r="W491" i="2"/>
  <c r="T492" i="2"/>
  <c r="U492" i="2"/>
  <c r="V492" i="2"/>
  <c r="W492" i="2"/>
  <c r="T493" i="2"/>
  <c r="U493" i="2"/>
  <c r="V493" i="2"/>
  <c r="W493" i="2"/>
  <c r="T494" i="2"/>
  <c r="U494" i="2"/>
  <c r="V494" i="2"/>
  <c r="W494" i="2"/>
  <c r="T495" i="2"/>
  <c r="U495" i="2"/>
  <c r="V495" i="2"/>
  <c r="W495" i="2"/>
  <c r="T496" i="2"/>
  <c r="U496" i="2"/>
  <c r="V496" i="2"/>
  <c r="W496" i="2"/>
  <c r="T497" i="2"/>
  <c r="U497" i="2"/>
  <c r="V497" i="2"/>
  <c r="W497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1" i="2"/>
  <c r="U501" i="2"/>
  <c r="V501" i="2"/>
  <c r="W501" i="2"/>
  <c r="T502" i="2"/>
  <c r="U502" i="2"/>
  <c r="V502" i="2"/>
  <c r="W502" i="2"/>
  <c r="T504" i="2"/>
  <c r="U504" i="2"/>
  <c r="V504" i="2"/>
  <c r="W504" i="2"/>
  <c r="T505" i="2"/>
  <c r="U505" i="2"/>
  <c r="V505" i="2"/>
  <c r="W505" i="2"/>
  <c r="T506" i="2"/>
  <c r="U506" i="2"/>
  <c r="V506" i="2"/>
  <c r="W506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5" i="2"/>
  <c r="U515" i="2"/>
  <c r="V515" i="2"/>
  <c r="W515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19" i="2"/>
  <c r="U519" i="2"/>
  <c r="V519" i="2"/>
  <c r="W519" i="2"/>
  <c r="T520" i="2"/>
  <c r="U520" i="2"/>
  <c r="V520" i="2"/>
  <c r="W520" i="2"/>
  <c r="T521" i="2"/>
  <c r="U521" i="2"/>
  <c r="V521" i="2"/>
  <c r="W521" i="2"/>
  <c r="T522" i="2"/>
  <c r="U522" i="2"/>
  <c r="V522" i="2"/>
  <c r="W522" i="2"/>
  <c r="T523" i="2"/>
  <c r="U523" i="2"/>
  <c r="V523" i="2"/>
  <c r="W523" i="2"/>
  <c r="T524" i="2"/>
  <c r="U524" i="2"/>
  <c r="V524" i="2"/>
  <c r="W524" i="2"/>
  <c r="T525" i="2"/>
  <c r="U525" i="2"/>
  <c r="V525" i="2"/>
  <c r="W525" i="2"/>
  <c r="T526" i="2"/>
  <c r="U526" i="2"/>
  <c r="V526" i="2"/>
  <c r="W526" i="2"/>
  <c r="T527" i="2"/>
  <c r="U527" i="2"/>
  <c r="V527" i="2"/>
  <c r="W527" i="2"/>
  <c r="T528" i="2"/>
  <c r="U528" i="2"/>
  <c r="V528" i="2"/>
  <c r="W528" i="2"/>
  <c r="T529" i="2"/>
  <c r="U529" i="2"/>
  <c r="V529" i="2"/>
  <c r="W529" i="2"/>
  <c r="T530" i="2"/>
  <c r="U530" i="2"/>
  <c r="V530" i="2"/>
  <c r="W530" i="2"/>
  <c r="T531" i="2"/>
  <c r="U531" i="2"/>
  <c r="V531" i="2"/>
  <c r="W531" i="2"/>
  <c r="T532" i="2"/>
  <c r="U532" i="2"/>
  <c r="V532" i="2"/>
  <c r="W532" i="2"/>
  <c r="T533" i="2"/>
  <c r="U533" i="2"/>
  <c r="V533" i="2"/>
  <c r="W533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38" i="2"/>
  <c r="U538" i="2"/>
  <c r="V538" i="2"/>
  <c r="W538" i="2"/>
  <c r="T539" i="2"/>
  <c r="U539" i="2"/>
  <c r="V539" i="2"/>
  <c r="W539" i="2"/>
  <c r="T540" i="2"/>
  <c r="U540" i="2"/>
  <c r="V540" i="2"/>
  <c r="W540" i="2"/>
  <c r="T546" i="2"/>
  <c r="U546" i="2"/>
  <c r="V546" i="2"/>
  <c r="W546" i="2"/>
  <c r="T547" i="2"/>
  <c r="U547" i="2"/>
  <c r="V547" i="2"/>
  <c r="W547" i="2"/>
  <c r="T548" i="2"/>
  <c r="U548" i="2"/>
  <c r="V548" i="2"/>
  <c r="W548" i="2"/>
  <c r="T549" i="2"/>
  <c r="U549" i="2"/>
  <c r="V549" i="2"/>
  <c r="W549" i="2"/>
  <c r="T550" i="2"/>
  <c r="U550" i="2"/>
  <c r="V550" i="2"/>
  <c r="W550" i="2"/>
  <c r="T551" i="2"/>
  <c r="U551" i="2"/>
  <c r="V551" i="2"/>
  <c r="W551" i="2"/>
  <c r="T552" i="2"/>
  <c r="U552" i="2"/>
  <c r="V552" i="2"/>
  <c r="W552" i="2"/>
  <c r="T553" i="2"/>
  <c r="U553" i="2"/>
  <c r="V553" i="2"/>
  <c r="W553" i="2"/>
  <c r="T554" i="2"/>
  <c r="U554" i="2"/>
  <c r="V554" i="2"/>
  <c r="W554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58" i="2"/>
  <c r="U558" i="2"/>
  <c r="V558" i="2"/>
  <c r="W558" i="2"/>
  <c r="T559" i="2"/>
  <c r="U559" i="2"/>
  <c r="V559" i="2"/>
  <c r="W559" i="2"/>
  <c r="T560" i="2"/>
  <c r="U560" i="2"/>
  <c r="V560" i="2"/>
  <c r="W560" i="2"/>
  <c r="T561" i="2"/>
  <c r="U561" i="2"/>
  <c r="V561" i="2"/>
  <c r="W561" i="2"/>
  <c r="T562" i="2"/>
  <c r="U562" i="2"/>
  <c r="V562" i="2"/>
  <c r="W562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6" i="2"/>
  <c r="U566" i="2"/>
  <c r="V566" i="2"/>
  <c r="W566" i="2"/>
  <c r="T567" i="2"/>
  <c r="U567" i="2"/>
  <c r="V567" i="2"/>
  <c r="W567" i="2"/>
  <c r="T568" i="2"/>
  <c r="U568" i="2"/>
  <c r="V568" i="2"/>
  <c r="W568" i="2"/>
  <c r="T569" i="2"/>
  <c r="U569" i="2"/>
  <c r="V569" i="2"/>
  <c r="W569" i="2"/>
  <c r="T570" i="2"/>
  <c r="U570" i="2"/>
  <c r="V570" i="2"/>
  <c r="W570" i="2"/>
  <c r="T572" i="2"/>
  <c r="U572" i="2"/>
  <c r="V572" i="2"/>
  <c r="W572" i="2"/>
  <c r="T573" i="2"/>
  <c r="U573" i="2"/>
  <c r="V573" i="2"/>
  <c r="W573" i="2"/>
  <c r="T574" i="2"/>
  <c r="U574" i="2"/>
  <c r="V574" i="2"/>
  <c r="W574" i="2"/>
  <c r="T580" i="2"/>
  <c r="U580" i="2"/>
  <c r="V580" i="2"/>
  <c r="W580" i="2"/>
  <c r="T581" i="2"/>
  <c r="U581" i="2"/>
  <c r="V581" i="2"/>
  <c r="W581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7" i="2"/>
  <c r="U587" i="2"/>
  <c r="V587" i="2"/>
  <c r="W587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1" i="2"/>
  <c r="U591" i="2"/>
  <c r="V591" i="2"/>
  <c r="W591" i="2"/>
  <c r="T592" i="2"/>
  <c r="U592" i="2"/>
  <c r="V592" i="2"/>
  <c r="W592" i="2"/>
  <c r="T593" i="2"/>
  <c r="U593" i="2"/>
  <c r="V593" i="2"/>
  <c r="W593" i="2"/>
  <c r="T594" i="2"/>
  <c r="U594" i="2"/>
  <c r="V594" i="2"/>
  <c r="W594" i="2"/>
  <c r="T595" i="2"/>
  <c r="U595" i="2"/>
  <c r="V595" i="2"/>
  <c r="W595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2" i="2"/>
  <c r="U602" i="2"/>
  <c r="V602" i="2"/>
  <c r="W602" i="2"/>
  <c r="T603" i="2"/>
  <c r="U603" i="2"/>
  <c r="V603" i="2"/>
  <c r="W603" i="2"/>
  <c r="T604" i="2"/>
  <c r="U604" i="2"/>
  <c r="V604" i="2"/>
  <c r="W604" i="2"/>
  <c r="T606" i="2"/>
  <c r="U606" i="2"/>
  <c r="V606" i="2"/>
  <c r="W606" i="2"/>
  <c r="T607" i="2"/>
  <c r="U607" i="2"/>
  <c r="V607" i="2"/>
  <c r="W607" i="2"/>
  <c r="T608" i="2"/>
  <c r="U608" i="2"/>
  <c r="V608" i="2"/>
  <c r="W608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0" i="2"/>
  <c r="U620" i="2"/>
  <c r="V620" i="2"/>
  <c r="W620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4" i="2"/>
  <c r="U624" i="2"/>
  <c r="V624" i="2"/>
  <c r="W624" i="2"/>
  <c r="T625" i="2"/>
  <c r="U625" i="2"/>
  <c r="V625" i="2"/>
  <c r="W625" i="2"/>
  <c r="T626" i="2"/>
  <c r="U626" i="2"/>
  <c r="V626" i="2"/>
  <c r="W626" i="2"/>
  <c r="T627" i="2"/>
  <c r="U627" i="2"/>
  <c r="V627" i="2"/>
  <c r="W627" i="2"/>
  <c r="T628" i="2"/>
  <c r="U628" i="2"/>
  <c r="V628" i="2"/>
  <c r="W628" i="2"/>
  <c r="T629" i="2"/>
  <c r="U629" i="2"/>
  <c r="V629" i="2"/>
  <c r="W629" i="2"/>
  <c r="T630" i="2"/>
  <c r="U630" i="2"/>
  <c r="V630" i="2"/>
  <c r="W630" i="2"/>
  <c r="T631" i="2"/>
  <c r="U631" i="2"/>
  <c r="V631" i="2"/>
  <c r="W631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35" i="2"/>
  <c r="U635" i="2"/>
  <c r="V635" i="2"/>
  <c r="W635" i="2"/>
  <c r="T636" i="2"/>
  <c r="U636" i="2"/>
  <c r="V636" i="2"/>
  <c r="W636" i="2"/>
  <c r="T637" i="2"/>
  <c r="U637" i="2"/>
  <c r="V637" i="2"/>
  <c r="W637" i="2"/>
  <c r="T638" i="2"/>
  <c r="U638" i="2"/>
  <c r="V638" i="2"/>
  <c r="W638" i="2"/>
  <c r="T640" i="2"/>
  <c r="U640" i="2"/>
  <c r="V640" i="2"/>
  <c r="W640" i="2"/>
  <c r="T641" i="2"/>
  <c r="U641" i="2"/>
  <c r="V641" i="2"/>
  <c r="W641" i="2"/>
  <c r="T642" i="2"/>
  <c r="U642" i="2"/>
  <c r="V642" i="2"/>
  <c r="W642" i="2"/>
  <c r="T648" i="2"/>
  <c r="U648" i="2"/>
  <c r="V648" i="2"/>
  <c r="W648" i="2"/>
  <c r="T649" i="2"/>
  <c r="U649" i="2"/>
  <c r="V649" i="2"/>
  <c r="W649" i="2"/>
  <c r="T650" i="2"/>
  <c r="U650" i="2"/>
  <c r="V650" i="2"/>
  <c r="W650" i="2"/>
  <c r="T651" i="2"/>
  <c r="U651" i="2"/>
  <c r="V651" i="2"/>
  <c r="W651" i="2"/>
  <c r="T652" i="2"/>
  <c r="U652" i="2"/>
  <c r="V652" i="2"/>
  <c r="W652" i="2"/>
  <c r="T653" i="2"/>
  <c r="U653" i="2"/>
  <c r="V653" i="2"/>
  <c r="W653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57" i="2"/>
  <c r="U657" i="2"/>
  <c r="V657" i="2"/>
  <c r="W657" i="2"/>
  <c r="T658" i="2"/>
  <c r="U658" i="2"/>
  <c r="V658" i="2"/>
  <c r="W658" i="2"/>
  <c r="T659" i="2"/>
  <c r="U659" i="2"/>
  <c r="V659" i="2"/>
  <c r="W659" i="2"/>
  <c r="T660" i="2"/>
  <c r="U660" i="2"/>
  <c r="V660" i="2"/>
  <c r="W660" i="2"/>
  <c r="T661" i="2"/>
  <c r="U661" i="2"/>
  <c r="V661" i="2"/>
  <c r="W661" i="2"/>
  <c r="T662" i="2"/>
  <c r="U662" i="2"/>
  <c r="V662" i="2"/>
  <c r="W662" i="2"/>
  <c r="T663" i="2"/>
  <c r="U663" i="2"/>
  <c r="V663" i="2"/>
  <c r="W663" i="2"/>
  <c r="T664" i="2"/>
  <c r="U664" i="2"/>
  <c r="V664" i="2"/>
  <c r="W664" i="2"/>
  <c r="T665" i="2"/>
  <c r="U665" i="2"/>
  <c r="V665" i="2"/>
  <c r="W665" i="2"/>
  <c r="T666" i="2"/>
  <c r="U666" i="2"/>
  <c r="V666" i="2"/>
  <c r="W666" i="2"/>
  <c r="T667" i="2"/>
  <c r="U667" i="2"/>
  <c r="V667" i="2"/>
  <c r="W667" i="2"/>
  <c r="T668" i="2"/>
  <c r="U668" i="2"/>
  <c r="V668" i="2"/>
  <c r="W668" i="2"/>
  <c r="T669" i="2"/>
  <c r="U669" i="2"/>
  <c r="V669" i="2"/>
  <c r="W669" i="2"/>
  <c r="T670" i="2"/>
  <c r="U670" i="2"/>
  <c r="V670" i="2"/>
  <c r="W670" i="2"/>
  <c r="T671" i="2"/>
  <c r="U671" i="2"/>
  <c r="V671" i="2"/>
  <c r="W671" i="2"/>
  <c r="T672" i="2"/>
  <c r="U672" i="2"/>
  <c r="V672" i="2"/>
  <c r="W672" i="2"/>
  <c r="T674" i="2"/>
  <c r="U674" i="2"/>
  <c r="V674" i="2"/>
  <c r="W674" i="2"/>
  <c r="T675" i="2"/>
  <c r="U675" i="2"/>
  <c r="V675" i="2"/>
  <c r="W675" i="2"/>
  <c r="T676" i="2"/>
  <c r="U676" i="2"/>
  <c r="V676" i="2"/>
  <c r="W676" i="2"/>
  <c r="T682" i="2"/>
  <c r="U682" i="2"/>
  <c r="V682" i="2"/>
  <c r="W682" i="2"/>
  <c r="T683" i="2"/>
  <c r="U683" i="2"/>
  <c r="V683" i="2"/>
  <c r="W683" i="2"/>
  <c r="T684" i="2"/>
  <c r="U684" i="2"/>
  <c r="V684" i="2"/>
  <c r="W684" i="2"/>
  <c r="T685" i="2"/>
  <c r="U685" i="2"/>
  <c r="V685" i="2"/>
  <c r="W685" i="2"/>
  <c r="T686" i="2"/>
  <c r="U686" i="2"/>
  <c r="V686" i="2"/>
  <c r="W686" i="2"/>
  <c r="T687" i="2"/>
  <c r="U687" i="2"/>
  <c r="V687" i="2"/>
  <c r="W687" i="2"/>
  <c r="T688" i="2"/>
  <c r="U688" i="2"/>
  <c r="V688" i="2"/>
  <c r="W688" i="2"/>
  <c r="T689" i="2"/>
  <c r="U689" i="2"/>
  <c r="V689" i="2"/>
  <c r="W689" i="2"/>
  <c r="T690" i="2"/>
  <c r="U690" i="2"/>
  <c r="V690" i="2"/>
  <c r="W690" i="2"/>
  <c r="T691" i="2"/>
  <c r="U691" i="2"/>
  <c r="V691" i="2"/>
  <c r="W691" i="2"/>
  <c r="T692" i="2"/>
  <c r="U692" i="2"/>
  <c r="V692" i="2"/>
  <c r="W692" i="2"/>
  <c r="T693" i="2"/>
  <c r="U693" i="2"/>
  <c r="V693" i="2"/>
  <c r="W693" i="2"/>
  <c r="T694" i="2"/>
  <c r="U694" i="2"/>
  <c r="V694" i="2"/>
  <c r="W694" i="2"/>
  <c r="T695" i="2"/>
  <c r="U695" i="2"/>
  <c r="V695" i="2"/>
  <c r="W695" i="2"/>
  <c r="T696" i="2"/>
  <c r="U696" i="2"/>
  <c r="V696" i="2"/>
  <c r="W696" i="2"/>
  <c r="T697" i="2"/>
  <c r="U697" i="2"/>
  <c r="V697" i="2"/>
  <c r="W697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6" i="2"/>
  <c r="U716" i="2"/>
  <c r="V716" i="2"/>
  <c r="W716" i="2"/>
  <c r="T717" i="2"/>
  <c r="U717" i="2"/>
  <c r="V717" i="2"/>
  <c r="W717" i="2"/>
  <c r="T718" i="2"/>
  <c r="U718" i="2"/>
  <c r="V718" i="2"/>
  <c r="W718" i="2"/>
  <c r="T719" i="2"/>
  <c r="U719" i="2"/>
  <c r="V719" i="2"/>
  <c r="W719" i="2"/>
  <c r="T720" i="2"/>
  <c r="U720" i="2"/>
  <c r="V720" i="2"/>
  <c r="W720" i="2"/>
  <c r="T721" i="2"/>
  <c r="U721" i="2"/>
  <c r="V721" i="2"/>
  <c r="W721" i="2"/>
  <c r="T722" i="2"/>
  <c r="U722" i="2"/>
  <c r="V722" i="2"/>
  <c r="W722" i="2"/>
  <c r="T723" i="2"/>
  <c r="U723" i="2"/>
  <c r="V723" i="2"/>
  <c r="W723" i="2"/>
  <c r="T724" i="2"/>
  <c r="U724" i="2"/>
  <c r="V724" i="2"/>
  <c r="W724" i="2"/>
  <c r="T725" i="2"/>
  <c r="U725" i="2"/>
  <c r="V725" i="2"/>
  <c r="W725" i="2"/>
  <c r="T726" i="2"/>
  <c r="U726" i="2"/>
  <c r="V726" i="2"/>
  <c r="W726" i="2"/>
  <c r="T727" i="2"/>
  <c r="U727" i="2"/>
  <c r="V727" i="2"/>
  <c r="W727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50" i="2"/>
  <c r="U750" i="2"/>
  <c r="V750" i="2"/>
  <c r="W750" i="2"/>
  <c r="T751" i="2"/>
  <c r="U751" i="2"/>
  <c r="V751" i="2"/>
  <c r="W751" i="2"/>
  <c r="T752" i="2"/>
  <c r="U752" i="2"/>
  <c r="V752" i="2"/>
  <c r="W752" i="2"/>
  <c r="T753" i="2"/>
  <c r="U753" i="2"/>
  <c r="V753" i="2"/>
  <c r="W753" i="2"/>
  <c r="T754" i="2"/>
  <c r="U754" i="2"/>
  <c r="V754" i="2"/>
  <c r="W754" i="2"/>
  <c r="T755" i="2"/>
  <c r="U755" i="2"/>
  <c r="V755" i="2"/>
  <c r="W755" i="2"/>
  <c r="T756" i="2"/>
  <c r="U756" i="2"/>
  <c r="V756" i="2"/>
  <c r="W756" i="2"/>
  <c r="T757" i="2"/>
  <c r="U757" i="2"/>
  <c r="V757" i="2"/>
  <c r="W757" i="2"/>
  <c r="T758" i="2"/>
  <c r="U758" i="2"/>
  <c r="V758" i="2"/>
  <c r="W758" i="2"/>
  <c r="T759" i="2"/>
  <c r="U759" i="2"/>
  <c r="V759" i="2"/>
  <c r="W759" i="2"/>
  <c r="T760" i="2"/>
  <c r="U760" i="2"/>
  <c r="V760" i="2"/>
  <c r="W760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6" i="2"/>
  <c r="U776" i="2"/>
  <c r="V776" i="2"/>
  <c r="W776" i="2"/>
  <c r="T777" i="2"/>
  <c r="U777" i="2"/>
  <c r="V777" i="2"/>
  <c r="W777" i="2"/>
  <c r="T778" i="2"/>
  <c r="U778" i="2"/>
  <c r="V778" i="2"/>
  <c r="W778" i="2"/>
  <c r="T784" i="2"/>
  <c r="U784" i="2"/>
  <c r="V784" i="2"/>
  <c r="W784" i="2"/>
  <c r="T785" i="2"/>
  <c r="U785" i="2"/>
  <c r="V785" i="2"/>
  <c r="W785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89" i="2"/>
  <c r="U789" i="2"/>
  <c r="V789" i="2"/>
  <c r="W789" i="2"/>
  <c r="T790" i="2"/>
  <c r="U790" i="2"/>
  <c r="V790" i="2"/>
  <c r="W790" i="2"/>
  <c r="T791" i="2"/>
  <c r="U791" i="2"/>
  <c r="V791" i="2"/>
  <c r="W791" i="2"/>
  <c r="T792" i="2"/>
  <c r="U792" i="2"/>
  <c r="V792" i="2"/>
  <c r="W792" i="2"/>
  <c r="T793" i="2"/>
  <c r="U793" i="2"/>
  <c r="V793" i="2"/>
  <c r="W793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5" i="2"/>
  <c r="U805" i="2"/>
  <c r="V805" i="2"/>
  <c r="W805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T810" i="2"/>
  <c r="U810" i="2"/>
  <c r="V810" i="2"/>
  <c r="W810" i="2"/>
  <c r="T811" i="2"/>
  <c r="U811" i="2"/>
  <c r="V811" i="2"/>
  <c r="W811" i="2"/>
  <c r="T812" i="2"/>
  <c r="U812" i="2"/>
  <c r="V812" i="2"/>
  <c r="W812" i="2"/>
  <c r="T818" i="2"/>
  <c r="U818" i="2"/>
  <c r="V818" i="2"/>
  <c r="W818" i="2"/>
  <c r="T819" i="2"/>
  <c r="U819" i="2"/>
  <c r="V819" i="2"/>
  <c r="W819" i="2"/>
  <c r="T820" i="2"/>
  <c r="U820" i="2"/>
  <c r="V820" i="2"/>
  <c r="W820" i="2"/>
  <c r="T821" i="2"/>
  <c r="U821" i="2"/>
  <c r="V821" i="2"/>
  <c r="W821" i="2"/>
  <c r="T822" i="2"/>
  <c r="U822" i="2"/>
  <c r="V822" i="2"/>
  <c r="W822" i="2"/>
  <c r="T823" i="2"/>
  <c r="U823" i="2"/>
  <c r="V823" i="2"/>
  <c r="W823" i="2"/>
  <c r="T824" i="2"/>
  <c r="U824" i="2"/>
  <c r="V824" i="2"/>
  <c r="W824" i="2"/>
  <c r="T825" i="2"/>
  <c r="U825" i="2"/>
  <c r="V825" i="2"/>
  <c r="W825" i="2"/>
  <c r="T826" i="2"/>
  <c r="U826" i="2"/>
  <c r="V826" i="2"/>
  <c r="W826" i="2"/>
  <c r="T827" i="2"/>
  <c r="U827" i="2"/>
  <c r="V827" i="2"/>
  <c r="W827" i="2"/>
  <c r="T828" i="2"/>
  <c r="U828" i="2"/>
  <c r="V828" i="2"/>
  <c r="W828" i="2"/>
  <c r="T829" i="2"/>
  <c r="U829" i="2"/>
  <c r="V829" i="2"/>
  <c r="W829" i="2"/>
  <c r="T830" i="2"/>
  <c r="U830" i="2"/>
  <c r="V830" i="2"/>
  <c r="W830" i="2"/>
  <c r="T831" i="2"/>
  <c r="U831" i="2"/>
  <c r="V831" i="2"/>
  <c r="W831" i="2"/>
  <c r="T832" i="2"/>
  <c r="U832" i="2"/>
  <c r="V832" i="2"/>
  <c r="W832" i="2"/>
  <c r="T833" i="2"/>
  <c r="U833" i="2"/>
  <c r="V833" i="2"/>
  <c r="W833" i="2"/>
  <c r="T834" i="2"/>
  <c r="U834" i="2"/>
  <c r="V834" i="2"/>
  <c r="W834" i="2"/>
  <c r="T835" i="2"/>
  <c r="U835" i="2"/>
  <c r="V835" i="2"/>
  <c r="W835" i="2"/>
  <c r="T836" i="2"/>
  <c r="U836" i="2"/>
  <c r="V836" i="2"/>
  <c r="W836" i="2"/>
  <c r="T837" i="2"/>
  <c r="U837" i="2"/>
  <c r="V837" i="2"/>
  <c r="W837" i="2"/>
  <c r="T838" i="2"/>
  <c r="U838" i="2"/>
  <c r="V838" i="2"/>
  <c r="W838" i="2"/>
  <c r="T839" i="2"/>
  <c r="U839" i="2"/>
  <c r="V839" i="2"/>
  <c r="W839" i="2"/>
  <c r="T840" i="2"/>
  <c r="U840" i="2"/>
  <c r="V840" i="2"/>
  <c r="W840" i="2"/>
  <c r="T841" i="2"/>
  <c r="U841" i="2"/>
  <c r="V841" i="2"/>
  <c r="W841" i="2"/>
  <c r="T842" i="2"/>
  <c r="U842" i="2"/>
  <c r="V842" i="2"/>
  <c r="W842" i="2"/>
  <c r="T844" i="2"/>
  <c r="U844" i="2"/>
  <c r="V844" i="2"/>
  <c r="W844" i="2"/>
  <c r="T845" i="2"/>
  <c r="U845" i="2"/>
  <c r="V845" i="2"/>
  <c r="W845" i="2"/>
  <c r="T846" i="2"/>
  <c r="U846" i="2"/>
  <c r="V846" i="2"/>
  <c r="W846" i="2"/>
  <c r="T852" i="2"/>
  <c r="U852" i="2"/>
  <c r="V852" i="2"/>
  <c r="W852" i="2"/>
  <c r="T853" i="2"/>
  <c r="U853" i="2"/>
  <c r="V853" i="2"/>
  <c r="W853" i="2"/>
  <c r="T854" i="2"/>
  <c r="U854" i="2"/>
  <c r="V854" i="2"/>
  <c r="W854" i="2"/>
  <c r="T855" i="2"/>
  <c r="U855" i="2"/>
  <c r="V855" i="2"/>
  <c r="W855" i="2"/>
  <c r="T856" i="2"/>
  <c r="U856" i="2"/>
  <c r="V856" i="2"/>
  <c r="W856" i="2"/>
  <c r="T857" i="2"/>
  <c r="U857" i="2"/>
  <c r="V857" i="2"/>
  <c r="W857" i="2"/>
  <c r="T858" i="2"/>
  <c r="U858" i="2"/>
  <c r="V858" i="2"/>
  <c r="W858" i="2"/>
  <c r="T859" i="2"/>
  <c r="U859" i="2"/>
  <c r="V859" i="2"/>
  <c r="W859" i="2"/>
  <c r="T860" i="2"/>
  <c r="U860" i="2"/>
  <c r="V860" i="2"/>
  <c r="W860" i="2"/>
  <c r="T861" i="2"/>
  <c r="U861" i="2"/>
  <c r="V861" i="2"/>
  <c r="W861" i="2"/>
  <c r="T862" i="2"/>
  <c r="U862" i="2"/>
  <c r="V862" i="2"/>
  <c r="W862" i="2"/>
  <c r="T863" i="2"/>
  <c r="U863" i="2"/>
  <c r="V863" i="2"/>
  <c r="W863" i="2"/>
  <c r="T864" i="2"/>
  <c r="U864" i="2"/>
  <c r="V864" i="2"/>
  <c r="W864" i="2"/>
  <c r="T865" i="2"/>
  <c r="U865" i="2"/>
  <c r="V865" i="2"/>
  <c r="W865" i="2"/>
  <c r="T866" i="2"/>
  <c r="U866" i="2"/>
  <c r="V866" i="2"/>
  <c r="W866" i="2"/>
  <c r="T867" i="2"/>
  <c r="U867" i="2"/>
  <c r="V867" i="2"/>
  <c r="W867" i="2"/>
  <c r="T868" i="2"/>
  <c r="U868" i="2"/>
  <c r="V868" i="2"/>
  <c r="W868" i="2"/>
  <c r="T869" i="2"/>
  <c r="U869" i="2"/>
  <c r="V869" i="2"/>
  <c r="W869" i="2"/>
  <c r="T870" i="2"/>
  <c r="U870" i="2"/>
  <c r="V870" i="2"/>
  <c r="W870" i="2"/>
  <c r="T871" i="2"/>
  <c r="U871" i="2"/>
  <c r="V871" i="2"/>
  <c r="W871" i="2"/>
  <c r="T872" i="2"/>
  <c r="U872" i="2"/>
  <c r="V872" i="2"/>
  <c r="W872" i="2"/>
  <c r="T873" i="2"/>
  <c r="U873" i="2"/>
  <c r="V873" i="2"/>
  <c r="W873" i="2"/>
  <c r="T874" i="2"/>
  <c r="U874" i="2"/>
  <c r="V874" i="2"/>
  <c r="W874" i="2"/>
  <c r="T875" i="2"/>
  <c r="U875" i="2"/>
  <c r="V875" i="2"/>
  <c r="W875" i="2"/>
  <c r="T876" i="2"/>
  <c r="U876" i="2"/>
  <c r="V876" i="2"/>
  <c r="W876" i="2"/>
  <c r="T878" i="2"/>
  <c r="U878" i="2"/>
  <c r="V878" i="2"/>
  <c r="W878" i="2"/>
  <c r="T879" i="2"/>
  <c r="U879" i="2"/>
  <c r="V879" i="2"/>
  <c r="W879" i="2"/>
  <c r="T880" i="2"/>
  <c r="U880" i="2"/>
  <c r="V880" i="2"/>
  <c r="W880" i="2"/>
  <c r="T886" i="2"/>
  <c r="U886" i="2"/>
  <c r="V886" i="2"/>
  <c r="W886" i="2"/>
  <c r="T887" i="2"/>
  <c r="U887" i="2"/>
  <c r="V887" i="2"/>
  <c r="W887" i="2"/>
  <c r="T888" i="2"/>
  <c r="U888" i="2"/>
  <c r="V888" i="2"/>
  <c r="W888" i="2"/>
  <c r="T889" i="2"/>
  <c r="U889" i="2"/>
  <c r="V889" i="2"/>
  <c r="W889" i="2"/>
  <c r="T890" i="2"/>
  <c r="U890" i="2"/>
  <c r="V890" i="2"/>
  <c r="W890" i="2"/>
  <c r="T891" i="2"/>
  <c r="U891" i="2"/>
  <c r="V891" i="2"/>
  <c r="W891" i="2"/>
  <c r="T892" i="2"/>
  <c r="U892" i="2"/>
  <c r="V892" i="2"/>
  <c r="W892" i="2"/>
  <c r="T893" i="2"/>
  <c r="U893" i="2"/>
  <c r="V893" i="2"/>
  <c r="W893" i="2"/>
  <c r="T894" i="2"/>
  <c r="U894" i="2"/>
  <c r="V894" i="2"/>
  <c r="W894" i="2"/>
  <c r="T895" i="2"/>
  <c r="U895" i="2"/>
  <c r="V895" i="2"/>
  <c r="W895" i="2"/>
  <c r="T896" i="2"/>
  <c r="U896" i="2"/>
  <c r="V896" i="2"/>
  <c r="W896" i="2"/>
  <c r="T897" i="2"/>
  <c r="U897" i="2"/>
  <c r="V897" i="2"/>
  <c r="W897" i="2"/>
  <c r="T898" i="2"/>
  <c r="U898" i="2"/>
  <c r="V898" i="2"/>
  <c r="W898" i="2"/>
  <c r="T899" i="2"/>
  <c r="U899" i="2"/>
  <c r="V899" i="2"/>
  <c r="W899" i="2"/>
  <c r="T900" i="2"/>
  <c r="U900" i="2"/>
  <c r="V900" i="2"/>
  <c r="W900" i="2"/>
  <c r="T901" i="2"/>
  <c r="U901" i="2"/>
  <c r="V901" i="2"/>
  <c r="W901" i="2"/>
  <c r="T902" i="2"/>
  <c r="U902" i="2"/>
  <c r="V902" i="2"/>
  <c r="W902" i="2"/>
  <c r="T903" i="2"/>
  <c r="U903" i="2"/>
  <c r="V903" i="2"/>
  <c r="W903" i="2"/>
  <c r="T904" i="2"/>
  <c r="U904" i="2"/>
  <c r="V904" i="2"/>
  <c r="W904" i="2"/>
  <c r="T905" i="2"/>
  <c r="U905" i="2"/>
  <c r="V905" i="2"/>
  <c r="W905" i="2"/>
  <c r="T906" i="2"/>
  <c r="U906" i="2"/>
  <c r="V906" i="2"/>
  <c r="W906" i="2"/>
  <c r="T907" i="2"/>
  <c r="U907" i="2"/>
  <c r="V907" i="2"/>
  <c r="W907" i="2"/>
  <c r="T908" i="2"/>
  <c r="U908" i="2"/>
  <c r="V908" i="2"/>
  <c r="W908" i="2"/>
  <c r="T909" i="2"/>
  <c r="U909" i="2"/>
  <c r="V909" i="2"/>
  <c r="W909" i="2"/>
  <c r="T910" i="2"/>
  <c r="U910" i="2"/>
  <c r="V910" i="2"/>
  <c r="W910" i="2"/>
  <c r="T912" i="2"/>
  <c r="U912" i="2"/>
  <c r="V912" i="2"/>
  <c r="W912" i="2"/>
  <c r="T913" i="2"/>
  <c r="U913" i="2"/>
  <c r="V913" i="2"/>
  <c r="W913" i="2"/>
  <c r="T914" i="2"/>
  <c r="U914" i="2"/>
  <c r="V914" i="2"/>
  <c r="W914" i="2"/>
  <c r="T920" i="2"/>
  <c r="U920" i="2"/>
  <c r="V920" i="2"/>
  <c r="W920" i="2"/>
  <c r="T921" i="2"/>
  <c r="U921" i="2"/>
  <c r="V921" i="2"/>
  <c r="W921" i="2"/>
  <c r="T922" i="2"/>
  <c r="U922" i="2"/>
  <c r="V922" i="2"/>
  <c r="W922" i="2"/>
  <c r="T923" i="2"/>
  <c r="U923" i="2"/>
  <c r="V923" i="2"/>
  <c r="W923" i="2"/>
  <c r="T924" i="2"/>
  <c r="U924" i="2"/>
  <c r="V924" i="2"/>
  <c r="W924" i="2"/>
  <c r="T925" i="2"/>
  <c r="U925" i="2"/>
  <c r="V925" i="2"/>
  <c r="W925" i="2"/>
  <c r="T926" i="2"/>
  <c r="U926" i="2"/>
  <c r="V926" i="2"/>
  <c r="W926" i="2"/>
  <c r="T927" i="2"/>
  <c r="U927" i="2"/>
  <c r="V927" i="2"/>
  <c r="W927" i="2"/>
  <c r="T928" i="2"/>
  <c r="U928" i="2"/>
  <c r="V928" i="2"/>
  <c r="W928" i="2"/>
  <c r="T929" i="2"/>
  <c r="U929" i="2"/>
  <c r="V929" i="2"/>
  <c r="W929" i="2"/>
  <c r="T930" i="2"/>
  <c r="U930" i="2"/>
  <c r="V930" i="2"/>
  <c r="W930" i="2"/>
  <c r="T931" i="2"/>
  <c r="U931" i="2"/>
  <c r="V931" i="2"/>
  <c r="W931" i="2"/>
  <c r="T932" i="2"/>
  <c r="U932" i="2"/>
  <c r="V932" i="2"/>
  <c r="W932" i="2"/>
  <c r="T933" i="2"/>
  <c r="U933" i="2"/>
  <c r="V933" i="2"/>
  <c r="W933" i="2"/>
  <c r="T934" i="2"/>
  <c r="U934" i="2"/>
  <c r="V934" i="2"/>
  <c r="W934" i="2"/>
  <c r="T935" i="2"/>
  <c r="U935" i="2"/>
  <c r="V935" i="2"/>
  <c r="W935" i="2"/>
  <c r="T936" i="2"/>
  <c r="U936" i="2"/>
  <c r="V936" i="2"/>
  <c r="W936" i="2"/>
  <c r="T937" i="2"/>
  <c r="U937" i="2"/>
  <c r="V937" i="2"/>
  <c r="W937" i="2"/>
  <c r="T938" i="2"/>
  <c r="U938" i="2"/>
  <c r="V938" i="2"/>
  <c r="W938" i="2"/>
  <c r="T939" i="2"/>
  <c r="U939" i="2"/>
  <c r="V939" i="2"/>
  <c r="W939" i="2"/>
  <c r="T940" i="2"/>
  <c r="U940" i="2"/>
  <c r="V940" i="2"/>
  <c r="W940" i="2"/>
  <c r="T941" i="2"/>
  <c r="U941" i="2"/>
  <c r="V941" i="2"/>
  <c r="W941" i="2"/>
  <c r="T942" i="2"/>
  <c r="U942" i="2"/>
  <c r="V942" i="2"/>
  <c r="W942" i="2"/>
  <c r="T943" i="2"/>
  <c r="U943" i="2"/>
  <c r="V943" i="2"/>
  <c r="W943" i="2"/>
  <c r="T944" i="2"/>
  <c r="U944" i="2"/>
  <c r="V944" i="2"/>
  <c r="W944" i="2"/>
  <c r="T946" i="2"/>
  <c r="U946" i="2"/>
  <c r="V946" i="2"/>
  <c r="W946" i="2"/>
  <c r="T947" i="2"/>
  <c r="U947" i="2"/>
  <c r="V947" i="2"/>
  <c r="W947" i="2"/>
  <c r="T948" i="2"/>
  <c r="U948" i="2"/>
  <c r="V948" i="2"/>
  <c r="W948" i="2"/>
  <c r="W372" i="2" l="1"/>
  <c r="W916" i="2"/>
  <c r="W814" i="2"/>
  <c r="W780" i="2"/>
  <c r="W746" i="2"/>
  <c r="W508" i="2"/>
  <c r="W474" i="2"/>
  <c r="W440" i="2"/>
  <c r="W406" i="2"/>
  <c r="W304" i="2"/>
  <c r="W270" i="2"/>
  <c r="V950" i="2"/>
  <c r="V916" i="2"/>
  <c r="V882" i="2"/>
  <c r="V848" i="2"/>
  <c r="V814" i="2"/>
  <c r="V780" i="2"/>
  <c r="V712" i="2"/>
  <c r="V678" i="2"/>
  <c r="V576" i="2"/>
  <c r="V508" i="2"/>
  <c r="V440" i="2"/>
  <c r="V406" i="2"/>
  <c r="V372" i="2"/>
  <c r="V338" i="2"/>
  <c r="V304" i="2"/>
  <c r="V270" i="2"/>
  <c r="U950" i="2"/>
  <c r="U916" i="2"/>
  <c r="U882" i="2"/>
  <c r="U848" i="2"/>
  <c r="U814" i="2"/>
  <c r="U780" i="2"/>
  <c r="U746" i="2"/>
  <c r="U712" i="2"/>
  <c r="U678" i="2"/>
  <c r="U644" i="2"/>
  <c r="U610" i="2"/>
  <c r="U576" i="2"/>
  <c r="U542" i="2"/>
  <c r="U508" i="2"/>
  <c r="U474" i="2"/>
  <c r="U440" i="2"/>
  <c r="U406" i="2"/>
  <c r="U372" i="2"/>
  <c r="U338" i="2"/>
  <c r="U304" i="2"/>
  <c r="U270" i="2"/>
  <c r="W950" i="2"/>
  <c r="W882" i="2"/>
  <c r="W848" i="2"/>
  <c r="W712" i="2"/>
  <c r="W678" i="2"/>
  <c r="W644" i="2"/>
  <c r="W610" i="2"/>
  <c r="W576" i="2"/>
  <c r="W542" i="2"/>
  <c r="W338" i="2"/>
  <c r="V746" i="2"/>
  <c r="V644" i="2"/>
  <c r="V610" i="2"/>
  <c r="V542" i="2"/>
  <c r="V474" i="2"/>
  <c r="T950" i="2"/>
  <c r="T916" i="2"/>
  <c r="T882" i="2"/>
  <c r="T848" i="2"/>
  <c r="T814" i="2"/>
  <c r="T780" i="2"/>
  <c r="T746" i="2"/>
  <c r="T712" i="2"/>
  <c r="T678" i="2"/>
  <c r="T644" i="2"/>
  <c r="T610" i="2"/>
  <c r="T576" i="2"/>
  <c r="T542" i="2"/>
  <c r="T508" i="2"/>
  <c r="T474" i="2"/>
  <c r="T440" i="2"/>
  <c r="T406" i="2"/>
  <c r="T372" i="2"/>
  <c r="T338" i="2"/>
  <c r="T304" i="2"/>
  <c r="T270" i="2"/>
  <c r="P240" i="2"/>
  <c r="Q240" i="2"/>
  <c r="R240" i="2"/>
  <c r="S240" i="2"/>
  <c r="P241" i="2"/>
  <c r="Q241" i="2"/>
  <c r="R241" i="2"/>
  <c r="S241" i="2"/>
  <c r="P242" i="2"/>
  <c r="Q242" i="2"/>
  <c r="R242" i="2"/>
  <c r="S242" i="2"/>
  <c r="P243" i="2"/>
  <c r="Q243" i="2"/>
  <c r="R243" i="2"/>
  <c r="S243" i="2"/>
  <c r="P244" i="2"/>
  <c r="Q244" i="2"/>
  <c r="R244" i="2"/>
  <c r="S244" i="2"/>
  <c r="P245" i="2"/>
  <c r="Q245" i="2"/>
  <c r="R245" i="2"/>
  <c r="S245" i="2"/>
  <c r="P246" i="2"/>
  <c r="Q246" i="2"/>
  <c r="R246" i="2"/>
  <c r="S246" i="2"/>
  <c r="P247" i="2"/>
  <c r="Q247" i="2"/>
  <c r="R247" i="2"/>
  <c r="S247" i="2"/>
  <c r="P248" i="2"/>
  <c r="Q248" i="2"/>
  <c r="R248" i="2"/>
  <c r="S248" i="2"/>
  <c r="P249" i="2"/>
  <c r="Q249" i="2"/>
  <c r="R249" i="2"/>
  <c r="S249" i="2"/>
  <c r="P250" i="2"/>
  <c r="Q250" i="2"/>
  <c r="R250" i="2"/>
  <c r="S250" i="2"/>
  <c r="P251" i="2"/>
  <c r="Q251" i="2"/>
  <c r="R251" i="2"/>
  <c r="S251" i="2"/>
  <c r="P252" i="2"/>
  <c r="Q252" i="2"/>
  <c r="R252" i="2"/>
  <c r="S252" i="2"/>
  <c r="P253" i="2"/>
  <c r="Q253" i="2"/>
  <c r="R253" i="2"/>
  <c r="S253" i="2"/>
  <c r="P254" i="2"/>
  <c r="Q254" i="2"/>
  <c r="R254" i="2"/>
  <c r="S254" i="2"/>
  <c r="P255" i="2"/>
  <c r="Q255" i="2"/>
  <c r="R255" i="2"/>
  <c r="S255" i="2"/>
  <c r="P256" i="2"/>
  <c r="Q256" i="2"/>
  <c r="R256" i="2"/>
  <c r="S256" i="2"/>
  <c r="P257" i="2"/>
  <c r="Q257" i="2"/>
  <c r="R257" i="2"/>
  <c r="S257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1" i="2"/>
  <c r="Q261" i="2"/>
  <c r="R261" i="2"/>
  <c r="S261" i="2"/>
  <c r="P262" i="2"/>
  <c r="Q262" i="2"/>
  <c r="R262" i="2"/>
  <c r="S262" i="2"/>
  <c r="P263" i="2"/>
  <c r="Q263" i="2"/>
  <c r="R263" i="2"/>
  <c r="S263" i="2"/>
  <c r="P264" i="2"/>
  <c r="Q264" i="2"/>
  <c r="R264" i="2"/>
  <c r="S264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1" i="2"/>
  <c r="Q281" i="2"/>
  <c r="R281" i="2"/>
  <c r="S281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85" i="2"/>
  <c r="Q285" i="2"/>
  <c r="R285" i="2"/>
  <c r="S285" i="2"/>
  <c r="P286" i="2"/>
  <c r="Q286" i="2"/>
  <c r="R286" i="2"/>
  <c r="S286" i="2"/>
  <c r="P287" i="2"/>
  <c r="Q287" i="2"/>
  <c r="R287" i="2"/>
  <c r="S287" i="2"/>
  <c r="P288" i="2"/>
  <c r="Q288" i="2"/>
  <c r="R288" i="2"/>
  <c r="S288" i="2"/>
  <c r="P289" i="2"/>
  <c r="Q289" i="2"/>
  <c r="R289" i="2"/>
  <c r="S289" i="2"/>
  <c r="P290" i="2"/>
  <c r="Q290" i="2"/>
  <c r="R290" i="2"/>
  <c r="S290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4" i="2"/>
  <c r="Q294" i="2"/>
  <c r="R294" i="2"/>
  <c r="S294" i="2"/>
  <c r="P295" i="2"/>
  <c r="Q295" i="2"/>
  <c r="R295" i="2"/>
  <c r="S295" i="2"/>
  <c r="P296" i="2"/>
  <c r="Q296" i="2"/>
  <c r="R296" i="2"/>
  <c r="S296" i="2"/>
  <c r="P297" i="2"/>
  <c r="Q297" i="2"/>
  <c r="R297" i="2"/>
  <c r="S297" i="2"/>
  <c r="P298" i="2"/>
  <c r="Q298" i="2"/>
  <c r="R298" i="2"/>
  <c r="S298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7" i="2"/>
  <c r="Q317" i="2"/>
  <c r="R317" i="2"/>
  <c r="S317" i="2"/>
  <c r="P318" i="2"/>
  <c r="Q318" i="2"/>
  <c r="R318" i="2"/>
  <c r="S318" i="2"/>
  <c r="P319" i="2"/>
  <c r="Q319" i="2"/>
  <c r="R319" i="2"/>
  <c r="S319" i="2"/>
  <c r="P320" i="2"/>
  <c r="Q320" i="2"/>
  <c r="R320" i="2"/>
  <c r="S320" i="2"/>
  <c r="P321" i="2"/>
  <c r="Q321" i="2"/>
  <c r="R321" i="2"/>
  <c r="S321" i="2"/>
  <c r="P322" i="2"/>
  <c r="Q322" i="2"/>
  <c r="R322" i="2"/>
  <c r="S322" i="2"/>
  <c r="P323" i="2"/>
  <c r="Q323" i="2"/>
  <c r="R323" i="2"/>
  <c r="S323" i="2"/>
  <c r="P324" i="2"/>
  <c r="Q324" i="2"/>
  <c r="R324" i="2"/>
  <c r="S324" i="2"/>
  <c r="P325" i="2"/>
  <c r="Q325" i="2"/>
  <c r="R325" i="2"/>
  <c r="S325" i="2"/>
  <c r="P326" i="2"/>
  <c r="Q326" i="2"/>
  <c r="R326" i="2"/>
  <c r="S326" i="2"/>
  <c r="P327" i="2"/>
  <c r="Q327" i="2"/>
  <c r="R327" i="2"/>
  <c r="S327" i="2"/>
  <c r="P328" i="2"/>
  <c r="Q328" i="2"/>
  <c r="R328" i="2"/>
  <c r="S328" i="2"/>
  <c r="P329" i="2"/>
  <c r="Q329" i="2"/>
  <c r="R329" i="2"/>
  <c r="S329" i="2"/>
  <c r="P330" i="2"/>
  <c r="Q330" i="2"/>
  <c r="R330" i="2"/>
  <c r="S330" i="2"/>
  <c r="P331" i="2"/>
  <c r="Q331" i="2"/>
  <c r="R331" i="2"/>
  <c r="S331" i="2"/>
  <c r="P332" i="2"/>
  <c r="Q332" i="2"/>
  <c r="R332" i="2"/>
  <c r="S332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3" i="2"/>
  <c r="Q353" i="2"/>
  <c r="R353" i="2"/>
  <c r="S353" i="2"/>
  <c r="P354" i="2"/>
  <c r="Q354" i="2"/>
  <c r="R354" i="2"/>
  <c r="S354" i="2"/>
  <c r="P355" i="2"/>
  <c r="Q355" i="2"/>
  <c r="R355" i="2"/>
  <c r="S355" i="2"/>
  <c r="P356" i="2"/>
  <c r="Q356" i="2"/>
  <c r="R356" i="2"/>
  <c r="S356" i="2"/>
  <c r="P357" i="2"/>
  <c r="Q357" i="2"/>
  <c r="R357" i="2"/>
  <c r="S357" i="2"/>
  <c r="P358" i="2"/>
  <c r="Q358" i="2"/>
  <c r="R358" i="2"/>
  <c r="S358" i="2"/>
  <c r="P359" i="2"/>
  <c r="Q359" i="2"/>
  <c r="R359" i="2"/>
  <c r="S359" i="2"/>
  <c r="P360" i="2"/>
  <c r="Q360" i="2"/>
  <c r="R360" i="2"/>
  <c r="S360" i="2"/>
  <c r="P361" i="2"/>
  <c r="Q361" i="2"/>
  <c r="R361" i="2"/>
  <c r="S361" i="2"/>
  <c r="P362" i="2"/>
  <c r="Q362" i="2"/>
  <c r="R362" i="2"/>
  <c r="S362" i="2"/>
  <c r="P363" i="2"/>
  <c r="Q363" i="2"/>
  <c r="R363" i="2"/>
  <c r="S363" i="2"/>
  <c r="P364" i="2"/>
  <c r="Q364" i="2"/>
  <c r="R364" i="2"/>
  <c r="S364" i="2"/>
  <c r="P365" i="2"/>
  <c r="Q365" i="2"/>
  <c r="R365" i="2"/>
  <c r="S365" i="2"/>
  <c r="P366" i="2"/>
  <c r="Q366" i="2"/>
  <c r="R366" i="2"/>
  <c r="S366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89" i="2"/>
  <c r="Q389" i="2"/>
  <c r="R389" i="2"/>
  <c r="S389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3" i="2"/>
  <c r="Q393" i="2"/>
  <c r="R393" i="2"/>
  <c r="S393" i="2"/>
  <c r="P394" i="2"/>
  <c r="Q394" i="2"/>
  <c r="R394" i="2"/>
  <c r="S394" i="2"/>
  <c r="P395" i="2"/>
  <c r="Q395" i="2"/>
  <c r="R395" i="2"/>
  <c r="S395" i="2"/>
  <c r="P396" i="2"/>
  <c r="Q396" i="2"/>
  <c r="R396" i="2"/>
  <c r="S396" i="2"/>
  <c r="P397" i="2"/>
  <c r="Q397" i="2"/>
  <c r="R397" i="2"/>
  <c r="S397" i="2"/>
  <c r="P398" i="2"/>
  <c r="Q398" i="2"/>
  <c r="R398" i="2"/>
  <c r="S398" i="2"/>
  <c r="P399" i="2"/>
  <c r="Q399" i="2"/>
  <c r="R399" i="2"/>
  <c r="S399" i="2"/>
  <c r="P400" i="2"/>
  <c r="Q400" i="2"/>
  <c r="R400" i="2"/>
  <c r="S400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2" i="2"/>
  <c r="Q422" i="2"/>
  <c r="R422" i="2"/>
  <c r="S422" i="2"/>
  <c r="P423" i="2"/>
  <c r="Q423" i="2"/>
  <c r="R423" i="2"/>
  <c r="S423" i="2"/>
  <c r="P424" i="2"/>
  <c r="Q424" i="2"/>
  <c r="R424" i="2"/>
  <c r="S424" i="2"/>
  <c r="P425" i="2"/>
  <c r="Q425" i="2"/>
  <c r="R425" i="2"/>
  <c r="S425" i="2"/>
  <c r="P426" i="2"/>
  <c r="Q426" i="2"/>
  <c r="R426" i="2"/>
  <c r="S426" i="2"/>
  <c r="P427" i="2"/>
  <c r="Q427" i="2"/>
  <c r="R427" i="2"/>
  <c r="S427" i="2"/>
  <c r="P428" i="2"/>
  <c r="Q428" i="2"/>
  <c r="R428" i="2"/>
  <c r="S428" i="2"/>
  <c r="P429" i="2"/>
  <c r="Q429" i="2"/>
  <c r="R429" i="2"/>
  <c r="S429" i="2"/>
  <c r="P430" i="2"/>
  <c r="Q430" i="2"/>
  <c r="R430" i="2"/>
  <c r="S430" i="2"/>
  <c r="P431" i="2"/>
  <c r="Q431" i="2"/>
  <c r="R431" i="2"/>
  <c r="S431" i="2"/>
  <c r="P432" i="2"/>
  <c r="Q432" i="2"/>
  <c r="R432" i="2"/>
  <c r="S432" i="2"/>
  <c r="P433" i="2"/>
  <c r="Q433" i="2"/>
  <c r="R433" i="2"/>
  <c r="S433" i="2"/>
  <c r="P434" i="2"/>
  <c r="Q434" i="2"/>
  <c r="R434" i="2"/>
  <c r="S434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5" i="2"/>
  <c r="Q455" i="2"/>
  <c r="R455" i="2"/>
  <c r="S455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59" i="2"/>
  <c r="Q459" i="2"/>
  <c r="R459" i="2"/>
  <c r="S459" i="2"/>
  <c r="P460" i="2"/>
  <c r="Q460" i="2"/>
  <c r="R460" i="2"/>
  <c r="S460" i="2"/>
  <c r="P461" i="2"/>
  <c r="Q461" i="2"/>
  <c r="R461" i="2"/>
  <c r="S461" i="2"/>
  <c r="P462" i="2"/>
  <c r="Q462" i="2"/>
  <c r="R462" i="2"/>
  <c r="S462" i="2"/>
  <c r="P463" i="2"/>
  <c r="Q463" i="2"/>
  <c r="R463" i="2"/>
  <c r="S463" i="2"/>
  <c r="P464" i="2"/>
  <c r="Q464" i="2"/>
  <c r="R464" i="2"/>
  <c r="S464" i="2"/>
  <c r="P465" i="2"/>
  <c r="Q465" i="2"/>
  <c r="R465" i="2"/>
  <c r="S465" i="2"/>
  <c r="P466" i="2"/>
  <c r="Q466" i="2"/>
  <c r="R466" i="2"/>
  <c r="S466" i="2"/>
  <c r="P467" i="2"/>
  <c r="Q467" i="2"/>
  <c r="R467" i="2"/>
  <c r="S467" i="2"/>
  <c r="P468" i="2"/>
  <c r="Q468" i="2"/>
  <c r="R468" i="2"/>
  <c r="S468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8" i="2"/>
  <c r="Q488" i="2"/>
  <c r="R488" i="2"/>
  <c r="S488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2" i="2"/>
  <c r="Q492" i="2"/>
  <c r="R492" i="2"/>
  <c r="S492" i="2"/>
  <c r="P493" i="2"/>
  <c r="Q493" i="2"/>
  <c r="R493" i="2"/>
  <c r="S493" i="2"/>
  <c r="P494" i="2"/>
  <c r="Q494" i="2"/>
  <c r="R494" i="2"/>
  <c r="S494" i="2"/>
  <c r="P495" i="2"/>
  <c r="Q495" i="2"/>
  <c r="R495" i="2"/>
  <c r="S495" i="2"/>
  <c r="P496" i="2"/>
  <c r="Q496" i="2"/>
  <c r="R496" i="2"/>
  <c r="S496" i="2"/>
  <c r="P497" i="2"/>
  <c r="Q497" i="2"/>
  <c r="R497" i="2"/>
  <c r="S497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1" i="2"/>
  <c r="Q501" i="2"/>
  <c r="R501" i="2"/>
  <c r="S501" i="2"/>
  <c r="P502" i="2"/>
  <c r="Q502" i="2"/>
  <c r="R502" i="2"/>
  <c r="S502" i="2"/>
  <c r="P504" i="2"/>
  <c r="Q504" i="2"/>
  <c r="R504" i="2"/>
  <c r="S504" i="2"/>
  <c r="P505" i="2"/>
  <c r="Q505" i="2"/>
  <c r="R505" i="2"/>
  <c r="S505" i="2"/>
  <c r="P506" i="2"/>
  <c r="Q506" i="2"/>
  <c r="R506" i="2"/>
  <c r="S506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1" i="2"/>
  <c r="Q521" i="2"/>
  <c r="R521" i="2"/>
  <c r="S521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25" i="2"/>
  <c r="Q525" i="2"/>
  <c r="R525" i="2"/>
  <c r="S525" i="2"/>
  <c r="P526" i="2"/>
  <c r="Q526" i="2"/>
  <c r="R526" i="2"/>
  <c r="S526" i="2"/>
  <c r="P527" i="2"/>
  <c r="Q527" i="2"/>
  <c r="R527" i="2"/>
  <c r="S527" i="2"/>
  <c r="P528" i="2"/>
  <c r="Q528" i="2"/>
  <c r="R528" i="2"/>
  <c r="S528" i="2"/>
  <c r="P529" i="2"/>
  <c r="Q529" i="2"/>
  <c r="R529" i="2"/>
  <c r="S529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3" i="2"/>
  <c r="Q533" i="2"/>
  <c r="R533" i="2"/>
  <c r="S533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38" i="2"/>
  <c r="Q538" i="2"/>
  <c r="R538" i="2"/>
  <c r="S538" i="2"/>
  <c r="P539" i="2"/>
  <c r="Q539" i="2"/>
  <c r="R539" i="2"/>
  <c r="S539" i="2"/>
  <c r="P540" i="2"/>
  <c r="Q540" i="2"/>
  <c r="R540" i="2"/>
  <c r="S540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P553" i="2"/>
  <c r="Q553" i="2"/>
  <c r="R553" i="2"/>
  <c r="S553" i="2"/>
  <c r="P554" i="2"/>
  <c r="Q554" i="2"/>
  <c r="R554" i="2"/>
  <c r="S554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8" i="2"/>
  <c r="Q558" i="2"/>
  <c r="R558" i="2"/>
  <c r="S558" i="2"/>
  <c r="P559" i="2"/>
  <c r="Q559" i="2"/>
  <c r="R559" i="2"/>
  <c r="S559" i="2"/>
  <c r="P560" i="2"/>
  <c r="Q560" i="2"/>
  <c r="R560" i="2"/>
  <c r="S560" i="2"/>
  <c r="P561" i="2"/>
  <c r="Q561" i="2"/>
  <c r="R561" i="2"/>
  <c r="S561" i="2"/>
  <c r="P562" i="2"/>
  <c r="Q562" i="2"/>
  <c r="R562" i="2"/>
  <c r="S562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69" i="2"/>
  <c r="Q569" i="2"/>
  <c r="R569" i="2"/>
  <c r="S569" i="2"/>
  <c r="P570" i="2"/>
  <c r="Q570" i="2"/>
  <c r="R570" i="2"/>
  <c r="S570" i="2"/>
  <c r="P572" i="2"/>
  <c r="Q572" i="2"/>
  <c r="R572" i="2"/>
  <c r="S572" i="2"/>
  <c r="P573" i="2"/>
  <c r="Q573" i="2"/>
  <c r="R573" i="2"/>
  <c r="S573" i="2"/>
  <c r="P574" i="2"/>
  <c r="Q574" i="2"/>
  <c r="R574" i="2"/>
  <c r="S574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7" i="2"/>
  <c r="Q587" i="2"/>
  <c r="R587" i="2"/>
  <c r="S587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1" i="2"/>
  <c r="Q591" i="2"/>
  <c r="R591" i="2"/>
  <c r="S591" i="2"/>
  <c r="P592" i="2"/>
  <c r="Q592" i="2"/>
  <c r="R592" i="2"/>
  <c r="S592" i="2"/>
  <c r="P593" i="2"/>
  <c r="Q593" i="2"/>
  <c r="R593" i="2"/>
  <c r="S593" i="2"/>
  <c r="P594" i="2"/>
  <c r="Q594" i="2"/>
  <c r="R594" i="2"/>
  <c r="S594" i="2"/>
  <c r="P595" i="2"/>
  <c r="Q595" i="2"/>
  <c r="R595" i="2"/>
  <c r="S595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0" i="2"/>
  <c r="Q620" i="2"/>
  <c r="R620" i="2"/>
  <c r="S620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4" i="2"/>
  <c r="Q624" i="2"/>
  <c r="R624" i="2"/>
  <c r="S624" i="2"/>
  <c r="P625" i="2"/>
  <c r="Q625" i="2"/>
  <c r="R625" i="2"/>
  <c r="S625" i="2"/>
  <c r="P626" i="2"/>
  <c r="Q626" i="2"/>
  <c r="R626" i="2"/>
  <c r="S626" i="2"/>
  <c r="P627" i="2"/>
  <c r="Q627" i="2"/>
  <c r="R627" i="2"/>
  <c r="S627" i="2"/>
  <c r="P628" i="2"/>
  <c r="Q628" i="2"/>
  <c r="R628" i="2"/>
  <c r="S628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40" i="2"/>
  <c r="Q640" i="2"/>
  <c r="R640" i="2"/>
  <c r="S640" i="2"/>
  <c r="P641" i="2"/>
  <c r="Q641" i="2"/>
  <c r="R641" i="2"/>
  <c r="S641" i="2"/>
  <c r="P642" i="2"/>
  <c r="Q642" i="2"/>
  <c r="R642" i="2"/>
  <c r="S642" i="2"/>
  <c r="P648" i="2"/>
  <c r="Q648" i="2"/>
  <c r="R648" i="2"/>
  <c r="S648" i="2"/>
  <c r="P649" i="2"/>
  <c r="Q649" i="2"/>
  <c r="R649" i="2"/>
  <c r="S649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3" i="2"/>
  <c r="Q653" i="2"/>
  <c r="R653" i="2"/>
  <c r="S653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7" i="2"/>
  <c r="Q657" i="2"/>
  <c r="R657" i="2"/>
  <c r="S657" i="2"/>
  <c r="P658" i="2"/>
  <c r="Q658" i="2"/>
  <c r="R658" i="2"/>
  <c r="S658" i="2"/>
  <c r="P659" i="2"/>
  <c r="Q659" i="2"/>
  <c r="R659" i="2"/>
  <c r="S659" i="2"/>
  <c r="P660" i="2"/>
  <c r="Q660" i="2"/>
  <c r="R660" i="2"/>
  <c r="S660" i="2"/>
  <c r="P661" i="2"/>
  <c r="Q661" i="2"/>
  <c r="R661" i="2"/>
  <c r="S661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82" i="2"/>
  <c r="Q682" i="2"/>
  <c r="R682" i="2"/>
  <c r="S682" i="2"/>
  <c r="P683" i="2"/>
  <c r="Q683" i="2"/>
  <c r="R683" i="2"/>
  <c r="S683" i="2"/>
  <c r="P684" i="2"/>
  <c r="Q684" i="2"/>
  <c r="R684" i="2"/>
  <c r="S684" i="2"/>
  <c r="P685" i="2"/>
  <c r="Q685" i="2"/>
  <c r="R685" i="2"/>
  <c r="S685" i="2"/>
  <c r="P686" i="2"/>
  <c r="Q686" i="2"/>
  <c r="R686" i="2"/>
  <c r="S686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0" i="2"/>
  <c r="Q690" i="2"/>
  <c r="R690" i="2"/>
  <c r="S690" i="2"/>
  <c r="P691" i="2"/>
  <c r="Q691" i="2"/>
  <c r="R691" i="2"/>
  <c r="S691" i="2"/>
  <c r="P692" i="2"/>
  <c r="Q692" i="2"/>
  <c r="R692" i="2"/>
  <c r="S692" i="2"/>
  <c r="P693" i="2"/>
  <c r="Q693" i="2"/>
  <c r="R693" i="2"/>
  <c r="S693" i="2"/>
  <c r="P694" i="2"/>
  <c r="Q694" i="2"/>
  <c r="R694" i="2"/>
  <c r="S694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6" i="2"/>
  <c r="Q716" i="2"/>
  <c r="R716" i="2"/>
  <c r="S716" i="2"/>
  <c r="P717" i="2"/>
  <c r="Q717" i="2"/>
  <c r="R717" i="2"/>
  <c r="S717" i="2"/>
  <c r="P718" i="2"/>
  <c r="Q718" i="2"/>
  <c r="R718" i="2"/>
  <c r="S718" i="2"/>
  <c r="P719" i="2"/>
  <c r="Q719" i="2"/>
  <c r="R719" i="2"/>
  <c r="S719" i="2"/>
  <c r="P720" i="2"/>
  <c r="Q720" i="2"/>
  <c r="R720" i="2"/>
  <c r="S720" i="2"/>
  <c r="P721" i="2"/>
  <c r="Q721" i="2"/>
  <c r="R721" i="2"/>
  <c r="S721" i="2"/>
  <c r="P722" i="2"/>
  <c r="Q722" i="2"/>
  <c r="R722" i="2"/>
  <c r="S722" i="2"/>
  <c r="P723" i="2"/>
  <c r="Q723" i="2"/>
  <c r="R723" i="2"/>
  <c r="S723" i="2"/>
  <c r="P724" i="2"/>
  <c r="Q724" i="2"/>
  <c r="R724" i="2"/>
  <c r="S724" i="2"/>
  <c r="P725" i="2"/>
  <c r="Q725" i="2"/>
  <c r="R725" i="2"/>
  <c r="S725" i="2"/>
  <c r="P726" i="2"/>
  <c r="Q726" i="2"/>
  <c r="R726" i="2"/>
  <c r="S726" i="2"/>
  <c r="P727" i="2"/>
  <c r="Q727" i="2"/>
  <c r="R727" i="2"/>
  <c r="S727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50" i="2"/>
  <c r="Q750" i="2"/>
  <c r="R750" i="2"/>
  <c r="S750" i="2"/>
  <c r="P751" i="2"/>
  <c r="Q751" i="2"/>
  <c r="R751" i="2"/>
  <c r="S751" i="2"/>
  <c r="P752" i="2"/>
  <c r="Q752" i="2"/>
  <c r="R752" i="2"/>
  <c r="S752" i="2"/>
  <c r="P753" i="2"/>
  <c r="Q753" i="2"/>
  <c r="R753" i="2"/>
  <c r="S753" i="2"/>
  <c r="P754" i="2"/>
  <c r="Q754" i="2"/>
  <c r="R754" i="2"/>
  <c r="S754" i="2"/>
  <c r="P755" i="2"/>
  <c r="Q755" i="2"/>
  <c r="R755" i="2"/>
  <c r="S755" i="2"/>
  <c r="P756" i="2"/>
  <c r="Q756" i="2"/>
  <c r="R756" i="2"/>
  <c r="S756" i="2"/>
  <c r="P757" i="2"/>
  <c r="Q757" i="2"/>
  <c r="R757" i="2"/>
  <c r="S757" i="2"/>
  <c r="P758" i="2"/>
  <c r="Q758" i="2"/>
  <c r="R758" i="2"/>
  <c r="S758" i="2"/>
  <c r="P759" i="2"/>
  <c r="Q759" i="2"/>
  <c r="R759" i="2"/>
  <c r="S759" i="2"/>
  <c r="P760" i="2"/>
  <c r="Q760" i="2"/>
  <c r="R760" i="2"/>
  <c r="S760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84" i="2"/>
  <c r="Q784" i="2"/>
  <c r="R784" i="2"/>
  <c r="S784" i="2"/>
  <c r="P785" i="2"/>
  <c r="Q785" i="2"/>
  <c r="R785" i="2"/>
  <c r="S785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89" i="2"/>
  <c r="Q789" i="2"/>
  <c r="R789" i="2"/>
  <c r="S789" i="2"/>
  <c r="P790" i="2"/>
  <c r="Q790" i="2"/>
  <c r="R790" i="2"/>
  <c r="S790" i="2"/>
  <c r="P791" i="2"/>
  <c r="Q791" i="2"/>
  <c r="R791" i="2"/>
  <c r="S791" i="2"/>
  <c r="P792" i="2"/>
  <c r="Q792" i="2"/>
  <c r="R792" i="2"/>
  <c r="S792" i="2"/>
  <c r="P793" i="2"/>
  <c r="Q793" i="2"/>
  <c r="R793" i="2"/>
  <c r="S793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8" i="2"/>
  <c r="Q818" i="2"/>
  <c r="R818" i="2"/>
  <c r="S818" i="2"/>
  <c r="P819" i="2"/>
  <c r="Q819" i="2"/>
  <c r="R819" i="2"/>
  <c r="S819" i="2"/>
  <c r="P820" i="2"/>
  <c r="Q820" i="2"/>
  <c r="R820" i="2"/>
  <c r="S820" i="2"/>
  <c r="P821" i="2"/>
  <c r="Q821" i="2"/>
  <c r="R821" i="2"/>
  <c r="S821" i="2"/>
  <c r="P822" i="2"/>
  <c r="Q822" i="2"/>
  <c r="R822" i="2"/>
  <c r="S822" i="2"/>
  <c r="P823" i="2"/>
  <c r="Q823" i="2"/>
  <c r="R823" i="2"/>
  <c r="S823" i="2"/>
  <c r="P824" i="2"/>
  <c r="Q824" i="2"/>
  <c r="R824" i="2"/>
  <c r="S824" i="2"/>
  <c r="P825" i="2"/>
  <c r="Q825" i="2"/>
  <c r="R825" i="2"/>
  <c r="S825" i="2"/>
  <c r="P826" i="2"/>
  <c r="Q826" i="2"/>
  <c r="R826" i="2"/>
  <c r="S826" i="2"/>
  <c r="P827" i="2"/>
  <c r="Q827" i="2"/>
  <c r="R827" i="2"/>
  <c r="S827" i="2"/>
  <c r="P828" i="2"/>
  <c r="Q828" i="2"/>
  <c r="R828" i="2"/>
  <c r="S828" i="2"/>
  <c r="P829" i="2"/>
  <c r="Q829" i="2"/>
  <c r="R829" i="2"/>
  <c r="S829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55" i="2"/>
  <c r="Q855" i="2"/>
  <c r="R855" i="2"/>
  <c r="S855" i="2"/>
  <c r="P856" i="2"/>
  <c r="Q856" i="2"/>
  <c r="R856" i="2"/>
  <c r="S856" i="2"/>
  <c r="P857" i="2"/>
  <c r="Q857" i="2"/>
  <c r="R857" i="2"/>
  <c r="S857" i="2"/>
  <c r="P858" i="2"/>
  <c r="Q858" i="2"/>
  <c r="R858" i="2"/>
  <c r="S858" i="2"/>
  <c r="P859" i="2"/>
  <c r="Q859" i="2"/>
  <c r="R859" i="2"/>
  <c r="S859" i="2"/>
  <c r="P860" i="2"/>
  <c r="Q860" i="2"/>
  <c r="R860" i="2"/>
  <c r="S860" i="2"/>
  <c r="P861" i="2"/>
  <c r="Q861" i="2"/>
  <c r="R861" i="2"/>
  <c r="S861" i="2"/>
  <c r="P862" i="2"/>
  <c r="Q862" i="2"/>
  <c r="R862" i="2"/>
  <c r="S862" i="2"/>
  <c r="P863" i="2"/>
  <c r="Q863" i="2"/>
  <c r="R863" i="2"/>
  <c r="S863" i="2"/>
  <c r="P864" i="2"/>
  <c r="Q864" i="2"/>
  <c r="R864" i="2"/>
  <c r="S864" i="2"/>
  <c r="P865" i="2"/>
  <c r="Q865" i="2"/>
  <c r="R865" i="2"/>
  <c r="S865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6" i="2"/>
  <c r="Q886" i="2"/>
  <c r="R886" i="2"/>
  <c r="S886" i="2"/>
  <c r="P887" i="2"/>
  <c r="Q887" i="2"/>
  <c r="R887" i="2"/>
  <c r="S887" i="2"/>
  <c r="P888" i="2"/>
  <c r="Q888" i="2"/>
  <c r="R888" i="2"/>
  <c r="S888" i="2"/>
  <c r="P889" i="2"/>
  <c r="Q889" i="2"/>
  <c r="R889" i="2"/>
  <c r="S889" i="2"/>
  <c r="P890" i="2"/>
  <c r="Q890" i="2"/>
  <c r="R890" i="2"/>
  <c r="S890" i="2"/>
  <c r="P891" i="2"/>
  <c r="Q891" i="2"/>
  <c r="R891" i="2"/>
  <c r="S891" i="2"/>
  <c r="P892" i="2"/>
  <c r="Q892" i="2"/>
  <c r="R892" i="2"/>
  <c r="S892" i="2"/>
  <c r="P893" i="2"/>
  <c r="Q893" i="2"/>
  <c r="R893" i="2"/>
  <c r="S893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897" i="2"/>
  <c r="Q897" i="2"/>
  <c r="R897" i="2"/>
  <c r="S897" i="2"/>
  <c r="P898" i="2"/>
  <c r="Q898" i="2"/>
  <c r="R898" i="2"/>
  <c r="S898" i="2"/>
  <c r="P899" i="2"/>
  <c r="Q899" i="2"/>
  <c r="R899" i="2"/>
  <c r="S899" i="2"/>
  <c r="P900" i="2"/>
  <c r="Q900" i="2"/>
  <c r="R900" i="2"/>
  <c r="S900" i="2"/>
  <c r="P901" i="2"/>
  <c r="Q901" i="2"/>
  <c r="R901" i="2"/>
  <c r="S901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20" i="2"/>
  <c r="Q920" i="2"/>
  <c r="R920" i="2"/>
  <c r="S920" i="2"/>
  <c r="P921" i="2"/>
  <c r="Q921" i="2"/>
  <c r="R921" i="2"/>
  <c r="S921" i="2"/>
  <c r="P922" i="2"/>
  <c r="Q922" i="2"/>
  <c r="R922" i="2"/>
  <c r="S922" i="2"/>
  <c r="P923" i="2"/>
  <c r="Q923" i="2"/>
  <c r="R923" i="2"/>
  <c r="S923" i="2"/>
  <c r="P924" i="2"/>
  <c r="Q924" i="2"/>
  <c r="R924" i="2"/>
  <c r="S924" i="2"/>
  <c r="P925" i="2"/>
  <c r="Q925" i="2"/>
  <c r="R925" i="2"/>
  <c r="S925" i="2"/>
  <c r="P926" i="2"/>
  <c r="Q926" i="2"/>
  <c r="R926" i="2"/>
  <c r="S926" i="2"/>
  <c r="P927" i="2"/>
  <c r="Q927" i="2"/>
  <c r="R927" i="2"/>
  <c r="S927" i="2"/>
  <c r="P928" i="2"/>
  <c r="Q928" i="2"/>
  <c r="R928" i="2"/>
  <c r="S928" i="2"/>
  <c r="P929" i="2"/>
  <c r="Q929" i="2"/>
  <c r="R929" i="2"/>
  <c r="S929" i="2"/>
  <c r="P930" i="2"/>
  <c r="Q930" i="2"/>
  <c r="R930" i="2"/>
  <c r="S930" i="2"/>
  <c r="P931" i="2"/>
  <c r="Q931" i="2"/>
  <c r="R931" i="2"/>
  <c r="S931" i="2"/>
  <c r="P932" i="2"/>
  <c r="Q932" i="2"/>
  <c r="R932" i="2"/>
  <c r="S932" i="2"/>
  <c r="P933" i="2"/>
  <c r="Q933" i="2"/>
  <c r="R933" i="2"/>
  <c r="S933" i="2"/>
  <c r="P934" i="2"/>
  <c r="Q934" i="2"/>
  <c r="R934" i="2"/>
  <c r="S934" i="2"/>
  <c r="P935" i="2"/>
  <c r="Q935" i="2"/>
  <c r="R935" i="2"/>
  <c r="S935" i="2"/>
  <c r="P936" i="2"/>
  <c r="Q936" i="2"/>
  <c r="R936" i="2"/>
  <c r="S936" i="2"/>
  <c r="P937" i="2"/>
  <c r="Q937" i="2"/>
  <c r="R937" i="2"/>
  <c r="S937" i="2"/>
  <c r="P938" i="2"/>
  <c r="Q938" i="2"/>
  <c r="R938" i="2"/>
  <c r="S938" i="2"/>
  <c r="P939" i="2"/>
  <c r="Q939" i="2"/>
  <c r="R939" i="2"/>
  <c r="S939" i="2"/>
  <c r="P940" i="2"/>
  <c r="Q940" i="2"/>
  <c r="R940" i="2"/>
  <c r="S940" i="2"/>
  <c r="P941" i="2"/>
  <c r="Q941" i="2"/>
  <c r="R941" i="2"/>
  <c r="S941" i="2"/>
  <c r="P942" i="2"/>
  <c r="Q942" i="2"/>
  <c r="R942" i="2"/>
  <c r="S942" i="2"/>
  <c r="P943" i="2"/>
  <c r="Q943" i="2"/>
  <c r="R943" i="2"/>
  <c r="S943" i="2"/>
  <c r="P944" i="2"/>
  <c r="Q944" i="2"/>
  <c r="R944" i="2"/>
  <c r="S944" i="2"/>
  <c r="P946" i="2"/>
  <c r="Q946" i="2"/>
  <c r="R946" i="2"/>
  <c r="S946" i="2"/>
  <c r="P947" i="2"/>
  <c r="Q947" i="2"/>
  <c r="R947" i="2"/>
  <c r="S947" i="2"/>
  <c r="P948" i="2"/>
  <c r="Q948" i="2"/>
  <c r="R948" i="2"/>
  <c r="S948" i="2"/>
  <c r="P950" i="2" l="1"/>
  <c r="P848" i="2"/>
  <c r="P746" i="2"/>
  <c r="P610" i="2"/>
  <c r="P508" i="2"/>
  <c r="P440" i="2"/>
  <c r="P372" i="2"/>
  <c r="P304" i="2"/>
  <c r="P270" i="2"/>
  <c r="S950" i="2"/>
  <c r="S882" i="2"/>
  <c r="S848" i="2"/>
  <c r="S814" i="2"/>
  <c r="S780" i="2"/>
  <c r="S678" i="2"/>
  <c r="S644" i="2"/>
  <c r="S610" i="2"/>
  <c r="S576" i="2"/>
  <c r="S542" i="2"/>
  <c r="S508" i="2"/>
  <c r="S474" i="2"/>
  <c r="S406" i="2"/>
  <c r="S372" i="2"/>
  <c r="R950" i="2"/>
  <c r="R916" i="2"/>
  <c r="R882" i="2"/>
  <c r="R848" i="2"/>
  <c r="R814" i="2"/>
  <c r="R780" i="2"/>
  <c r="R746" i="2"/>
  <c r="R712" i="2"/>
  <c r="R678" i="2"/>
  <c r="R644" i="2"/>
  <c r="R610" i="2"/>
  <c r="R576" i="2"/>
  <c r="R542" i="2"/>
  <c r="R508" i="2"/>
  <c r="R474" i="2"/>
  <c r="R440" i="2"/>
  <c r="R406" i="2"/>
  <c r="R372" i="2"/>
  <c r="R338" i="2"/>
  <c r="R304" i="2"/>
  <c r="R270" i="2"/>
  <c r="P916" i="2"/>
  <c r="P882" i="2"/>
  <c r="P814" i="2"/>
  <c r="P780" i="2"/>
  <c r="P712" i="2"/>
  <c r="P678" i="2"/>
  <c r="P644" i="2"/>
  <c r="P576" i="2"/>
  <c r="P542" i="2"/>
  <c r="P474" i="2"/>
  <c r="P406" i="2"/>
  <c r="P338" i="2"/>
  <c r="S916" i="2"/>
  <c r="S746" i="2"/>
  <c r="S712" i="2"/>
  <c r="S440" i="2"/>
  <c r="S338" i="2"/>
  <c r="S304" i="2"/>
  <c r="S270" i="2"/>
  <c r="Q950" i="2"/>
  <c r="Q916" i="2"/>
  <c r="Q882" i="2"/>
  <c r="Q848" i="2"/>
  <c r="Q814" i="2"/>
  <c r="Q780" i="2"/>
  <c r="Q746" i="2"/>
  <c r="Q712" i="2"/>
  <c r="Q678" i="2"/>
  <c r="Q644" i="2"/>
  <c r="Q610" i="2"/>
  <c r="Q576" i="2"/>
  <c r="Q542" i="2"/>
  <c r="Q508" i="2"/>
  <c r="Q474" i="2"/>
  <c r="Q440" i="2"/>
  <c r="Q406" i="2"/>
  <c r="Q372" i="2"/>
  <c r="Q338" i="2"/>
  <c r="Q304" i="2"/>
  <c r="Q270" i="2"/>
  <c r="D28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26" i="3"/>
  <c r="Z6" i="2" l="1"/>
  <c r="Z22" i="2"/>
  <c r="Z11" i="2"/>
  <c r="Z26" i="2"/>
  <c r="Z12" i="2"/>
  <c r="Z28" i="2"/>
  <c r="Z5" i="2"/>
  <c r="Z10" i="2"/>
  <c r="Z30" i="2"/>
  <c r="Z15" i="2"/>
  <c r="Z2" i="2"/>
  <c r="Z16" i="2"/>
  <c r="Z13" i="2"/>
  <c r="Z21" i="2"/>
  <c r="Z14" i="2"/>
  <c r="Z3" i="2"/>
  <c r="Z19" i="2"/>
  <c r="Z4" i="2"/>
  <c r="Z20" i="2"/>
  <c r="Z29" i="2"/>
  <c r="Z9" i="2"/>
  <c r="Z18" i="2"/>
  <c r="Z24" i="2"/>
  <c r="Z7" i="2"/>
  <c r="Z17" i="2"/>
  <c r="Z8" i="2"/>
  <c r="Z23" i="2"/>
  <c r="Z25" i="2"/>
  <c r="L433" i="2"/>
  <c r="M433" i="2"/>
  <c r="N433" i="2"/>
  <c r="O433" i="2"/>
  <c r="L399" i="2"/>
  <c r="M399" i="2"/>
  <c r="N399" i="2"/>
  <c r="O399" i="2"/>
  <c r="L365" i="2"/>
  <c r="M365" i="2"/>
  <c r="N365" i="2"/>
  <c r="O365" i="2"/>
  <c r="L331" i="2"/>
  <c r="M331" i="2"/>
  <c r="N331" i="2"/>
  <c r="O331" i="2"/>
  <c r="K297" i="2"/>
  <c r="L297" i="2"/>
  <c r="M297" i="2"/>
  <c r="N297" i="2"/>
  <c r="O297" i="2"/>
  <c r="L262" i="2"/>
  <c r="M262" i="2"/>
  <c r="N262" i="2"/>
  <c r="O262" i="2"/>
  <c r="L263" i="2"/>
  <c r="M263" i="2"/>
  <c r="N263" i="2"/>
  <c r="O263" i="2"/>
  <c r="L920" i="2" l="1"/>
  <c r="M920" i="2"/>
  <c r="N920" i="2"/>
  <c r="O920" i="2"/>
  <c r="L921" i="2"/>
  <c r="M921" i="2"/>
  <c r="N921" i="2"/>
  <c r="O921" i="2"/>
  <c r="L922" i="2"/>
  <c r="M922" i="2"/>
  <c r="N922" i="2"/>
  <c r="O922" i="2"/>
  <c r="L923" i="2"/>
  <c r="M923" i="2"/>
  <c r="N923" i="2"/>
  <c r="O923" i="2"/>
  <c r="L924" i="2"/>
  <c r="M924" i="2"/>
  <c r="N924" i="2"/>
  <c r="O924" i="2"/>
  <c r="L925" i="2"/>
  <c r="M925" i="2"/>
  <c r="N925" i="2"/>
  <c r="O925" i="2"/>
  <c r="L926" i="2"/>
  <c r="M926" i="2"/>
  <c r="N926" i="2"/>
  <c r="O926" i="2"/>
  <c r="L927" i="2"/>
  <c r="M927" i="2"/>
  <c r="N927" i="2"/>
  <c r="O927" i="2"/>
  <c r="L928" i="2"/>
  <c r="M928" i="2"/>
  <c r="N928" i="2"/>
  <c r="O928" i="2"/>
  <c r="L929" i="2"/>
  <c r="M929" i="2"/>
  <c r="N929" i="2"/>
  <c r="O929" i="2"/>
  <c r="L930" i="2"/>
  <c r="M930" i="2"/>
  <c r="N930" i="2"/>
  <c r="O930" i="2"/>
  <c r="L931" i="2"/>
  <c r="M931" i="2"/>
  <c r="N931" i="2"/>
  <c r="O931" i="2"/>
  <c r="L932" i="2"/>
  <c r="M932" i="2"/>
  <c r="N932" i="2"/>
  <c r="O932" i="2"/>
  <c r="L933" i="2"/>
  <c r="M933" i="2"/>
  <c r="N933" i="2"/>
  <c r="O933" i="2"/>
  <c r="L934" i="2"/>
  <c r="M934" i="2"/>
  <c r="N934" i="2"/>
  <c r="O934" i="2"/>
  <c r="L935" i="2"/>
  <c r="M935" i="2"/>
  <c r="N935" i="2"/>
  <c r="O935" i="2"/>
  <c r="L936" i="2"/>
  <c r="M936" i="2"/>
  <c r="N936" i="2"/>
  <c r="O936" i="2"/>
  <c r="L937" i="2"/>
  <c r="M937" i="2"/>
  <c r="N937" i="2"/>
  <c r="O937" i="2"/>
  <c r="L938" i="2"/>
  <c r="M938" i="2"/>
  <c r="N938" i="2"/>
  <c r="O938" i="2"/>
  <c r="L939" i="2"/>
  <c r="M939" i="2"/>
  <c r="N939" i="2"/>
  <c r="O939" i="2"/>
  <c r="L940" i="2"/>
  <c r="M940" i="2"/>
  <c r="N940" i="2"/>
  <c r="O940" i="2"/>
  <c r="L941" i="2"/>
  <c r="M941" i="2"/>
  <c r="N941" i="2"/>
  <c r="O941" i="2"/>
  <c r="L942" i="2"/>
  <c r="M942" i="2"/>
  <c r="N942" i="2"/>
  <c r="O942" i="2"/>
  <c r="L943" i="2"/>
  <c r="M943" i="2"/>
  <c r="N943" i="2"/>
  <c r="O943" i="2"/>
  <c r="L944" i="2"/>
  <c r="M944" i="2"/>
  <c r="N944" i="2"/>
  <c r="O944" i="2"/>
  <c r="L946" i="2"/>
  <c r="M946" i="2"/>
  <c r="N946" i="2"/>
  <c r="O946" i="2"/>
  <c r="L947" i="2"/>
  <c r="M947" i="2"/>
  <c r="N947" i="2"/>
  <c r="O947" i="2"/>
  <c r="L948" i="2"/>
  <c r="M948" i="2"/>
  <c r="N948" i="2"/>
  <c r="O948" i="2"/>
  <c r="L886" i="2"/>
  <c r="M886" i="2"/>
  <c r="N886" i="2"/>
  <c r="O886" i="2"/>
  <c r="L887" i="2"/>
  <c r="M887" i="2"/>
  <c r="N887" i="2"/>
  <c r="O887" i="2"/>
  <c r="L888" i="2"/>
  <c r="M888" i="2"/>
  <c r="N888" i="2"/>
  <c r="O888" i="2"/>
  <c r="L889" i="2"/>
  <c r="M889" i="2"/>
  <c r="N889" i="2"/>
  <c r="O889" i="2"/>
  <c r="L890" i="2"/>
  <c r="M890" i="2"/>
  <c r="N890" i="2"/>
  <c r="O890" i="2"/>
  <c r="L891" i="2"/>
  <c r="M891" i="2"/>
  <c r="N891" i="2"/>
  <c r="O891" i="2"/>
  <c r="L892" i="2"/>
  <c r="M892" i="2"/>
  <c r="N892" i="2"/>
  <c r="O892" i="2"/>
  <c r="L893" i="2"/>
  <c r="M893" i="2"/>
  <c r="N893" i="2"/>
  <c r="O893" i="2"/>
  <c r="L894" i="2"/>
  <c r="M894" i="2"/>
  <c r="N894" i="2"/>
  <c r="O894" i="2"/>
  <c r="L895" i="2"/>
  <c r="M895" i="2"/>
  <c r="N895" i="2"/>
  <c r="O895" i="2"/>
  <c r="L896" i="2"/>
  <c r="M896" i="2"/>
  <c r="N896" i="2"/>
  <c r="O896" i="2"/>
  <c r="L897" i="2"/>
  <c r="M897" i="2"/>
  <c r="N897" i="2"/>
  <c r="O897" i="2"/>
  <c r="L898" i="2"/>
  <c r="M898" i="2"/>
  <c r="N898" i="2"/>
  <c r="O898" i="2"/>
  <c r="L899" i="2"/>
  <c r="M899" i="2"/>
  <c r="N899" i="2"/>
  <c r="O899" i="2"/>
  <c r="L900" i="2"/>
  <c r="M900" i="2"/>
  <c r="N900" i="2"/>
  <c r="O900" i="2"/>
  <c r="L901" i="2"/>
  <c r="M901" i="2"/>
  <c r="N901" i="2"/>
  <c r="O901" i="2"/>
  <c r="L902" i="2"/>
  <c r="M902" i="2"/>
  <c r="N902" i="2"/>
  <c r="O902" i="2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855" i="2"/>
  <c r="M855" i="2"/>
  <c r="N855" i="2"/>
  <c r="O855" i="2"/>
  <c r="L856" i="2"/>
  <c r="M856" i="2"/>
  <c r="N856" i="2"/>
  <c r="O856" i="2"/>
  <c r="L857" i="2"/>
  <c r="M857" i="2"/>
  <c r="N857" i="2"/>
  <c r="O857" i="2"/>
  <c r="L858" i="2"/>
  <c r="M858" i="2"/>
  <c r="N858" i="2"/>
  <c r="O858" i="2"/>
  <c r="L859" i="2"/>
  <c r="M859" i="2"/>
  <c r="N859" i="2"/>
  <c r="O859" i="2"/>
  <c r="L860" i="2"/>
  <c r="M860" i="2"/>
  <c r="N860" i="2"/>
  <c r="O860" i="2"/>
  <c r="L861" i="2"/>
  <c r="M861" i="2"/>
  <c r="N861" i="2"/>
  <c r="O861" i="2"/>
  <c r="L862" i="2"/>
  <c r="M862" i="2"/>
  <c r="N862" i="2"/>
  <c r="O862" i="2"/>
  <c r="L863" i="2"/>
  <c r="M863" i="2"/>
  <c r="N863" i="2"/>
  <c r="O863" i="2"/>
  <c r="L864" i="2"/>
  <c r="M864" i="2"/>
  <c r="N864" i="2"/>
  <c r="O864" i="2"/>
  <c r="L865" i="2"/>
  <c r="M865" i="2"/>
  <c r="N865" i="2"/>
  <c r="O865" i="2"/>
  <c r="L866" i="2"/>
  <c r="M866" i="2"/>
  <c r="N866" i="2"/>
  <c r="O866" i="2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18" i="2"/>
  <c r="M818" i="2"/>
  <c r="N818" i="2"/>
  <c r="O818" i="2"/>
  <c r="L819" i="2"/>
  <c r="M819" i="2"/>
  <c r="N819" i="2"/>
  <c r="O819" i="2"/>
  <c r="L820" i="2"/>
  <c r="M820" i="2"/>
  <c r="N820" i="2"/>
  <c r="O820" i="2"/>
  <c r="L821" i="2"/>
  <c r="M821" i="2"/>
  <c r="N821" i="2"/>
  <c r="O821" i="2"/>
  <c r="L822" i="2"/>
  <c r="M822" i="2"/>
  <c r="N822" i="2"/>
  <c r="O822" i="2"/>
  <c r="L823" i="2"/>
  <c r="M823" i="2"/>
  <c r="N823" i="2"/>
  <c r="O823" i="2"/>
  <c r="L824" i="2"/>
  <c r="M824" i="2"/>
  <c r="N824" i="2"/>
  <c r="O824" i="2"/>
  <c r="L825" i="2"/>
  <c r="M825" i="2"/>
  <c r="N825" i="2"/>
  <c r="O825" i="2"/>
  <c r="L826" i="2"/>
  <c r="M826" i="2"/>
  <c r="N826" i="2"/>
  <c r="O826" i="2"/>
  <c r="L827" i="2"/>
  <c r="M827" i="2"/>
  <c r="N827" i="2"/>
  <c r="O827" i="2"/>
  <c r="L828" i="2"/>
  <c r="M828" i="2"/>
  <c r="N828" i="2"/>
  <c r="O828" i="2"/>
  <c r="L829" i="2"/>
  <c r="M829" i="2"/>
  <c r="N829" i="2"/>
  <c r="O829" i="2"/>
  <c r="L830" i="2"/>
  <c r="M830" i="2"/>
  <c r="N830" i="2"/>
  <c r="O830" i="2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784" i="2"/>
  <c r="M784" i="2"/>
  <c r="N784" i="2"/>
  <c r="O784" i="2"/>
  <c r="L785" i="2"/>
  <c r="M785" i="2"/>
  <c r="N785" i="2"/>
  <c r="O785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89" i="2"/>
  <c r="M789" i="2"/>
  <c r="N789" i="2"/>
  <c r="O789" i="2"/>
  <c r="L790" i="2"/>
  <c r="M790" i="2"/>
  <c r="N790" i="2"/>
  <c r="O790" i="2"/>
  <c r="L791" i="2"/>
  <c r="M791" i="2"/>
  <c r="N791" i="2"/>
  <c r="O791" i="2"/>
  <c r="L792" i="2"/>
  <c r="M792" i="2"/>
  <c r="N792" i="2"/>
  <c r="O792" i="2"/>
  <c r="L793" i="2"/>
  <c r="M793" i="2"/>
  <c r="N793" i="2"/>
  <c r="O793" i="2"/>
  <c r="L794" i="2"/>
  <c r="M794" i="2"/>
  <c r="N794" i="2"/>
  <c r="O794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750" i="2"/>
  <c r="M750" i="2"/>
  <c r="N750" i="2"/>
  <c r="O750" i="2"/>
  <c r="L751" i="2"/>
  <c r="M751" i="2"/>
  <c r="N751" i="2"/>
  <c r="O751" i="2"/>
  <c r="L752" i="2"/>
  <c r="M752" i="2"/>
  <c r="N752" i="2"/>
  <c r="O752" i="2"/>
  <c r="L753" i="2"/>
  <c r="M753" i="2"/>
  <c r="N753" i="2"/>
  <c r="O753" i="2"/>
  <c r="L754" i="2"/>
  <c r="M754" i="2"/>
  <c r="N754" i="2"/>
  <c r="O754" i="2"/>
  <c r="L755" i="2"/>
  <c r="M755" i="2"/>
  <c r="N755" i="2"/>
  <c r="O755" i="2"/>
  <c r="L756" i="2"/>
  <c r="M756" i="2"/>
  <c r="N756" i="2"/>
  <c r="O756" i="2"/>
  <c r="L757" i="2"/>
  <c r="M757" i="2"/>
  <c r="N757" i="2"/>
  <c r="O757" i="2"/>
  <c r="L758" i="2"/>
  <c r="M758" i="2"/>
  <c r="N758" i="2"/>
  <c r="O758" i="2"/>
  <c r="L759" i="2"/>
  <c r="M759" i="2"/>
  <c r="N759" i="2"/>
  <c r="O759" i="2"/>
  <c r="L760" i="2"/>
  <c r="M760" i="2"/>
  <c r="N760" i="2"/>
  <c r="O760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16" i="2"/>
  <c r="M716" i="2"/>
  <c r="N716" i="2"/>
  <c r="O716" i="2"/>
  <c r="L717" i="2"/>
  <c r="M717" i="2"/>
  <c r="N717" i="2"/>
  <c r="O717" i="2"/>
  <c r="L718" i="2"/>
  <c r="M718" i="2"/>
  <c r="N718" i="2"/>
  <c r="O718" i="2"/>
  <c r="L719" i="2"/>
  <c r="M719" i="2"/>
  <c r="N719" i="2"/>
  <c r="O719" i="2"/>
  <c r="L720" i="2"/>
  <c r="M720" i="2"/>
  <c r="N720" i="2"/>
  <c r="O720" i="2"/>
  <c r="L721" i="2"/>
  <c r="M721" i="2"/>
  <c r="N721" i="2"/>
  <c r="O721" i="2"/>
  <c r="L722" i="2"/>
  <c r="M722" i="2"/>
  <c r="N722" i="2"/>
  <c r="O722" i="2"/>
  <c r="L723" i="2"/>
  <c r="M723" i="2"/>
  <c r="N723" i="2"/>
  <c r="O723" i="2"/>
  <c r="L724" i="2"/>
  <c r="M724" i="2"/>
  <c r="N724" i="2"/>
  <c r="O724" i="2"/>
  <c r="L725" i="2"/>
  <c r="M725" i="2"/>
  <c r="N725" i="2"/>
  <c r="O725" i="2"/>
  <c r="L726" i="2"/>
  <c r="M726" i="2"/>
  <c r="N726" i="2"/>
  <c r="O726" i="2"/>
  <c r="L727" i="2"/>
  <c r="M727" i="2"/>
  <c r="N727" i="2"/>
  <c r="O727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682" i="2"/>
  <c r="M682" i="2"/>
  <c r="N682" i="2"/>
  <c r="O682" i="2"/>
  <c r="L683" i="2"/>
  <c r="M683" i="2"/>
  <c r="N683" i="2"/>
  <c r="O683" i="2"/>
  <c r="L684" i="2"/>
  <c r="M684" i="2"/>
  <c r="N684" i="2"/>
  <c r="O684" i="2"/>
  <c r="L685" i="2"/>
  <c r="M685" i="2"/>
  <c r="N685" i="2"/>
  <c r="O685" i="2"/>
  <c r="L686" i="2"/>
  <c r="M686" i="2"/>
  <c r="N686" i="2"/>
  <c r="O686" i="2"/>
  <c r="L687" i="2"/>
  <c r="M687" i="2"/>
  <c r="N687" i="2"/>
  <c r="O687" i="2"/>
  <c r="L688" i="2"/>
  <c r="M688" i="2"/>
  <c r="N688" i="2"/>
  <c r="O688" i="2"/>
  <c r="L689" i="2"/>
  <c r="M689" i="2"/>
  <c r="N689" i="2"/>
  <c r="O689" i="2"/>
  <c r="L690" i="2"/>
  <c r="M690" i="2"/>
  <c r="N690" i="2"/>
  <c r="O690" i="2"/>
  <c r="L691" i="2"/>
  <c r="M691" i="2"/>
  <c r="N691" i="2"/>
  <c r="O691" i="2"/>
  <c r="L692" i="2"/>
  <c r="M692" i="2"/>
  <c r="N692" i="2"/>
  <c r="O692" i="2"/>
  <c r="L693" i="2"/>
  <c r="M693" i="2"/>
  <c r="N693" i="2"/>
  <c r="O693" i="2"/>
  <c r="L694" i="2"/>
  <c r="M694" i="2"/>
  <c r="N694" i="2"/>
  <c r="O694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648" i="2"/>
  <c r="M648" i="2"/>
  <c r="N648" i="2"/>
  <c r="O648" i="2"/>
  <c r="L649" i="2"/>
  <c r="M649" i="2"/>
  <c r="N649" i="2"/>
  <c r="O649" i="2"/>
  <c r="L650" i="2"/>
  <c r="M650" i="2"/>
  <c r="N650" i="2"/>
  <c r="O650" i="2"/>
  <c r="L651" i="2"/>
  <c r="M651" i="2"/>
  <c r="N651" i="2"/>
  <c r="O651" i="2"/>
  <c r="L652" i="2"/>
  <c r="M652" i="2"/>
  <c r="N652" i="2"/>
  <c r="O652" i="2"/>
  <c r="L653" i="2"/>
  <c r="M653" i="2"/>
  <c r="N653" i="2"/>
  <c r="O653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7" i="2"/>
  <c r="M657" i="2"/>
  <c r="N657" i="2"/>
  <c r="O657" i="2"/>
  <c r="L658" i="2"/>
  <c r="M658" i="2"/>
  <c r="N658" i="2"/>
  <c r="O658" i="2"/>
  <c r="L659" i="2"/>
  <c r="M659" i="2"/>
  <c r="N659" i="2"/>
  <c r="O659" i="2"/>
  <c r="L660" i="2"/>
  <c r="M660" i="2"/>
  <c r="N660" i="2"/>
  <c r="O660" i="2"/>
  <c r="L661" i="2"/>
  <c r="M661" i="2"/>
  <c r="N661" i="2"/>
  <c r="O661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14" i="2"/>
  <c r="M614" i="2"/>
  <c r="N614" i="2"/>
  <c r="O614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0" i="2"/>
  <c r="M620" i="2"/>
  <c r="N620" i="2"/>
  <c r="O620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4" i="2"/>
  <c r="M624" i="2"/>
  <c r="N624" i="2"/>
  <c r="O624" i="2"/>
  <c r="L625" i="2"/>
  <c r="M625" i="2"/>
  <c r="N625" i="2"/>
  <c r="O625" i="2"/>
  <c r="L626" i="2"/>
  <c r="M626" i="2"/>
  <c r="N626" i="2"/>
  <c r="O626" i="2"/>
  <c r="L627" i="2"/>
  <c r="M627" i="2"/>
  <c r="N627" i="2"/>
  <c r="O627" i="2"/>
  <c r="L628" i="2"/>
  <c r="M628" i="2"/>
  <c r="N628" i="2"/>
  <c r="O628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40" i="2"/>
  <c r="M640" i="2"/>
  <c r="N640" i="2"/>
  <c r="O640" i="2"/>
  <c r="L641" i="2"/>
  <c r="M641" i="2"/>
  <c r="N641" i="2"/>
  <c r="O641" i="2"/>
  <c r="L642" i="2"/>
  <c r="M642" i="2"/>
  <c r="N642" i="2"/>
  <c r="O642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7" i="2"/>
  <c r="M587" i="2"/>
  <c r="N587" i="2"/>
  <c r="O587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91" i="2"/>
  <c r="M591" i="2"/>
  <c r="N591" i="2"/>
  <c r="O591" i="2"/>
  <c r="L592" i="2"/>
  <c r="M592" i="2"/>
  <c r="N592" i="2"/>
  <c r="O592" i="2"/>
  <c r="L593" i="2"/>
  <c r="M593" i="2"/>
  <c r="N593" i="2"/>
  <c r="O593" i="2"/>
  <c r="L594" i="2"/>
  <c r="M594" i="2"/>
  <c r="N594" i="2"/>
  <c r="O594" i="2"/>
  <c r="L595" i="2"/>
  <c r="M595" i="2"/>
  <c r="N595" i="2"/>
  <c r="O595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603" i="2"/>
  <c r="M603" i="2"/>
  <c r="N603" i="2"/>
  <c r="O603" i="2"/>
  <c r="L604" i="2"/>
  <c r="M604" i="2"/>
  <c r="N604" i="2"/>
  <c r="O604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569" i="2"/>
  <c r="M569" i="2"/>
  <c r="N569" i="2"/>
  <c r="O569" i="2"/>
  <c r="L570" i="2"/>
  <c r="M570" i="2"/>
  <c r="N570" i="2"/>
  <c r="O570" i="2"/>
  <c r="L572" i="2"/>
  <c r="M572" i="2"/>
  <c r="N572" i="2"/>
  <c r="O572" i="2"/>
  <c r="L573" i="2"/>
  <c r="M573" i="2"/>
  <c r="N573" i="2"/>
  <c r="O573" i="2"/>
  <c r="L574" i="2"/>
  <c r="M574" i="2"/>
  <c r="N574" i="2"/>
  <c r="O574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4" i="2"/>
  <c r="M554" i="2"/>
  <c r="N554" i="2"/>
  <c r="O554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8" i="2"/>
  <c r="M558" i="2"/>
  <c r="N558" i="2"/>
  <c r="O558" i="2"/>
  <c r="L559" i="2"/>
  <c r="M559" i="2"/>
  <c r="N559" i="2"/>
  <c r="O559" i="2"/>
  <c r="L560" i="2"/>
  <c r="M560" i="2"/>
  <c r="N560" i="2"/>
  <c r="O560" i="2"/>
  <c r="L561" i="2"/>
  <c r="M561" i="2"/>
  <c r="N561" i="2"/>
  <c r="O561" i="2"/>
  <c r="L562" i="2"/>
  <c r="M562" i="2"/>
  <c r="N562" i="2"/>
  <c r="O562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1" i="2"/>
  <c r="M521" i="2"/>
  <c r="N521" i="2"/>
  <c r="O521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525" i="2"/>
  <c r="M525" i="2"/>
  <c r="N525" i="2"/>
  <c r="O525" i="2"/>
  <c r="L526" i="2"/>
  <c r="M526" i="2"/>
  <c r="N526" i="2"/>
  <c r="O526" i="2"/>
  <c r="L527" i="2"/>
  <c r="M527" i="2"/>
  <c r="N527" i="2"/>
  <c r="O527" i="2"/>
  <c r="L528" i="2"/>
  <c r="M528" i="2"/>
  <c r="N528" i="2"/>
  <c r="O528" i="2"/>
  <c r="L529" i="2"/>
  <c r="M529" i="2"/>
  <c r="N529" i="2"/>
  <c r="O529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3" i="2"/>
  <c r="M533" i="2"/>
  <c r="N533" i="2"/>
  <c r="O533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538" i="2"/>
  <c r="M538" i="2"/>
  <c r="N538" i="2"/>
  <c r="O538" i="2"/>
  <c r="L539" i="2"/>
  <c r="M539" i="2"/>
  <c r="N539" i="2"/>
  <c r="O539" i="2"/>
  <c r="L540" i="2"/>
  <c r="M540" i="2"/>
  <c r="N540" i="2"/>
  <c r="O540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8" i="2"/>
  <c r="M488" i="2"/>
  <c r="N488" i="2"/>
  <c r="O488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92" i="2"/>
  <c r="M492" i="2"/>
  <c r="N492" i="2"/>
  <c r="O492" i="2"/>
  <c r="L493" i="2"/>
  <c r="M493" i="2"/>
  <c r="N493" i="2"/>
  <c r="O493" i="2"/>
  <c r="L494" i="2"/>
  <c r="M494" i="2"/>
  <c r="N494" i="2"/>
  <c r="O494" i="2"/>
  <c r="L495" i="2"/>
  <c r="M495" i="2"/>
  <c r="N495" i="2"/>
  <c r="O495" i="2"/>
  <c r="L496" i="2"/>
  <c r="M496" i="2"/>
  <c r="N496" i="2"/>
  <c r="O496" i="2"/>
  <c r="L497" i="2"/>
  <c r="M497" i="2"/>
  <c r="N497" i="2"/>
  <c r="O497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501" i="2"/>
  <c r="M501" i="2"/>
  <c r="N501" i="2"/>
  <c r="O501" i="2"/>
  <c r="L502" i="2"/>
  <c r="M502" i="2"/>
  <c r="N502" i="2"/>
  <c r="O502" i="2"/>
  <c r="L504" i="2"/>
  <c r="M504" i="2"/>
  <c r="N504" i="2"/>
  <c r="O504" i="2"/>
  <c r="L505" i="2"/>
  <c r="M505" i="2"/>
  <c r="N505" i="2"/>
  <c r="O505" i="2"/>
  <c r="L506" i="2"/>
  <c r="M506" i="2"/>
  <c r="N506" i="2"/>
  <c r="O506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5" i="2"/>
  <c r="M455" i="2"/>
  <c r="N455" i="2"/>
  <c r="O455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459" i="2"/>
  <c r="M459" i="2"/>
  <c r="N459" i="2"/>
  <c r="O459" i="2"/>
  <c r="L460" i="2"/>
  <c r="M460" i="2"/>
  <c r="N460" i="2"/>
  <c r="O460" i="2"/>
  <c r="L461" i="2"/>
  <c r="M461" i="2"/>
  <c r="N461" i="2"/>
  <c r="O461" i="2"/>
  <c r="L462" i="2"/>
  <c r="M462" i="2"/>
  <c r="N462" i="2"/>
  <c r="O462" i="2"/>
  <c r="L463" i="2"/>
  <c r="M463" i="2"/>
  <c r="N463" i="2"/>
  <c r="O463" i="2"/>
  <c r="L464" i="2"/>
  <c r="M464" i="2"/>
  <c r="N464" i="2"/>
  <c r="O464" i="2"/>
  <c r="L465" i="2"/>
  <c r="M465" i="2"/>
  <c r="N465" i="2"/>
  <c r="O465" i="2"/>
  <c r="L466" i="2"/>
  <c r="M466" i="2"/>
  <c r="N466" i="2"/>
  <c r="O466" i="2"/>
  <c r="L467" i="2"/>
  <c r="M467" i="2"/>
  <c r="N467" i="2"/>
  <c r="O467" i="2"/>
  <c r="L468" i="2"/>
  <c r="M468" i="2"/>
  <c r="N468" i="2"/>
  <c r="O468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2" i="2"/>
  <c r="M422" i="2"/>
  <c r="N422" i="2"/>
  <c r="O422" i="2"/>
  <c r="L423" i="2"/>
  <c r="M423" i="2"/>
  <c r="N423" i="2"/>
  <c r="O423" i="2"/>
  <c r="L424" i="2"/>
  <c r="M424" i="2"/>
  <c r="N424" i="2"/>
  <c r="O424" i="2"/>
  <c r="L425" i="2"/>
  <c r="M425" i="2"/>
  <c r="N425" i="2"/>
  <c r="O425" i="2"/>
  <c r="L426" i="2"/>
  <c r="M426" i="2"/>
  <c r="N426" i="2"/>
  <c r="O426" i="2"/>
  <c r="L427" i="2"/>
  <c r="M427" i="2"/>
  <c r="N427" i="2"/>
  <c r="O427" i="2"/>
  <c r="L428" i="2"/>
  <c r="M428" i="2"/>
  <c r="N428" i="2"/>
  <c r="O428" i="2"/>
  <c r="L429" i="2"/>
  <c r="M429" i="2"/>
  <c r="N429" i="2"/>
  <c r="O429" i="2"/>
  <c r="L430" i="2"/>
  <c r="M430" i="2"/>
  <c r="N430" i="2"/>
  <c r="O430" i="2"/>
  <c r="L431" i="2"/>
  <c r="M431" i="2"/>
  <c r="N431" i="2"/>
  <c r="O431" i="2"/>
  <c r="L432" i="2"/>
  <c r="M432" i="2"/>
  <c r="N432" i="2"/>
  <c r="O432" i="2"/>
  <c r="L434" i="2"/>
  <c r="M434" i="2"/>
  <c r="N434" i="2"/>
  <c r="O434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376" i="2"/>
  <c r="M376" i="2"/>
  <c r="N376" i="2"/>
  <c r="O376" i="2"/>
  <c r="L377" i="2"/>
  <c r="M377" i="2"/>
  <c r="N377" i="2"/>
  <c r="O377" i="2"/>
  <c r="L378" i="2"/>
  <c r="M378" i="2"/>
  <c r="N378" i="2"/>
  <c r="O378" i="2"/>
  <c r="L379" i="2"/>
  <c r="M379" i="2"/>
  <c r="N379" i="2"/>
  <c r="O379" i="2"/>
  <c r="L380" i="2"/>
  <c r="M380" i="2"/>
  <c r="N380" i="2"/>
  <c r="O380" i="2"/>
  <c r="L381" i="2"/>
  <c r="M381" i="2"/>
  <c r="N381" i="2"/>
  <c r="O381" i="2"/>
  <c r="L382" i="2"/>
  <c r="M382" i="2"/>
  <c r="N382" i="2"/>
  <c r="O382" i="2"/>
  <c r="L383" i="2"/>
  <c r="M383" i="2"/>
  <c r="N383" i="2"/>
  <c r="O383" i="2"/>
  <c r="L384" i="2"/>
  <c r="M384" i="2"/>
  <c r="N384" i="2"/>
  <c r="O384" i="2"/>
  <c r="L385" i="2"/>
  <c r="M385" i="2"/>
  <c r="N385" i="2"/>
  <c r="O385" i="2"/>
  <c r="L386" i="2"/>
  <c r="M386" i="2"/>
  <c r="N386" i="2"/>
  <c r="O386" i="2"/>
  <c r="L387" i="2"/>
  <c r="M387" i="2"/>
  <c r="N387" i="2"/>
  <c r="O387" i="2"/>
  <c r="L388" i="2"/>
  <c r="M388" i="2"/>
  <c r="N388" i="2"/>
  <c r="O388" i="2"/>
  <c r="L389" i="2"/>
  <c r="M389" i="2"/>
  <c r="N389" i="2"/>
  <c r="O389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L393" i="2"/>
  <c r="M393" i="2"/>
  <c r="N393" i="2"/>
  <c r="O393" i="2"/>
  <c r="L394" i="2"/>
  <c r="M394" i="2"/>
  <c r="N394" i="2"/>
  <c r="O394" i="2"/>
  <c r="L395" i="2"/>
  <c r="M395" i="2"/>
  <c r="N395" i="2"/>
  <c r="O395" i="2"/>
  <c r="L396" i="2"/>
  <c r="M396" i="2"/>
  <c r="N396" i="2"/>
  <c r="O396" i="2"/>
  <c r="L397" i="2"/>
  <c r="M397" i="2"/>
  <c r="N397" i="2"/>
  <c r="O397" i="2"/>
  <c r="L398" i="2"/>
  <c r="M398" i="2"/>
  <c r="N398" i="2"/>
  <c r="O398" i="2"/>
  <c r="L400" i="2"/>
  <c r="M400" i="2"/>
  <c r="N400" i="2"/>
  <c r="O400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368" i="2"/>
  <c r="M368" i="2"/>
  <c r="N368" i="2"/>
  <c r="O368" i="2"/>
  <c r="L369" i="2"/>
  <c r="M369" i="2"/>
  <c r="N369" i="2"/>
  <c r="O369" i="2"/>
  <c r="L370" i="2"/>
  <c r="M370" i="2"/>
  <c r="N370" i="2"/>
  <c r="O370" i="2"/>
  <c r="K342" i="2"/>
  <c r="L342" i="2"/>
  <c r="M342" i="2"/>
  <c r="N342" i="2"/>
  <c r="O342" i="2"/>
  <c r="K343" i="2"/>
  <c r="L343" i="2"/>
  <c r="M343" i="2"/>
  <c r="N343" i="2"/>
  <c r="O343" i="2"/>
  <c r="K344" i="2"/>
  <c r="L344" i="2"/>
  <c r="M344" i="2"/>
  <c r="N344" i="2"/>
  <c r="O344" i="2"/>
  <c r="K345" i="2"/>
  <c r="L345" i="2"/>
  <c r="M345" i="2"/>
  <c r="N345" i="2"/>
  <c r="O345" i="2"/>
  <c r="K346" i="2"/>
  <c r="L346" i="2"/>
  <c r="M346" i="2"/>
  <c r="N346" i="2"/>
  <c r="O346" i="2"/>
  <c r="K347" i="2"/>
  <c r="L347" i="2"/>
  <c r="M347" i="2"/>
  <c r="N347" i="2"/>
  <c r="O347" i="2"/>
  <c r="K348" i="2"/>
  <c r="L348" i="2"/>
  <c r="M348" i="2"/>
  <c r="N348" i="2"/>
  <c r="O348" i="2"/>
  <c r="K349" i="2"/>
  <c r="L349" i="2"/>
  <c r="M349" i="2"/>
  <c r="N349" i="2"/>
  <c r="O349" i="2"/>
  <c r="K350" i="2"/>
  <c r="L350" i="2"/>
  <c r="M350" i="2"/>
  <c r="N350" i="2"/>
  <c r="O350" i="2"/>
  <c r="K351" i="2"/>
  <c r="L351" i="2"/>
  <c r="M351" i="2"/>
  <c r="N351" i="2"/>
  <c r="O351" i="2"/>
  <c r="K352" i="2"/>
  <c r="L352" i="2"/>
  <c r="M352" i="2"/>
  <c r="N352" i="2"/>
  <c r="O352" i="2"/>
  <c r="K353" i="2"/>
  <c r="L353" i="2"/>
  <c r="M353" i="2"/>
  <c r="N353" i="2"/>
  <c r="O353" i="2"/>
  <c r="K354" i="2"/>
  <c r="L354" i="2"/>
  <c r="M354" i="2"/>
  <c r="N354" i="2"/>
  <c r="O354" i="2"/>
  <c r="K355" i="2"/>
  <c r="L355" i="2"/>
  <c r="M355" i="2"/>
  <c r="N355" i="2"/>
  <c r="O355" i="2"/>
  <c r="K356" i="2"/>
  <c r="L356" i="2"/>
  <c r="M356" i="2"/>
  <c r="N356" i="2"/>
  <c r="O356" i="2"/>
  <c r="K357" i="2"/>
  <c r="L357" i="2"/>
  <c r="M357" i="2"/>
  <c r="N357" i="2"/>
  <c r="O357" i="2"/>
  <c r="K358" i="2"/>
  <c r="L358" i="2"/>
  <c r="M358" i="2"/>
  <c r="N358" i="2"/>
  <c r="O358" i="2"/>
  <c r="K359" i="2"/>
  <c r="L359" i="2"/>
  <c r="M359" i="2"/>
  <c r="N359" i="2"/>
  <c r="O359" i="2"/>
  <c r="K360" i="2"/>
  <c r="L360" i="2"/>
  <c r="M360" i="2"/>
  <c r="N360" i="2"/>
  <c r="O360" i="2"/>
  <c r="K361" i="2"/>
  <c r="L361" i="2"/>
  <c r="M361" i="2"/>
  <c r="N361" i="2"/>
  <c r="O361" i="2"/>
  <c r="K362" i="2"/>
  <c r="L362" i="2"/>
  <c r="M362" i="2"/>
  <c r="N362" i="2"/>
  <c r="O362" i="2"/>
  <c r="K363" i="2"/>
  <c r="L363" i="2"/>
  <c r="M363" i="2"/>
  <c r="N363" i="2"/>
  <c r="O363" i="2"/>
  <c r="K364" i="2"/>
  <c r="L364" i="2"/>
  <c r="M364" i="2"/>
  <c r="N364" i="2"/>
  <c r="O364" i="2"/>
  <c r="K365" i="2"/>
  <c r="K366" i="2"/>
  <c r="L366" i="2"/>
  <c r="M366" i="2"/>
  <c r="N366" i="2"/>
  <c r="O366" i="2"/>
  <c r="L308" i="2"/>
  <c r="M308" i="2"/>
  <c r="N308" i="2"/>
  <c r="O308" i="2"/>
  <c r="L309" i="2"/>
  <c r="M309" i="2"/>
  <c r="N309" i="2"/>
  <c r="O309" i="2"/>
  <c r="L310" i="2"/>
  <c r="M310" i="2"/>
  <c r="N310" i="2"/>
  <c r="O310" i="2"/>
  <c r="L311" i="2"/>
  <c r="M311" i="2"/>
  <c r="N311" i="2"/>
  <c r="O311" i="2"/>
  <c r="L312" i="2"/>
  <c r="M312" i="2"/>
  <c r="N312" i="2"/>
  <c r="O312" i="2"/>
  <c r="L313" i="2"/>
  <c r="M313" i="2"/>
  <c r="N313" i="2"/>
  <c r="O313" i="2"/>
  <c r="L314" i="2"/>
  <c r="M314" i="2"/>
  <c r="N314" i="2"/>
  <c r="O314" i="2"/>
  <c r="L315" i="2"/>
  <c r="M315" i="2"/>
  <c r="N315" i="2"/>
  <c r="O315" i="2"/>
  <c r="L316" i="2"/>
  <c r="M316" i="2"/>
  <c r="N316" i="2"/>
  <c r="O316" i="2"/>
  <c r="L317" i="2"/>
  <c r="M317" i="2"/>
  <c r="N317" i="2"/>
  <c r="O317" i="2"/>
  <c r="L318" i="2"/>
  <c r="M318" i="2"/>
  <c r="N318" i="2"/>
  <c r="O318" i="2"/>
  <c r="L319" i="2"/>
  <c r="M319" i="2"/>
  <c r="N319" i="2"/>
  <c r="O319" i="2"/>
  <c r="L320" i="2"/>
  <c r="M320" i="2"/>
  <c r="N320" i="2"/>
  <c r="O320" i="2"/>
  <c r="L321" i="2"/>
  <c r="M321" i="2"/>
  <c r="N321" i="2"/>
  <c r="O321" i="2"/>
  <c r="L322" i="2"/>
  <c r="M322" i="2"/>
  <c r="N322" i="2"/>
  <c r="O322" i="2"/>
  <c r="L323" i="2"/>
  <c r="M323" i="2"/>
  <c r="N323" i="2"/>
  <c r="O323" i="2"/>
  <c r="L324" i="2"/>
  <c r="M324" i="2"/>
  <c r="N324" i="2"/>
  <c r="O324" i="2"/>
  <c r="L325" i="2"/>
  <c r="M325" i="2"/>
  <c r="N325" i="2"/>
  <c r="O325" i="2"/>
  <c r="L326" i="2"/>
  <c r="M326" i="2"/>
  <c r="N326" i="2"/>
  <c r="O326" i="2"/>
  <c r="L327" i="2"/>
  <c r="M327" i="2"/>
  <c r="N327" i="2"/>
  <c r="O327" i="2"/>
  <c r="L328" i="2"/>
  <c r="M328" i="2"/>
  <c r="N328" i="2"/>
  <c r="O328" i="2"/>
  <c r="L329" i="2"/>
  <c r="M329" i="2"/>
  <c r="N329" i="2"/>
  <c r="O329" i="2"/>
  <c r="L330" i="2"/>
  <c r="M330" i="2"/>
  <c r="N330" i="2"/>
  <c r="O330" i="2"/>
  <c r="L332" i="2"/>
  <c r="M332" i="2"/>
  <c r="N332" i="2"/>
  <c r="O332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K274" i="2"/>
  <c r="L274" i="2"/>
  <c r="M274" i="2"/>
  <c r="N274" i="2"/>
  <c r="O274" i="2"/>
  <c r="K275" i="2"/>
  <c r="L275" i="2"/>
  <c r="M275" i="2"/>
  <c r="N275" i="2"/>
  <c r="O275" i="2"/>
  <c r="K276" i="2"/>
  <c r="L276" i="2"/>
  <c r="M276" i="2"/>
  <c r="N276" i="2"/>
  <c r="O276" i="2"/>
  <c r="K277" i="2"/>
  <c r="L277" i="2"/>
  <c r="M277" i="2"/>
  <c r="N277" i="2"/>
  <c r="O277" i="2"/>
  <c r="K278" i="2"/>
  <c r="L278" i="2"/>
  <c r="M278" i="2"/>
  <c r="N278" i="2"/>
  <c r="O278" i="2"/>
  <c r="K279" i="2"/>
  <c r="L279" i="2"/>
  <c r="M279" i="2"/>
  <c r="N279" i="2"/>
  <c r="O279" i="2"/>
  <c r="K280" i="2"/>
  <c r="L280" i="2"/>
  <c r="M280" i="2"/>
  <c r="N280" i="2"/>
  <c r="O280" i="2"/>
  <c r="K281" i="2"/>
  <c r="L281" i="2"/>
  <c r="M281" i="2"/>
  <c r="N281" i="2"/>
  <c r="O281" i="2"/>
  <c r="K282" i="2"/>
  <c r="L282" i="2"/>
  <c r="M282" i="2"/>
  <c r="N282" i="2"/>
  <c r="O282" i="2"/>
  <c r="K283" i="2"/>
  <c r="L283" i="2"/>
  <c r="M283" i="2"/>
  <c r="N283" i="2"/>
  <c r="O283" i="2"/>
  <c r="K284" i="2"/>
  <c r="L284" i="2"/>
  <c r="M284" i="2"/>
  <c r="N284" i="2"/>
  <c r="O284" i="2"/>
  <c r="K285" i="2"/>
  <c r="L285" i="2"/>
  <c r="M285" i="2"/>
  <c r="N285" i="2"/>
  <c r="O285" i="2"/>
  <c r="K286" i="2"/>
  <c r="L286" i="2"/>
  <c r="M286" i="2"/>
  <c r="N286" i="2"/>
  <c r="O286" i="2"/>
  <c r="K287" i="2"/>
  <c r="L287" i="2"/>
  <c r="M287" i="2"/>
  <c r="N287" i="2"/>
  <c r="O287" i="2"/>
  <c r="K288" i="2"/>
  <c r="L288" i="2"/>
  <c r="M288" i="2"/>
  <c r="N288" i="2"/>
  <c r="O288" i="2"/>
  <c r="K289" i="2"/>
  <c r="L289" i="2"/>
  <c r="M289" i="2"/>
  <c r="N289" i="2"/>
  <c r="O289" i="2"/>
  <c r="K290" i="2"/>
  <c r="L290" i="2"/>
  <c r="M290" i="2"/>
  <c r="N290" i="2"/>
  <c r="O290" i="2"/>
  <c r="K291" i="2"/>
  <c r="L291" i="2"/>
  <c r="M291" i="2"/>
  <c r="N291" i="2"/>
  <c r="O291" i="2"/>
  <c r="K292" i="2"/>
  <c r="L292" i="2"/>
  <c r="M292" i="2"/>
  <c r="N292" i="2"/>
  <c r="O292" i="2"/>
  <c r="K293" i="2"/>
  <c r="L293" i="2"/>
  <c r="M293" i="2"/>
  <c r="N293" i="2"/>
  <c r="O293" i="2"/>
  <c r="K294" i="2"/>
  <c r="L294" i="2"/>
  <c r="M294" i="2"/>
  <c r="N294" i="2"/>
  <c r="O294" i="2"/>
  <c r="K295" i="2"/>
  <c r="L295" i="2"/>
  <c r="M295" i="2"/>
  <c r="N295" i="2"/>
  <c r="O295" i="2"/>
  <c r="K296" i="2"/>
  <c r="L296" i="2"/>
  <c r="M296" i="2"/>
  <c r="N296" i="2"/>
  <c r="O296" i="2"/>
  <c r="K298" i="2"/>
  <c r="L298" i="2"/>
  <c r="M298" i="2"/>
  <c r="N298" i="2"/>
  <c r="O298" i="2"/>
  <c r="K300" i="2"/>
  <c r="L300" i="2"/>
  <c r="M300" i="2"/>
  <c r="N300" i="2"/>
  <c r="O300" i="2"/>
  <c r="K301" i="2"/>
  <c r="L301" i="2"/>
  <c r="M301" i="2"/>
  <c r="N301" i="2"/>
  <c r="O301" i="2"/>
  <c r="K302" i="2"/>
  <c r="L302" i="2"/>
  <c r="M302" i="2"/>
  <c r="N302" i="2"/>
  <c r="O302" i="2"/>
  <c r="L240" i="2"/>
  <c r="M240" i="2"/>
  <c r="N240" i="2"/>
  <c r="O240" i="2"/>
  <c r="L241" i="2"/>
  <c r="M241" i="2"/>
  <c r="N241" i="2"/>
  <c r="O241" i="2"/>
  <c r="L242" i="2"/>
  <c r="M242" i="2"/>
  <c r="N242" i="2"/>
  <c r="O242" i="2"/>
  <c r="L243" i="2"/>
  <c r="M243" i="2"/>
  <c r="N243" i="2"/>
  <c r="O243" i="2"/>
  <c r="L244" i="2"/>
  <c r="M244" i="2"/>
  <c r="N244" i="2"/>
  <c r="O244" i="2"/>
  <c r="L245" i="2"/>
  <c r="M245" i="2"/>
  <c r="N245" i="2"/>
  <c r="O245" i="2"/>
  <c r="L246" i="2"/>
  <c r="M246" i="2"/>
  <c r="N246" i="2"/>
  <c r="O246" i="2"/>
  <c r="L247" i="2"/>
  <c r="M247" i="2"/>
  <c r="N247" i="2"/>
  <c r="O247" i="2"/>
  <c r="L248" i="2"/>
  <c r="M248" i="2"/>
  <c r="N248" i="2"/>
  <c r="O248" i="2"/>
  <c r="L249" i="2"/>
  <c r="M249" i="2"/>
  <c r="N249" i="2"/>
  <c r="O249" i="2"/>
  <c r="L250" i="2"/>
  <c r="M250" i="2"/>
  <c r="N250" i="2"/>
  <c r="O250" i="2"/>
  <c r="L251" i="2"/>
  <c r="M251" i="2"/>
  <c r="N251" i="2"/>
  <c r="O251" i="2"/>
  <c r="L252" i="2"/>
  <c r="M252" i="2"/>
  <c r="N252" i="2"/>
  <c r="O252" i="2"/>
  <c r="L253" i="2"/>
  <c r="M253" i="2"/>
  <c r="N253" i="2"/>
  <c r="O253" i="2"/>
  <c r="L254" i="2"/>
  <c r="M254" i="2"/>
  <c r="N254" i="2"/>
  <c r="O254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61" i="2"/>
  <c r="M261" i="2"/>
  <c r="N261" i="2"/>
  <c r="O261" i="2"/>
  <c r="L264" i="2"/>
  <c r="M264" i="2"/>
  <c r="N264" i="2"/>
  <c r="O264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O848" i="2" l="1"/>
  <c r="N338" i="2"/>
  <c r="O542" i="2"/>
  <c r="O882" i="2"/>
  <c r="O950" i="2"/>
  <c r="L304" i="2"/>
  <c r="M372" i="2"/>
  <c r="N440" i="2"/>
  <c r="N508" i="2"/>
  <c r="N712" i="2"/>
  <c r="N780" i="2"/>
  <c r="N882" i="2"/>
  <c r="N916" i="2"/>
  <c r="M270" i="2"/>
  <c r="O304" i="2"/>
  <c r="L338" i="2"/>
  <c r="M406" i="2"/>
  <c r="M474" i="2"/>
  <c r="M508" i="2"/>
  <c r="M542" i="2"/>
  <c r="M576" i="2"/>
  <c r="M610" i="2"/>
  <c r="M644" i="2"/>
  <c r="M678" i="2"/>
  <c r="M712" i="2"/>
  <c r="M746" i="2"/>
  <c r="M780" i="2"/>
  <c r="M814" i="2"/>
  <c r="M848" i="2"/>
  <c r="M882" i="2"/>
  <c r="M916" i="2"/>
  <c r="M950" i="2"/>
  <c r="O270" i="2"/>
  <c r="M304" i="2"/>
  <c r="N372" i="2"/>
  <c r="O406" i="2"/>
  <c r="O440" i="2"/>
  <c r="O474" i="2"/>
  <c r="O508" i="2"/>
  <c r="O576" i="2"/>
  <c r="O610" i="2"/>
  <c r="O644" i="2"/>
  <c r="O678" i="2"/>
  <c r="O712" i="2"/>
  <c r="O746" i="2"/>
  <c r="O780" i="2"/>
  <c r="O814" i="2"/>
  <c r="O916" i="2"/>
  <c r="N270" i="2"/>
  <c r="M338" i="2"/>
  <c r="N406" i="2"/>
  <c r="N474" i="2"/>
  <c r="N542" i="2"/>
  <c r="N576" i="2"/>
  <c r="N610" i="2"/>
  <c r="N644" i="2"/>
  <c r="N678" i="2"/>
  <c r="N746" i="2"/>
  <c r="N814" i="2"/>
  <c r="N848" i="2"/>
  <c r="N950" i="2"/>
  <c r="K304" i="2"/>
  <c r="L372" i="2"/>
  <c r="M440" i="2"/>
  <c r="L270" i="2"/>
  <c r="N304" i="2"/>
  <c r="O338" i="2"/>
  <c r="O372" i="2"/>
  <c r="K372" i="2"/>
  <c r="L406" i="2"/>
  <c r="L440" i="2"/>
  <c r="L474" i="2"/>
  <c r="L508" i="2"/>
  <c r="L542" i="2"/>
  <c r="L576" i="2"/>
  <c r="L610" i="2"/>
  <c r="L644" i="2"/>
  <c r="L678" i="2"/>
  <c r="L712" i="2"/>
  <c r="L746" i="2"/>
  <c r="L780" i="2"/>
  <c r="L814" i="2"/>
  <c r="L848" i="2"/>
  <c r="L882" i="2"/>
  <c r="L916" i="2"/>
  <c r="L950" i="2"/>
  <c r="D948" i="2"/>
  <c r="E948" i="2"/>
  <c r="F948" i="2"/>
  <c r="G948" i="2"/>
  <c r="H948" i="2"/>
  <c r="I948" i="2"/>
  <c r="J948" i="2"/>
  <c r="K948" i="2"/>
  <c r="D914" i="2"/>
  <c r="E914" i="2"/>
  <c r="F914" i="2"/>
  <c r="G914" i="2"/>
  <c r="H914" i="2"/>
  <c r="I914" i="2"/>
  <c r="J914" i="2"/>
  <c r="K914" i="2"/>
  <c r="D880" i="2"/>
  <c r="E880" i="2"/>
  <c r="F880" i="2"/>
  <c r="G880" i="2"/>
  <c r="H880" i="2"/>
  <c r="I880" i="2"/>
  <c r="J880" i="2"/>
  <c r="K880" i="2"/>
  <c r="D846" i="2"/>
  <c r="E846" i="2"/>
  <c r="F846" i="2"/>
  <c r="G846" i="2"/>
  <c r="H846" i="2"/>
  <c r="I846" i="2"/>
  <c r="J846" i="2"/>
  <c r="K846" i="2"/>
  <c r="D812" i="2"/>
  <c r="E812" i="2"/>
  <c r="F812" i="2"/>
  <c r="G812" i="2"/>
  <c r="H812" i="2"/>
  <c r="I812" i="2"/>
  <c r="J812" i="2"/>
  <c r="K812" i="2"/>
  <c r="D778" i="2"/>
  <c r="E778" i="2"/>
  <c r="F778" i="2"/>
  <c r="G778" i="2"/>
  <c r="H778" i="2"/>
  <c r="I778" i="2"/>
  <c r="J778" i="2"/>
  <c r="K778" i="2"/>
  <c r="D744" i="2"/>
  <c r="E744" i="2"/>
  <c r="F744" i="2"/>
  <c r="G744" i="2"/>
  <c r="H744" i="2"/>
  <c r="I744" i="2"/>
  <c r="J744" i="2"/>
  <c r="K744" i="2"/>
  <c r="D710" i="2"/>
  <c r="E710" i="2"/>
  <c r="F710" i="2"/>
  <c r="G710" i="2"/>
  <c r="H710" i="2"/>
  <c r="I710" i="2"/>
  <c r="J710" i="2"/>
  <c r="K710" i="2"/>
  <c r="D676" i="2"/>
  <c r="E676" i="2"/>
  <c r="F676" i="2"/>
  <c r="G676" i="2"/>
  <c r="H676" i="2"/>
  <c r="I676" i="2"/>
  <c r="J676" i="2"/>
  <c r="K676" i="2"/>
  <c r="D642" i="2"/>
  <c r="E642" i="2"/>
  <c r="F642" i="2"/>
  <c r="G642" i="2"/>
  <c r="H642" i="2"/>
  <c r="I642" i="2"/>
  <c r="J642" i="2"/>
  <c r="K642" i="2"/>
  <c r="D608" i="2"/>
  <c r="E608" i="2"/>
  <c r="F608" i="2"/>
  <c r="G608" i="2"/>
  <c r="H608" i="2"/>
  <c r="I608" i="2"/>
  <c r="J608" i="2"/>
  <c r="K608" i="2"/>
  <c r="D574" i="2"/>
  <c r="E574" i="2"/>
  <c r="F574" i="2"/>
  <c r="G574" i="2"/>
  <c r="H574" i="2"/>
  <c r="I574" i="2"/>
  <c r="J574" i="2"/>
  <c r="K574" i="2"/>
  <c r="D540" i="2"/>
  <c r="E540" i="2"/>
  <c r="F540" i="2"/>
  <c r="G540" i="2"/>
  <c r="H540" i="2"/>
  <c r="I540" i="2"/>
  <c r="J540" i="2"/>
  <c r="K540" i="2"/>
  <c r="D506" i="2"/>
  <c r="E506" i="2"/>
  <c r="F506" i="2"/>
  <c r="G506" i="2"/>
  <c r="H506" i="2"/>
  <c r="I506" i="2"/>
  <c r="J506" i="2"/>
  <c r="K506" i="2"/>
  <c r="D472" i="2"/>
  <c r="E472" i="2"/>
  <c r="F472" i="2"/>
  <c r="G472" i="2"/>
  <c r="H472" i="2"/>
  <c r="I472" i="2"/>
  <c r="J472" i="2"/>
  <c r="K472" i="2"/>
  <c r="Y472" i="2" l="1"/>
  <c r="Y506" i="2"/>
  <c r="Y540" i="2"/>
  <c r="Y574" i="2"/>
  <c r="Y608" i="2"/>
  <c r="Y642" i="2"/>
  <c r="Y676" i="2"/>
  <c r="Y710" i="2"/>
  <c r="Y744" i="2"/>
  <c r="Y778" i="2"/>
  <c r="Y812" i="2"/>
  <c r="Y846" i="2"/>
  <c r="Y880" i="2"/>
  <c r="Y914" i="2"/>
  <c r="Y948" i="2"/>
  <c r="D438" i="2"/>
  <c r="E438" i="2"/>
  <c r="F438" i="2"/>
  <c r="G438" i="2"/>
  <c r="H438" i="2"/>
  <c r="I438" i="2"/>
  <c r="J438" i="2"/>
  <c r="K438" i="2"/>
  <c r="D404" i="2"/>
  <c r="E404" i="2"/>
  <c r="F404" i="2"/>
  <c r="G404" i="2"/>
  <c r="H404" i="2"/>
  <c r="I404" i="2"/>
  <c r="J404" i="2"/>
  <c r="K404" i="2"/>
  <c r="D370" i="2"/>
  <c r="E370" i="2"/>
  <c r="F370" i="2"/>
  <c r="G370" i="2"/>
  <c r="H370" i="2"/>
  <c r="I370" i="2"/>
  <c r="J370" i="2"/>
  <c r="K370" i="2"/>
  <c r="D336" i="2"/>
  <c r="E336" i="2"/>
  <c r="F336" i="2"/>
  <c r="G336" i="2"/>
  <c r="H336" i="2"/>
  <c r="I336" i="2"/>
  <c r="J336" i="2"/>
  <c r="K336" i="2"/>
  <c r="D302" i="2"/>
  <c r="E302" i="2"/>
  <c r="F302" i="2"/>
  <c r="G302" i="2"/>
  <c r="H302" i="2"/>
  <c r="I302" i="2"/>
  <c r="J302" i="2"/>
  <c r="D268" i="2"/>
  <c r="E268" i="2"/>
  <c r="F268" i="2"/>
  <c r="G268" i="2"/>
  <c r="H268" i="2"/>
  <c r="I268" i="2"/>
  <c r="J268" i="2"/>
  <c r="K268" i="2"/>
  <c r="Y404" i="2" l="1"/>
  <c r="Y302" i="2"/>
  <c r="Y370" i="2"/>
  <c r="Y438" i="2"/>
  <c r="Y268" i="2"/>
  <c r="Y336" i="2"/>
  <c r="Z71" i="2" l="1"/>
  <c r="Z87" i="2"/>
  <c r="Z74" i="2"/>
  <c r="Z76" i="2"/>
  <c r="Z92" i="2"/>
  <c r="Z73" i="2"/>
  <c r="Z89" i="2"/>
  <c r="Z98" i="2"/>
  <c r="Z75" i="2"/>
  <c r="Z91" i="2"/>
  <c r="Z86" i="2"/>
  <c r="Z80" i="2"/>
  <c r="Z96" i="2"/>
  <c r="Z77" i="2"/>
  <c r="Z93" i="2"/>
  <c r="Z79" i="2"/>
  <c r="Z94" i="2"/>
  <c r="Z84" i="2"/>
  <c r="Z78" i="2"/>
  <c r="Z81" i="2"/>
  <c r="Z97" i="2"/>
  <c r="Z72" i="2"/>
  <c r="Z82" i="2"/>
  <c r="Z88" i="2"/>
  <c r="Z83" i="2"/>
  <c r="Z90" i="2"/>
  <c r="Z70" i="2"/>
  <c r="Z85" i="2"/>
  <c r="Z215" i="2"/>
  <c r="Z230" i="2"/>
  <c r="Z220" i="2"/>
  <c r="Z216" i="2"/>
  <c r="Z221" i="2"/>
  <c r="Z210" i="2"/>
  <c r="Z226" i="2"/>
  <c r="Z219" i="2"/>
  <c r="Z206" i="2"/>
  <c r="Z224" i="2"/>
  <c r="Z209" i="2"/>
  <c r="Z225" i="2"/>
  <c r="Z214" i="2"/>
  <c r="Z207" i="2"/>
  <c r="Z223" i="2"/>
  <c r="Z208" i="2"/>
  <c r="Z228" i="2"/>
  <c r="Z213" i="2"/>
  <c r="Z229" i="2"/>
  <c r="Z218" i="2"/>
  <c r="Z234" i="2"/>
  <c r="Z227" i="2"/>
  <c r="Z233" i="2"/>
  <c r="Z212" i="2"/>
  <c r="Z222" i="2"/>
  <c r="Z232" i="2"/>
  <c r="Z211" i="2"/>
  <c r="Z217" i="2"/>
  <c r="Z37" i="2"/>
  <c r="Z41" i="2"/>
  <c r="Z45" i="2"/>
  <c r="Z49" i="2"/>
  <c r="Z53" i="2"/>
  <c r="Z57" i="2"/>
  <c r="Z60" i="2"/>
  <c r="Z36" i="2"/>
  <c r="Z42" i="2"/>
  <c r="Z58" i="2"/>
  <c r="Z38" i="2"/>
  <c r="Z39" i="2"/>
  <c r="Z43" i="2"/>
  <c r="Z47" i="2"/>
  <c r="Z51" i="2"/>
  <c r="Z55" i="2"/>
  <c r="Z59" i="2"/>
  <c r="Z63" i="2"/>
  <c r="Z46" i="2"/>
  <c r="Z62" i="2"/>
  <c r="Z40" i="2"/>
  <c r="Z44" i="2"/>
  <c r="Z48" i="2"/>
  <c r="Z52" i="2"/>
  <c r="Z56" i="2"/>
  <c r="Z64" i="2"/>
  <c r="Z50" i="2"/>
  <c r="Z54" i="2"/>
  <c r="Z106" i="2"/>
  <c r="Z122" i="2"/>
  <c r="Z121" i="2"/>
  <c r="Z115" i="2"/>
  <c r="Z131" i="2"/>
  <c r="Z112" i="2"/>
  <c r="Z128" i="2"/>
  <c r="Z110" i="2"/>
  <c r="Z126" i="2"/>
  <c r="Z104" i="2"/>
  <c r="Z119" i="2"/>
  <c r="Z113" i="2"/>
  <c r="Z116" i="2"/>
  <c r="Z132" i="2"/>
  <c r="Z114" i="2"/>
  <c r="Z130" i="2"/>
  <c r="Z107" i="2"/>
  <c r="Z123" i="2"/>
  <c r="Z125" i="2"/>
  <c r="Z120" i="2"/>
  <c r="Z105" i="2"/>
  <c r="Z118" i="2"/>
  <c r="Z108" i="2"/>
  <c r="Z109" i="2"/>
  <c r="Z124" i="2"/>
  <c r="Z111" i="2"/>
  <c r="Z117" i="2"/>
  <c r="Z127" i="2"/>
  <c r="Z185" i="2"/>
  <c r="Z172" i="2"/>
  <c r="Z186" i="2"/>
  <c r="Z175" i="2"/>
  <c r="Z191" i="2"/>
  <c r="Z180" i="2"/>
  <c r="Z173" i="2"/>
  <c r="Z189" i="2"/>
  <c r="Z174" i="2"/>
  <c r="Z190" i="2"/>
  <c r="Z179" i="2"/>
  <c r="Z195" i="2"/>
  <c r="Z184" i="2"/>
  <c r="Z200" i="2"/>
  <c r="Z177" i="2"/>
  <c r="Z193" i="2"/>
  <c r="Z178" i="2"/>
  <c r="Z194" i="2"/>
  <c r="Z183" i="2"/>
  <c r="Z199" i="2"/>
  <c r="Z188" i="2"/>
  <c r="Z182" i="2"/>
  <c r="Z192" i="2"/>
  <c r="Z198" i="2"/>
  <c r="Z181" i="2"/>
  <c r="Z187" i="2"/>
  <c r="Z196" i="2"/>
  <c r="Z176" i="2"/>
  <c r="Z144" i="2"/>
  <c r="Z160" i="2"/>
  <c r="Z141" i="2"/>
  <c r="Z157" i="2"/>
  <c r="Z151" i="2"/>
  <c r="Z150" i="2"/>
  <c r="Z166" i="2"/>
  <c r="Z148" i="2"/>
  <c r="Z164" i="2"/>
  <c r="Z145" i="2"/>
  <c r="Z161" i="2"/>
  <c r="Z162" i="2"/>
  <c r="Z154" i="2"/>
  <c r="Z143" i="2"/>
  <c r="Z152" i="2"/>
  <c r="Z139" i="2"/>
  <c r="Z149" i="2"/>
  <c r="Z165" i="2"/>
  <c r="Z142" i="2"/>
  <c r="Z158" i="2"/>
  <c r="Z155" i="2"/>
  <c r="Z140" i="2"/>
  <c r="Z147" i="2"/>
  <c r="Z156" i="2"/>
  <c r="Z146" i="2"/>
  <c r="Z159" i="2"/>
  <c r="Z153" i="2"/>
  <c r="Z138" i="2"/>
  <c r="E947" i="2"/>
  <c r="F947" i="2"/>
  <c r="G947" i="2"/>
  <c r="H947" i="2"/>
  <c r="I947" i="2"/>
  <c r="J947" i="2"/>
  <c r="K947" i="2"/>
  <c r="D947" i="2"/>
  <c r="E913" i="2"/>
  <c r="F913" i="2"/>
  <c r="G913" i="2"/>
  <c r="H913" i="2"/>
  <c r="I913" i="2"/>
  <c r="J913" i="2"/>
  <c r="K913" i="2"/>
  <c r="D913" i="2"/>
  <c r="E879" i="2"/>
  <c r="F879" i="2"/>
  <c r="G879" i="2"/>
  <c r="H879" i="2"/>
  <c r="I879" i="2"/>
  <c r="J879" i="2"/>
  <c r="K879" i="2"/>
  <c r="D879" i="2"/>
  <c r="E845" i="2"/>
  <c r="F845" i="2"/>
  <c r="G845" i="2"/>
  <c r="H845" i="2"/>
  <c r="I845" i="2"/>
  <c r="J845" i="2"/>
  <c r="K845" i="2"/>
  <c r="D845" i="2"/>
  <c r="E811" i="2"/>
  <c r="F811" i="2"/>
  <c r="G811" i="2"/>
  <c r="H811" i="2"/>
  <c r="I811" i="2"/>
  <c r="J811" i="2"/>
  <c r="K811" i="2"/>
  <c r="D811" i="2"/>
  <c r="E777" i="2"/>
  <c r="F777" i="2"/>
  <c r="G777" i="2"/>
  <c r="H777" i="2"/>
  <c r="I777" i="2"/>
  <c r="J777" i="2"/>
  <c r="K777" i="2"/>
  <c r="D777" i="2"/>
  <c r="E743" i="2"/>
  <c r="F743" i="2"/>
  <c r="G743" i="2"/>
  <c r="H743" i="2"/>
  <c r="I743" i="2"/>
  <c r="J743" i="2"/>
  <c r="K743" i="2"/>
  <c r="D743" i="2"/>
  <c r="E709" i="2"/>
  <c r="F709" i="2"/>
  <c r="G709" i="2"/>
  <c r="H709" i="2"/>
  <c r="I709" i="2"/>
  <c r="J709" i="2"/>
  <c r="K709" i="2"/>
  <c r="D709" i="2"/>
  <c r="E675" i="2"/>
  <c r="F675" i="2"/>
  <c r="G675" i="2"/>
  <c r="H675" i="2"/>
  <c r="I675" i="2"/>
  <c r="J675" i="2"/>
  <c r="K675" i="2"/>
  <c r="D675" i="2"/>
  <c r="E641" i="2"/>
  <c r="F641" i="2"/>
  <c r="G641" i="2"/>
  <c r="H641" i="2"/>
  <c r="I641" i="2"/>
  <c r="J641" i="2"/>
  <c r="K641" i="2"/>
  <c r="D641" i="2"/>
  <c r="E607" i="2"/>
  <c r="F607" i="2"/>
  <c r="G607" i="2"/>
  <c r="H607" i="2"/>
  <c r="I607" i="2"/>
  <c r="J607" i="2"/>
  <c r="K607" i="2"/>
  <c r="D607" i="2"/>
  <c r="E573" i="2"/>
  <c r="F573" i="2"/>
  <c r="G573" i="2"/>
  <c r="H573" i="2"/>
  <c r="I573" i="2"/>
  <c r="J573" i="2"/>
  <c r="K573" i="2"/>
  <c r="D573" i="2"/>
  <c r="E539" i="2"/>
  <c r="F539" i="2"/>
  <c r="G539" i="2"/>
  <c r="H539" i="2"/>
  <c r="I539" i="2"/>
  <c r="J539" i="2"/>
  <c r="K539" i="2"/>
  <c r="D539" i="2"/>
  <c r="E505" i="2"/>
  <c r="F505" i="2"/>
  <c r="G505" i="2"/>
  <c r="H505" i="2"/>
  <c r="I505" i="2"/>
  <c r="J505" i="2"/>
  <c r="K505" i="2"/>
  <c r="D505" i="2"/>
  <c r="E471" i="2"/>
  <c r="F471" i="2"/>
  <c r="G471" i="2"/>
  <c r="H471" i="2"/>
  <c r="I471" i="2"/>
  <c r="J471" i="2"/>
  <c r="K471" i="2"/>
  <c r="D471" i="2"/>
  <c r="E437" i="2"/>
  <c r="F437" i="2"/>
  <c r="G437" i="2"/>
  <c r="H437" i="2"/>
  <c r="I437" i="2"/>
  <c r="J437" i="2"/>
  <c r="K437" i="2"/>
  <c r="D437" i="2"/>
  <c r="E403" i="2"/>
  <c r="F403" i="2"/>
  <c r="G403" i="2"/>
  <c r="H403" i="2"/>
  <c r="I403" i="2"/>
  <c r="J403" i="2"/>
  <c r="K403" i="2"/>
  <c r="D403" i="2"/>
  <c r="E369" i="2"/>
  <c r="F369" i="2"/>
  <c r="G369" i="2"/>
  <c r="H369" i="2"/>
  <c r="I369" i="2"/>
  <c r="J369" i="2"/>
  <c r="K369" i="2"/>
  <c r="D369" i="2"/>
  <c r="E335" i="2"/>
  <c r="F335" i="2"/>
  <c r="G335" i="2"/>
  <c r="H335" i="2"/>
  <c r="I335" i="2"/>
  <c r="J335" i="2"/>
  <c r="K335" i="2"/>
  <c r="D335" i="2"/>
  <c r="E301" i="2"/>
  <c r="F301" i="2"/>
  <c r="G301" i="2"/>
  <c r="H301" i="2"/>
  <c r="I301" i="2"/>
  <c r="J301" i="2"/>
  <c r="D301" i="2"/>
  <c r="E267" i="2"/>
  <c r="F267" i="2"/>
  <c r="G267" i="2"/>
  <c r="H267" i="2"/>
  <c r="I267" i="2"/>
  <c r="J267" i="2"/>
  <c r="K267" i="2"/>
  <c r="D267" i="2"/>
  <c r="Y369" i="2" l="1"/>
  <c r="Y403" i="2"/>
  <c r="Y471" i="2"/>
  <c r="Y505" i="2"/>
  <c r="Y539" i="2"/>
  <c r="Y573" i="2"/>
  <c r="Y607" i="2"/>
  <c r="Y641" i="2"/>
  <c r="Y675" i="2"/>
  <c r="Y709" i="2"/>
  <c r="Y743" i="2"/>
  <c r="Y777" i="2"/>
  <c r="Y811" i="2"/>
  <c r="Y845" i="2"/>
  <c r="Y879" i="2"/>
  <c r="Y913" i="2"/>
  <c r="Y947" i="2"/>
  <c r="Y335" i="2"/>
  <c r="Y437" i="2"/>
  <c r="Y267" i="2"/>
  <c r="Y301" i="2"/>
  <c r="K946" i="2"/>
  <c r="J946" i="2"/>
  <c r="I946" i="2"/>
  <c r="H946" i="2"/>
  <c r="G946" i="2"/>
  <c r="F946" i="2"/>
  <c r="E946" i="2"/>
  <c r="D946" i="2"/>
  <c r="K944" i="2"/>
  <c r="J944" i="2"/>
  <c r="I944" i="2"/>
  <c r="H944" i="2"/>
  <c r="G944" i="2"/>
  <c r="F944" i="2"/>
  <c r="E944" i="2"/>
  <c r="D944" i="2"/>
  <c r="K943" i="2"/>
  <c r="J943" i="2"/>
  <c r="I943" i="2"/>
  <c r="H943" i="2"/>
  <c r="G943" i="2"/>
  <c r="F943" i="2"/>
  <c r="E943" i="2"/>
  <c r="D943" i="2"/>
  <c r="K942" i="2"/>
  <c r="J942" i="2"/>
  <c r="I942" i="2"/>
  <c r="H942" i="2"/>
  <c r="G942" i="2"/>
  <c r="F942" i="2"/>
  <c r="E942" i="2"/>
  <c r="D942" i="2"/>
  <c r="K941" i="2"/>
  <c r="J941" i="2"/>
  <c r="I941" i="2"/>
  <c r="H941" i="2"/>
  <c r="G941" i="2"/>
  <c r="F941" i="2"/>
  <c r="E941" i="2"/>
  <c r="D941" i="2"/>
  <c r="K940" i="2"/>
  <c r="J940" i="2"/>
  <c r="I940" i="2"/>
  <c r="H940" i="2"/>
  <c r="G940" i="2"/>
  <c r="F940" i="2"/>
  <c r="E940" i="2"/>
  <c r="D940" i="2"/>
  <c r="K939" i="2"/>
  <c r="J939" i="2"/>
  <c r="I939" i="2"/>
  <c r="H939" i="2"/>
  <c r="G939" i="2"/>
  <c r="F939" i="2"/>
  <c r="E939" i="2"/>
  <c r="D939" i="2"/>
  <c r="K938" i="2"/>
  <c r="J938" i="2"/>
  <c r="I938" i="2"/>
  <c r="H938" i="2"/>
  <c r="G938" i="2"/>
  <c r="F938" i="2"/>
  <c r="E938" i="2"/>
  <c r="D938" i="2"/>
  <c r="K937" i="2"/>
  <c r="J937" i="2"/>
  <c r="I937" i="2"/>
  <c r="H937" i="2"/>
  <c r="G937" i="2"/>
  <c r="F937" i="2"/>
  <c r="E937" i="2"/>
  <c r="D937" i="2"/>
  <c r="K936" i="2"/>
  <c r="J936" i="2"/>
  <c r="I936" i="2"/>
  <c r="H936" i="2"/>
  <c r="G936" i="2"/>
  <c r="F936" i="2"/>
  <c r="E936" i="2"/>
  <c r="D936" i="2"/>
  <c r="K935" i="2"/>
  <c r="J935" i="2"/>
  <c r="I935" i="2"/>
  <c r="H935" i="2"/>
  <c r="G935" i="2"/>
  <c r="F935" i="2"/>
  <c r="E935" i="2"/>
  <c r="D935" i="2"/>
  <c r="K934" i="2"/>
  <c r="J934" i="2"/>
  <c r="I934" i="2"/>
  <c r="H934" i="2"/>
  <c r="G934" i="2"/>
  <c r="F934" i="2"/>
  <c r="E934" i="2"/>
  <c r="D934" i="2"/>
  <c r="K933" i="2"/>
  <c r="J933" i="2"/>
  <c r="I933" i="2"/>
  <c r="H933" i="2"/>
  <c r="G933" i="2"/>
  <c r="F933" i="2"/>
  <c r="E933" i="2"/>
  <c r="D933" i="2"/>
  <c r="K932" i="2"/>
  <c r="J932" i="2"/>
  <c r="I932" i="2"/>
  <c r="H932" i="2"/>
  <c r="G932" i="2"/>
  <c r="F932" i="2"/>
  <c r="E932" i="2"/>
  <c r="D932" i="2"/>
  <c r="K931" i="2"/>
  <c r="J931" i="2"/>
  <c r="I931" i="2"/>
  <c r="H931" i="2"/>
  <c r="G931" i="2"/>
  <c r="F931" i="2"/>
  <c r="E931" i="2"/>
  <c r="D931" i="2"/>
  <c r="K930" i="2"/>
  <c r="J930" i="2"/>
  <c r="I930" i="2"/>
  <c r="H930" i="2"/>
  <c r="G930" i="2"/>
  <c r="F930" i="2"/>
  <c r="E930" i="2"/>
  <c r="D930" i="2"/>
  <c r="K929" i="2"/>
  <c r="J929" i="2"/>
  <c r="I929" i="2"/>
  <c r="H929" i="2"/>
  <c r="G929" i="2"/>
  <c r="F929" i="2"/>
  <c r="E929" i="2"/>
  <c r="D929" i="2"/>
  <c r="K928" i="2"/>
  <c r="J928" i="2"/>
  <c r="I928" i="2"/>
  <c r="H928" i="2"/>
  <c r="G928" i="2"/>
  <c r="F928" i="2"/>
  <c r="E928" i="2"/>
  <c r="D928" i="2"/>
  <c r="K927" i="2"/>
  <c r="J927" i="2"/>
  <c r="I927" i="2"/>
  <c r="H927" i="2"/>
  <c r="G927" i="2"/>
  <c r="F927" i="2"/>
  <c r="E927" i="2"/>
  <c r="D927" i="2"/>
  <c r="K926" i="2"/>
  <c r="J926" i="2"/>
  <c r="I926" i="2"/>
  <c r="H926" i="2"/>
  <c r="G926" i="2"/>
  <c r="F926" i="2"/>
  <c r="E926" i="2"/>
  <c r="D926" i="2"/>
  <c r="K925" i="2"/>
  <c r="J925" i="2"/>
  <c r="I925" i="2"/>
  <c r="H925" i="2"/>
  <c r="G925" i="2"/>
  <c r="F925" i="2"/>
  <c r="E925" i="2"/>
  <c r="D925" i="2"/>
  <c r="K924" i="2"/>
  <c r="J924" i="2"/>
  <c r="I924" i="2"/>
  <c r="H924" i="2"/>
  <c r="G924" i="2"/>
  <c r="F924" i="2"/>
  <c r="E924" i="2"/>
  <c r="D924" i="2"/>
  <c r="K923" i="2"/>
  <c r="J923" i="2"/>
  <c r="I923" i="2"/>
  <c r="H923" i="2"/>
  <c r="G923" i="2"/>
  <c r="F923" i="2"/>
  <c r="E923" i="2"/>
  <c r="D923" i="2"/>
  <c r="K922" i="2"/>
  <c r="J922" i="2"/>
  <c r="I922" i="2"/>
  <c r="H922" i="2"/>
  <c r="G922" i="2"/>
  <c r="F922" i="2"/>
  <c r="E922" i="2"/>
  <c r="D922" i="2"/>
  <c r="K921" i="2"/>
  <c r="J921" i="2"/>
  <c r="I921" i="2"/>
  <c r="H921" i="2"/>
  <c r="G921" i="2"/>
  <c r="F921" i="2"/>
  <c r="E921" i="2"/>
  <c r="D921" i="2"/>
  <c r="K920" i="2"/>
  <c r="K950" i="2" s="1"/>
  <c r="J920" i="2"/>
  <c r="I920" i="2"/>
  <c r="I950" i="2" s="1"/>
  <c r="H920" i="2"/>
  <c r="H950" i="2" s="1"/>
  <c r="G920" i="2"/>
  <c r="G950" i="2" s="1"/>
  <c r="F920" i="2"/>
  <c r="F950" i="2" s="1"/>
  <c r="E920" i="2"/>
  <c r="E950" i="2" s="1"/>
  <c r="D920" i="2"/>
  <c r="D950" i="2" s="1"/>
  <c r="K912" i="2"/>
  <c r="J912" i="2"/>
  <c r="I912" i="2"/>
  <c r="H912" i="2"/>
  <c r="G912" i="2"/>
  <c r="F912" i="2"/>
  <c r="E912" i="2"/>
  <c r="D912" i="2"/>
  <c r="K910" i="2"/>
  <c r="J910" i="2"/>
  <c r="I910" i="2"/>
  <c r="H910" i="2"/>
  <c r="G910" i="2"/>
  <c r="F910" i="2"/>
  <c r="E910" i="2"/>
  <c r="D910" i="2"/>
  <c r="K909" i="2"/>
  <c r="J909" i="2"/>
  <c r="I909" i="2"/>
  <c r="H909" i="2"/>
  <c r="G909" i="2"/>
  <c r="F909" i="2"/>
  <c r="E909" i="2"/>
  <c r="D909" i="2"/>
  <c r="K908" i="2"/>
  <c r="J908" i="2"/>
  <c r="I908" i="2"/>
  <c r="H908" i="2"/>
  <c r="G908" i="2"/>
  <c r="F908" i="2"/>
  <c r="E908" i="2"/>
  <c r="D908" i="2"/>
  <c r="K907" i="2"/>
  <c r="J907" i="2"/>
  <c r="I907" i="2"/>
  <c r="H907" i="2"/>
  <c r="G907" i="2"/>
  <c r="F907" i="2"/>
  <c r="E907" i="2"/>
  <c r="D907" i="2"/>
  <c r="K906" i="2"/>
  <c r="J906" i="2"/>
  <c r="I906" i="2"/>
  <c r="H906" i="2"/>
  <c r="G906" i="2"/>
  <c r="F906" i="2"/>
  <c r="E906" i="2"/>
  <c r="D906" i="2"/>
  <c r="K905" i="2"/>
  <c r="J905" i="2"/>
  <c r="I905" i="2"/>
  <c r="H905" i="2"/>
  <c r="G905" i="2"/>
  <c r="F905" i="2"/>
  <c r="E905" i="2"/>
  <c r="D905" i="2"/>
  <c r="K904" i="2"/>
  <c r="J904" i="2"/>
  <c r="I904" i="2"/>
  <c r="H904" i="2"/>
  <c r="G904" i="2"/>
  <c r="F904" i="2"/>
  <c r="E904" i="2"/>
  <c r="D904" i="2"/>
  <c r="K903" i="2"/>
  <c r="J903" i="2"/>
  <c r="I903" i="2"/>
  <c r="H903" i="2"/>
  <c r="G903" i="2"/>
  <c r="F903" i="2"/>
  <c r="E903" i="2"/>
  <c r="D903" i="2"/>
  <c r="K902" i="2"/>
  <c r="J902" i="2"/>
  <c r="I902" i="2"/>
  <c r="H902" i="2"/>
  <c r="G902" i="2"/>
  <c r="F902" i="2"/>
  <c r="E902" i="2"/>
  <c r="D902" i="2"/>
  <c r="K901" i="2"/>
  <c r="J901" i="2"/>
  <c r="I901" i="2"/>
  <c r="H901" i="2"/>
  <c r="G901" i="2"/>
  <c r="F901" i="2"/>
  <c r="E901" i="2"/>
  <c r="D901" i="2"/>
  <c r="K900" i="2"/>
  <c r="J900" i="2"/>
  <c r="I900" i="2"/>
  <c r="H900" i="2"/>
  <c r="G900" i="2"/>
  <c r="F900" i="2"/>
  <c r="E900" i="2"/>
  <c r="D900" i="2"/>
  <c r="K899" i="2"/>
  <c r="J899" i="2"/>
  <c r="I899" i="2"/>
  <c r="H899" i="2"/>
  <c r="G899" i="2"/>
  <c r="F899" i="2"/>
  <c r="E899" i="2"/>
  <c r="D899" i="2"/>
  <c r="K898" i="2"/>
  <c r="J898" i="2"/>
  <c r="I898" i="2"/>
  <c r="H898" i="2"/>
  <c r="G898" i="2"/>
  <c r="F898" i="2"/>
  <c r="E898" i="2"/>
  <c r="D898" i="2"/>
  <c r="K897" i="2"/>
  <c r="J897" i="2"/>
  <c r="I897" i="2"/>
  <c r="H897" i="2"/>
  <c r="G897" i="2"/>
  <c r="F897" i="2"/>
  <c r="E897" i="2"/>
  <c r="D897" i="2"/>
  <c r="K896" i="2"/>
  <c r="J896" i="2"/>
  <c r="I896" i="2"/>
  <c r="H896" i="2"/>
  <c r="G896" i="2"/>
  <c r="F896" i="2"/>
  <c r="E896" i="2"/>
  <c r="D896" i="2"/>
  <c r="K895" i="2"/>
  <c r="J895" i="2"/>
  <c r="I895" i="2"/>
  <c r="H895" i="2"/>
  <c r="G895" i="2"/>
  <c r="F895" i="2"/>
  <c r="E895" i="2"/>
  <c r="D895" i="2"/>
  <c r="K894" i="2"/>
  <c r="J894" i="2"/>
  <c r="I894" i="2"/>
  <c r="H894" i="2"/>
  <c r="G894" i="2"/>
  <c r="F894" i="2"/>
  <c r="E894" i="2"/>
  <c r="D894" i="2"/>
  <c r="K893" i="2"/>
  <c r="J893" i="2"/>
  <c r="I893" i="2"/>
  <c r="H893" i="2"/>
  <c r="G893" i="2"/>
  <c r="F893" i="2"/>
  <c r="E893" i="2"/>
  <c r="D893" i="2"/>
  <c r="K892" i="2"/>
  <c r="J892" i="2"/>
  <c r="I892" i="2"/>
  <c r="H892" i="2"/>
  <c r="G892" i="2"/>
  <c r="F892" i="2"/>
  <c r="E892" i="2"/>
  <c r="D892" i="2"/>
  <c r="K891" i="2"/>
  <c r="J891" i="2"/>
  <c r="I891" i="2"/>
  <c r="H891" i="2"/>
  <c r="G891" i="2"/>
  <c r="F891" i="2"/>
  <c r="E891" i="2"/>
  <c r="D891" i="2"/>
  <c r="K890" i="2"/>
  <c r="J890" i="2"/>
  <c r="I890" i="2"/>
  <c r="H890" i="2"/>
  <c r="G890" i="2"/>
  <c r="F890" i="2"/>
  <c r="E890" i="2"/>
  <c r="D890" i="2"/>
  <c r="K889" i="2"/>
  <c r="J889" i="2"/>
  <c r="I889" i="2"/>
  <c r="H889" i="2"/>
  <c r="G889" i="2"/>
  <c r="F889" i="2"/>
  <c r="E889" i="2"/>
  <c r="D889" i="2"/>
  <c r="K888" i="2"/>
  <c r="J888" i="2"/>
  <c r="I888" i="2"/>
  <c r="H888" i="2"/>
  <c r="G888" i="2"/>
  <c r="F888" i="2"/>
  <c r="E888" i="2"/>
  <c r="D888" i="2"/>
  <c r="K887" i="2"/>
  <c r="J887" i="2"/>
  <c r="I887" i="2"/>
  <c r="H887" i="2"/>
  <c r="G887" i="2"/>
  <c r="F887" i="2"/>
  <c r="E887" i="2"/>
  <c r="D887" i="2"/>
  <c r="K886" i="2"/>
  <c r="K916" i="2" s="1"/>
  <c r="J886" i="2"/>
  <c r="J916" i="2" s="1"/>
  <c r="I886" i="2"/>
  <c r="I916" i="2" s="1"/>
  <c r="H886" i="2"/>
  <c r="H916" i="2" s="1"/>
  <c r="G886" i="2"/>
  <c r="G916" i="2" s="1"/>
  <c r="F886" i="2"/>
  <c r="F916" i="2" s="1"/>
  <c r="E886" i="2"/>
  <c r="E916" i="2" s="1"/>
  <c r="D886" i="2"/>
  <c r="K878" i="2"/>
  <c r="J878" i="2"/>
  <c r="I878" i="2"/>
  <c r="H878" i="2"/>
  <c r="G878" i="2"/>
  <c r="F878" i="2"/>
  <c r="E878" i="2"/>
  <c r="D878" i="2"/>
  <c r="K876" i="2"/>
  <c r="J876" i="2"/>
  <c r="I876" i="2"/>
  <c r="H876" i="2"/>
  <c r="G876" i="2"/>
  <c r="F876" i="2"/>
  <c r="E876" i="2"/>
  <c r="D876" i="2"/>
  <c r="K875" i="2"/>
  <c r="J875" i="2"/>
  <c r="I875" i="2"/>
  <c r="H875" i="2"/>
  <c r="G875" i="2"/>
  <c r="F875" i="2"/>
  <c r="E875" i="2"/>
  <c r="D875" i="2"/>
  <c r="K874" i="2"/>
  <c r="J874" i="2"/>
  <c r="I874" i="2"/>
  <c r="H874" i="2"/>
  <c r="G874" i="2"/>
  <c r="F874" i="2"/>
  <c r="E874" i="2"/>
  <c r="D874" i="2"/>
  <c r="K873" i="2"/>
  <c r="J873" i="2"/>
  <c r="I873" i="2"/>
  <c r="H873" i="2"/>
  <c r="G873" i="2"/>
  <c r="F873" i="2"/>
  <c r="E873" i="2"/>
  <c r="D873" i="2"/>
  <c r="K872" i="2"/>
  <c r="J872" i="2"/>
  <c r="I872" i="2"/>
  <c r="H872" i="2"/>
  <c r="G872" i="2"/>
  <c r="F872" i="2"/>
  <c r="E872" i="2"/>
  <c r="D872" i="2"/>
  <c r="K871" i="2"/>
  <c r="J871" i="2"/>
  <c r="I871" i="2"/>
  <c r="H871" i="2"/>
  <c r="G871" i="2"/>
  <c r="F871" i="2"/>
  <c r="E871" i="2"/>
  <c r="D871" i="2"/>
  <c r="K870" i="2"/>
  <c r="J870" i="2"/>
  <c r="I870" i="2"/>
  <c r="H870" i="2"/>
  <c r="G870" i="2"/>
  <c r="F870" i="2"/>
  <c r="E870" i="2"/>
  <c r="D870" i="2"/>
  <c r="K869" i="2"/>
  <c r="J869" i="2"/>
  <c r="I869" i="2"/>
  <c r="H869" i="2"/>
  <c r="G869" i="2"/>
  <c r="F869" i="2"/>
  <c r="E869" i="2"/>
  <c r="D869" i="2"/>
  <c r="K868" i="2"/>
  <c r="J868" i="2"/>
  <c r="I868" i="2"/>
  <c r="H868" i="2"/>
  <c r="G868" i="2"/>
  <c r="F868" i="2"/>
  <c r="E868" i="2"/>
  <c r="D868" i="2"/>
  <c r="K867" i="2"/>
  <c r="J867" i="2"/>
  <c r="I867" i="2"/>
  <c r="H867" i="2"/>
  <c r="G867" i="2"/>
  <c r="F867" i="2"/>
  <c r="E867" i="2"/>
  <c r="D867" i="2"/>
  <c r="K866" i="2"/>
  <c r="J866" i="2"/>
  <c r="I866" i="2"/>
  <c r="H866" i="2"/>
  <c r="G866" i="2"/>
  <c r="F866" i="2"/>
  <c r="E866" i="2"/>
  <c r="D866" i="2"/>
  <c r="K865" i="2"/>
  <c r="J865" i="2"/>
  <c r="I865" i="2"/>
  <c r="H865" i="2"/>
  <c r="G865" i="2"/>
  <c r="F865" i="2"/>
  <c r="E865" i="2"/>
  <c r="D865" i="2"/>
  <c r="K864" i="2"/>
  <c r="J864" i="2"/>
  <c r="I864" i="2"/>
  <c r="H864" i="2"/>
  <c r="G864" i="2"/>
  <c r="F864" i="2"/>
  <c r="E864" i="2"/>
  <c r="D864" i="2"/>
  <c r="K863" i="2"/>
  <c r="J863" i="2"/>
  <c r="I863" i="2"/>
  <c r="H863" i="2"/>
  <c r="G863" i="2"/>
  <c r="F863" i="2"/>
  <c r="E863" i="2"/>
  <c r="D863" i="2"/>
  <c r="K862" i="2"/>
  <c r="J862" i="2"/>
  <c r="I862" i="2"/>
  <c r="H862" i="2"/>
  <c r="G862" i="2"/>
  <c r="F862" i="2"/>
  <c r="E862" i="2"/>
  <c r="D862" i="2"/>
  <c r="K861" i="2"/>
  <c r="J861" i="2"/>
  <c r="I861" i="2"/>
  <c r="H861" i="2"/>
  <c r="G861" i="2"/>
  <c r="F861" i="2"/>
  <c r="E861" i="2"/>
  <c r="D861" i="2"/>
  <c r="K860" i="2"/>
  <c r="J860" i="2"/>
  <c r="I860" i="2"/>
  <c r="H860" i="2"/>
  <c r="G860" i="2"/>
  <c r="F860" i="2"/>
  <c r="E860" i="2"/>
  <c r="D860" i="2"/>
  <c r="K859" i="2"/>
  <c r="J859" i="2"/>
  <c r="I859" i="2"/>
  <c r="H859" i="2"/>
  <c r="G859" i="2"/>
  <c r="F859" i="2"/>
  <c r="E859" i="2"/>
  <c r="D859" i="2"/>
  <c r="K858" i="2"/>
  <c r="J858" i="2"/>
  <c r="I858" i="2"/>
  <c r="H858" i="2"/>
  <c r="G858" i="2"/>
  <c r="F858" i="2"/>
  <c r="E858" i="2"/>
  <c r="D858" i="2"/>
  <c r="K857" i="2"/>
  <c r="J857" i="2"/>
  <c r="I857" i="2"/>
  <c r="H857" i="2"/>
  <c r="G857" i="2"/>
  <c r="F857" i="2"/>
  <c r="E857" i="2"/>
  <c r="D857" i="2"/>
  <c r="K856" i="2"/>
  <c r="J856" i="2"/>
  <c r="I856" i="2"/>
  <c r="H856" i="2"/>
  <c r="G856" i="2"/>
  <c r="F856" i="2"/>
  <c r="E856" i="2"/>
  <c r="D856" i="2"/>
  <c r="K855" i="2"/>
  <c r="J855" i="2"/>
  <c r="I855" i="2"/>
  <c r="H855" i="2"/>
  <c r="G855" i="2"/>
  <c r="F855" i="2"/>
  <c r="E855" i="2"/>
  <c r="D855" i="2"/>
  <c r="K854" i="2"/>
  <c r="J854" i="2"/>
  <c r="I854" i="2"/>
  <c r="H854" i="2"/>
  <c r="G854" i="2"/>
  <c r="F854" i="2"/>
  <c r="E854" i="2"/>
  <c r="D854" i="2"/>
  <c r="K853" i="2"/>
  <c r="J853" i="2"/>
  <c r="I853" i="2"/>
  <c r="H853" i="2"/>
  <c r="G853" i="2"/>
  <c r="F853" i="2"/>
  <c r="E853" i="2"/>
  <c r="D853" i="2"/>
  <c r="K852" i="2"/>
  <c r="K882" i="2" s="1"/>
  <c r="J852" i="2"/>
  <c r="J882" i="2" s="1"/>
  <c r="I852" i="2"/>
  <c r="I882" i="2" s="1"/>
  <c r="H852" i="2"/>
  <c r="H882" i="2" s="1"/>
  <c r="G852" i="2"/>
  <c r="G882" i="2" s="1"/>
  <c r="F852" i="2"/>
  <c r="F882" i="2" s="1"/>
  <c r="E852" i="2"/>
  <c r="E882" i="2" s="1"/>
  <c r="D852" i="2"/>
  <c r="K844" i="2"/>
  <c r="J844" i="2"/>
  <c r="I844" i="2"/>
  <c r="H844" i="2"/>
  <c r="G844" i="2"/>
  <c r="F844" i="2"/>
  <c r="E844" i="2"/>
  <c r="D844" i="2"/>
  <c r="K842" i="2"/>
  <c r="J842" i="2"/>
  <c r="I842" i="2"/>
  <c r="H842" i="2"/>
  <c r="G842" i="2"/>
  <c r="F842" i="2"/>
  <c r="E842" i="2"/>
  <c r="D842" i="2"/>
  <c r="K841" i="2"/>
  <c r="J841" i="2"/>
  <c r="I841" i="2"/>
  <c r="H841" i="2"/>
  <c r="G841" i="2"/>
  <c r="F841" i="2"/>
  <c r="E841" i="2"/>
  <c r="D841" i="2"/>
  <c r="K840" i="2"/>
  <c r="J840" i="2"/>
  <c r="I840" i="2"/>
  <c r="H840" i="2"/>
  <c r="G840" i="2"/>
  <c r="F840" i="2"/>
  <c r="E840" i="2"/>
  <c r="D840" i="2"/>
  <c r="K839" i="2"/>
  <c r="J839" i="2"/>
  <c r="I839" i="2"/>
  <c r="H839" i="2"/>
  <c r="G839" i="2"/>
  <c r="F839" i="2"/>
  <c r="E839" i="2"/>
  <c r="D839" i="2"/>
  <c r="K838" i="2"/>
  <c r="J838" i="2"/>
  <c r="I838" i="2"/>
  <c r="H838" i="2"/>
  <c r="G838" i="2"/>
  <c r="F838" i="2"/>
  <c r="E838" i="2"/>
  <c r="D838" i="2"/>
  <c r="K837" i="2"/>
  <c r="J837" i="2"/>
  <c r="I837" i="2"/>
  <c r="H837" i="2"/>
  <c r="G837" i="2"/>
  <c r="F837" i="2"/>
  <c r="E837" i="2"/>
  <c r="D837" i="2"/>
  <c r="K836" i="2"/>
  <c r="J836" i="2"/>
  <c r="I836" i="2"/>
  <c r="H836" i="2"/>
  <c r="G836" i="2"/>
  <c r="F836" i="2"/>
  <c r="E836" i="2"/>
  <c r="D836" i="2"/>
  <c r="K835" i="2"/>
  <c r="J835" i="2"/>
  <c r="I835" i="2"/>
  <c r="H835" i="2"/>
  <c r="G835" i="2"/>
  <c r="F835" i="2"/>
  <c r="E835" i="2"/>
  <c r="D835" i="2"/>
  <c r="K834" i="2"/>
  <c r="J834" i="2"/>
  <c r="I834" i="2"/>
  <c r="H834" i="2"/>
  <c r="G834" i="2"/>
  <c r="F834" i="2"/>
  <c r="E834" i="2"/>
  <c r="D834" i="2"/>
  <c r="K833" i="2"/>
  <c r="J833" i="2"/>
  <c r="I833" i="2"/>
  <c r="H833" i="2"/>
  <c r="G833" i="2"/>
  <c r="F833" i="2"/>
  <c r="E833" i="2"/>
  <c r="D833" i="2"/>
  <c r="K832" i="2"/>
  <c r="J832" i="2"/>
  <c r="I832" i="2"/>
  <c r="H832" i="2"/>
  <c r="G832" i="2"/>
  <c r="F832" i="2"/>
  <c r="E832" i="2"/>
  <c r="D832" i="2"/>
  <c r="K831" i="2"/>
  <c r="J831" i="2"/>
  <c r="I831" i="2"/>
  <c r="H831" i="2"/>
  <c r="G831" i="2"/>
  <c r="F831" i="2"/>
  <c r="E831" i="2"/>
  <c r="D831" i="2"/>
  <c r="K830" i="2"/>
  <c r="J830" i="2"/>
  <c r="I830" i="2"/>
  <c r="H830" i="2"/>
  <c r="G830" i="2"/>
  <c r="F830" i="2"/>
  <c r="E830" i="2"/>
  <c r="D830" i="2"/>
  <c r="K829" i="2"/>
  <c r="J829" i="2"/>
  <c r="I829" i="2"/>
  <c r="H829" i="2"/>
  <c r="G829" i="2"/>
  <c r="F829" i="2"/>
  <c r="E829" i="2"/>
  <c r="D829" i="2"/>
  <c r="K828" i="2"/>
  <c r="J828" i="2"/>
  <c r="I828" i="2"/>
  <c r="H828" i="2"/>
  <c r="G828" i="2"/>
  <c r="F828" i="2"/>
  <c r="E828" i="2"/>
  <c r="D828" i="2"/>
  <c r="K827" i="2"/>
  <c r="J827" i="2"/>
  <c r="I827" i="2"/>
  <c r="H827" i="2"/>
  <c r="G827" i="2"/>
  <c r="F827" i="2"/>
  <c r="E827" i="2"/>
  <c r="D827" i="2"/>
  <c r="K826" i="2"/>
  <c r="J826" i="2"/>
  <c r="I826" i="2"/>
  <c r="H826" i="2"/>
  <c r="G826" i="2"/>
  <c r="F826" i="2"/>
  <c r="E826" i="2"/>
  <c r="D826" i="2"/>
  <c r="K825" i="2"/>
  <c r="J825" i="2"/>
  <c r="I825" i="2"/>
  <c r="H825" i="2"/>
  <c r="G825" i="2"/>
  <c r="F825" i="2"/>
  <c r="E825" i="2"/>
  <c r="D825" i="2"/>
  <c r="K824" i="2"/>
  <c r="J824" i="2"/>
  <c r="I824" i="2"/>
  <c r="H824" i="2"/>
  <c r="G824" i="2"/>
  <c r="F824" i="2"/>
  <c r="E824" i="2"/>
  <c r="D824" i="2"/>
  <c r="K823" i="2"/>
  <c r="J823" i="2"/>
  <c r="I823" i="2"/>
  <c r="H823" i="2"/>
  <c r="G823" i="2"/>
  <c r="F823" i="2"/>
  <c r="E823" i="2"/>
  <c r="D823" i="2"/>
  <c r="K822" i="2"/>
  <c r="J822" i="2"/>
  <c r="I822" i="2"/>
  <c r="H822" i="2"/>
  <c r="G822" i="2"/>
  <c r="F822" i="2"/>
  <c r="E822" i="2"/>
  <c r="D822" i="2"/>
  <c r="K821" i="2"/>
  <c r="J821" i="2"/>
  <c r="I821" i="2"/>
  <c r="H821" i="2"/>
  <c r="G821" i="2"/>
  <c r="F821" i="2"/>
  <c r="E821" i="2"/>
  <c r="D821" i="2"/>
  <c r="K820" i="2"/>
  <c r="J820" i="2"/>
  <c r="I820" i="2"/>
  <c r="H820" i="2"/>
  <c r="G820" i="2"/>
  <c r="F820" i="2"/>
  <c r="E820" i="2"/>
  <c r="D820" i="2"/>
  <c r="K819" i="2"/>
  <c r="J819" i="2"/>
  <c r="I819" i="2"/>
  <c r="H819" i="2"/>
  <c r="G819" i="2"/>
  <c r="F819" i="2"/>
  <c r="E819" i="2"/>
  <c r="D819" i="2"/>
  <c r="K818" i="2"/>
  <c r="K848" i="2" s="1"/>
  <c r="J818" i="2"/>
  <c r="J848" i="2" s="1"/>
  <c r="I818" i="2"/>
  <c r="I848" i="2" s="1"/>
  <c r="H818" i="2"/>
  <c r="H848" i="2" s="1"/>
  <c r="G818" i="2"/>
  <c r="G848" i="2" s="1"/>
  <c r="F818" i="2"/>
  <c r="F848" i="2" s="1"/>
  <c r="E818" i="2"/>
  <c r="E848" i="2" s="1"/>
  <c r="D818" i="2"/>
  <c r="D848" i="2" s="1"/>
  <c r="Z847" i="2" s="1"/>
  <c r="K810" i="2"/>
  <c r="J810" i="2"/>
  <c r="I810" i="2"/>
  <c r="H810" i="2"/>
  <c r="G810" i="2"/>
  <c r="F810" i="2"/>
  <c r="E810" i="2"/>
  <c r="D810" i="2"/>
  <c r="K808" i="2"/>
  <c r="J808" i="2"/>
  <c r="I808" i="2"/>
  <c r="H808" i="2"/>
  <c r="G808" i="2"/>
  <c r="F808" i="2"/>
  <c r="E808" i="2"/>
  <c r="D808" i="2"/>
  <c r="K807" i="2"/>
  <c r="J807" i="2"/>
  <c r="I807" i="2"/>
  <c r="H807" i="2"/>
  <c r="G807" i="2"/>
  <c r="F807" i="2"/>
  <c r="E807" i="2"/>
  <c r="D807" i="2"/>
  <c r="K806" i="2"/>
  <c r="J806" i="2"/>
  <c r="I806" i="2"/>
  <c r="H806" i="2"/>
  <c r="G806" i="2"/>
  <c r="F806" i="2"/>
  <c r="E806" i="2"/>
  <c r="D806" i="2"/>
  <c r="K805" i="2"/>
  <c r="J805" i="2"/>
  <c r="I805" i="2"/>
  <c r="H805" i="2"/>
  <c r="G805" i="2"/>
  <c r="F805" i="2"/>
  <c r="E805" i="2"/>
  <c r="D805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J794" i="2"/>
  <c r="I794" i="2"/>
  <c r="H794" i="2"/>
  <c r="G794" i="2"/>
  <c r="F794" i="2"/>
  <c r="E794" i="2"/>
  <c r="D794" i="2"/>
  <c r="K793" i="2"/>
  <c r="J793" i="2"/>
  <c r="I793" i="2"/>
  <c r="H793" i="2"/>
  <c r="G793" i="2"/>
  <c r="F793" i="2"/>
  <c r="E793" i="2"/>
  <c r="D793" i="2"/>
  <c r="K792" i="2"/>
  <c r="J792" i="2"/>
  <c r="I792" i="2"/>
  <c r="H792" i="2"/>
  <c r="G792" i="2"/>
  <c r="F792" i="2"/>
  <c r="E792" i="2"/>
  <c r="D792" i="2"/>
  <c r="K791" i="2"/>
  <c r="J791" i="2"/>
  <c r="I791" i="2"/>
  <c r="H791" i="2"/>
  <c r="G791" i="2"/>
  <c r="F791" i="2"/>
  <c r="E791" i="2"/>
  <c r="D791" i="2"/>
  <c r="K790" i="2"/>
  <c r="J790" i="2"/>
  <c r="I790" i="2"/>
  <c r="H790" i="2"/>
  <c r="G790" i="2"/>
  <c r="F790" i="2"/>
  <c r="E790" i="2"/>
  <c r="D790" i="2"/>
  <c r="K789" i="2"/>
  <c r="J789" i="2"/>
  <c r="I789" i="2"/>
  <c r="H789" i="2"/>
  <c r="G789" i="2"/>
  <c r="F789" i="2"/>
  <c r="E789" i="2"/>
  <c r="D789" i="2"/>
  <c r="K788" i="2"/>
  <c r="J788" i="2"/>
  <c r="I788" i="2"/>
  <c r="H788" i="2"/>
  <c r="G788" i="2"/>
  <c r="F788" i="2"/>
  <c r="E788" i="2"/>
  <c r="D788" i="2"/>
  <c r="K787" i="2"/>
  <c r="J787" i="2"/>
  <c r="I787" i="2"/>
  <c r="H787" i="2"/>
  <c r="G787" i="2"/>
  <c r="F787" i="2"/>
  <c r="E787" i="2"/>
  <c r="D787" i="2"/>
  <c r="K786" i="2"/>
  <c r="J786" i="2"/>
  <c r="I786" i="2"/>
  <c r="H786" i="2"/>
  <c r="G786" i="2"/>
  <c r="F786" i="2"/>
  <c r="E786" i="2"/>
  <c r="D786" i="2"/>
  <c r="K785" i="2"/>
  <c r="J785" i="2"/>
  <c r="I785" i="2"/>
  <c r="H785" i="2"/>
  <c r="G785" i="2"/>
  <c r="F785" i="2"/>
  <c r="E785" i="2"/>
  <c r="D785" i="2"/>
  <c r="K784" i="2"/>
  <c r="K814" i="2" s="1"/>
  <c r="J784" i="2"/>
  <c r="J814" i="2" s="1"/>
  <c r="I784" i="2"/>
  <c r="I814" i="2" s="1"/>
  <c r="H784" i="2"/>
  <c r="H814" i="2" s="1"/>
  <c r="G784" i="2"/>
  <c r="G814" i="2" s="1"/>
  <c r="F784" i="2"/>
  <c r="F814" i="2" s="1"/>
  <c r="E784" i="2"/>
  <c r="E814" i="2" s="1"/>
  <c r="D784" i="2"/>
  <c r="D814" i="2" s="1"/>
  <c r="Z813" i="2" s="1"/>
  <c r="K776" i="2"/>
  <c r="J776" i="2"/>
  <c r="I776" i="2"/>
  <c r="H776" i="2"/>
  <c r="G776" i="2"/>
  <c r="F776" i="2"/>
  <c r="E776" i="2"/>
  <c r="D776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J761" i="2"/>
  <c r="I761" i="2"/>
  <c r="H761" i="2"/>
  <c r="G761" i="2"/>
  <c r="F761" i="2"/>
  <c r="E761" i="2"/>
  <c r="D761" i="2"/>
  <c r="K760" i="2"/>
  <c r="J760" i="2"/>
  <c r="I760" i="2"/>
  <c r="H760" i="2"/>
  <c r="G760" i="2"/>
  <c r="F760" i="2"/>
  <c r="E760" i="2"/>
  <c r="D760" i="2"/>
  <c r="K759" i="2"/>
  <c r="J759" i="2"/>
  <c r="I759" i="2"/>
  <c r="H759" i="2"/>
  <c r="G759" i="2"/>
  <c r="F759" i="2"/>
  <c r="E759" i="2"/>
  <c r="D759" i="2"/>
  <c r="K758" i="2"/>
  <c r="J758" i="2"/>
  <c r="I758" i="2"/>
  <c r="H758" i="2"/>
  <c r="G758" i="2"/>
  <c r="F758" i="2"/>
  <c r="E758" i="2"/>
  <c r="D758" i="2"/>
  <c r="K757" i="2"/>
  <c r="J757" i="2"/>
  <c r="I757" i="2"/>
  <c r="H757" i="2"/>
  <c r="G757" i="2"/>
  <c r="F757" i="2"/>
  <c r="E757" i="2"/>
  <c r="D757" i="2"/>
  <c r="K756" i="2"/>
  <c r="J756" i="2"/>
  <c r="I756" i="2"/>
  <c r="H756" i="2"/>
  <c r="G756" i="2"/>
  <c r="F756" i="2"/>
  <c r="E756" i="2"/>
  <c r="D756" i="2"/>
  <c r="K755" i="2"/>
  <c r="J755" i="2"/>
  <c r="I755" i="2"/>
  <c r="H755" i="2"/>
  <c r="G755" i="2"/>
  <c r="F755" i="2"/>
  <c r="E755" i="2"/>
  <c r="D755" i="2"/>
  <c r="K754" i="2"/>
  <c r="J754" i="2"/>
  <c r="I754" i="2"/>
  <c r="H754" i="2"/>
  <c r="G754" i="2"/>
  <c r="F754" i="2"/>
  <c r="E754" i="2"/>
  <c r="D754" i="2"/>
  <c r="K753" i="2"/>
  <c r="J753" i="2"/>
  <c r="I753" i="2"/>
  <c r="H753" i="2"/>
  <c r="G753" i="2"/>
  <c r="F753" i="2"/>
  <c r="E753" i="2"/>
  <c r="D753" i="2"/>
  <c r="K752" i="2"/>
  <c r="J752" i="2"/>
  <c r="I752" i="2"/>
  <c r="H752" i="2"/>
  <c r="G752" i="2"/>
  <c r="F752" i="2"/>
  <c r="E752" i="2"/>
  <c r="D752" i="2"/>
  <c r="K751" i="2"/>
  <c r="J751" i="2"/>
  <c r="I751" i="2"/>
  <c r="H751" i="2"/>
  <c r="G751" i="2"/>
  <c r="F751" i="2"/>
  <c r="E751" i="2"/>
  <c r="D751" i="2"/>
  <c r="K750" i="2"/>
  <c r="K780" i="2" s="1"/>
  <c r="J750" i="2"/>
  <c r="J780" i="2" s="1"/>
  <c r="I750" i="2"/>
  <c r="I780" i="2" s="1"/>
  <c r="H750" i="2"/>
  <c r="H780" i="2" s="1"/>
  <c r="G750" i="2"/>
  <c r="G780" i="2" s="1"/>
  <c r="F750" i="2"/>
  <c r="F780" i="2" s="1"/>
  <c r="E750" i="2"/>
  <c r="E780" i="2" s="1"/>
  <c r="D750" i="2"/>
  <c r="D780" i="2" s="1"/>
  <c r="Z779" i="2" s="1"/>
  <c r="K742" i="2"/>
  <c r="J742" i="2"/>
  <c r="I742" i="2"/>
  <c r="H742" i="2"/>
  <c r="G742" i="2"/>
  <c r="F742" i="2"/>
  <c r="E742" i="2"/>
  <c r="D742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J728" i="2"/>
  <c r="I728" i="2"/>
  <c r="H728" i="2"/>
  <c r="G728" i="2"/>
  <c r="F728" i="2"/>
  <c r="E728" i="2"/>
  <c r="D728" i="2"/>
  <c r="K727" i="2"/>
  <c r="J727" i="2"/>
  <c r="I727" i="2"/>
  <c r="H727" i="2"/>
  <c r="G727" i="2"/>
  <c r="F727" i="2"/>
  <c r="E727" i="2"/>
  <c r="D727" i="2"/>
  <c r="K726" i="2"/>
  <c r="J726" i="2"/>
  <c r="I726" i="2"/>
  <c r="H726" i="2"/>
  <c r="G726" i="2"/>
  <c r="F726" i="2"/>
  <c r="E726" i="2"/>
  <c r="D726" i="2"/>
  <c r="K725" i="2"/>
  <c r="J725" i="2"/>
  <c r="I725" i="2"/>
  <c r="H725" i="2"/>
  <c r="G725" i="2"/>
  <c r="F725" i="2"/>
  <c r="E725" i="2"/>
  <c r="D725" i="2"/>
  <c r="K724" i="2"/>
  <c r="J724" i="2"/>
  <c r="I724" i="2"/>
  <c r="H724" i="2"/>
  <c r="G724" i="2"/>
  <c r="F724" i="2"/>
  <c r="E724" i="2"/>
  <c r="D724" i="2"/>
  <c r="K723" i="2"/>
  <c r="J723" i="2"/>
  <c r="I723" i="2"/>
  <c r="H723" i="2"/>
  <c r="G723" i="2"/>
  <c r="F723" i="2"/>
  <c r="E723" i="2"/>
  <c r="D723" i="2"/>
  <c r="K722" i="2"/>
  <c r="J722" i="2"/>
  <c r="I722" i="2"/>
  <c r="H722" i="2"/>
  <c r="G722" i="2"/>
  <c r="F722" i="2"/>
  <c r="E722" i="2"/>
  <c r="D722" i="2"/>
  <c r="K721" i="2"/>
  <c r="J721" i="2"/>
  <c r="I721" i="2"/>
  <c r="H721" i="2"/>
  <c r="G721" i="2"/>
  <c r="F721" i="2"/>
  <c r="E721" i="2"/>
  <c r="D721" i="2"/>
  <c r="K720" i="2"/>
  <c r="J720" i="2"/>
  <c r="I720" i="2"/>
  <c r="H720" i="2"/>
  <c r="G720" i="2"/>
  <c r="F720" i="2"/>
  <c r="E720" i="2"/>
  <c r="D720" i="2"/>
  <c r="K719" i="2"/>
  <c r="J719" i="2"/>
  <c r="I719" i="2"/>
  <c r="H719" i="2"/>
  <c r="G719" i="2"/>
  <c r="F719" i="2"/>
  <c r="E719" i="2"/>
  <c r="D719" i="2"/>
  <c r="K718" i="2"/>
  <c r="J718" i="2"/>
  <c r="I718" i="2"/>
  <c r="H718" i="2"/>
  <c r="G718" i="2"/>
  <c r="F718" i="2"/>
  <c r="E718" i="2"/>
  <c r="D718" i="2"/>
  <c r="K717" i="2"/>
  <c r="J717" i="2"/>
  <c r="I717" i="2"/>
  <c r="H717" i="2"/>
  <c r="G717" i="2"/>
  <c r="F717" i="2"/>
  <c r="E717" i="2"/>
  <c r="D717" i="2"/>
  <c r="K716" i="2"/>
  <c r="K746" i="2" s="1"/>
  <c r="J716" i="2"/>
  <c r="J746" i="2" s="1"/>
  <c r="I716" i="2"/>
  <c r="I746" i="2" s="1"/>
  <c r="H716" i="2"/>
  <c r="H746" i="2" s="1"/>
  <c r="G716" i="2"/>
  <c r="G746" i="2" s="1"/>
  <c r="F716" i="2"/>
  <c r="F746" i="2" s="1"/>
  <c r="E716" i="2"/>
  <c r="E746" i="2" s="1"/>
  <c r="D716" i="2"/>
  <c r="D746" i="2" s="1"/>
  <c r="Z745" i="2" s="1"/>
  <c r="K708" i="2"/>
  <c r="J708" i="2"/>
  <c r="I708" i="2"/>
  <c r="H708" i="2"/>
  <c r="G708" i="2"/>
  <c r="F708" i="2"/>
  <c r="E708" i="2"/>
  <c r="D708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J698" i="2"/>
  <c r="I698" i="2"/>
  <c r="H698" i="2"/>
  <c r="G698" i="2"/>
  <c r="F698" i="2"/>
  <c r="E698" i="2"/>
  <c r="D698" i="2"/>
  <c r="K697" i="2"/>
  <c r="J697" i="2"/>
  <c r="I697" i="2"/>
  <c r="H697" i="2"/>
  <c r="G697" i="2"/>
  <c r="F697" i="2"/>
  <c r="E697" i="2"/>
  <c r="D697" i="2"/>
  <c r="K696" i="2"/>
  <c r="J696" i="2"/>
  <c r="I696" i="2"/>
  <c r="H696" i="2"/>
  <c r="G696" i="2"/>
  <c r="F696" i="2"/>
  <c r="E696" i="2"/>
  <c r="D696" i="2"/>
  <c r="K695" i="2"/>
  <c r="J695" i="2"/>
  <c r="I695" i="2"/>
  <c r="H695" i="2"/>
  <c r="G695" i="2"/>
  <c r="F695" i="2"/>
  <c r="E695" i="2"/>
  <c r="D695" i="2"/>
  <c r="K694" i="2"/>
  <c r="J694" i="2"/>
  <c r="I694" i="2"/>
  <c r="H694" i="2"/>
  <c r="G694" i="2"/>
  <c r="F694" i="2"/>
  <c r="E694" i="2"/>
  <c r="D694" i="2"/>
  <c r="K693" i="2"/>
  <c r="J693" i="2"/>
  <c r="I693" i="2"/>
  <c r="H693" i="2"/>
  <c r="G693" i="2"/>
  <c r="F693" i="2"/>
  <c r="E693" i="2"/>
  <c r="D693" i="2"/>
  <c r="K692" i="2"/>
  <c r="J692" i="2"/>
  <c r="I692" i="2"/>
  <c r="H692" i="2"/>
  <c r="G692" i="2"/>
  <c r="F692" i="2"/>
  <c r="E692" i="2"/>
  <c r="D692" i="2"/>
  <c r="K691" i="2"/>
  <c r="J691" i="2"/>
  <c r="I691" i="2"/>
  <c r="H691" i="2"/>
  <c r="G691" i="2"/>
  <c r="F691" i="2"/>
  <c r="E691" i="2"/>
  <c r="D691" i="2"/>
  <c r="K690" i="2"/>
  <c r="J690" i="2"/>
  <c r="I690" i="2"/>
  <c r="H690" i="2"/>
  <c r="G690" i="2"/>
  <c r="F690" i="2"/>
  <c r="E690" i="2"/>
  <c r="D690" i="2"/>
  <c r="K689" i="2"/>
  <c r="J689" i="2"/>
  <c r="I689" i="2"/>
  <c r="H689" i="2"/>
  <c r="G689" i="2"/>
  <c r="F689" i="2"/>
  <c r="E689" i="2"/>
  <c r="D689" i="2"/>
  <c r="K688" i="2"/>
  <c r="J688" i="2"/>
  <c r="I688" i="2"/>
  <c r="H688" i="2"/>
  <c r="G688" i="2"/>
  <c r="F688" i="2"/>
  <c r="E688" i="2"/>
  <c r="D688" i="2"/>
  <c r="K687" i="2"/>
  <c r="J687" i="2"/>
  <c r="I687" i="2"/>
  <c r="H687" i="2"/>
  <c r="G687" i="2"/>
  <c r="F687" i="2"/>
  <c r="E687" i="2"/>
  <c r="D687" i="2"/>
  <c r="K686" i="2"/>
  <c r="J686" i="2"/>
  <c r="I686" i="2"/>
  <c r="H686" i="2"/>
  <c r="G686" i="2"/>
  <c r="F686" i="2"/>
  <c r="E686" i="2"/>
  <c r="D686" i="2"/>
  <c r="K685" i="2"/>
  <c r="J685" i="2"/>
  <c r="I685" i="2"/>
  <c r="H685" i="2"/>
  <c r="G685" i="2"/>
  <c r="F685" i="2"/>
  <c r="E685" i="2"/>
  <c r="D685" i="2"/>
  <c r="K684" i="2"/>
  <c r="J684" i="2"/>
  <c r="I684" i="2"/>
  <c r="H684" i="2"/>
  <c r="G684" i="2"/>
  <c r="F684" i="2"/>
  <c r="E684" i="2"/>
  <c r="D684" i="2"/>
  <c r="K683" i="2"/>
  <c r="J683" i="2"/>
  <c r="I683" i="2"/>
  <c r="H683" i="2"/>
  <c r="G683" i="2"/>
  <c r="F683" i="2"/>
  <c r="E683" i="2"/>
  <c r="D683" i="2"/>
  <c r="K682" i="2"/>
  <c r="K712" i="2" s="1"/>
  <c r="J682" i="2"/>
  <c r="J712" i="2" s="1"/>
  <c r="I682" i="2"/>
  <c r="I712" i="2" s="1"/>
  <c r="H682" i="2"/>
  <c r="H712" i="2" s="1"/>
  <c r="G682" i="2"/>
  <c r="G712" i="2" s="1"/>
  <c r="F682" i="2"/>
  <c r="F712" i="2" s="1"/>
  <c r="E682" i="2"/>
  <c r="E712" i="2" s="1"/>
  <c r="D682" i="2"/>
  <c r="D712" i="2" s="1"/>
  <c r="Z711" i="2" s="1"/>
  <c r="K674" i="2"/>
  <c r="J674" i="2"/>
  <c r="I674" i="2"/>
  <c r="H674" i="2"/>
  <c r="G674" i="2"/>
  <c r="F674" i="2"/>
  <c r="E674" i="2"/>
  <c r="D674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J669" i="2"/>
  <c r="I669" i="2"/>
  <c r="H669" i="2"/>
  <c r="G669" i="2"/>
  <c r="F669" i="2"/>
  <c r="E669" i="2"/>
  <c r="D669" i="2"/>
  <c r="K668" i="2"/>
  <c r="J668" i="2"/>
  <c r="I668" i="2"/>
  <c r="H668" i="2"/>
  <c r="G668" i="2"/>
  <c r="F668" i="2"/>
  <c r="E668" i="2"/>
  <c r="D668" i="2"/>
  <c r="K667" i="2"/>
  <c r="J667" i="2"/>
  <c r="I667" i="2"/>
  <c r="H667" i="2"/>
  <c r="G667" i="2"/>
  <c r="F667" i="2"/>
  <c r="E667" i="2"/>
  <c r="D667" i="2"/>
  <c r="K666" i="2"/>
  <c r="J666" i="2"/>
  <c r="I666" i="2"/>
  <c r="H666" i="2"/>
  <c r="G666" i="2"/>
  <c r="F666" i="2"/>
  <c r="E666" i="2"/>
  <c r="D666" i="2"/>
  <c r="K665" i="2"/>
  <c r="J665" i="2"/>
  <c r="I665" i="2"/>
  <c r="H665" i="2"/>
  <c r="G665" i="2"/>
  <c r="F665" i="2"/>
  <c r="E665" i="2"/>
  <c r="D665" i="2"/>
  <c r="K664" i="2"/>
  <c r="J664" i="2"/>
  <c r="I664" i="2"/>
  <c r="H664" i="2"/>
  <c r="G664" i="2"/>
  <c r="F664" i="2"/>
  <c r="E664" i="2"/>
  <c r="D664" i="2"/>
  <c r="K663" i="2"/>
  <c r="J663" i="2"/>
  <c r="I663" i="2"/>
  <c r="H663" i="2"/>
  <c r="G663" i="2"/>
  <c r="F663" i="2"/>
  <c r="E663" i="2"/>
  <c r="D663" i="2"/>
  <c r="K662" i="2"/>
  <c r="J662" i="2"/>
  <c r="I662" i="2"/>
  <c r="H662" i="2"/>
  <c r="G662" i="2"/>
  <c r="F662" i="2"/>
  <c r="E662" i="2"/>
  <c r="D662" i="2"/>
  <c r="K661" i="2"/>
  <c r="J661" i="2"/>
  <c r="I661" i="2"/>
  <c r="H661" i="2"/>
  <c r="G661" i="2"/>
  <c r="F661" i="2"/>
  <c r="E661" i="2"/>
  <c r="D661" i="2"/>
  <c r="K660" i="2"/>
  <c r="J660" i="2"/>
  <c r="I660" i="2"/>
  <c r="H660" i="2"/>
  <c r="G660" i="2"/>
  <c r="F660" i="2"/>
  <c r="E660" i="2"/>
  <c r="D660" i="2"/>
  <c r="K659" i="2"/>
  <c r="J659" i="2"/>
  <c r="I659" i="2"/>
  <c r="H659" i="2"/>
  <c r="G659" i="2"/>
  <c r="F659" i="2"/>
  <c r="E659" i="2"/>
  <c r="D659" i="2"/>
  <c r="K658" i="2"/>
  <c r="J658" i="2"/>
  <c r="I658" i="2"/>
  <c r="H658" i="2"/>
  <c r="G658" i="2"/>
  <c r="F658" i="2"/>
  <c r="E658" i="2"/>
  <c r="D658" i="2"/>
  <c r="K657" i="2"/>
  <c r="J657" i="2"/>
  <c r="I657" i="2"/>
  <c r="H657" i="2"/>
  <c r="G657" i="2"/>
  <c r="F657" i="2"/>
  <c r="E657" i="2"/>
  <c r="D657" i="2"/>
  <c r="K656" i="2"/>
  <c r="J656" i="2"/>
  <c r="I656" i="2"/>
  <c r="H656" i="2"/>
  <c r="G656" i="2"/>
  <c r="F656" i="2"/>
  <c r="E656" i="2"/>
  <c r="D656" i="2"/>
  <c r="K655" i="2"/>
  <c r="J655" i="2"/>
  <c r="I655" i="2"/>
  <c r="H655" i="2"/>
  <c r="G655" i="2"/>
  <c r="F655" i="2"/>
  <c r="E655" i="2"/>
  <c r="D655" i="2"/>
  <c r="K654" i="2"/>
  <c r="J654" i="2"/>
  <c r="I654" i="2"/>
  <c r="H654" i="2"/>
  <c r="G654" i="2"/>
  <c r="F654" i="2"/>
  <c r="E654" i="2"/>
  <c r="D654" i="2"/>
  <c r="K653" i="2"/>
  <c r="J653" i="2"/>
  <c r="I653" i="2"/>
  <c r="H653" i="2"/>
  <c r="G653" i="2"/>
  <c r="F653" i="2"/>
  <c r="E653" i="2"/>
  <c r="D653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J650" i="2"/>
  <c r="I650" i="2"/>
  <c r="H650" i="2"/>
  <c r="G650" i="2"/>
  <c r="F650" i="2"/>
  <c r="E650" i="2"/>
  <c r="D650" i="2"/>
  <c r="K649" i="2"/>
  <c r="J649" i="2"/>
  <c r="I649" i="2"/>
  <c r="H649" i="2"/>
  <c r="G649" i="2"/>
  <c r="F649" i="2"/>
  <c r="E649" i="2"/>
  <c r="D649" i="2"/>
  <c r="K648" i="2"/>
  <c r="K678" i="2" s="1"/>
  <c r="J648" i="2"/>
  <c r="J678" i="2" s="1"/>
  <c r="I648" i="2"/>
  <c r="I678" i="2" s="1"/>
  <c r="H648" i="2"/>
  <c r="H678" i="2" s="1"/>
  <c r="G648" i="2"/>
  <c r="G678" i="2" s="1"/>
  <c r="F648" i="2"/>
  <c r="F678" i="2" s="1"/>
  <c r="E648" i="2"/>
  <c r="E678" i="2" s="1"/>
  <c r="D648" i="2"/>
  <c r="D678" i="2" s="1"/>
  <c r="Z677" i="2" s="1"/>
  <c r="K640" i="2"/>
  <c r="J640" i="2"/>
  <c r="I640" i="2"/>
  <c r="H640" i="2"/>
  <c r="G640" i="2"/>
  <c r="F640" i="2"/>
  <c r="E640" i="2"/>
  <c r="D640" i="2"/>
  <c r="K638" i="2"/>
  <c r="J638" i="2"/>
  <c r="I638" i="2"/>
  <c r="H638" i="2"/>
  <c r="G638" i="2"/>
  <c r="F638" i="2"/>
  <c r="E638" i="2"/>
  <c r="D638" i="2"/>
  <c r="K637" i="2"/>
  <c r="J637" i="2"/>
  <c r="I637" i="2"/>
  <c r="H637" i="2"/>
  <c r="G637" i="2"/>
  <c r="F637" i="2"/>
  <c r="E637" i="2"/>
  <c r="D637" i="2"/>
  <c r="K636" i="2"/>
  <c r="J636" i="2"/>
  <c r="I636" i="2"/>
  <c r="H636" i="2"/>
  <c r="G636" i="2"/>
  <c r="F636" i="2"/>
  <c r="E636" i="2"/>
  <c r="D636" i="2"/>
  <c r="K635" i="2"/>
  <c r="J635" i="2"/>
  <c r="I635" i="2"/>
  <c r="H635" i="2"/>
  <c r="G635" i="2"/>
  <c r="F635" i="2"/>
  <c r="E635" i="2"/>
  <c r="D635" i="2"/>
  <c r="K634" i="2"/>
  <c r="J634" i="2"/>
  <c r="I634" i="2"/>
  <c r="H634" i="2"/>
  <c r="G634" i="2"/>
  <c r="F634" i="2"/>
  <c r="E634" i="2"/>
  <c r="D634" i="2"/>
  <c r="K633" i="2"/>
  <c r="J633" i="2"/>
  <c r="I633" i="2"/>
  <c r="H633" i="2"/>
  <c r="G633" i="2"/>
  <c r="F633" i="2"/>
  <c r="E633" i="2"/>
  <c r="D633" i="2"/>
  <c r="K632" i="2"/>
  <c r="J632" i="2"/>
  <c r="I632" i="2"/>
  <c r="H632" i="2"/>
  <c r="G632" i="2"/>
  <c r="F632" i="2"/>
  <c r="E632" i="2"/>
  <c r="D632" i="2"/>
  <c r="K631" i="2"/>
  <c r="J631" i="2"/>
  <c r="I631" i="2"/>
  <c r="H631" i="2"/>
  <c r="G631" i="2"/>
  <c r="F631" i="2"/>
  <c r="E631" i="2"/>
  <c r="D631" i="2"/>
  <c r="K630" i="2"/>
  <c r="J630" i="2"/>
  <c r="I630" i="2"/>
  <c r="H630" i="2"/>
  <c r="G630" i="2"/>
  <c r="F630" i="2"/>
  <c r="E630" i="2"/>
  <c r="D630" i="2"/>
  <c r="K629" i="2"/>
  <c r="J629" i="2"/>
  <c r="I629" i="2"/>
  <c r="H629" i="2"/>
  <c r="G629" i="2"/>
  <c r="F629" i="2"/>
  <c r="E629" i="2"/>
  <c r="D629" i="2"/>
  <c r="K628" i="2"/>
  <c r="J628" i="2"/>
  <c r="I628" i="2"/>
  <c r="H628" i="2"/>
  <c r="G628" i="2"/>
  <c r="F628" i="2"/>
  <c r="E628" i="2"/>
  <c r="D628" i="2"/>
  <c r="K627" i="2"/>
  <c r="J627" i="2"/>
  <c r="I627" i="2"/>
  <c r="H627" i="2"/>
  <c r="G627" i="2"/>
  <c r="F627" i="2"/>
  <c r="E627" i="2"/>
  <c r="D627" i="2"/>
  <c r="K626" i="2"/>
  <c r="J626" i="2"/>
  <c r="I626" i="2"/>
  <c r="H626" i="2"/>
  <c r="G626" i="2"/>
  <c r="F626" i="2"/>
  <c r="E626" i="2"/>
  <c r="D626" i="2"/>
  <c r="K625" i="2"/>
  <c r="J625" i="2"/>
  <c r="I625" i="2"/>
  <c r="H625" i="2"/>
  <c r="G625" i="2"/>
  <c r="F625" i="2"/>
  <c r="E625" i="2"/>
  <c r="D625" i="2"/>
  <c r="K624" i="2"/>
  <c r="J624" i="2"/>
  <c r="I624" i="2"/>
  <c r="H624" i="2"/>
  <c r="G624" i="2"/>
  <c r="F624" i="2"/>
  <c r="E624" i="2"/>
  <c r="D624" i="2"/>
  <c r="K623" i="2"/>
  <c r="J623" i="2"/>
  <c r="I623" i="2"/>
  <c r="H623" i="2"/>
  <c r="G623" i="2"/>
  <c r="F623" i="2"/>
  <c r="E623" i="2"/>
  <c r="D623" i="2"/>
  <c r="K622" i="2"/>
  <c r="J622" i="2"/>
  <c r="I622" i="2"/>
  <c r="H622" i="2"/>
  <c r="G622" i="2"/>
  <c r="F622" i="2"/>
  <c r="E622" i="2"/>
  <c r="D622" i="2"/>
  <c r="K621" i="2"/>
  <c r="J621" i="2"/>
  <c r="I621" i="2"/>
  <c r="H621" i="2"/>
  <c r="G621" i="2"/>
  <c r="F621" i="2"/>
  <c r="E621" i="2"/>
  <c r="D621" i="2"/>
  <c r="K620" i="2"/>
  <c r="J620" i="2"/>
  <c r="I620" i="2"/>
  <c r="H620" i="2"/>
  <c r="G620" i="2"/>
  <c r="F620" i="2"/>
  <c r="E620" i="2"/>
  <c r="D620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K644" i="2" s="1"/>
  <c r="J614" i="2"/>
  <c r="J644" i="2" s="1"/>
  <c r="I614" i="2"/>
  <c r="I644" i="2" s="1"/>
  <c r="H614" i="2"/>
  <c r="H644" i="2" s="1"/>
  <c r="G614" i="2"/>
  <c r="G644" i="2" s="1"/>
  <c r="F614" i="2"/>
  <c r="F644" i="2" s="1"/>
  <c r="E614" i="2"/>
  <c r="E644" i="2" s="1"/>
  <c r="D614" i="2"/>
  <c r="D644" i="2" s="1"/>
  <c r="Z643" i="2" s="1"/>
  <c r="K606" i="2"/>
  <c r="J606" i="2"/>
  <c r="I606" i="2"/>
  <c r="H606" i="2"/>
  <c r="G606" i="2"/>
  <c r="F606" i="2"/>
  <c r="E606" i="2"/>
  <c r="D606" i="2"/>
  <c r="K604" i="2"/>
  <c r="J604" i="2"/>
  <c r="I604" i="2"/>
  <c r="H604" i="2"/>
  <c r="G604" i="2"/>
  <c r="F604" i="2"/>
  <c r="E604" i="2"/>
  <c r="D604" i="2"/>
  <c r="K603" i="2"/>
  <c r="J603" i="2"/>
  <c r="I603" i="2"/>
  <c r="H603" i="2"/>
  <c r="G603" i="2"/>
  <c r="F603" i="2"/>
  <c r="E603" i="2"/>
  <c r="D603" i="2"/>
  <c r="K602" i="2"/>
  <c r="J602" i="2"/>
  <c r="I602" i="2"/>
  <c r="H602" i="2"/>
  <c r="G602" i="2"/>
  <c r="F602" i="2"/>
  <c r="E602" i="2"/>
  <c r="D602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J596" i="2"/>
  <c r="I596" i="2"/>
  <c r="H596" i="2"/>
  <c r="G596" i="2"/>
  <c r="F596" i="2"/>
  <c r="E596" i="2"/>
  <c r="D596" i="2"/>
  <c r="K595" i="2"/>
  <c r="J595" i="2"/>
  <c r="I595" i="2"/>
  <c r="H595" i="2"/>
  <c r="G595" i="2"/>
  <c r="F595" i="2"/>
  <c r="E595" i="2"/>
  <c r="D595" i="2"/>
  <c r="K594" i="2"/>
  <c r="J594" i="2"/>
  <c r="I594" i="2"/>
  <c r="H594" i="2"/>
  <c r="G594" i="2"/>
  <c r="F594" i="2"/>
  <c r="E594" i="2"/>
  <c r="D594" i="2"/>
  <c r="K593" i="2"/>
  <c r="J593" i="2"/>
  <c r="I593" i="2"/>
  <c r="H593" i="2"/>
  <c r="G593" i="2"/>
  <c r="F593" i="2"/>
  <c r="E593" i="2"/>
  <c r="D593" i="2"/>
  <c r="K592" i="2"/>
  <c r="J592" i="2"/>
  <c r="I592" i="2"/>
  <c r="H592" i="2"/>
  <c r="G592" i="2"/>
  <c r="F592" i="2"/>
  <c r="E592" i="2"/>
  <c r="D592" i="2"/>
  <c r="K591" i="2"/>
  <c r="J591" i="2"/>
  <c r="I591" i="2"/>
  <c r="H591" i="2"/>
  <c r="G591" i="2"/>
  <c r="F591" i="2"/>
  <c r="E591" i="2"/>
  <c r="D591" i="2"/>
  <c r="K590" i="2"/>
  <c r="J590" i="2"/>
  <c r="I590" i="2"/>
  <c r="H590" i="2"/>
  <c r="G590" i="2"/>
  <c r="F590" i="2"/>
  <c r="E590" i="2"/>
  <c r="D590" i="2"/>
  <c r="K589" i="2"/>
  <c r="J589" i="2"/>
  <c r="I589" i="2"/>
  <c r="H589" i="2"/>
  <c r="G589" i="2"/>
  <c r="F589" i="2"/>
  <c r="E589" i="2"/>
  <c r="D589" i="2"/>
  <c r="K588" i="2"/>
  <c r="J588" i="2"/>
  <c r="I588" i="2"/>
  <c r="H588" i="2"/>
  <c r="G588" i="2"/>
  <c r="F588" i="2"/>
  <c r="E588" i="2"/>
  <c r="D588" i="2"/>
  <c r="K587" i="2"/>
  <c r="J587" i="2"/>
  <c r="I587" i="2"/>
  <c r="H587" i="2"/>
  <c r="G587" i="2"/>
  <c r="F587" i="2"/>
  <c r="E587" i="2"/>
  <c r="D587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G585" i="2"/>
  <c r="F585" i="2"/>
  <c r="E585" i="2"/>
  <c r="D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J582" i="2"/>
  <c r="I582" i="2"/>
  <c r="H582" i="2"/>
  <c r="G582" i="2"/>
  <c r="F582" i="2"/>
  <c r="E582" i="2"/>
  <c r="D582" i="2"/>
  <c r="K581" i="2"/>
  <c r="J581" i="2"/>
  <c r="I581" i="2"/>
  <c r="H581" i="2"/>
  <c r="G581" i="2"/>
  <c r="F581" i="2"/>
  <c r="E581" i="2"/>
  <c r="D581" i="2"/>
  <c r="K580" i="2"/>
  <c r="K610" i="2" s="1"/>
  <c r="J580" i="2"/>
  <c r="J610" i="2" s="1"/>
  <c r="I580" i="2"/>
  <c r="I610" i="2" s="1"/>
  <c r="H580" i="2"/>
  <c r="H610" i="2" s="1"/>
  <c r="G580" i="2"/>
  <c r="G610" i="2" s="1"/>
  <c r="F580" i="2"/>
  <c r="F610" i="2" s="1"/>
  <c r="E580" i="2"/>
  <c r="E610" i="2" s="1"/>
  <c r="D580" i="2"/>
  <c r="D610" i="2" s="1"/>
  <c r="Z609" i="2" s="1"/>
  <c r="K572" i="2"/>
  <c r="J572" i="2"/>
  <c r="I572" i="2"/>
  <c r="H572" i="2"/>
  <c r="G572" i="2"/>
  <c r="F572" i="2"/>
  <c r="E572" i="2"/>
  <c r="D572" i="2"/>
  <c r="K570" i="2"/>
  <c r="J570" i="2"/>
  <c r="I570" i="2"/>
  <c r="H570" i="2"/>
  <c r="G570" i="2"/>
  <c r="F570" i="2"/>
  <c r="E570" i="2"/>
  <c r="D570" i="2"/>
  <c r="K569" i="2"/>
  <c r="J569" i="2"/>
  <c r="I569" i="2"/>
  <c r="H569" i="2"/>
  <c r="G569" i="2"/>
  <c r="F569" i="2"/>
  <c r="E569" i="2"/>
  <c r="D569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G567" i="2"/>
  <c r="F567" i="2"/>
  <c r="E567" i="2"/>
  <c r="D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J563" i="2"/>
  <c r="I563" i="2"/>
  <c r="H563" i="2"/>
  <c r="G563" i="2"/>
  <c r="F563" i="2"/>
  <c r="E563" i="2"/>
  <c r="D563" i="2"/>
  <c r="K562" i="2"/>
  <c r="J562" i="2"/>
  <c r="I562" i="2"/>
  <c r="H562" i="2"/>
  <c r="G562" i="2"/>
  <c r="F562" i="2"/>
  <c r="E562" i="2"/>
  <c r="D562" i="2"/>
  <c r="K561" i="2"/>
  <c r="J561" i="2"/>
  <c r="I561" i="2"/>
  <c r="H561" i="2"/>
  <c r="G561" i="2"/>
  <c r="F561" i="2"/>
  <c r="E561" i="2"/>
  <c r="D561" i="2"/>
  <c r="K560" i="2"/>
  <c r="J560" i="2"/>
  <c r="I560" i="2"/>
  <c r="H560" i="2"/>
  <c r="G560" i="2"/>
  <c r="F560" i="2"/>
  <c r="E560" i="2"/>
  <c r="D560" i="2"/>
  <c r="K559" i="2"/>
  <c r="J559" i="2"/>
  <c r="I559" i="2"/>
  <c r="H559" i="2"/>
  <c r="G559" i="2"/>
  <c r="F559" i="2"/>
  <c r="E559" i="2"/>
  <c r="D559" i="2"/>
  <c r="K558" i="2"/>
  <c r="J558" i="2"/>
  <c r="I558" i="2"/>
  <c r="H558" i="2"/>
  <c r="G558" i="2"/>
  <c r="F558" i="2"/>
  <c r="E558" i="2"/>
  <c r="D558" i="2"/>
  <c r="K557" i="2"/>
  <c r="J557" i="2"/>
  <c r="I557" i="2"/>
  <c r="H557" i="2"/>
  <c r="G557" i="2"/>
  <c r="F557" i="2"/>
  <c r="E557" i="2"/>
  <c r="D557" i="2"/>
  <c r="K556" i="2"/>
  <c r="J556" i="2"/>
  <c r="I556" i="2"/>
  <c r="H556" i="2"/>
  <c r="G556" i="2"/>
  <c r="F556" i="2"/>
  <c r="E556" i="2"/>
  <c r="D556" i="2"/>
  <c r="K555" i="2"/>
  <c r="J555" i="2"/>
  <c r="I555" i="2"/>
  <c r="H555" i="2"/>
  <c r="G555" i="2"/>
  <c r="F555" i="2"/>
  <c r="E555" i="2"/>
  <c r="D555" i="2"/>
  <c r="K554" i="2"/>
  <c r="J554" i="2"/>
  <c r="I554" i="2"/>
  <c r="H554" i="2"/>
  <c r="G554" i="2"/>
  <c r="F554" i="2"/>
  <c r="E554" i="2"/>
  <c r="D554" i="2"/>
  <c r="K553" i="2"/>
  <c r="J553" i="2"/>
  <c r="I553" i="2"/>
  <c r="H553" i="2"/>
  <c r="G553" i="2"/>
  <c r="F553" i="2"/>
  <c r="E553" i="2"/>
  <c r="D553" i="2"/>
  <c r="K552" i="2"/>
  <c r="J552" i="2"/>
  <c r="I552" i="2"/>
  <c r="H552" i="2"/>
  <c r="G552" i="2"/>
  <c r="F552" i="2"/>
  <c r="E552" i="2"/>
  <c r="D552" i="2"/>
  <c r="K551" i="2"/>
  <c r="J551" i="2"/>
  <c r="I551" i="2"/>
  <c r="H551" i="2"/>
  <c r="G551" i="2"/>
  <c r="F551" i="2"/>
  <c r="E551" i="2"/>
  <c r="D551" i="2"/>
  <c r="K550" i="2"/>
  <c r="J550" i="2"/>
  <c r="I550" i="2"/>
  <c r="H550" i="2"/>
  <c r="G550" i="2"/>
  <c r="F550" i="2"/>
  <c r="E550" i="2"/>
  <c r="D550" i="2"/>
  <c r="K549" i="2"/>
  <c r="J549" i="2"/>
  <c r="I549" i="2"/>
  <c r="H549" i="2"/>
  <c r="G549" i="2"/>
  <c r="F549" i="2"/>
  <c r="E549" i="2"/>
  <c r="D549" i="2"/>
  <c r="K548" i="2"/>
  <c r="J548" i="2"/>
  <c r="I548" i="2"/>
  <c r="H548" i="2"/>
  <c r="G548" i="2"/>
  <c r="F548" i="2"/>
  <c r="E548" i="2"/>
  <c r="D548" i="2"/>
  <c r="K547" i="2"/>
  <c r="J547" i="2"/>
  <c r="I547" i="2"/>
  <c r="H547" i="2"/>
  <c r="G547" i="2"/>
  <c r="F547" i="2"/>
  <c r="E547" i="2"/>
  <c r="D547" i="2"/>
  <c r="K546" i="2"/>
  <c r="K576" i="2" s="1"/>
  <c r="J546" i="2"/>
  <c r="J576" i="2" s="1"/>
  <c r="I546" i="2"/>
  <c r="I576" i="2" s="1"/>
  <c r="H546" i="2"/>
  <c r="H576" i="2" s="1"/>
  <c r="G546" i="2"/>
  <c r="G576" i="2" s="1"/>
  <c r="F546" i="2"/>
  <c r="F576" i="2" s="1"/>
  <c r="E546" i="2"/>
  <c r="E576" i="2" s="1"/>
  <c r="D546" i="2"/>
  <c r="D576" i="2" s="1"/>
  <c r="Z575" i="2" s="1"/>
  <c r="K538" i="2"/>
  <c r="J538" i="2"/>
  <c r="I538" i="2"/>
  <c r="H538" i="2"/>
  <c r="G538" i="2"/>
  <c r="F538" i="2"/>
  <c r="E538" i="2"/>
  <c r="D538" i="2"/>
  <c r="K536" i="2"/>
  <c r="J536" i="2"/>
  <c r="I536" i="2"/>
  <c r="H536" i="2"/>
  <c r="G536" i="2"/>
  <c r="F536" i="2"/>
  <c r="E536" i="2"/>
  <c r="D536" i="2"/>
  <c r="K535" i="2"/>
  <c r="J535" i="2"/>
  <c r="I535" i="2"/>
  <c r="H535" i="2"/>
  <c r="G535" i="2"/>
  <c r="F535" i="2"/>
  <c r="E535" i="2"/>
  <c r="D535" i="2"/>
  <c r="K534" i="2"/>
  <c r="J534" i="2"/>
  <c r="I534" i="2"/>
  <c r="H534" i="2"/>
  <c r="G534" i="2"/>
  <c r="F534" i="2"/>
  <c r="E534" i="2"/>
  <c r="D534" i="2"/>
  <c r="K533" i="2"/>
  <c r="J533" i="2"/>
  <c r="I533" i="2"/>
  <c r="H533" i="2"/>
  <c r="G533" i="2"/>
  <c r="F533" i="2"/>
  <c r="E533" i="2"/>
  <c r="D533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G531" i="2"/>
  <c r="F531" i="2"/>
  <c r="E531" i="2"/>
  <c r="D531" i="2"/>
  <c r="K530" i="2"/>
  <c r="J530" i="2"/>
  <c r="I530" i="2"/>
  <c r="H530" i="2"/>
  <c r="G530" i="2"/>
  <c r="F530" i="2"/>
  <c r="E530" i="2"/>
  <c r="D530" i="2"/>
  <c r="K529" i="2"/>
  <c r="J529" i="2"/>
  <c r="I529" i="2"/>
  <c r="H529" i="2"/>
  <c r="G529" i="2"/>
  <c r="F529" i="2"/>
  <c r="E529" i="2"/>
  <c r="D529" i="2"/>
  <c r="K528" i="2"/>
  <c r="J528" i="2"/>
  <c r="I528" i="2"/>
  <c r="H528" i="2"/>
  <c r="G528" i="2"/>
  <c r="F528" i="2"/>
  <c r="E528" i="2"/>
  <c r="D528" i="2"/>
  <c r="K527" i="2"/>
  <c r="J527" i="2"/>
  <c r="I527" i="2"/>
  <c r="H527" i="2"/>
  <c r="G527" i="2"/>
  <c r="F527" i="2"/>
  <c r="E527" i="2"/>
  <c r="D527" i="2"/>
  <c r="K526" i="2"/>
  <c r="J526" i="2"/>
  <c r="I526" i="2"/>
  <c r="H526" i="2"/>
  <c r="G526" i="2"/>
  <c r="F526" i="2"/>
  <c r="E526" i="2"/>
  <c r="D526" i="2"/>
  <c r="K525" i="2"/>
  <c r="J525" i="2"/>
  <c r="I525" i="2"/>
  <c r="H525" i="2"/>
  <c r="G525" i="2"/>
  <c r="F525" i="2"/>
  <c r="E525" i="2"/>
  <c r="D525" i="2"/>
  <c r="K524" i="2"/>
  <c r="J524" i="2"/>
  <c r="I524" i="2"/>
  <c r="H524" i="2"/>
  <c r="G524" i="2"/>
  <c r="F524" i="2"/>
  <c r="E524" i="2"/>
  <c r="D524" i="2"/>
  <c r="K523" i="2"/>
  <c r="J523" i="2"/>
  <c r="I523" i="2"/>
  <c r="H523" i="2"/>
  <c r="G523" i="2"/>
  <c r="F523" i="2"/>
  <c r="E523" i="2"/>
  <c r="D523" i="2"/>
  <c r="K522" i="2"/>
  <c r="J522" i="2"/>
  <c r="I522" i="2"/>
  <c r="H522" i="2"/>
  <c r="G522" i="2"/>
  <c r="F522" i="2"/>
  <c r="E522" i="2"/>
  <c r="D522" i="2"/>
  <c r="K521" i="2"/>
  <c r="J521" i="2"/>
  <c r="I521" i="2"/>
  <c r="H521" i="2"/>
  <c r="G521" i="2"/>
  <c r="F521" i="2"/>
  <c r="E521" i="2"/>
  <c r="D521" i="2"/>
  <c r="K520" i="2"/>
  <c r="J520" i="2"/>
  <c r="I520" i="2"/>
  <c r="H520" i="2"/>
  <c r="G520" i="2"/>
  <c r="F520" i="2"/>
  <c r="E520" i="2"/>
  <c r="D520" i="2"/>
  <c r="K519" i="2"/>
  <c r="J519" i="2"/>
  <c r="I519" i="2"/>
  <c r="H519" i="2"/>
  <c r="G519" i="2"/>
  <c r="F519" i="2"/>
  <c r="E519" i="2"/>
  <c r="D519" i="2"/>
  <c r="K518" i="2"/>
  <c r="J518" i="2"/>
  <c r="I518" i="2"/>
  <c r="H518" i="2"/>
  <c r="G518" i="2"/>
  <c r="F518" i="2"/>
  <c r="E518" i="2"/>
  <c r="D518" i="2"/>
  <c r="K517" i="2"/>
  <c r="J517" i="2"/>
  <c r="I517" i="2"/>
  <c r="H517" i="2"/>
  <c r="G517" i="2"/>
  <c r="F517" i="2"/>
  <c r="E517" i="2"/>
  <c r="D517" i="2"/>
  <c r="K516" i="2"/>
  <c r="J516" i="2"/>
  <c r="I516" i="2"/>
  <c r="H516" i="2"/>
  <c r="G516" i="2"/>
  <c r="F516" i="2"/>
  <c r="E516" i="2"/>
  <c r="D516" i="2"/>
  <c r="K515" i="2"/>
  <c r="J515" i="2"/>
  <c r="I515" i="2"/>
  <c r="H515" i="2"/>
  <c r="G515" i="2"/>
  <c r="F515" i="2"/>
  <c r="E515" i="2"/>
  <c r="D515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G513" i="2"/>
  <c r="F513" i="2"/>
  <c r="E513" i="2"/>
  <c r="D513" i="2"/>
  <c r="K512" i="2"/>
  <c r="K542" i="2" s="1"/>
  <c r="J512" i="2"/>
  <c r="J542" i="2" s="1"/>
  <c r="I512" i="2"/>
  <c r="I542" i="2" s="1"/>
  <c r="H512" i="2"/>
  <c r="H542" i="2" s="1"/>
  <c r="G512" i="2"/>
  <c r="G542" i="2" s="1"/>
  <c r="F512" i="2"/>
  <c r="F542" i="2" s="1"/>
  <c r="E512" i="2"/>
  <c r="E542" i="2" s="1"/>
  <c r="D512" i="2"/>
  <c r="D542" i="2" s="1"/>
  <c r="Z541" i="2" s="1"/>
  <c r="K504" i="2"/>
  <c r="J504" i="2"/>
  <c r="I504" i="2"/>
  <c r="H504" i="2"/>
  <c r="G504" i="2"/>
  <c r="F504" i="2"/>
  <c r="E504" i="2"/>
  <c r="D504" i="2"/>
  <c r="K502" i="2"/>
  <c r="J502" i="2"/>
  <c r="I502" i="2"/>
  <c r="H502" i="2"/>
  <c r="G502" i="2"/>
  <c r="F502" i="2"/>
  <c r="E502" i="2"/>
  <c r="D502" i="2"/>
  <c r="K501" i="2"/>
  <c r="J501" i="2"/>
  <c r="I501" i="2"/>
  <c r="H501" i="2"/>
  <c r="G501" i="2"/>
  <c r="F501" i="2"/>
  <c r="E501" i="2"/>
  <c r="D501" i="2"/>
  <c r="K500" i="2"/>
  <c r="J500" i="2"/>
  <c r="I500" i="2"/>
  <c r="H500" i="2"/>
  <c r="G500" i="2"/>
  <c r="F500" i="2"/>
  <c r="E500" i="2"/>
  <c r="D500" i="2"/>
  <c r="K499" i="2"/>
  <c r="J499" i="2"/>
  <c r="I499" i="2"/>
  <c r="H499" i="2"/>
  <c r="G499" i="2"/>
  <c r="F499" i="2"/>
  <c r="E499" i="2"/>
  <c r="D499" i="2"/>
  <c r="K498" i="2"/>
  <c r="J498" i="2"/>
  <c r="I498" i="2"/>
  <c r="H498" i="2"/>
  <c r="G498" i="2"/>
  <c r="F498" i="2"/>
  <c r="E498" i="2"/>
  <c r="D498" i="2"/>
  <c r="K497" i="2"/>
  <c r="J497" i="2"/>
  <c r="I497" i="2"/>
  <c r="H497" i="2"/>
  <c r="G497" i="2"/>
  <c r="F497" i="2"/>
  <c r="E497" i="2"/>
  <c r="D497" i="2"/>
  <c r="K496" i="2"/>
  <c r="J496" i="2"/>
  <c r="I496" i="2"/>
  <c r="H496" i="2"/>
  <c r="G496" i="2"/>
  <c r="F496" i="2"/>
  <c r="E496" i="2"/>
  <c r="D496" i="2"/>
  <c r="K495" i="2"/>
  <c r="J495" i="2"/>
  <c r="I495" i="2"/>
  <c r="H495" i="2"/>
  <c r="G495" i="2"/>
  <c r="F495" i="2"/>
  <c r="E495" i="2"/>
  <c r="D495" i="2"/>
  <c r="K494" i="2"/>
  <c r="J494" i="2"/>
  <c r="I494" i="2"/>
  <c r="H494" i="2"/>
  <c r="G494" i="2"/>
  <c r="F494" i="2"/>
  <c r="E494" i="2"/>
  <c r="D494" i="2"/>
  <c r="K493" i="2"/>
  <c r="J493" i="2"/>
  <c r="I493" i="2"/>
  <c r="H493" i="2"/>
  <c r="G493" i="2"/>
  <c r="F493" i="2"/>
  <c r="E493" i="2"/>
  <c r="D493" i="2"/>
  <c r="K492" i="2"/>
  <c r="J492" i="2"/>
  <c r="I492" i="2"/>
  <c r="H492" i="2"/>
  <c r="G492" i="2"/>
  <c r="F492" i="2"/>
  <c r="E492" i="2"/>
  <c r="D492" i="2"/>
  <c r="K491" i="2"/>
  <c r="J491" i="2"/>
  <c r="I491" i="2"/>
  <c r="H491" i="2"/>
  <c r="G491" i="2"/>
  <c r="F491" i="2"/>
  <c r="E491" i="2"/>
  <c r="D491" i="2"/>
  <c r="K490" i="2"/>
  <c r="J490" i="2"/>
  <c r="I490" i="2"/>
  <c r="H490" i="2"/>
  <c r="G490" i="2"/>
  <c r="F490" i="2"/>
  <c r="E490" i="2"/>
  <c r="D490" i="2"/>
  <c r="K489" i="2"/>
  <c r="J489" i="2"/>
  <c r="I489" i="2"/>
  <c r="H489" i="2"/>
  <c r="G489" i="2"/>
  <c r="F489" i="2"/>
  <c r="E489" i="2"/>
  <c r="D489" i="2"/>
  <c r="K488" i="2"/>
  <c r="J488" i="2"/>
  <c r="I488" i="2"/>
  <c r="H488" i="2"/>
  <c r="G488" i="2"/>
  <c r="F488" i="2"/>
  <c r="E488" i="2"/>
  <c r="D488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G486" i="2"/>
  <c r="F486" i="2"/>
  <c r="E486" i="2"/>
  <c r="D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K508" i="2" s="1"/>
  <c r="J478" i="2"/>
  <c r="J508" i="2" s="1"/>
  <c r="I478" i="2"/>
  <c r="I508" i="2" s="1"/>
  <c r="H478" i="2"/>
  <c r="H508" i="2" s="1"/>
  <c r="G478" i="2"/>
  <c r="G508" i="2" s="1"/>
  <c r="F478" i="2"/>
  <c r="F508" i="2" s="1"/>
  <c r="E478" i="2"/>
  <c r="E508" i="2" s="1"/>
  <c r="D478" i="2"/>
  <c r="D508" i="2" s="1"/>
  <c r="Z507" i="2" s="1"/>
  <c r="K470" i="2"/>
  <c r="J470" i="2"/>
  <c r="I470" i="2"/>
  <c r="H470" i="2"/>
  <c r="G470" i="2"/>
  <c r="F470" i="2"/>
  <c r="E470" i="2"/>
  <c r="D470" i="2"/>
  <c r="K468" i="2"/>
  <c r="J468" i="2"/>
  <c r="I468" i="2"/>
  <c r="H468" i="2"/>
  <c r="G468" i="2"/>
  <c r="F468" i="2"/>
  <c r="E468" i="2"/>
  <c r="D468" i="2"/>
  <c r="K467" i="2"/>
  <c r="J467" i="2"/>
  <c r="I467" i="2"/>
  <c r="H467" i="2"/>
  <c r="G467" i="2"/>
  <c r="F467" i="2"/>
  <c r="E467" i="2"/>
  <c r="D467" i="2"/>
  <c r="K466" i="2"/>
  <c r="J466" i="2"/>
  <c r="I466" i="2"/>
  <c r="H466" i="2"/>
  <c r="G466" i="2"/>
  <c r="F466" i="2"/>
  <c r="E466" i="2"/>
  <c r="D466" i="2"/>
  <c r="K465" i="2"/>
  <c r="J465" i="2"/>
  <c r="I465" i="2"/>
  <c r="H465" i="2"/>
  <c r="G465" i="2"/>
  <c r="F465" i="2"/>
  <c r="E465" i="2"/>
  <c r="D465" i="2"/>
  <c r="K464" i="2"/>
  <c r="J464" i="2"/>
  <c r="I464" i="2"/>
  <c r="H464" i="2"/>
  <c r="G464" i="2"/>
  <c r="F464" i="2"/>
  <c r="E464" i="2"/>
  <c r="D464" i="2"/>
  <c r="K463" i="2"/>
  <c r="J463" i="2"/>
  <c r="I463" i="2"/>
  <c r="H463" i="2"/>
  <c r="G463" i="2"/>
  <c r="F463" i="2"/>
  <c r="E463" i="2"/>
  <c r="D463" i="2"/>
  <c r="K462" i="2"/>
  <c r="J462" i="2"/>
  <c r="I462" i="2"/>
  <c r="H462" i="2"/>
  <c r="G462" i="2"/>
  <c r="F462" i="2"/>
  <c r="E462" i="2"/>
  <c r="D462" i="2"/>
  <c r="K461" i="2"/>
  <c r="J461" i="2"/>
  <c r="I461" i="2"/>
  <c r="H461" i="2"/>
  <c r="G461" i="2"/>
  <c r="F461" i="2"/>
  <c r="E461" i="2"/>
  <c r="D461" i="2"/>
  <c r="K460" i="2"/>
  <c r="J460" i="2"/>
  <c r="I460" i="2"/>
  <c r="H460" i="2"/>
  <c r="G460" i="2"/>
  <c r="F460" i="2"/>
  <c r="E460" i="2"/>
  <c r="D460" i="2"/>
  <c r="K459" i="2"/>
  <c r="J459" i="2"/>
  <c r="I459" i="2"/>
  <c r="H459" i="2"/>
  <c r="G459" i="2"/>
  <c r="F459" i="2"/>
  <c r="E459" i="2"/>
  <c r="D459" i="2"/>
  <c r="K458" i="2"/>
  <c r="J458" i="2"/>
  <c r="I458" i="2"/>
  <c r="H458" i="2"/>
  <c r="G458" i="2"/>
  <c r="F458" i="2"/>
  <c r="E458" i="2"/>
  <c r="D458" i="2"/>
  <c r="K457" i="2"/>
  <c r="J457" i="2"/>
  <c r="I457" i="2"/>
  <c r="H457" i="2"/>
  <c r="G457" i="2"/>
  <c r="F457" i="2"/>
  <c r="E457" i="2"/>
  <c r="D457" i="2"/>
  <c r="K456" i="2"/>
  <c r="J456" i="2"/>
  <c r="I456" i="2"/>
  <c r="H456" i="2"/>
  <c r="G456" i="2"/>
  <c r="F456" i="2"/>
  <c r="E456" i="2"/>
  <c r="D456" i="2"/>
  <c r="K455" i="2"/>
  <c r="J455" i="2"/>
  <c r="I455" i="2"/>
  <c r="H455" i="2"/>
  <c r="G455" i="2"/>
  <c r="F455" i="2"/>
  <c r="E455" i="2"/>
  <c r="D455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G453" i="2"/>
  <c r="F453" i="2"/>
  <c r="E453" i="2"/>
  <c r="D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K474" i="2" s="1"/>
  <c r="J444" i="2"/>
  <c r="J474" i="2" s="1"/>
  <c r="I444" i="2"/>
  <c r="I474" i="2" s="1"/>
  <c r="H444" i="2"/>
  <c r="H474" i="2" s="1"/>
  <c r="G444" i="2"/>
  <c r="G474" i="2" s="1"/>
  <c r="F444" i="2"/>
  <c r="F474" i="2" s="1"/>
  <c r="E444" i="2"/>
  <c r="E474" i="2" s="1"/>
  <c r="D444" i="2"/>
  <c r="D474" i="2" s="1"/>
  <c r="Z473" i="2" s="1"/>
  <c r="K436" i="2"/>
  <c r="J436" i="2"/>
  <c r="I436" i="2"/>
  <c r="H436" i="2"/>
  <c r="G436" i="2"/>
  <c r="F436" i="2"/>
  <c r="E436" i="2"/>
  <c r="D436" i="2"/>
  <c r="K434" i="2"/>
  <c r="J434" i="2"/>
  <c r="I434" i="2"/>
  <c r="H434" i="2"/>
  <c r="G434" i="2"/>
  <c r="F434" i="2"/>
  <c r="E434" i="2"/>
  <c r="D434" i="2"/>
  <c r="K433" i="2"/>
  <c r="J433" i="2"/>
  <c r="I433" i="2"/>
  <c r="H433" i="2"/>
  <c r="G433" i="2"/>
  <c r="F433" i="2"/>
  <c r="E433" i="2"/>
  <c r="D433" i="2"/>
  <c r="K432" i="2"/>
  <c r="J432" i="2"/>
  <c r="I432" i="2"/>
  <c r="H432" i="2"/>
  <c r="G432" i="2"/>
  <c r="F432" i="2"/>
  <c r="E432" i="2"/>
  <c r="D432" i="2"/>
  <c r="K431" i="2"/>
  <c r="J431" i="2"/>
  <c r="I431" i="2"/>
  <c r="H431" i="2"/>
  <c r="G431" i="2"/>
  <c r="F431" i="2"/>
  <c r="E431" i="2"/>
  <c r="D431" i="2"/>
  <c r="K430" i="2"/>
  <c r="J430" i="2"/>
  <c r="I430" i="2"/>
  <c r="H430" i="2"/>
  <c r="G430" i="2"/>
  <c r="F430" i="2"/>
  <c r="E430" i="2"/>
  <c r="D430" i="2"/>
  <c r="K429" i="2"/>
  <c r="J429" i="2"/>
  <c r="I429" i="2"/>
  <c r="H429" i="2"/>
  <c r="G429" i="2"/>
  <c r="F429" i="2"/>
  <c r="E429" i="2"/>
  <c r="D429" i="2"/>
  <c r="K428" i="2"/>
  <c r="J428" i="2"/>
  <c r="I428" i="2"/>
  <c r="H428" i="2"/>
  <c r="G428" i="2"/>
  <c r="F428" i="2"/>
  <c r="E428" i="2"/>
  <c r="D428" i="2"/>
  <c r="K427" i="2"/>
  <c r="J427" i="2"/>
  <c r="I427" i="2"/>
  <c r="H427" i="2"/>
  <c r="G427" i="2"/>
  <c r="F427" i="2"/>
  <c r="E427" i="2"/>
  <c r="D427" i="2"/>
  <c r="K426" i="2"/>
  <c r="J426" i="2"/>
  <c r="I426" i="2"/>
  <c r="H426" i="2"/>
  <c r="G426" i="2"/>
  <c r="F426" i="2"/>
  <c r="E426" i="2"/>
  <c r="D426" i="2"/>
  <c r="K425" i="2"/>
  <c r="J425" i="2"/>
  <c r="I425" i="2"/>
  <c r="H425" i="2"/>
  <c r="G425" i="2"/>
  <c r="F425" i="2"/>
  <c r="E425" i="2"/>
  <c r="D425" i="2"/>
  <c r="K424" i="2"/>
  <c r="J424" i="2"/>
  <c r="I424" i="2"/>
  <c r="H424" i="2"/>
  <c r="G424" i="2"/>
  <c r="F424" i="2"/>
  <c r="E424" i="2"/>
  <c r="D424" i="2"/>
  <c r="K423" i="2"/>
  <c r="J423" i="2"/>
  <c r="I423" i="2"/>
  <c r="H423" i="2"/>
  <c r="G423" i="2"/>
  <c r="F423" i="2"/>
  <c r="E423" i="2"/>
  <c r="D423" i="2"/>
  <c r="K422" i="2"/>
  <c r="J422" i="2"/>
  <c r="I422" i="2"/>
  <c r="H422" i="2"/>
  <c r="G422" i="2"/>
  <c r="F422" i="2"/>
  <c r="E422" i="2"/>
  <c r="D422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K440" i="2" s="1"/>
  <c r="J410" i="2"/>
  <c r="J440" i="2" s="1"/>
  <c r="I410" i="2"/>
  <c r="I440" i="2" s="1"/>
  <c r="H410" i="2"/>
  <c r="H440" i="2" s="1"/>
  <c r="G410" i="2"/>
  <c r="G440" i="2" s="1"/>
  <c r="F410" i="2"/>
  <c r="F440" i="2" s="1"/>
  <c r="E410" i="2"/>
  <c r="E440" i="2" s="1"/>
  <c r="D410" i="2"/>
  <c r="D440" i="2" s="1"/>
  <c r="Z439" i="2" s="1"/>
  <c r="K402" i="2"/>
  <c r="J402" i="2"/>
  <c r="I402" i="2"/>
  <c r="H402" i="2"/>
  <c r="G402" i="2"/>
  <c r="F402" i="2"/>
  <c r="E402" i="2"/>
  <c r="D402" i="2"/>
  <c r="K400" i="2"/>
  <c r="J400" i="2"/>
  <c r="I400" i="2"/>
  <c r="H400" i="2"/>
  <c r="G400" i="2"/>
  <c r="F400" i="2"/>
  <c r="E400" i="2"/>
  <c r="D400" i="2"/>
  <c r="K399" i="2"/>
  <c r="J399" i="2"/>
  <c r="I399" i="2"/>
  <c r="H399" i="2"/>
  <c r="G399" i="2"/>
  <c r="F399" i="2"/>
  <c r="E399" i="2"/>
  <c r="D399" i="2"/>
  <c r="K398" i="2"/>
  <c r="J398" i="2"/>
  <c r="I398" i="2"/>
  <c r="H398" i="2"/>
  <c r="G398" i="2"/>
  <c r="F398" i="2"/>
  <c r="E398" i="2"/>
  <c r="D398" i="2"/>
  <c r="K397" i="2"/>
  <c r="J397" i="2"/>
  <c r="I397" i="2"/>
  <c r="H397" i="2"/>
  <c r="G397" i="2"/>
  <c r="F397" i="2"/>
  <c r="E397" i="2"/>
  <c r="D397" i="2"/>
  <c r="K396" i="2"/>
  <c r="J396" i="2"/>
  <c r="I396" i="2"/>
  <c r="H396" i="2"/>
  <c r="G396" i="2"/>
  <c r="F396" i="2"/>
  <c r="E396" i="2"/>
  <c r="D396" i="2"/>
  <c r="K395" i="2"/>
  <c r="J395" i="2"/>
  <c r="I395" i="2"/>
  <c r="H395" i="2"/>
  <c r="G395" i="2"/>
  <c r="F395" i="2"/>
  <c r="E395" i="2"/>
  <c r="D395" i="2"/>
  <c r="K394" i="2"/>
  <c r="J394" i="2"/>
  <c r="I394" i="2"/>
  <c r="H394" i="2"/>
  <c r="G394" i="2"/>
  <c r="F394" i="2"/>
  <c r="E394" i="2"/>
  <c r="D394" i="2"/>
  <c r="K393" i="2"/>
  <c r="J393" i="2"/>
  <c r="I393" i="2"/>
  <c r="H393" i="2"/>
  <c r="G393" i="2"/>
  <c r="F393" i="2"/>
  <c r="E393" i="2"/>
  <c r="D393" i="2"/>
  <c r="K392" i="2"/>
  <c r="J392" i="2"/>
  <c r="I392" i="2"/>
  <c r="H392" i="2"/>
  <c r="G392" i="2"/>
  <c r="F392" i="2"/>
  <c r="E392" i="2"/>
  <c r="D392" i="2"/>
  <c r="K391" i="2"/>
  <c r="J391" i="2"/>
  <c r="I391" i="2"/>
  <c r="H391" i="2"/>
  <c r="G391" i="2"/>
  <c r="F391" i="2"/>
  <c r="E391" i="2"/>
  <c r="D391" i="2"/>
  <c r="K390" i="2"/>
  <c r="J390" i="2"/>
  <c r="I390" i="2"/>
  <c r="H390" i="2"/>
  <c r="G390" i="2"/>
  <c r="F390" i="2"/>
  <c r="E390" i="2"/>
  <c r="D390" i="2"/>
  <c r="K389" i="2"/>
  <c r="J389" i="2"/>
  <c r="I389" i="2"/>
  <c r="H389" i="2"/>
  <c r="G389" i="2"/>
  <c r="F389" i="2"/>
  <c r="E389" i="2"/>
  <c r="D389" i="2"/>
  <c r="K388" i="2"/>
  <c r="J388" i="2"/>
  <c r="I388" i="2"/>
  <c r="H388" i="2"/>
  <c r="G388" i="2"/>
  <c r="F388" i="2"/>
  <c r="E388" i="2"/>
  <c r="D388" i="2"/>
  <c r="K387" i="2"/>
  <c r="J387" i="2"/>
  <c r="I387" i="2"/>
  <c r="H387" i="2"/>
  <c r="G387" i="2"/>
  <c r="F387" i="2"/>
  <c r="E387" i="2"/>
  <c r="D387" i="2"/>
  <c r="K386" i="2"/>
  <c r="J386" i="2"/>
  <c r="I386" i="2"/>
  <c r="H386" i="2"/>
  <c r="G386" i="2"/>
  <c r="F386" i="2"/>
  <c r="E386" i="2"/>
  <c r="D386" i="2"/>
  <c r="K385" i="2"/>
  <c r="J385" i="2"/>
  <c r="I385" i="2"/>
  <c r="H385" i="2"/>
  <c r="G385" i="2"/>
  <c r="F385" i="2"/>
  <c r="E385" i="2"/>
  <c r="D385" i="2"/>
  <c r="K384" i="2"/>
  <c r="J384" i="2"/>
  <c r="I384" i="2"/>
  <c r="H384" i="2"/>
  <c r="G384" i="2"/>
  <c r="F384" i="2"/>
  <c r="E384" i="2"/>
  <c r="D384" i="2"/>
  <c r="K383" i="2"/>
  <c r="J383" i="2"/>
  <c r="I383" i="2"/>
  <c r="H383" i="2"/>
  <c r="G383" i="2"/>
  <c r="F383" i="2"/>
  <c r="E383" i="2"/>
  <c r="D383" i="2"/>
  <c r="K382" i="2"/>
  <c r="J382" i="2"/>
  <c r="I382" i="2"/>
  <c r="H382" i="2"/>
  <c r="G382" i="2"/>
  <c r="F382" i="2"/>
  <c r="E382" i="2"/>
  <c r="D382" i="2"/>
  <c r="K381" i="2"/>
  <c r="J381" i="2"/>
  <c r="I381" i="2"/>
  <c r="H381" i="2"/>
  <c r="G381" i="2"/>
  <c r="F381" i="2"/>
  <c r="E381" i="2"/>
  <c r="D381" i="2"/>
  <c r="K380" i="2"/>
  <c r="J380" i="2"/>
  <c r="I380" i="2"/>
  <c r="H380" i="2"/>
  <c r="G380" i="2"/>
  <c r="F380" i="2"/>
  <c r="E380" i="2"/>
  <c r="D380" i="2"/>
  <c r="K379" i="2"/>
  <c r="J379" i="2"/>
  <c r="I379" i="2"/>
  <c r="H379" i="2"/>
  <c r="G379" i="2"/>
  <c r="F379" i="2"/>
  <c r="E379" i="2"/>
  <c r="D379" i="2"/>
  <c r="K378" i="2"/>
  <c r="J378" i="2"/>
  <c r="I378" i="2"/>
  <c r="H378" i="2"/>
  <c r="G378" i="2"/>
  <c r="F378" i="2"/>
  <c r="E378" i="2"/>
  <c r="D378" i="2"/>
  <c r="K377" i="2"/>
  <c r="J377" i="2"/>
  <c r="I377" i="2"/>
  <c r="H377" i="2"/>
  <c r="G377" i="2"/>
  <c r="F377" i="2"/>
  <c r="E377" i="2"/>
  <c r="D377" i="2"/>
  <c r="K376" i="2"/>
  <c r="K406" i="2" s="1"/>
  <c r="J376" i="2"/>
  <c r="J406" i="2" s="1"/>
  <c r="I376" i="2"/>
  <c r="I406" i="2" s="1"/>
  <c r="H376" i="2"/>
  <c r="H406" i="2" s="1"/>
  <c r="G376" i="2"/>
  <c r="G406" i="2" s="1"/>
  <c r="F376" i="2"/>
  <c r="F406" i="2" s="1"/>
  <c r="E376" i="2"/>
  <c r="E406" i="2" s="1"/>
  <c r="D376" i="2"/>
  <c r="D406" i="2" s="1"/>
  <c r="Z405" i="2" s="1"/>
  <c r="K368" i="2"/>
  <c r="J368" i="2"/>
  <c r="I368" i="2"/>
  <c r="H368" i="2"/>
  <c r="G368" i="2"/>
  <c r="F368" i="2"/>
  <c r="E368" i="2"/>
  <c r="D368" i="2"/>
  <c r="J366" i="2"/>
  <c r="I366" i="2"/>
  <c r="H366" i="2"/>
  <c r="G366" i="2"/>
  <c r="F366" i="2"/>
  <c r="E366" i="2"/>
  <c r="D366" i="2"/>
  <c r="J365" i="2"/>
  <c r="I365" i="2"/>
  <c r="H365" i="2"/>
  <c r="G365" i="2"/>
  <c r="F365" i="2"/>
  <c r="E365" i="2"/>
  <c r="D365" i="2"/>
  <c r="J364" i="2"/>
  <c r="I364" i="2"/>
  <c r="H364" i="2"/>
  <c r="G364" i="2"/>
  <c r="F364" i="2"/>
  <c r="E364" i="2"/>
  <c r="D364" i="2"/>
  <c r="J363" i="2"/>
  <c r="I363" i="2"/>
  <c r="H363" i="2"/>
  <c r="G363" i="2"/>
  <c r="F363" i="2"/>
  <c r="E363" i="2"/>
  <c r="D363" i="2"/>
  <c r="J362" i="2"/>
  <c r="I362" i="2"/>
  <c r="H362" i="2"/>
  <c r="G362" i="2"/>
  <c r="F362" i="2"/>
  <c r="E362" i="2"/>
  <c r="D362" i="2"/>
  <c r="J361" i="2"/>
  <c r="I361" i="2"/>
  <c r="H361" i="2"/>
  <c r="G361" i="2"/>
  <c r="F361" i="2"/>
  <c r="E361" i="2"/>
  <c r="D361" i="2"/>
  <c r="J360" i="2"/>
  <c r="I360" i="2"/>
  <c r="H360" i="2"/>
  <c r="G360" i="2"/>
  <c r="F360" i="2"/>
  <c r="E360" i="2"/>
  <c r="D360" i="2"/>
  <c r="J359" i="2"/>
  <c r="I359" i="2"/>
  <c r="H359" i="2"/>
  <c r="G359" i="2"/>
  <c r="F359" i="2"/>
  <c r="E359" i="2"/>
  <c r="D359" i="2"/>
  <c r="J358" i="2"/>
  <c r="I358" i="2"/>
  <c r="H358" i="2"/>
  <c r="G358" i="2"/>
  <c r="F358" i="2"/>
  <c r="E358" i="2"/>
  <c r="D358" i="2"/>
  <c r="J357" i="2"/>
  <c r="I357" i="2"/>
  <c r="H357" i="2"/>
  <c r="G357" i="2"/>
  <c r="F357" i="2"/>
  <c r="E357" i="2"/>
  <c r="D357" i="2"/>
  <c r="J356" i="2"/>
  <c r="I356" i="2"/>
  <c r="H356" i="2"/>
  <c r="G356" i="2"/>
  <c r="F356" i="2"/>
  <c r="E356" i="2"/>
  <c r="D356" i="2"/>
  <c r="J355" i="2"/>
  <c r="I355" i="2"/>
  <c r="H355" i="2"/>
  <c r="G355" i="2"/>
  <c r="F355" i="2"/>
  <c r="E355" i="2"/>
  <c r="D355" i="2"/>
  <c r="J354" i="2"/>
  <c r="I354" i="2"/>
  <c r="H354" i="2"/>
  <c r="G354" i="2"/>
  <c r="F354" i="2"/>
  <c r="E354" i="2"/>
  <c r="D354" i="2"/>
  <c r="J353" i="2"/>
  <c r="I353" i="2"/>
  <c r="H353" i="2"/>
  <c r="G353" i="2"/>
  <c r="F353" i="2"/>
  <c r="E353" i="2"/>
  <c r="D353" i="2"/>
  <c r="J352" i="2"/>
  <c r="I352" i="2"/>
  <c r="H352" i="2"/>
  <c r="G352" i="2"/>
  <c r="F352" i="2"/>
  <c r="E352" i="2"/>
  <c r="D352" i="2"/>
  <c r="J351" i="2"/>
  <c r="I351" i="2"/>
  <c r="H351" i="2"/>
  <c r="G351" i="2"/>
  <c r="F351" i="2"/>
  <c r="E351" i="2"/>
  <c r="D351" i="2"/>
  <c r="J350" i="2"/>
  <c r="I350" i="2"/>
  <c r="H350" i="2"/>
  <c r="G350" i="2"/>
  <c r="F350" i="2"/>
  <c r="E350" i="2"/>
  <c r="D350" i="2"/>
  <c r="J349" i="2"/>
  <c r="I349" i="2"/>
  <c r="H349" i="2"/>
  <c r="G349" i="2"/>
  <c r="F349" i="2"/>
  <c r="E349" i="2"/>
  <c r="D349" i="2"/>
  <c r="J348" i="2"/>
  <c r="I348" i="2"/>
  <c r="H348" i="2"/>
  <c r="G348" i="2"/>
  <c r="F348" i="2"/>
  <c r="E348" i="2"/>
  <c r="D348" i="2"/>
  <c r="J347" i="2"/>
  <c r="I347" i="2"/>
  <c r="H347" i="2"/>
  <c r="G347" i="2"/>
  <c r="F347" i="2"/>
  <c r="E347" i="2"/>
  <c r="D347" i="2"/>
  <c r="J346" i="2"/>
  <c r="I346" i="2"/>
  <c r="H346" i="2"/>
  <c r="G346" i="2"/>
  <c r="F346" i="2"/>
  <c r="E346" i="2"/>
  <c r="D346" i="2"/>
  <c r="J345" i="2"/>
  <c r="I345" i="2"/>
  <c r="H345" i="2"/>
  <c r="G345" i="2"/>
  <c r="F345" i="2"/>
  <c r="E345" i="2"/>
  <c r="D345" i="2"/>
  <c r="J344" i="2"/>
  <c r="I344" i="2"/>
  <c r="H344" i="2"/>
  <c r="G344" i="2"/>
  <c r="F344" i="2"/>
  <c r="E344" i="2"/>
  <c r="D344" i="2"/>
  <c r="J343" i="2"/>
  <c r="I343" i="2"/>
  <c r="H343" i="2"/>
  <c r="G343" i="2"/>
  <c r="F343" i="2"/>
  <c r="E343" i="2"/>
  <c r="D343" i="2"/>
  <c r="J342" i="2"/>
  <c r="I342" i="2"/>
  <c r="H342" i="2"/>
  <c r="G342" i="2"/>
  <c r="F342" i="2"/>
  <c r="E342" i="2"/>
  <c r="D342" i="2"/>
  <c r="K334" i="2"/>
  <c r="J334" i="2"/>
  <c r="I334" i="2"/>
  <c r="H334" i="2"/>
  <c r="G334" i="2"/>
  <c r="F334" i="2"/>
  <c r="E334" i="2"/>
  <c r="D334" i="2"/>
  <c r="K332" i="2"/>
  <c r="J332" i="2"/>
  <c r="I332" i="2"/>
  <c r="H332" i="2"/>
  <c r="G332" i="2"/>
  <c r="F332" i="2"/>
  <c r="E332" i="2"/>
  <c r="D332" i="2"/>
  <c r="K331" i="2"/>
  <c r="J331" i="2"/>
  <c r="I331" i="2"/>
  <c r="H331" i="2"/>
  <c r="G331" i="2"/>
  <c r="F331" i="2"/>
  <c r="E331" i="2"/>
  <c r="D331" i="2"/>
  <c r="K330" i="2"/>
  <c r="J330" i="2"/>
  <c r="I330" i="2"/>
  <c r="H330" i="2"/>
  <c r="G330" i="2"/>
  <c r="F330" i="2"/>
  <c r="E330" i="2"/>
  <c r="D330" i="2"/>
  <c r="K329" i="2"/>
  <c r="J329" i="2"/>
  <c r="I329" i="2"/>
  <c r="H329" i="2"/>
  <c r="G329" i="2"/>
  <c r="F329" i="2"/>
  <c r="E329" i="2"/>
  <c r="D329" i="2"/>
  <c r="K328" i="2"/>
  <c r="J328" i="2"/>
  <c r="I328" i="2"/>
  <c r="H328" i="2"/>
  <c r="G328" i="2"/>
  <c r="F328" i="2"/>
  <c r="E328" i="2"/>
  <c r="D328" i="2"/>
  <c r="K327" i="2"/>
  <c r="J327" i="2"/>
  <c r="I327" i="2"/>
  <c r="H327" i="2"/>
  <c r="G327" i="2"/>
  <c r="F327" i="2"/>
  <c r="E327" i="2"/>
  <c r="D327" i="2"/>
  <c r="K326" i="2"/>
  <c r="J326" i="2"/>
  <c r="I326" i="2"/>
  <c r="H326" i="2"/>
  <c r="G326" i="2"/>
  <c r="F326" i="2"/>
  <c r="E326" i="2"/>
  <c r="D326" i="2"/>
  <c r="K325" i="2"/>
  <c r="J325" i="2"/>
  <c r="I325" i="2"/>
  <c r="H325" i="2"/>
  <c r="G325" i="2"/>
  <c r="F325" i="2"/>
  <c r="E325" i="2"/>
  <c r="D325" i="2"/>
  <c r="K324" i="2"/>
  <c r="J324" i="2"/>
  <c r="I324" i="2"/>
  <c r="H324" i="2"/>
  <c r="G324" i="2"/>
  <c r="F324" i="2"/>
  <c r="E324" i="2"/>
  <c r="D324" i="2"/>
  <c r="K323" i="2"/>
  <c r="J323" i="2"/>
  <c r="I323" i="2"/>
  <c r="H323" i="2"/>
  <c r="G323" i="2"/>
  <c r="F323" i="2"/>
  <c r="E323" i="2"/>
  <c r="D323" i="2"/>
  <c r="K322" i="2"/>
  <c r="J322" i="2"/>
  <c r="I322" i="2"/>
  <c r="H322" i="2"/>
  <c r="G322" i="2"/>
  <c r="F322" i="2"/>
  <c r="E322" i="2"/>
  <c r="D322" i="2"/>
  <c r="K321" i="2"/>
  <c r="J321" i="2"/>
  <c r="I321" i="2"/>
  <c r="H321" i="2"/>
  <c r="G321" i="2"/>
  <c r="F321" i="2"/>
  <c r="E321" i="2"/>
  <c r="D321" i="2"/>
  <c r="K320" i="2"/>
  <c r="J320" i="2"/>
  <c r="I320" i="2"/>
  <c r="H320" i="2"/>
  <c r="G320" i="2"/>
  <c r="F320" i="2"/>
  <c r="E320" i="2"/>
  <c r="D320" i="2"/>
  <c r="K319" i="2"/>
  <c r="J319" i="2"/>
  <c r="I319" i="2"/>
  <c r="H319" i="2"/>
  <c r="G319" i="2"/>
  <c r="F319" i="2"/>
  <c r="E319" i="2"/>
  <c r="D319" i="2"/>
  <c r="K318" i="2"/>
  <c r="J318" i="2"/>
  <c r="I318" i="2"/>
  <c r="H318" i="2"/>
  <c r="G318" i="2"/>
  <c r="F318" i="2"/>
  <c r="E318" i="2"/>
  <c r="D318" i="2"/>
  <c r="K317" i="2"/>
  <c r="J317" i="2"/>
  <c r="I317" i="2"/>
  <c r="H317" i="2"/>
  <c r="G317" i="2"/>
  <c r="F317" i="2"/>
  <c r="E317" i="2"/>
  <c r="D317" i="2"/>
  <c r="K316" i="2"/>
  <c r="J316" i="2"/>
  <c r="I316" i="2"/>
  <c r="H316" i="2"/>
  <c r="G316" i="2"/>
  <c r="F316" i="2"/>
  <c r="E316" i="2"/>
  <c r="D316" i="2"/>
  <c r="K315" i="2"/>
  <c r="J315" i="2"/>
  <c r="I315" i="2"/>
  <c r="H315" i="2"/>
  <c r="G315" i="2"/>
  <c r="F315" i="2"/>
  <c r="E315" i="2"/>
  <c r="D315" i="2"/>
  <c r="K314" i="2"/>
  <c r="J314" i="2"/>
  <c r="I314" i="2"/>
  <c r="H314" i="2"/>
  <c r="G314" i="2"/>
  <c r="F314" i="2"/>
  <c r="E314" i="2"/>
  <c r="D314" i="2"/>
  <c r="K313" i="2"/>
  <c r="J313" i="2"/>
  <c r="I313" i="2"/>
  <c r="H313" i="2"/>
  <c r="G313" i="2"/>
  <c r="F313" i="2"/>
  <c r="E313" i="2"/>
  <c r="D313" i="2"/>
  <c r="K312" i="2"/>
  <c r="J312" i="2"/>
  <c r="I312" i="2"/>
  <c r="H312" i="2"/>
  <c r="G312" i="2"/>
  <c r="F312" i="2"/>
  <c r="E312" i="2"/>
  <c r="D312" i="2"/>
  <c r="K311" i="2"/>
  <c r="J311" i="2"/>
  <c r="I311" i="2"/>
  <c r="H311" i="2"/>
  <c r="G311" i="2"/>
  <c r="F311" i="2"/>
  <c r="E311" i="2"/>
  <c r="D311" i="2"/>
  <c r="K310" i="2"/>
  <c r="J310" i="2"/>
  <c r="I310" i="2"/>
  <c r="H310" i="2"/>
  <c r="G310" i="2"/>
  <c r="F310" i="2"/>
  <c r="E310" i="2"/>
  <c r="D310" i="2"/>
  <c r="K309" i="2"/>
  <c r="J309" i="2"/>
  <c r="I309" i="2"/>
  <c r="H309" i="2"/>
  <c r="G309" i="2"/>
  <c r="F309" i="2"/>
  <c r="E309" i="2"/>
  <c r="D309" i="2"/>
  <c r="K308" i="2"/>
  <c r="K338" i="2" s="1"/>
  <c r="J308" i="2"/>
  <c r="J338" i="2" s="1"/>
  <c r="I308" i="2"/>
  <c r="I338" i="2" s="1"/>
  <c r="H308" i="2"/>
  <c r="H338" i="2" s="1"/>
  <c r="G308" i="2"/>
  <c r="G338" i="2" s="1"/>
  <c r="F308" i="2"/>
  <c r="F338" i="2" s="1"/>
  <c r="E308" i="2"/>
  <c r="E338" i="2" s="1"/>
  <c r="D308" i="2"/>
  <c r="D338" i="2" s="1"/>
  <c r="J300" i="2"/>
  <c r="I300" i="2"/>
  <c r="H300" i="2"/>
  <c r="G300" i="2"/>
  <c r="F300" i="2"/>
  <c r="E300" i="2"/>
  <c r="D300" i="2"/>
  <c r="J298" i="2"/>
  <c r="I298" i="2"/>
  <c r="H298" i="2"/>
  <c r="G298" i="2"/>
  <c r="F298" i="2"/>
  <c r="E298" i="2"/>
  <c r="D298" i="2"/>
  <c r="J297" i="2"/>
  <c r="I297" i="2"/>
  <c r="H297" i="2"/>
  <c r="G297" i="2"/>
  <c r="F297" i="2"/>
  <c r="E297" i="2"/>
  <c r="D297" i="2"/>
  <c r="J296" i="2"/>
  <c r="I296" i="2"/>
  <c r="H296" i="2"/>
  <c r="G296" i="2"/>
  <c r="F296" i="2"/>
  <c r="E296" i="2"/>
  <c r="D296" i="2"/>
  <c r="J295" i="2"/>
  <c r="I295" i="2"/>
  <c r="H295" i="2"/>
  <c r="G295" i="2"/>
  <c r="F295" i="2"/>
  <c r="E295" i="2"/>
  <c r="D295" i="2"/>
  <c r="J294" i="2"/>
  <c r="I294" i="2"/>
  <c r="H294" i="2"/>
  <c r="G294" i="2"/>
  <c r="F294" i="2"/>
  <c r="E294" i="2"/>
  <c r="D294" i="2"/>
  <c r="J293" i="2"/>
  <c r="I293" i="2"/>
  <c r="H293" i="2"/>
  <c r="G293" i="2"/>
  <c r="F293" i="2"/>
  <c r="E293" i="2"/>
  <c r="D293" i="2"/>
  <c r="J292" i="2"/>
  <c r="I292" i="2"/>
  <c r="H292" i="2"/>
  <c r="G292" i="2"/>
  <c r="F292" i="2"/>
  <c r="E292" i="2"/>
  <c r="D292" i="2"/>
  <c r="J291" i="2"/>
  <c r="I291" i="2"/>
  <c r="H291" i="2"/>
  <c r="G291" i="2"/>
  <c r="F291" i="2"/>
  <c r="E291" i="2"/>
  <c r="D291" i="2"/>
  <c r="J290" i="2"/>
  <c r="I290" i="2"/>
  <c r="H290" i="2"/>
  <c r="G290" i="2"/>
  <c r="F290" i="2"/>
  <c r="E290" i="2"/>
  <c r="D290" i="2"/>
  <c r="J289" i="2"/>
  <c r="I289" i="2"/>
  <c r="H289" i="2"/>
  <c r="G289" i="2"/>
  <c r="F289" i="2"/>
  <c r="E289" i="2"/>
  <c r="D289" i="2"/>
  <c r="J288" i="2"/>
  <c r="I288" i="2"/>
  <c r="H288" i="2"/>
  <c r="G288" i="2"/>
  <c r="F288" i="2"/>
  <c r="E288" i="2"/>
  <c r="D288" i="2"/>
  <c r="J287" i="2"/>
  <c r="I287" i="2"/>
  <c r="H287" i="2"/>
  <c r="G287" i="2"/>
  <c r="F287" i="2"/>
  <c r="E287" i="2"/>
  <c r="D287" i="2"/>
  <c r="J286" i="2"/>
  <c r="I286" i="2"/>
  <c r="H286" i="2"/>
  <c r="G286" i="2"/>
  <c r="F286" i="2"/>
  <c r="E286" i="2"/>
  <c r="D286" i="2"/>
  <c r="J285" i="2"/>
  <c r="I285" i="2"/>
  <c r="H285" i="2"/>
  <c r="G285" i="2"/>
  <c r="F285" i="2"/>
  <c r="E285" i="2"/>
  <c r="D285" i="2"/>
  <c r="J284" i="2"/>
  <c r="I284" i="2"/>
  <c r="H284" i="2"/>
  <c r="G284" i="2"/>
  <c r="F284" i="2"/>
  <c r="E284" i="2"/>
  <c r="D284" i="2"/>
  <c r="J283" i="2"/>
  <c r="I283" i="2"/>
  <c r="H283" i="2"/>
  <c r="G283" i="2"/>
  <c r="F283" i="2"/>
  <c r="E283" i="2"/>
  <c r="D283" i="2"/>
  <c r="J282" i="2"/>
  <c r="I282" i="2"/>
  <c r="H282" i="2"/>
  <c r="G282" i="2"/>
  <c r="F282" i="2"/>
  <c r="E282" i="2"/>
  <c r="D282" i="2"/>
  <c r="J281" i="2"/>
  <c r="I281" i="2"/>
  <c r="H281" i="2"/>
  <c r="G281" i="2"/>
  <c r="F281" i="2"/>
  <c r="E281" i="2"/>
  <c r="D281" i="2"/>
  <c r="J280" i="2"/>
  <c r="I280" i="2"/>
  <c r="H280" i="2"/>
  <c r="G280" i="2"/>
  <c r="F280" i="2"/>
  <c r="E280" i="2"/>
  <c r="D280" i="2"/>
  <c r="J279" i="2"/>
  <c r="I279" i="2"/>
  <c r="H279" i="2"/>
  <c r="G279" i="2"/>
  <c r="F279" i="2"/>
  <c r="E279" i="2"/>
  <c r="D279" i="2"/>
  <c r="J278" i="2"/>
  <c r="I278" i="2"/>
  <c r="H278" i="2"/>
  <c r="G278" i="2"/>
  <c r="F278" i="2"/>
  <c r="E278" i="2"/>
  <c r="D278" i="2"/>
  <c r="J277" i="2"/>
  <c r="I277" i="2"/>
  <c r="H277" i="2"/>
  <c r="G277" i="2"/>
  <c r="F277" i="2"/>
  <c r="E277" i="2"/>
  <c r="D277" i="2"/>
  <c r="J276" i="2"/>
  <c r="I276" i="2"/>
  <c r="H276" i="2"/>
  <c r="G276" i="2"/>
  <c r="F276" i="2"/>
  <c r="E276" i="2"/>
  <c r="D276" i="2"/>
  <c r="J275" i="2"/>
  <c r="I275" i="2"/>
  <c r="H275" i="2"/>
  <c r="G275" i="2"/>
  <c r="F275" i="2"/>
  <c r="E275" i="2"/>
  <c r="D275" i="2"/>
  <c r="J274" i="2"/>
  <c r="I274" i="2"/>
  <c r="H274" i="2"/>
  <c r="G274" i="2"/>
  <c r="F274" i="2"/>
  <c r="E274" i="2"/>
  <c r="D274" i="2"/>
  <c r="K266" i="2"/>
  <c r="J266" i="2"/>
  <c r="I266" i="2"/>
  <c r="H266" i="2"/>
  <c r="G266" i="2"/>
  <c r="F266" i="2"/>
  <c r="E266" i="2"/>
  <c r="D266" i="2"/>
  <c r="K264" i="2"/>
  <c r="J264" i="2"/>
  <c r="I264" i="2"/>
  <c r="H264" i="2"/>
  <c r="G264" i="2"/>
  <c r="F264" i="2"/>
  <c r="E264" i="2"/>
  <c r="D264" i="2"/>
  <c r="K263" i="2"/>
  <c r="J263" i="2"/>
  <c r="I263" i="2"/>
  <c r="H263" i="2"/>
  <c r="G263" i="2"/>
  <c r="F263" i="2"/>
  <c r="E263" i="2"/>
  <c r="D263" i="2"/>
  <c r="K262" i="2"/>
  <c r="J262" i="2"/>
  <c r="I262" i="2"/>
  <c r="H262" i="2"/>
  <c r="G262" i="2"/>
  <c r="F262" i="2"/>
  <c r="E262" i="2"/>
  <c r="D262" i="2"/>
  <c r="K261" i="2"/>
  <c r="J261" i="2"/>
  <c r="I261" i="2"/>
  <c r="H261" i="2"/>
  <c r="G261" i="2"/>
  <c r="F261" i="2"/>
  <c r="E261" i="2"/>
  <c r="D261" i="2"/>
  <c r="K260" i="2"/>
  <c r="J260" i="2"/>
  <c r="I260" i="2"/>
  <c r="H260" i="2"/>
  <c r="G260" i="2"/>
  <c r="F260" i="2"/>
  <c r="E260" i="2"/>
  <c r="D260" i="2"/>
  <c r="K259" i="2"/>
  <c r="J259" i="2"/>
  <c r="I259" i="2"/>
  <c r="H259" i="2"/>
  <c r="G259" i="2"/>
  <c r="F259" i="2"/>
  <c r="E259" i="2"/>
  <c r="D259" i="2"/>
  <c r="K258" i="2"/>
  <c r="J258" i="2"/>
  <c r="I258" i="2"/>
  <c r="H258" i="2"/>
  <c r="G258" i="2"/>
  <c r="F258" i="2"/>
  <c r="E258" i="2"/>
  <c r="D258" i="2"/>
  <c r="K257" i="2"/>
  <c r="J257" i="2"/>
  <c r="I257" i="2"/>
  <c r="H257" i="2"/>
  <c r="G257" i="2"/>
  <c r="F257" i="2"/>
  <c r="E257" i="2"/>
  <c r="D257" i="2"/>
  <c r="K256" i="2"/>
  <c r="J256" i="2"/>
  <c r="I256" i="2"/>
  <c r="H256" i="2"/>
  <c r="G256" i="2"/>
  <c r="F256" i="2"/>
  <c r="E256" i="2"/>
  <c r="D256" i="2"/>
  <c r="K255" i="2"/>
  <c r="J255" i="2"/>
  <c r="I255" i="2"/>
  <c r="H255" i="2"/>
  <c r="G255" i="2"/>
  <c r="F255" i="2"/>
  <c r="E255" i="2"/>
  <c r="D255" i="2"/>
  <c r="K254" i="2"/>
  <c r="J254" i="2"/>
  <c r="I254" i="2"/>
  <c r="H254" i="2"/>
  <c r="G254" i="2"/>
  <c r="F254" i="2"/>
  <c r="E254" i="2"/>
  <c r="D254" i="2"/>
  <c r="K253" i="2"/>
  <c r="J253" i="2"/>
  <c r="I253" i="2"/>
  <c r="H253" i="2"/>
  <c r="G253" i="2"/>
  <c r="F253" i="2"/>
  <c r="E253" i="2"/>
  <c r="D253" i="2"/>
  <c r="K252" i="2"/>
  <c r="J252" i="2"/>
  <c r="I252" i="2"/>
  <c r="H252" i="2"/>
  <c r="G252" i="2"/>
  <c r="F252" i="2"/>
  <c r="E252" i="2"/>
  <c r="D252" i="2"/>
  <c r="K251" i="2"/>
  <c r="J251" i="2"/>
  <c r="I251" i="2"/>
  <c r="H251" i="2"/>
  <c r="G251" i="2"/>
  <c r="F251" i="2"/>
  <c r="E251" i="2"/>
  <c r="D251" i="2"/>
  <c r="K250" i="2"/>
  <c r="J250" i="2"/>
  <c r="I250" i="2"/>
  <c r="H250" i="2"/>
  <c r="G250" i="2"/>
  <c r="F250" i="2"/>
  <c r="E250" i="2"/>
  <c r="D250" i="2"/>
  <c r="K249" i="2"/>
  <c r="J249" i="2"/>
  <c r="I249" i="2"/>
  <c r="H249" i="2"/>
  <c r="G249" i="2"/>
  <c r="F249" i="2"/>
  <c r="E249" i="2"/>
  <c r="D249" i="2"/>
  <c r="K248" i="2"/>
  <c r="J248" i="2"/>
  <c r="I248" i="2"/>
  <c r="H248" i="2"/>
  <c r="G248" i="2"/>
  <c r="F248" i="2"/>
  <c r="E248" i="2"/>
  <c r="D248" i="2"/>
  <c r="K247" i="2"/>
  <c r="J247" i="2"/>
  <c r="I247" i="2"/>
  <c r="H247" i="2"/>
  <c r="G247" i="2"/>
  <c r="F247" i="2"/>
  <c r="E247" i="2"/>
  <c r="D247" i="2"/>
  <c r="K246" i="2"/>
  <c r="J246" i="2"/>
  <c r="I246" i="2"/>
  <c r="H246" i="2"/>
  <c r="G246" i="2"/>
  <c r="F246" i="2"/>
  <c r="E246" i="2"/>
  <c r="D246" i="2"/>
  <c r="K245" i="2"/>
  <c r="J245" i="2"/>
  <c r="I245" i="2"/>
  <c r="H245" i="2"/>
  <c r="G245" i="2"/>
  <c r="F245" i="2"/>
  <c r="E245" i="2"/>
  <c r="D245" i="2"/>
  <c r="K244" i="2"/>
  <c r="J244" i="2"/>
  <c r="I244" i="2"/>
  <c r="H244" i="2"/>
  <c r="G244" i="2"/>
  <c r="F244" i="2"/>
  <c r="E244" i="2"/>
  <c r="D244" i="2"/>
  <c r="K243" i="2"/>
  <c r="J243" i="2"/>
  <c r="I243" i="2"/>
  <c r="H243" i="2"/>
  <c r="G243" i="2"/>
  <c r="F243" i="2"/>
  <c r="E243" i="2"/>
  <c r="D243" i="2"/>
  <c r="K242" i="2"/>
  <c r="J242" i="2"/>
  <c r="I242" i="2"/>
  <c r="H242" i="2"/>
  <c r="G242" i="2"/>
  <c r="F242" i="2"/>
  <c r="E242" i="2"/>
  <c r="D242" i="2"/>
  <c r="K241" i="2"/>
  <c r="J241" i="2"/>
  <c r="I241" i="2"/>
  <c r="H241" i="2"/>
  <c r="G241" i="2"/>
  <c r="F241" i="2"/>
  <c r="E241" i="2"/>
  <c r="D241" i="2"/>
  <c r="K240" i="2"/>
  <c r="K270" i="2" s="1"/>
  <c r="J240" i="2"/>
  <c r="J270" i="2" s="1"/>
  <c r="I240" i="2"/>
  <c r="I270" i="2" s="1"/>
  <c r="H240" i="2"/>
  <c r="H270" i="2" s="1"/>
  <c r="G240" i="2"/>
  <c r="G270" i="2" s="1"/>
  <c r="F240" i="2"/>
  <c r="F270" i="2" s="1"/>
  <c r="E240" i="2"/>
  <c r="E270" i="2" s="1"/>
  <c r="D240" i="2"/>
  <c r="D270" i="2" s="1"/>
  <c r="F304" i="2" l="1"/>
  <c r="J304" i="2"/>
  <c r="Z337" i="2"/>
  <c r="D372" i="2"/>
  <c r="H372" i="2"/>
  <c r="Z269" i="2"/>
  <c r="I372" i="2"/>
  <c r="J950" i="2"/>
  <c r="D304" i="2"/>
  <c r="H304" i="2"/>
  <c r="F372" i="2"/>
  <c r="J372" i="2"/>
  <c r="G304" i="2"/>
  <c r="E372" i="2"/>
  <c r="E304" i="2"/>
  <c r="I304" i="2"/>
  <c r="G372" i="2"/>
  <c r="Y852" i="2"/>
  <c r="D882" i="2"/>
  <c r="Z881" i="2" s="1"/>
  <c r="Y853" i="2"/>
  <c r="Y861" i="2"/>
  <c r="Y862" i="2"/>
  <c r="Y863" i="2"/>
  <c r="Y865" i="2"/>
  <c r="Y866" i="2"/>
  <c r="Y867" i="2"/>
  <c r="Y868" i="2"/>
  <c r="Y869" i="2"/>
  <c r="Y870" i="2"/>
  <c r="Y871" i="2"/>
  <c r="Y872" i="2"/>
  <c r="Y873" i="2"/>
  <c r="Y875" i="2"/>
  <c r="Y878" i="2"/>
  <c r="Y886" i="2"/>
  <c r="D916" i="2"/>
  <c r="Z915" i="2" s="1"/>
  <c r="Y887" i="2"/>
  <c r="Y890" i="2"/>
  <c r="Y891" i="2"/>
  <c r="Y892" i="2"/>
  <c r="Y893" i="2"/>
  <c r="Y894" i="2"/>
  <c r="Y896" i="2"/>
  <c r="Y900" i="2"/>
  <c r="Y901" i="2"/>
  <c r="Y888" i="2"/>
  <c r="Y889" i="2"/>
  <c r="Y899" i="2"/>
  <c r="Y856" i="2"/>
  <c r="Y864" i="2"/>
  <c r="Y895" i="2"/>
  <c r="Y858" i="2"/>
  <c r="Y854" i="2"/>
  <c r="Y876" i="2"/>
  <c r="Y874" i="2"/>
  <c r="Y855" i="2"/>
  <c r="Y857" i="2"/>
  <c r="Y897" i="2"/>
  <c r="Y902" i="2"/>
  <c r="Y903" i="2"/>
  <c r="Y904" i="2"/>
  <c r="Y905" i="2"/>
  <c r="Y906" i="2"/>
  <c r="Y907" i="2"/>
  <c r="Y908" i="2"/>
  <c r="Y909" i="2"/>
  <c r="Y910" i="2"/>
  <c r="Y912" i="2"/>
  <c r="Y859" i="2"/>
  <c r="Y898" i="2"/>
  <c r="Y860" i="2"/>
  <c r="Y648" i="2"/>
  <c r="Y649" i="2"/>
  <c r="Y650" i="2"/>
  <c r="Y651" i="2"/>
  <c r="Y652" i="2"/>
  <c r="Y653" i="2"/>
  <c r="Y654" i="2"/>
  <c r="Y655" i="2"/>
  <c r="Y656" i="2"/>
  <c r="Y658" i="2"/>
  <c r="Y659" i="2"/>
  <c r="Y660" i="2"/>
  <c r="Y661" i="2"/>
  <c r="Y662" i="2"/>
  <c r="Y663" i="2"/>
  <c r="Y664" i="2"/>
  <c r="Y665" i="2"/>
  <c r="Y667" i="2"/>
  <c r="Y668" i="2"/>
  <c r="Y670" i="2"/>
  <c r="Y671" i="2"/>
  <c r="Y672" i="2"/>
  <c r="Y674" i="2"/>
  <c r="Y274" i="2"/>
  <c r="Y278" i="2"/>
  <c r="Y282" i="2"/>
  <c r="Y294" i="2"/>
  <c r="Y345" i="2"/>
  <c r="Y361" i="2"/>
  <c r="Y286" i="2"/>
  <c r="Y290" i="2"/>
  <c r="Y349" i="2"/>
  <c r="Y298" i="2"/>
  <c r="Y353" i="2"/>
  <c r="Y357" i="2"/>
  <c r="Y365" i="2"/>
  <c r="Y669" i="2"/>
  <c r="Y657" i="2"/>
  <c r="Y666" i="2"/>
  <c r="Y277" i="2"/>
  <c r="Y281" i="2"/>
  <c r="Y285" i="2"/>
  <c r="Y289" i="2"/>
  <c r="Y293" i="2"/>
  <c r="Y297" i="2"/>
  <c r="Y344" i="2"/>
  <c r="Y348" i="2"/>
  <c r="Y352" i="2"/>
  <c r="Y356" i="2"/>
  <c r="Y360" i="2"/>
  <c r="Y364" i="2"/>
  <c r="Y276" i="2"/>
  <c r="Y280" i="2"/>
  <c r="Y284" i="2"/>
  <c r="Y288" i="2"/>
  <c r="Y292" i="2"/>
  <c r="Y296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4" i="2"/>
  <c r="Y343" i="2"/>
  <c r="Y347" i="2"/>
  <c r="Y351" i="2"/>
  <c r="Y355" i="2"/>
  <c r="Y359" i="2"/>
  <c r="Y363" i="2"/>
  <c r="Y368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2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6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6" i="2"/>
  <c r="Y275" i="2"/>
  <c r="Y279" i="2"/>
  <c r="Y283" i="2"/>
  <c r="Y287" i="2"/>
  <c r="Y291" i="2"/>
  <c r="Y295" i="2"/>
  <c r="Y300" i="2"/>
  <c r="Y342" i="2"/>
  <c r="Y346" i="2"/>
  <c r="Y350" i="2"/>
  <c r="Y354" i="2"/>
  <c r="Y358" i="2"/>
  <c r="Y362" i="2"/>
  <c r="Y366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40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4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70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4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8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2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6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2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6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8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10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6" i="2"/>
  <c r="Z371" i="2" l="1"/>
  <c r="Z303" i="2"/>
  <c r="Z344" i="2"/>
  <c r="Z360" i="2"/>
  <c r="Z349" i="2"/>
  <c r="Z365" i="2"/>
  <c r="Z354" i="2"/>
  <c r="Z347" i="2"/>
  <c r="Z355" i="2"/>
  <c r="Z348" i="2"/>
  <c r="Z364" i="2"/>
  <c r="Z353" i="2"/>
  <c r="Z369" i="2"/>
  <c r="Z358" i="2"/>
  <c r="Z363" i="2"/>
  <c r="Z342" i="2"/>
  <c r="Z352" i="2"/>
  <c r="Z368" i="2"/>
  <c r="Z357" i="2"/>
  <c r="Z346" i="2"/>
  <c r="Z362" i="2"/>
  <c r="Z351" i="2"/>
  <c r="Z343" i="2"/>
  <c r="Z350" i="2"/>
  <c r="Z356" i="2"/>
  <c r="Z361" i="2"/>
  <c r="Z359" i="2"/>
  <c r="Z345" i="2"/>
  <c r="Z366" i="2"/>
  <c r="Z370" i="2"/>
  <c r="Z488" i="2"/>
  <c r="Z504" i="2"/>
  <c r="Z485" i="2"/>
  <c r="Z501" i="2"/>
  <c r="Z502" i="2"/>
  <c r="Z494" i="2"/>
  <c r="Z495" i="2"/>
  <c r="Z492" i="2"/>
  <c r="Z487" i="2"/>
  <c r="Z489" i="2"/>
  <c r="Z505" i="2"/>
  <c r="Z482" i="2"/>
  <c r="Z498" i="2"/>
  <c r="Z478" i="2"/>
  <c r="Z480" i="2"/>
  <c r="Z499" i="2"/>
  <c r="Z479" i="2"/>
  <c r="Z484" i="2"/>
  <c r="Z481" i="2"/>
  <c r="Z491" i="2"/>
  <c r="Z483" i="2"/>
  <c r="Z497" i="2"/>
  <c r="Z496" i="2"/>
  <c r="Z493" i="2"/>
  <c r="Z486" i="2"/>
  <c r="Z500" i="2"/>
  <c r="Z490" i="2"/>
  <c r="Z506" i="2"/>
  <c r="Z834" i="2"/>
  <c r="Z841" i="2"/>
  <c r="Z831" i="2"/>
  <c r="Z818" i="2"/>
  <c r="Z820" i="2"/>
  <c r="Z836" i="2"/>
  <c r="Z837" i="2"/>
  <c r="Z822" i="2"/>
  <c r="Z838" i="2"/>
  <c r="Z819" i="2"/>
  <c r="Z835" i="2"/>
  <c r="Z821" i="2"/>
  <c r="Z824" i="2"/>
  <c r="Z840" i="2"/>
  <c r="Z826" i="2"/>
  <c r="Z823" i="2"/>
  <c r="Z825" i="2"/>
  <c r="Z833" i="2"/>
  <c r="Z844" i="2"/>
  <c r="Z827" i="2"/>
  <c r="Z845" i="2"/>
  <c r="Z829" i="2"/>
  <c r="Z839" i="2"/>
  <c r="Z828" i="2"/>
  <c r="Z842" i="2"/>
  <c r="Z832" i="2"/>
  <c r="Z830" i="2"/>
  <c r="Z846" i="2"/>
  <c r="Z593" i="2"/>
  <c r="Z580" i="2"/>
  <c r="Z586" i="2"/>
  <c r="Z602" i="2"/>
  <c r="Z583" i="2"/>
  <c r="Z599" i="2"/>
  <c r="Z600" i="2"/>
  <c r="Z581" i="2"/>
  <c r="Z597" i="2"/>
  <c r="Z588" i="2"/>
  <c r="Z590" i="2"/>
  <c r="Z606" i="2"/>
  <c r="Z587" i="2"/>
  <c r="Z603" i="2"/>
  <c r="Z585" i="2"/>
  <c r="Z601" i="2"/>
  <c r="Z594" i="2"/>
  <c r="Z584" i="2"/>
  <c r="Z591" i="2"/>
  <c r="Z607" i="2"/>
  <c r="Z598" i="2"/>
  <c r="Z589" i="2"/>
  <c r="Z596" i="2"/>
  <c r="Z604" i="2"/>
  <c r="Z595" i="2"/>
  <c r="Z582" i="2"/>
  <c r="Z592" i="2"/>
  <c r="Z608" i="2"/>
  <c r="Z457" i="2"/>
  <c r="Z444" i="2"/>
  <c r="Z450" i="2"/>
  <c r="Z466" i="2"/>
  <c r="Z447" i="2"/>
  <c r="Z445" i="2"/>
  <c r="Z461" i="2"/>
  <c r="Z448" i="2"/>
  <c r="Z454" i="2"/>
  <c r="Z449" i="2"/>
  <c r="Z460" i="2"/>
  <c r="Z470" i="2"/>
  <c r="Z455" i="2"/>
  <c r="Z471" i="2"/>
  <c r="Z453" i="2"/>
  <c r="Z446" i="2"/>
  <c r="Z452" i="2"/>
  <c r="Z459" i="2"/>
  <c r="Z456" i="2"/>
  <c r="Z465" i="2"/>
  <c r="Z458" i="2"/>
  <c r="Z464" i="2"/>
  <c r="Z463" i="2"/>
  <c r="Z468" i="2"/>
  <c r="Z462" i="2"/>
  <c r="Z451" i="2"/>
  <c r="Z467" i="2"/>
  <c r="Z472" i="2"/>
  <c r="Z926" i="2"/>
  <c r="Z947" i="2"/>
  <c r="Z938" i="2"/>
  <c r="Z929" i="2"/>
  <c r="Z920" i="2"/>
  <c r="Z941" i="2"/>
  <c r="Z939" i="2"/>
  <c r="Z931" i="2"/>
  <c r="Z942" i="2"/>
  <c r="Z924" i="2"/>
  <c r="Z936" i="2"/>
  <c r="Z932" i="2"/>
  <c r="Z922" i="2"/>
  <c r="Z934" i="2"/>
  <c r="Z925" i="2"/>
  <c r="Z946" i="2"/>
  <c r="Z935" i="2"/>
  <c r="Z921" i="2"/>
  <c r="Z933" i="2"/>
  <c r="Z944" i="2"/>
  <c r="Z923" i="2"/>
  <c r="Z937" i="2"/>
  <c r="Z928" i="2"/>
  <c r="Z948" i="2"/>
  <c r="Z940" i="2"/>
  <c r="Z930" i="2"/>
  <c r="Z943" i="2"/>
  <c r="Z927" i="2"/>
  <c r="Z787" i="2"/>
  <c r="Z803" i="2"/>
  <c r="Z802" i="2"/>
  <c r="Z800" i="2"/>
  <c r="Z806" i="2"/>
  <c r="Z797" i="2"/>
  <c r="Z784" i="2"/>
  <c r="Z791" i="2"/>
  <c r="Z807" i="2"/>
  <c r="Z788" i="2"/>
  <c r="Z804" i="2"/>
  <c r="Z785" i="2"/>
  <c r="Z801" i="2"/>
  <c r="Z786" i="2"/>
  <c r="Z795" i="2"/>
  <c r="Z792" i="2"/>
  <c r="Z789" i="2"/>
  <c r="Z798" i="2"/>
  <c r="Z799" i="2"/>
  <c r="Z796" i="2"/>
  <c r="Z793" i="2"/>
  <c r="Z810" i="2"/>
  <c r="Z811" i="2"/>
  <c r="Z805" i="2"/>
  <c r="Z808" i="2"/>
  <c r="Z790" i="2"/>
  <c r="Z794" i="2"/>
  <c r="Z812" i="2"/>
  <c r="Z663" i="2"/>
  <c r="Z658" i="2"/>
  <c r="Z660" i="2"/>
  <c r="Z654" i="2"/>
  <c r="Z657" i="2"/>
  <c r="Z672" i="2"/>
  <c r="Z651" i="2"/>
  <c r="Z667" i="2"/>
  <c r="Z674" i="2"/>
  <c r="Z664" i="2"/>
  <c r="Z666" i="2"/>
  <c r="Z661" i="2"/>
  <c r="Z648" i="2"/>
  <c r="Z675" i="2"/>
  <c r="Z669" i="2"/>
  <c r="Z655" i="2"/>
  <c r="Z652" i="2"/>
  <c r="Z649" i="2"/>
  <c r="Z650" i="2"/>
  <c r="Z659" i="2"/>
  <c r="Z656" i="2"/>
  <c r="Z653" i="2"/>
  <c r="Z662" i="2"/>
  <c r="Z668" i="2"/>
  <c r="Z665" i="2"/>
  <c r="Z670" i="2"/>
  <c r="Z671" i="2"/>
  <c r="Z676" i="2"/>
  <c r="Z391" i="2"/>
  <c r="Z380" i="2"/>
  <c r="Z396" i="2"/>
  <c r="Z385" i="2"/>
  <c r="Z400" i="2"/>
  <c r="Z382" i="2"/>
  <c r="Z390" i="2"/>
  <c r="Z387" i="2"/>
  <c r="Z379" i="2"/>
  <c r="Z395" i="2"/>
  <c r="Z384" i="2"/>
  <c r="Z389" i="2"/>
  <c r="Z376" i="2"/>
  <c r="Z398" i="2"/>
  <c r="Z383" i="2"/>
  <c r="Z399" i="2"/>
  <c r="Z388" i="2"/>
  <c r="Z377" i="2"/>
  <c r="Z393" i="2"/>
  <c r="Z378" i="2"/>
  <c r="Z386" i="2"/>
  <c r="Z403" i="2"/>
  <c r="Z394" i="2"/>
  <c r="Z392" i="2"/>
  <c r="Z402" i="2"/>
  <c r="Z381" i="2"/>
  <c r="Z397" i="2"/>
  <c r="Z404" i="2"/>
  <c r="Z694" i="2"/>
  <c r="Z685" i="2"/>
  <c r="Z687" i="2"/>
  <c r="Z703" i="2"/>
  <c r="Z705" i="2"/>
  <c r="Z696" i="2"/>
  <c r="Z689" i="2"/>
  <c r="Z698" i="2"/>
  <c r="Z697" i="2"/>
  <c r="Z691" i="2"/>
  <c r="Z706" i="2"/>
  <c r="Z684" i="2"/>
  <c r="Z700" i="2"/>
  <c r="Z701" i="2"/>
  <c r="Z686" i="2"/>
  <c r="Z702" i="2"/>
  <c r="Z709" i="2"/>
  <c r="Z695" i="2"/>
  <c r="Z682" i="2"/>
  <c r="Z688" i="2"/>
  <c r="Z692" i="2"/>
  <c r="Z683" i="2"/>
  <c r="Z704" i="2"/>
  <c r="Z699" i="2"/>
  <c r="Z708" i="2"/>
  <c r="Z690" i="2"/>
  <c r="Z693" i="2"/>
  <c r="Z710" i="2"/>
  <c r="Z313" i="2"/>
  <c r="Z329" i="2"/>
  <c r="Z314" i="2"/>
  <c r="Z330" i="2"/>
  <c r="Z319" i="2"/>
  <c r="Z335" i="2"/>
  <c r="Z324" i="2"/>
  <c r="Z317" i="2"/>
  <c r="Z332" i="2"/>
  <c r="Z318" i="2"/>
  <c r="Z334" i="2"/>
  <c r="Z323" i="2"/>
  <c r="Z316" i="2"/>
  <c r="Z312" i="2"/>
  <c r="Z321" i="2"/>
  <c r="Z308" i="2"/>
  <c r="Z322" i="2"/>
  <c r="Z311" i="2"/>
  <c r="Z327" i="2"/>
  <c r="Z328" i="2"/>
  <c r="Z310" i="2"/>
  <c r="Z320" i="2"/>
  <c r="Z326" i="2"/>
  <c r="Z331" i="2"/>
  <c r="Z309" i="2"/>
  <c r="Z315" i="2"/>
  <c r="Z325" i="2"/>
  <c r="Z336" i="2"/>
  <c r="Z286" i="2"/>
  <c r="Z275" i="2"/>
  <c r="Z291" i="2"/>
  <c r="Z276" i="2"/>
  <c r="Z292" i="2"/>
  <c r="Z301" i="2"/>
  <c r="Z281" i="2"/>
  <c r="Z290" i="2"/>
  <c r="Z279" i="2"/>
  <c r="Z295" i="2"/>
  <c r="Z280" i="2"/>
  <c r="Z296" i="2"/>
  <c r="Z289" i="2"/>
  <c r="Z297" i="2"/>
  <c r="Z278" i="2"/>
  <c r="Z294" i="2"/>
  <c r="Z283" i="2"/>
  <c r="Z298" i="2"/>
  <c r="Z284" i="2"/>
  <c r="Z300" i="2"/>
  <c r="Z277" i="2"/>
  <c r="Z282" i="2"/>
  <c r="Z288" i="2"/>
  <c r="Z285" i="2"/>
  <c r="Z287" i="2"/>
  <c r="Z293" i="2"/>
  <c r="Z274" i="2"/>
  <c r="Z302" i="2"/>
  <c r="Z550" i="2"/>
  <c r="Z566" i="2"/>
  <c r="Z573" i="2"/>
  <c r="Z559" i="2"/>
  <c r="Z546" i="2"/>
  <c r="Z552" i="2"/>
  <c r="Z568" i="2"/>
  <c r="Z554" i="2"/>
  <c r="Z547" i="2"/>
  <c r="Z563" i="2"/>
  <c r="Z557" i="2"/>
  <c r="Z556" i="2"/>
  <c r="Z572" i="2"/>
  <c r="Z558" i="2"/>
  <c r="Z549" i="2"/>
  <c r="Z551" i="2"/>
  <c r="Z567" i="2"/>
  <c r="Z569" i="2"/>
  <c r="Z560" i="2"/>
  <c r="Z553" i="2"/>
  <c r="Z561" i="2"/>
  <c r="Z564" i="2"/>
  <c r="Z555" i="2"/>
  <c r="Z565" i="2"/>
  <c r="Z570" i="2"/>
  <c r="Z562" i="2"/>
  <c r="Z548" i="2"/>
  <c r="Z574" i="2"/>
  <c r="Z892" i="2"/>
  <c r="Z908" i="2"/>
  <c r="Z910" i="2"/>
  <c r="Z901" i="2"/>
  <c r="Z891" i="2"/>
  <c r="Z894" i="2"/>
  <c r="Z896" i="2"/>
  <c r="Z912" i="2"/>
  <c r="Z889" i="2"/>
  <c r="Z905" i="2"/>
  <c r="Z903" i="2"/>
  <c r="Z898" i="2"/>
  <c r="Z895" i="2"/>
  <c r="Z900" i="2"/>
  <c r="Z887" i="2"/>
  <c r="Z893" i="2"/>
  <c r="Z909" i="2"/>
  <c r="Z886" i="2"/>
  <c r="Z902" i="2"/>
  <c r="Z907" i="2"/>
  <c r="Z899" i="2"/>
  <c r="Z906" i="2"/>
  <c r="Z897" i="2"/>
  <c r="Z888" i="2"/>
  <c r="Z913" i="2"/>
  <c r="Z904" i="2"/>
  <c r="Z890" i="2"/>
  <c r="Z914" i="2"/>
  <c r="Z752" i="2"/>
  <c r="Z768" i="2"/>
  <c r="Z763" i="2"/>
  <c r="Z761" i="2"/>
  <c r="Z777" i="2"/>
  <c r="Z754" i="2"/>
  <c r="Z770" i="2"/>
  <c r="Z756" i="2"/>
  <c r="Z772" i="2"/>
  <c r="Z774" i="2"/>
  <c r="Z765" i="2"/>
  <c r="Z755" i="2"/>
  <c r="Z758" i="2"/>
  <c r="Z760" i="2"/>
  <c r="Z776" i="2"/>
  <c r="Z753" i="2"/>
  <c r="Z769" i="2"/>
  <c r="Z767" i="2"/>
  <c r="Z762" i="2"/>
  <c r="Z759" i="2"/>
  <c r="Z764" i="2"/>
  <c r="Z750" i="2"/>
  <c r="Z751" i="2"/>
  <c r="Z766" i="2"/>
  <c r="Z757" i="2"/>
  <c r="Z771" i="2"/>
  <c r="Z773" i="2"/>
  <c r="Z778" i="2"/>
  <c r="Z628" i="2"/>
  <c r="Z623" i="2"/>
  <c r="Z625" i="2"/>
  <c r="Z641" i="2"/>
  <c r="Z618" i="2"/>
  <c r="Z634" i="2"/>
  <c r="Z614" i="2"/>
  <c r="Z616" i="2"/>
  <c r="Z632" i="2"/>
  <c r="Z635" i="2"/>
  <c r="Z629" i="2"/>
  <c r="Z615" i="2"/>
  <c r="Z622" i="2"/>
  <c r="Z620" i="2"/>
  <c r="Z636" i="2"/>
  <c r="Z617" i="2"/>
  <c r="Z633" i="2"/>
  <c r="Z627" i="2"/>
  <c r="Z626" i="2"/>
  <c r="Z619" i="2"/>
  <c r="Z624" i="2"/>
  <c r="Z638" i="2"/>
  <c r="Z640" i="2"/>
  <c r="Z630" i="2"/>
  <c r="Z621" i="2"/>
  <c r="Z631" i="2"/>
  <c r="Z637" i="2"/>
  <c r="Z642" i="2"/>
  <c r="Z255" i="2"/>
  <c r="Z244" i="2"/>
  <c r="Z260" i="2"/>
  <c r="Z249" i="2"/>
  <c r="Z264" i="2"/>
  <c r="Z258" i="2"/>
  <c r="Z250" i="2"/>
  <c r="Z243" i="2"/>
  <c r="Z259" i="2"/>
  <c r="Z248" i="2"/>
  <c r="Z253" i="2"/>
  <c r="Z240" i="2"/>
  <c r="Z266" i="2"/>
  <c r="Z247" i="2"/>
  <c r="Z263" i="2"/>
  <c r="Z252" i="2"/>
  <c r="Z241" i="2"/>
  <c r="Z257" i="2"/>
  <c r="Z254" i="2"/>
  <c r="Z246" i="2"/>
  <c r="Z256" i="2"/>
  <c r="Z262" i="2"/>
  <c r="Z245" i="2"/>
  <c r="Z267" i="2"/>
  <c r="Z251" i="2"/>
  <c r="Z261" i="2"/>
  <c r="Z242" i="2"/>
  <c r="Z268" i="2"/>
  <c r="Z422" i="2"/>
  <c r="Z411" i="2"/>
  <c r="Z427" i="2"/>
  <c r="Z412" i="2"/>
  <c r="Z428" i="2"/>
  <c r="Z413" i="2"/>
  <c r="Z421" i="2"/>
  <c r="Z418" i="2"/>
  <c r="Z424" i="2"/>
  <c r="Z426" i="2"/>
  <c r="Z415" i="2"/>
  <c r="Z431" i="2"/>
  <c r="Z416" i="2"/>
  <c r="Z432" i="2"/>
  <c r="Z429" i="2"/>
  <c r="Z437" i="2"/>
  <c r="Z423" i="2"/>
  <c r="Z425" i="2"/>
  <c r="Z414" i="2"/>
  <c r="Z430" i="2"/>
  <c r="Z419" i="2"/>
  <c r="Z434" i="2"/>
  <c r="Z420" i="2"/>
  <c r="Z436" i="2"/>
  <c r="Z417" i="2"/>
  <c r="Z410" i="2"/>
  <c r="Z433" i="2"/>
  <c r="Z438" i="2"/>
  <c r="Z519" i="2"/>
  <c r="Z535" i="2"/>
  <c r="Z516" i="2"/>
  <c r="Z532" i="2"/>
  <c r="Z513" i="2"/>
  <c r="Z529" i="2"/>
  <c r="Z514" i="2"/>
  <c r="Z523" i="2"/>
  <c r="Z539" i="2"/>
  <c r="Z520" i="2"/>
  <c r="Z517" i="2"/>
  <c r="Z533" i="2"/>
  <c r="Z522" i="2"/>
  <c r="Z527" i="2"/>
  <c r="Z526" i="2"/>
  <c r="Z524" i="2"/>
  <c r="Z518" i="2"/>
  <c r="Z521" i="2"/>
  <c r="Z536" i="2"/>
  <c r="Z534" i="2"/>
  <c r="Z515" i="2"/>
  <c r="Z530" i="2"/>
  <c r="Z531" i="2"/>
  <c r="Z525" i="2"/>
  <c r="Z538" i="2"/>
  <c r="Z512" i="2"/>
  <c r="Z528" i="2"/>
  <c r="Z540" i="2"/>
  <c r="Z857" i="2"/>
  <c r="Z873" i="2"/>
  <c r="Z866" i="2"/>
  <c r="Z860" i="2"/>
  <c r="Z863" i="2"/>
  <c r="Z879" i="2"/>
  <c r="Z861" i="2"/>
  <c r="Z876" i="2"/>
  <c r="Z854" i="2"/>
  <c r="Z870" i="2"/>
  <c r="Z872" i="2"/>
  <c r="Z867" i="2"/>
  <c r="Z856" i="2"/>
  <c r="Z865" i="2"/>
  <c r="Z852" i="2"/>
  <c r="Z858" i="2"/>
  <c r="Z874" i="2"/>
  <c r="Z855" i="2"/>
  <c r="Z871" i="2"/>
  <c r="Z868" i="2"/>
  <c r="Z862" i="2"/>
  <c r="Z853" i="2"/>
  <c r="Z878" i="2"/>
  <c r="Z869" i="2"/>
  <c r="Z859" i="2"/>
  <c r="Z864" i="2"/>
  <c r="Z875" i="2"/>
  <c r="Z880" i="2"/>
  <c r="Z721" i="2"/>
  <c r="Z737" i="2"/>
  <c r="Z730" i="2"/>
  <c r="Z728" i="2"/>
  <c r="Z727" i="2"/>
  <c r="Z743" i="2"/>
  <c r="Z725" i="2"/>
  <c r="Z740" i="2"/>
  <c r="Z718" i="2"/>
  <c r="Z734" i="2"/>
  <c r="Z732" i="2"/>
  <c r="Z731" i="2"/>
  <c r="Z724" i="2"/>
  <c r="Z729" i="2"/>
  <c r="Z716" i="2"/>
  <c r="Z722" i="2"/>
  <c r="Z738" i="2"/>
  <c r="Z719" i="2"/>
  <c r="Z735" i="2"/>
  <c r="Z736" i="2"/>
  <c r="Z726" i="2"/>
  <c r="Z717" i="2"/>
  <c r="Z742" i="2"/>
  <c r="Z733" i="2"/>
  <c r="Z723" i="2"/>
  <c r="Z720" i="2"/>
  <c r="Z739" i="2"/>
  <c r="Z744" i="2"/>
</calcChain>
</file>

<file path=xl/sharedStrings.xml><?xml version="1.0" encoding="utf-8"?>
<sst xmlns="http://schemas.openxmlformats.org/spreadsheetml/2006/main" count="1727" uniqueCount="715">
  <si>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</si>
  <si>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</si>
  <si>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</si>
  <si>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</si>
  <si>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</si>
  <si>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</si>
  <si>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</si>
  <si>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</si>
  <si>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</si>
  <si>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</si>
  <si>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</si>
  <si>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</si>
  <si>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</si>
  <si>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</si>
  <si>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</si>
  <si>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</si>
  <si>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</si>
  <si>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</si>
  <si>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</si>
  <si>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</si>
  <si>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</si>
  <si>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</si>
  <si>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</si>
  <si>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</si>
  <si>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</si>
  <si>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</si>
  <si>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</si>
  <si>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</si>
  <si>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</si>
  <si>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</si>
  <si>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</si>
  <si>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</si>
  <si>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</si>
  <si>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</si>
  <si>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</si>
  <si>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</si>
  <si>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</si>
  <si>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</si>
  <si>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</si>
  <si>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</si>
  <si>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</si>
  <si>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</si>
  <si>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</si>
  <si>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</si>
  <si>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</si>
  <si>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</si>
  <si>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</si>
  <si>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</si>
  <si>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</si>
  <si>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</si>
  <si>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</si>
  <si>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</si>
  <si>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</si>
  <si>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</si>
  <si>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</si>
  <si>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</si>
  <si>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</si>
  <si>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</si>
  <si>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</si>
  <si>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</si>
  <si>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</si>
  <si>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</si>
  <si>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</si>
  <si>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</si>
  <si>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</si>
  <si>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</si>
  <si>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</si>
  <si>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</si>
  <si>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</si>
  <si>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</si>
  <si>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</si>
  <si>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</si>
  <si>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</si>
  <si>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</si>
  <si>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</si>
  <si>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</si>
  <si>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</si>
  <si>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</si>
  <si>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</si>
  <si>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</si>
  <si>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</si>
  <si>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</si>
  <si>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</si>
  <si>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</si>
  <si>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</si>
  <si>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</si>
  <si>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</si>
  <si>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</si>
  <si>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</si>
  <si>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</si>
  <si>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</si>
  <si>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</si>
  <si>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</si>
  <si>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</si>
  <si>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</si>
  <si>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</si>
  <si>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</si>
  <si>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</si>
  <si>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</si>
  <si>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</si>
  <si>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</si>
  <si>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</si>
  <si>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</si>
  <si>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</si>
  <si>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</si>
  <si>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</si>
  <si>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</si>
  <si>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</si>
  <si>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</si>
  <si>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</si>
  <si>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</si>
  <si>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</si>
  <si>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</si>
  <si>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</si>
  <si>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</si>
  <si>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</si>
  <si>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</si>
  <si>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</si>
  <si>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</si>
  <si>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</si>
  <si>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</si>
  <si>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</si>
  <si>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</si>
  <si>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</si>
  <si>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</si>
  <si>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</si>
  <si>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</si>
  <si>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</si>
  <si>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</si>
  <si>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</si>
  <si>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</si>
  <si>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</si>
  <si>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</si>
  <si>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</si>
  <si>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</si>
  <si>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</si>
  <si>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</si>
  <si>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</si>
  <si>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</si>
  <si>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</si>
  <si>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</si>
  <si>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</si>
  <si>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</si>
  <si>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</si>
  <si>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</si>
  <si>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</si>
  <si>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</si>
  <si>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</si>
  <si>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</si>
  <si>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</si>
  <si>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</si>
  <si>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</si>
  <si>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</si>
  <si>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</si>
  <si>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</si>
  <si>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</si>
  <si>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</si>
  <si>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</si>
  <si>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</si>
  <si>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</si>
  <si>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</si>
  <si>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</si>
  <si>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</si>
  <si>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</si>
  <si>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</si>
  <si>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</si>
  <si>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</si>
  <si>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</si>
  <si>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</si>
  <si>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</si>
  <si>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</si>
  <si>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</si>
  <si>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</si>
  <si>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</si>
  <si>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</si>
  <si>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</si>
  <si>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</si>
  <si>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</si>
  <si>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</si>
  <si>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</si>
  <si>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</si>
  <si>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</si>
  <si>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</si>
  <si>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</si>
  <si>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</si>
  <si>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</si>
  <si>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</si>
  <si>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</si>
  <si>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</si>
  <si>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</si>
  <si>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</si>
  <si>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</si>
  <si>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</si>
  <si>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</si>
  <si>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</si>
  <si>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</si>
  <si>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</si>
  <si>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</si>
  <si>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</si>
  <si>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</si>
  <si>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</si>
  <si>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</si>
  <si>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</si>
  <si>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</si>
  <si>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</si>
  <si>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</si>
  <si>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</si>
  <si>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</si>
  <si>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</si>
  <si>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</si>
  <si>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</si>
  <si>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</si>
  <si>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</si>
  <si>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</si>
  <si>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</si>
  <si>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</si>
  <si>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</si>
  <si>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</si>
  <si>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</si>
  <si>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</si>
  <si>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</si>
  <si>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</si>
  <si>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</si>
  <si>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</si>
  <si>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</si>
  <si>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</si>
  <si>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</si>
  <si>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</si>
  <si>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</si>
  <si>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</si>
  <si>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</si>
  <si>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</si>
  <si>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</si>
  <si>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</si>
  <si>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</si>
  <si>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</si>
  <si>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</si>
  <si>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</si>
  <si>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</si>
  <si>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</si>
  <si>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</si>
  <si>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</si>
  <si>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</si>
  <si>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</si>
  <si>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</si>
  <si>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</si>
  <si>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</si>
  <si>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</si>
  <si>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</si>
  <si>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</si>
  <si>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</si>
  <si>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</si>
  <si>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</si>
  <si>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</si>
  <si>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</si>
  <si>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</si>
  <si>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</si>
  <si>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</si>
  <si>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</si>
  <si>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</si>
  <si>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</si>
  <si>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</si>
  <si>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</si>
  <si>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</si>
  <si>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</si>
  <si>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</si>
  <si>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</si>
  <si>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</si>
  <si>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</si>
  <si>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</si>
  <si>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</si>
  <si>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</si>
  <si>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</si>
  <si>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</si>
  <si>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</si>
  <si>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</si>
  <si>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</si>
  <si>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</si>
  <si>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</si>
  <si>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</si>
  <si>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</si>
  <si>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</si>
  <si>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</si>
  <si>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</si>
  <si>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</si>
  <si>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</si>
  <si>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</si>
  <si>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</si>
  <si>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</si>
  <si>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</si>
  <si>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</si>
  <si>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</si>
  <si>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</si>
  <si>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</si>
  <si>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</si>
  <si>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</si>
  <si>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</si>
  <si>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</si>
  <si>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</si>
  <si>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</si>
  <si>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</si>
  <si>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</si>
  <si>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</si>
  <si>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</si>
  <si>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</si>
  <si>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</si>
  <si>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</si>
  <si>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</si>
  <si>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</si>
  <si>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O-P</t>
  </si>
  <si>
    <t>PRED</t>
  </si>
  <si>
    <t>ERROR</t>
  </si>
  <si>
    <t>2013-14</t>
  </si>
  <si>
    <t>2014-15</t>
  </si>
  <si>
    <t>1999-00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</si>
  <si>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</si>
  <si>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</si>
  <si>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</si>
  <si>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</si>
  <si>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</si>
  <si>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</si>
  <si>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</si>
  <si>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</si>
  <si>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</si>
  <si>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</si>
  <si>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</si>
  <si>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</si>
  <si>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</si>
  <si>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</si>
  <si>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</si>
  <si>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</si>
  <si>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</si>
  <si>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</si>
  <si>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</si>
  <si>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</si>
  <si>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</si>
  <si>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</si>
  <si>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</si>
  <si>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</si>
  <si>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</si>
  <si>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</si>
  <si>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</si>
  <si>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</si>
  <si>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</si>
  <si>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</si>
  <si>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</si>
  <si>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</si>
  <si>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</si>
  <si>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</si>
  <si>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</si>
  <si>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</si>
  <si>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</si>
  <si>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</si>
  <si>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</si>
  <si>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</si>
  <si>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</si>
  <si>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</si>
  <si>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</si>
  <si>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</si>
  <si>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</si>
  <si>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</si>
  <si>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</si>
  <si>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</si>
  <si>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</si>
  <si>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</si>
  <si>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</si>
  <si>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</si>
  <si>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</si>
  <si>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</si>
  <si>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</si>
  <si>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</si>
  <si>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</si>
  <si>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</si>
  <si>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</si>
  <si>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</si>
  <si>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</si>
  <si>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</si>
  <si>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</si>
  <si>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</si>
  <si>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</si>
  <si>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</si>
  <si>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</si>
  <si>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</si>
  <si>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</si>
  <si>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</si>
  <si>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</si>
  <si>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</si>
  <si>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</si>
  <si>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</si>
  <si>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</si>
  <si>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</si>
  <si>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</si>
  <si>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</si>
  <si>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</si>
  <si>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</si>
  <si>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</si>
  <si>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</si>
  <si>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</si>
  <si>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</si>
  <si>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</si>
  <si>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</si>
  <si>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</si>
  <si>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</si>
  <si>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</si>
  <si>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</si>
  <si>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</si>
  <si>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</si>
  <si>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</si>
  <si>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</si>
  <si>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</si>
  <si>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</si>
  <si>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</si>
  <si>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</si>
  <si>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</si>
  <si>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</si>
  <si>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</si>
  <si>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</si>
  <si>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</si>
  <si>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</si>
  <si>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</si>
  <si>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</si>
  <si>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</si>
  <si>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</si>
  <si>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</si>
  <si>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</si>
  <si>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</si>
  <si>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</si>
  <si>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</si>
  <si>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</si>
  <si>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</si>
  <si>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</si>
  <si>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</si>
  <si>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</si>
  <si>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</si>
  <si>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</si>
  <si>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</si>
  <si>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</si>
  <si>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</si>
  <si>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</si>
  <si>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</si>
  <si>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</si>
  <si>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</si>
  <si>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</si>
  <si>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</si>
  <si>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</si>
  <si>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</si>
  <si>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</si>
  <si>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</si>
  <si>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</si>
  <si>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</si>
  <si>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</si>
  <si>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YEAR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</si>
  <si>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</si>
  <si>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</si>
  <si>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</si>
  <si>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</si>
  <si>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</si>
  <si>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</si>
  <si>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</si>
  <si>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</si>
  <si>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</si>
  <si>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</si>
  <si>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</si>
  <si>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</si>
  <si>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</si>
  <si>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</si>
  <si>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</si>
  <si>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</si>
  <si>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</si>
  <si>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</si>
  <si>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</si>
  <si>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</si>
  <si>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</si>
  <si>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</si>
  <si>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</si>
  <si>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</si>
  <si>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</si>
  <si>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</si>
  <si>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</si>
  <si>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</si>
  <si>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</si>
  <si>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</si>
  <si>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</si>
  <si>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</si>
  <si>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</si>
  <si>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</si>
  <si>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</si>
  <si>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</si>
  <si>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</si>
  <si>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</si>
  <si>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</si>
  <si>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</si>
  <si>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</si>
  <si>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</si>
  <si>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</si>
  <si>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</si>
  <si>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</si>
  <si>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</si>
  <si>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</si>
  <si>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</si>
  <si>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</si>
  <si>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</si>
  <si>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</si>
  <si>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</si>
  <si>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</si>
  <si>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</si>
  <si>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</si>
  <si>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</si>
  <si>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</si>
  <si>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</si>
  <si>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</si>
  <si>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</si>
  <si>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</si>
  <si>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</si>
  <si>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</si>
  <si>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</si>
  <si>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</si>
  <si>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</si>
  <si>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</si>
  <si>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</si>
  <si>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</si>
  <si>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</si>
  <si>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</si>
  <si>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</si>
  <si>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</si>
  <si>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</si>
  <si>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</si>
  <si>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</si>
  <si>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</si>
  <si>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</si>
  <si>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</si>
  <si>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</si>
  <si>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</si>
  <si>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</si>
  <si>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</si>
  <si>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</si>
  <si>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</si>
  <si>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</si>
  <si>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</si>
  <si>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</si>
  <si>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</si>
  <si>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</si>
  <si>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</si>
  <si>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</si>
  <si>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</si>
  <si>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</si>
  <si>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</si>
  <si>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</si>
  <si>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</si>
  <si>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</si>
  <si>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</si>
  <si>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</si>
  <si>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</si>
  <si>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</si>
  <si>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</si>
  <si>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</si>
  <si>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</si>
  <si>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</si>
  <si>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</si>
  <si>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</si>
  <si>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</si>
  <si>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</si>
  <si>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</si>
  <si>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</si>
  <si>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</si>
  <si>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</si>
  <si>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</si>
  <si>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</si>
  <si>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</si>
  <si>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</si>
  <si>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</si>
  <si>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</si>
  <si>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</si>
  <si>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</si>
  <si>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</si>
  <si>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</si>
  <si>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</si>
  <si>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</si>
  <si>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</si>
  <si>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</si>
  <si>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</si>
  <si>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</si>
  <si>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</si>
  <si>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</si>
  <si>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</si>
  <si>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</si>
  <si>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</si>
  <si>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</si>
  <si>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</si>
  <si>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</si>
  <si>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</si>
  <si>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</si>
  <si>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</si>
  <si>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</si>
  <si>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</si>
  <si>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</si>
  <si>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</si>
  <si>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</si>
  <si>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</si>
  <si>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</si>
  <si>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</si>
  <si>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</si>
  <si>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</si>
  <si>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</si>
  <si>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</si>
  <si>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</si>
  <si>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</si>
  <si>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</si>
  <si>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</si>
  <si>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</si>
  <si>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</si>
  <si>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</si>
  <si>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</si>
  <si>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</si>
  <si>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</si>
  <si>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</si>
  <si>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</si>
  <si>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</si>
  <si>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</si>
  <si>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</si>
  <si>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</si>
  <si>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</si>
  <si>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</si>
  <si>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</si>
  <si>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</si>
  <si>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</si>
  <si>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</si>
  <si>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</si>
  <si>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</si>
  <si>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</si>
  <si>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</si>
  <si>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</si>
  <si>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</si>
  <si>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</si>
  <si>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</si>
  <si>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</si>
  <si>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</si>
  <si>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</si>
  <si>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</si>
  <si>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</si>
  <si>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</si>
  <si>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</si>
  <si>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</si>
  <si>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</si>
  <si>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</si>
  <si>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</si>
  <si>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</si>
  <si>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</si>
  <si>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</si>
  <si>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</si>
  <si>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</si>
  <si>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</si>
  <si>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</si>
  <si>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</si>
  <si>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</si>
  <si>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</si>
  <si>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</si>
  <si>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</si>
  <si>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</si>
  <si>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</si>
  <si>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</si>
  <si>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</si>
  <si>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</si>
  <si>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</si>
  <si>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</si>
  <si>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</si>
  <si>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</si>
  <si>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</si>
  <si>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</si>
  <si>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</si>
  <si>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</si>
  <si>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</si>
  <si>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</si>
  <si>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</si>
  <si>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</si>
  <si>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</si>
  <si>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</si>
  <si>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</si>
  <si>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</si>
  <si>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</si>
  <si>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</si>
  <si>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</si>
  <si>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</si>
  <si>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.798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</si>
  <si>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.887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</si>
  <si>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.925</t>
    </r>
    <r>
      <rPr>
        <vertAlign val="superscript"/>
        <sz val="9"/>
        <color indexed="8"/>
        <rFont val="Arial"/>
      </rPr>
      <t>c</t>
    </r>
  </si>
  <si>
    <r>
      <rPr>
        <sz val="9"/>
        <color indexed="8"/>
        <rFont val="Arial"/>
      </rPr>
      <t>.942</t>
    </r>
    <r>
      <rPr>
        <vertAlign val="superscript"/>
        <sz val="9"/>
        <color indexed="8"/>
        <rFont val="Arial"/>
      </rPr>
      <t>d</t>
    </r>
  </si>
  <si>
    <r>
      <rPr>
        <sz val="9"/>
        <color indexed="8"/>
        <rFont val="Arial"/>
      </rPr>
      <t>.954</t>
    </r>
    <r>
      <rPr>
        <vertAlign val="superscript"/>
        <sz val="9"/>
        <color indexed="8"/>
        <rFont val="Arial"/>
      </rPr>
      <t>e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</si>
  <si>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f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</si>
  <si>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</si>
  <si>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</si>
  <si>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</si>
  <si>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</si>
  <si>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</si>
  <si>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</si>
  <si>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</si>
  <si>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</si>
  <si>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</si>
  <si>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</si>
  <si>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c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</si>
  <si>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d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</si>
  <si>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e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</si>
  <si>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</si>
  <si>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</si>
  <si>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</si>
  <si>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</si>
  <si>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</si>
  <si>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</si>
  <si>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</si>
  <si>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</si>
  <si>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Z341</t>
    </r>
  </si>
  <si>
    <r>
      <rPr>
        <sz val="9"/>
        <color indexed="8"/>
        <rFont val="Arial"/>
      </rPr>
      <t>TIME</t>
    </r>
  </si>
  <si>
    <r>
      <rPr>
        <sz val="9"/>
        <color indexed="8"/>
        <rFont val="Arial"/>
      </rPr>
      <t>Z11</t>
    </r>
  </si>
  <si>
    <r>
      <rPr>
        <sz val="9"/>
        <color indexed="8"/>
        <rFont val="Arial"/>
      </rPr>
      <t>Z141</t>
    </r>
  </si>
  <si>
    <r>
      <rPr>
        <sz val="9"/>
        <color indexed="8"/>
        <rFont val="Arial"/>
      </rPr>
      <t>Z231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</si>
</sst>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#.000"/>
    <numFmt numFmtId="166" formatCode="####.0000000"/>
    <numFmt numFmtId="167" formatCode="###0"/>
  </numFmts>
  <fonts count="13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7" fillId="0" borderId="0"/>
  </cellStyleXfs>
  <cellXfs count="99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0" fontId="0" fillId="0" borderId="0" xfId="0" applyFill="1" applyBorder="1" applyAlignment="1"/>
    <xf numFmtId="164" fontId="4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164" fontId="0" fillId="0" borderId="0" xfId="0" applyNumberFormat="1"/>
    <xf numFmtId="164" fontId="5" fillId="0" borderId="0" xfId="0" applyNumberFormat="1" applyFont="1"/>
    <xf numFmtId="0" fontId="5" fillId="0" borderId="0" xfId="0" applyFo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0" fillId="0" borderId="0" xfId="0" applyNumberFormat="1"/>
    <xf numFmtId="1" fontId="6" fillId="0" borderId="0" xfId="0" applyNumberFormat="1" applyFont="1"/>
    <xf numFmtId="1" fontId="0" fillId="0" borderId="0" xfId="0" applyNumberFormat="1" applyAlignment="1"/>
    <xf numFmtId="1" fontId="0" fillId="0" borderId="0" xfId="0" applyNumberFormat="1" applyBorder="1"/>
    <xf numFmtId="1" fontId="0" fillId="0" borderId="0" xfId="0" applyNumberFormat="1" applyAlignment="1">
      <alignment horizontal="right"/>
    </xf>
    <xf numFmtId="1" fontId="5" fillId="0" borderId="0" xfId="0" applyNumberFormat="1" applyFont="1"/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" fontId="6" fillId="0" borderId="0" xfId="0" applyNumberFormat="1" applyFont="1" applyAlignment="1">
      <alignment horizontal="center"/>
    </xf>
    <xf numFmtId="1" fontId="4" fillId="0" borderId="0" xfId="0" applyNumberFormat="1" applyFont="1"/>
    <xf numFmtId="0" fontId="7" fillId="0" borderId="0" xfId="1"/>
    <xf numFmtId="0" fontId="9" fillId="0" borderId="3" xfId="1" applyFont="1" applyBorder="1" applyAlignment="1">
      <alignment horizontal="left" wrapText="1"/>
    </xf>
    <xf numFmtId="0" fontId="9" fillId="0" borderId="4" xfId="1" applyFont="1" applyBorder="1" applyAlignment="1">
      <alignment horizontal="center" wrapText="1"/>
    </xf>
    <xf numFmtId="0" fontId="9" fillId="0" borderId="5" xfId="1" applyFont="1" applyBorder="1" applyAlignment="1">
      <alignment horizontal="center" wrapText="1"/>
    </xf>
    <xf numFmtId="0" fontId="9" fillId="0" borderId="6" xfId="1" applyFont="1" applyBorder="1" applyAlignment="1">
      <alignment horizontal="center" wrapText="1"/>
    </xf>
    <xf numFmtId="0" fontId="9" fillId="0" borderId="7" xfId="1" applyFont="1" applyBorder="1" applyAlignment="1">
      <alignment horizontal="left" vertical="top" wrapText="1"/>
    </xf>
    <xf numFmtId="165" fontId="10" fillId="0" borderId="8" xfId="1" applyNumberFormat="1" applyFont="1" applyBorder="1" applyAlignment="1">
      <alignment horizontal="right" vertical="top"/>
    </xf>
    <xf numFmtId="165" fontId="9" fillId="0" borderId="9" xfId="1" applyNumberFormat="1" applyFont="1" applyBorder="1" applyAlignment="1">
      <alignment horizontal="right" vertical="top"/>
    </xf>
    <xf numFmtId="166" fontId="9" fillId="0" borderId="10" xfId="1" applyNumberFormat="1" applyFont="1" applyBorder="1" applyAlignment="1">
      <alignment horizontal="right" vertical="top"/>
    </xf>
    <xf numFmtId="0" fontId="9" fillId="0" borderId="11" xfId="1" applyFont="1" applyBorder="1" applyAlignment="1">
      <alignment horizontal="left" vertical="top" wrapText="1"/>
    </xf>
    <xf numFmtId="165" fontId="10" fillId="0" borderId="12" xfId="1" applyNumberFormat="1" applyFont="1" applyBorder="1" applyAlignment="1">
      <alignment horizontal="right" vertical="top"/>
    </xf>
    <xf numFmtId="165" fontId="9" fillId="0" borderId="13" xfId="1" applyNumberFormat="1" applyFont="1" applyBorder="1" applyAlignment="1">
      <alignment horizontal="right" vertical="top"/>
    </xf>
    <xf numFmtId="166" fontId="9" fillId="0" borderId="14" xfId="1" applyNumberFormat="1" applyFont="1" applyBorder="1" applyAlignment="1">
      <alignment horizontal="right" vertical="top"/>
    </xf>
    <xf numFmtId="0" fontId="9" fillId="0" borderId="15" xfId="1" applyFont="1" applyBorder="1" applyAlignment="1">
      <alignment horizontal="left" vertical="top" wrapText="1"/>
    </xf>
    <xf numFmtId="165" fontId="10" fillId="0" borderId="16" xfId="1" applyNumberFormat="1" applyFont="1" applyBorder="1" applyAlignment="1">
      <alignment horizontal="right" vertical="top"/>
    </xf>
    <xf numFmtId="165" fontId="9" fillId="0" borderId="17" xfId="1" applyNumberFormat="1" applyFont="1" applyBorder="1" applyAlignment="1">
      <alignment horizontal="right" vertical="top"/>
    </xf>
    <xf numFmtId="166" fontId="9" fillId="0" borderId="18" xfId="1" applyNumberFormat="1" applyFont="1" applyBorder="1" applyAlignment="1">
      <alignment horizontal="right" vertical="top"/>
    </xf>
    <xf numFmtId="0" fontId="9" fillId="0" borderId="21" xfId="1" applyFont="1" applyBorder="1" applyAlignment="1">
      <alignment horizontal="left" vertical="top" wrapText="1"/>
    </xf>
    <xf numFmtId="165" fontId="9" fillId="0" borderId="8" xfId="1" applyNumberFormat="1" applyFont="1" applyBorder="1" applyAlignment="1">
      <alignment horizontal="right" vertical="top"/>
    </xf>
    <xf numFmtId="167" fontId="9" fillId="0" borderId="9" xfId="1" applyNumberFormat="1" applyFont="1" applyBorder="1" applyAlignment="1">
      <alignment horizontal="right" vertical="top"/>
    </xf>
    <xf numFmtId="165" fontId="10" fillId="0" borderId="10" xfId="1" applyNumberFormat="1" applyFont="1" applyBorder="1" applyAlignment="1">
      <alignment horizontal="right" vertical="top"/>
    </xf>
    <xf numFmtId="0" fontId="9" fillId="0" borderId="23" xfId="1" applyFont="1" applyBorder="1" applyAlignment="1">
      <alignment horizontal="left" vertical="top" wrapText="1"/>
    </xf>
    <xf numFmtId="165" fontId="9" fillId="0" borderId="12" xfId="1" applyNumberFormat="1" applyFont="1" applyBorder="1" applyAlignment="1">
      <alignment horizontal="right" vertical="top"/>
    </xf>
    <xf numFmtId="167" fontId="9" fillId="0" borderId="13" xfId="1" applyNumberFormat="1" applyFont="1" applyBorder="1" applyAlignment="1">
      <alignment horizontal="right" vertical="top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25" xfId="1" applyFont="1" applyBorder="1" applyAlignment="1">
      <alignment horizontal="left" vertical="top" wrapText="1"/>
    </xf>
    <xf numFmtId="165" fontId="9" fillId="0" borderId="26" xfId="1" applyNumberFormat="1" applyFont="1" applyBorder="1" applyAlignment="1">
      <alignment horizontal="right" vertical="top"/>
    </xf>
    <xf numFmtId="167" fontId="9" fillId="0" borderId="27" xfId="1" applyNumberFormat="1" applyFont="1" applyBorder="1" applyAlignment="1">
      <alignment horizontal="right" vertical="top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9" fillId="0" borderId="30" xfId="1" applyFont="1" applyBorder="1" applyAlignment="1">
      <alignment horizontal="left" vertical="top" wrapText="1"/>
    </xf>
    <xf numFmtId="165" fontId="9" fillId="0" borderId="31" xfId="1" applyNumberFormat="1" applyFont="1" applyBorder="1" applyAlignment="1">
      <alignment horizontal="right" vertical="top"/>
    </xf>
    <xf numFmtId="167" fontId="9" fillId="0" borderId="32" xfId="1" applyNumberFormat="1" applyFont="1" applyBorder="1" applyAlignment="1">
      <alignment horizontal="right" vertical="top"/>
    </xf>
    <xf numFmtId="165" fontId="9" fillId="0" borderId="32" xfId="1" applyNumberFormat="1" applyFont="1" applyBorder="1" applyAlignment="1">
      <alignment horizontal="right" vertical="top"/>
    </xf>
    <xf numFmtId="165" fontId="10" fillId="0" borderId="33" xfId="1" applyNumberFormat="1" applyFont="1" applyBorder="1" applyAlignment="1">
      <alignment horizontal="right" vertical="top"/>
    </xf>
    <xf numFmtId="0" fontId="9" fillId="0" borderId="36" xfId="1" applyFont="1" applyBorder="1" applyAlignment="1">
      <alignment horizontal="left" vertical="top" wrapText="1"/>
    </xf>
    <xf numFmtId="165" fontId="9" fillId="0" borderId="16" xfId="1" applyNumberFormat="1" applyFont="1" applyBorder="1" applyAlignment="1">
      <alignment horizontal="right" vertical="top"/>
    </xf>
    <xf numFmtId="167" fontId="9" fillId="0" borderId="17" xfId="1" applyNumberFormat="1" applyFont="1" applyBorder="1" applyAlignment="1">
      <alignment horizontal="right" vertical="top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9" fillId="0" borderId="39" xfId="1" applyFont="1" applyBorder="1" applyAlignment="1">
      <alignment horizontal="center" wrapText="1"/>
    </xf>
    <xf numFmtId="0" fontId="9" fillId="0" borderId="40" xfId="1" applyFont="1" applyBorder="1" applyAlignment="1">
      <alignment horizontal="center" wrapText="1"/>
    </xf>
    <xf numFmtId="0" fontId="9" fillId="0" borderId="41" xfId="1" applyFont="1" applyBorder="1" applyAlignment="1">
      <alignment horizontal="center" wrapText="1"/>
    </xf>
    <xf numFmtId="0" fontId="7" fillId="0" borderId="9" xfId="1" applyFont="1" applyBorder="1" applyAlignment="1">
      <alignment horizontal="center" vertical="center"/>
    </xf>
    <xf numFmtId="165" fontId="9" fillId="0" borderId="10" xfId="1" applyNumberFormat="1" applyFont="1" applyBorder="1" applyAlignment="1">
      <alignment horizontal="right" vertical="top"/>
    </xf>
    <xf numFmtId="165" fontId="9" fillId="0" borderId="27" xfId="1" applyNumberFormat="1" applyFont="1" applyBorder="1" applyAlignment="1">
      <alignment horizontal="right" vertical="top"/>
    </xf>
    <xf numFmtId="165" fontId="9" fillId="0" borderId="28" xfId="1" applyNumberFormat="1" applyFont="1" applyBorder="1" applyAlignment="1">
      <alignment horizontal="right" vertical="top"/>
    </xf>
    <xf numFmtId="0" fontId="7" fillId="0" borderId="32" xfId="1" applyFont="1" applyBorder="1" applyAlignment="1">
      <alignment horizontal="center" vertical="center"/>
    </xf>
    <xf numFmtId="165" fontId="9" fillId="0" borderId="33" xfId="1" applyNumberFormat="1" applyFont="1" applyBorder="1" applyAlignment="1">
      <alignment horizontal="right" vertical="top"/>
    </xf>
    <xf numFmtId="165" fontId="9" fillId="0" borderId="14" xfId="1" applyNumberFormat="1" applyFont="1" applyBorder="1" applyAlignment="1">
      <alignment horizontal="right" vertical="top"/>
    </xf>
    <xf numFmtId="165" fontId="9" fillId="0" borderId="18" xfId="1" applyNumberFormat="1" applyFont="1" applyBorder="1" applyAlignment="1">
      <alignment horizontal="right" vertical="top"/>
    </xf>
    <xf numFmtId="1" fontId="12" fillId="0" borderId="0" xfId="0" applyNumberFormat="1" applyFont="1" applyAlignment="1">
      <alignment horizontal="center"/>
    </xf>
    <xf numFmtId="0" fontId="9" fillId="0" borderId="29" xfId="1" applyFont="1" applyBorder="1" applyAlignment="1">
      <alignment horizontal="left" vertical="top" wrapText="1"/>
    </xf>
    <xf numFmtId="0" fontId="11" fillId="0" borderId="22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0" fontId="9" fillId="0" borderId="3" xfId="1" applyFont="1" applyBorder="1" applyAlignment="1">
      <alignment horizontal="left" wrapText="1"/>
    </xf>
    <xf numFmtId="0" fontId="11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left" vertical="top" wrapText="1"/>
    </xf>
    <xf numFmtId="0" fontId="9" fillId="0" borderId="34" xfId="1" applyFont="1" applyBorder="1" applyAlignment="1">
      <alignment horizontal="left" vertical="top" wrapText="1"/>
    </xf>
    <xf numFmtId="0" fontId="11" fillId="0" borderId="35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36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 wrapText="1"/>
    </xf>
    <xf numFmtId="0" fontId="11" fillId="0" borderId="38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wrapText="1"/>
    </xf>
    <xf numFmtId="0" fontId="11" fillId="0" borderId="17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wrapText="1"/>
    </xf>
    <xf numFmtId="0" fontId="11" fillId="0" borderId="18" xfId="1" applyFont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0"/>
  <sheetViews>
    <sheetView tabSelected="1" topLeftCell="A298" zoomScaleNormal="100" workbookViewId="0">
      <selection activeCell="C2" sqref="C2"/>
    </sheetView>
  </sheetViews>
  <sheetFormatPr defaultRowHeight="15" x14ac:dyDescent="0.25"/>
  <sheetData>
    <row r="1" spans="1:26" x14ac:dyDescent="0.25">
      <c r="B1" t="s">
        <v>308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315</v>
      </c>
      <c r="M1" t="s">
        <v>343</v>
      </c>
      <c r="N1" t="s">
        <v>344</v>
      </c>
      <c r="O1" t="s">
        <v>345</v>
      </c>
      <c r="P1" s="8" t="s">
        <v>452</v>
      </c>
      <c r="Q1" s="8" t="s">
        <v>453</v>
      </c>
      <c r="R1" s="8" t="s">
        <v>454</v>
      </c>
      <c r="S1" s="8" t="s">
        <v>455</v>
      </c>
      <c r="T1" s="8" t="s">
        <v>564</v>
      </c>
      <c r="U1" s="8" t="s">
        <v>565</v>
      </c>
      <c r="V1" s="8" t="s">
        <v>566</v>
      </c>
      <c r="W1" s="8" t="s">
        <v>567</v>
      </c>
      <c r="Y1" t="s">
        <v>41</v>
      </c>
      <c r="Z1" t="s">
        <v>42</v>
      </c>
    </row>
    <row r="2" spans="1:26" x14ac:dyDescent="0.25">
      <c r="A2" t="s">
        <v>43</v>
      </c>
      <c r="B2" s="16">
        <v>-341.46615093354239</v>
      </c>
      <c r="C2">
        <v>3</v>
      </c>
      <c r="D2" s="8">
        <v>10.5</v>
      </c>
      <c r="E2" s="8">
        <v>10.114285714285716</v>
      </c>
      <c r="F2" s="8">
        <v>9.5428571428571427</v>
      </c>
      <c r="G2" s="8">
        <v>10.071428571428569</v>
      </c>
      <c r="H2" s="8">
        <v>9.3285714285714274</v>
      </c>
      <c r="I2" s="8">
        <v>9.5857142857142854</v>
      </c>
      <c r="J2" s="8">
        <v>6.5571428571428569</v>
      </c>
      <c r="K2" s="8">
        <v>10.114285714285714</v>
      </c>
      <c r="L2" s="8">
        <v>9.6375000000000011</v>
      </c>
      <c r="M2" s="8">
        <v>8</v>
      </c>
      <c r="N2" s="8">
        <v>8.6428571428571423</v>
      </c>
      <c r="O2" s="8">
        <v>10.071428571428573</v>
      </c>
      <c r="P2" s="8">
        <v>10.099999999999998</v>
      </c>
      <c r="Q2" s="8">
        <v>10.214285714285714</v>
      </c>
      <c r="R2" s="8">
        <v>10.328571428571431</v>
      </c>
      <c r="S2" s="8">
        <v>9.4142857142857128</v>
      </c>
      <c r="T2" s="8">
        <v>10.128571428571428</v>
      </c>
      <c r="U2" s="8">
        <v>10.342857142857142</v>
      </c>
      <c r="V2" s="8">
        <v>9.4</v>
      </c>
      <c r="W2" s="8">
        <v>9.9428571428571448</v>
      </c>
      <c r="X2" s="8"/>
      <c r="Y2" s="8">
        <f>SUM(D2:W2)</f>
        <v>192.03749999999997</v>
      </c>
      <c r="Z2">
        <f t="shared" ref="Z2:Z26" si="0">SUMPRODUCT($D$32:$W$32,D2:W2)</f>
        <v>10.136285742148155</v>
      </c>
    </row>
    <row r="3" spans="1:26" x14ac:dyDescent="0.25">
      <c r="A3" t="s">
        <v>44</v>
      </c>
      <c r="B3" s="16">
        <v>513.88849849849839</v>
      </c>
      <c r="C3">
        <v>4</v>
      </c>
      <c r="D3" s="8">
        <v>10.185714285714285</v>
      </c>
      <c r="E3" s="8">
        <v>10.257142857142856</v>
      </c>
      <c r="F3" s="8">
        <v>10.028571428571427</v>
      </c>
      <c r="G3" s="8">
        <v>9.0857142857142854</v>
      </c>
      <c r="H3" s="8">
        <v>9.4571428571428573</v>
      </c>
      <c r="I3" s="8">
        <v>9.6857142857142851</v>
      </c>
      <c r="J3" s="8">
        <v>9.1714285714285726</v>
      </c>
      <c r="K3" s="8">
        <v>9.4714285714285715</v>
      </c>
      <c r="L3" s="8">
        <v>9.5749999999999993</v>
      </c>
      <c r="M3" s="8">
        <v>9.0857142857142872</v>
      </c>
      <c r="N3" s="8">
        <v>9.8142857142857149</v>
      </c>
      <c r="O3" s="8">
        <v>9.6285714285714299</v>
      </c>
      <c r="P3" s="8">
        <v>10.12857142857143</v>
      </c>
      <c r="Q3" s="8">
        <v>10.328571428571431</v>
      </c>
      <c r="R3" s="8">
        <v>10.414285714285715</v>
      </c>
      <c r="S3" s="8">
        <v>9.9285714285714288</v>
      </c>
      <c r="T3" s="8">
        <v>10.657142857142857</v>
      </c>
      <c r="U3" s="8">
        <v>10.942857142857145</v>
      </c>
      <c r="V3" s="8">
        <v>9.9285714285714288</v>
      </c>
      <c r="W3" s="8">
        <v>9.5857142857142854</v>
      </c>
      <c r="X3" s="8"/>
      <c r="Y3" s="8">
        <f t="shared" ref="Y3:Y30" si="1">SUM(D3:W3)</f>
        <v>197.36071428571427</v>
      </c>
      <c r="Z3">
        <f t="shared" si="0"/>
        <v>9.8809149409075872</v>
      </c>
    </row>
    <row r="4" spans="1:26" x14ac:dyDescent="0.25">
      <c r="A4" t="s">
        <v>45</v>
      </c>
      <c r="B4" s="16">
        <v>29.243147930538953</v>
      </c>
      <c r="C4">
        <v>5</v>
      </c>
      <c r="D4" s="8">
        <v>10.242857142857144</v>
      </c>
      <c r="E4" s="8">
        <v>9.7857142857142865</v>
      </c>
      <c r="F4" s="8">
        <v>9.6</v>
      </c>
      <c r="G4" s="8">
        <v>9.8428571428571434</v>
      </c>
      <c r="H4" s="8">
        <v>9.0857142857142854</v>
      </c>
      <c r="I4" s="8">
        <v>9.8428571428571434</v>
      </c>
      <c r="J4" s="8">
        <v>9.4</v>
      </c>
      <c r="K4" s="8">
        <v>9.5</v>
      </c>
      <c r="L4" s="8">
        <v>9.9250000000000007</v>
      </c>
      <c r="M4" s="8">
        <v>9.9571428571428573</v>
      </c>
      <c r="N4" s="8">
        <v>10.1</v>
      </c>
      <c r="O4" s="8">
        <v>10.085714285714287</v>
      </c>
      <c r="P4" s="8">
        <v>10.185714285714285</v>
      </c>
      <c r="Q4" s="8">
        <v>9.1857142857142851</v>
      </c>
      <c r="R4" s="8">
        <v>6.9</v>
      </c>
      <c r="S4" s="8">
        <v>7.2142857142857144</v>
      </c>
      <c r="T4" s="8">
        <v>10.185714285714285</v>
      </c>
      <c r="U4" s="8">
        <v>8.1571428571428566</v>
      </c>
      <c r="V4" s="8">
        <v>11.157142857142858</v>
      </c>
      <c r="W4" s="8">
        <v>10.928571428571429</v>
      </c>
      <c r="X4" s="8"/>
      <c r="Y4" s="8">
        <f t="shared" si="1"/>
        <v>191.28214285714287</v>
      </c>
      <c r="Z4">
        <f t="shared" si="0"/>
        <v>8.8757980709668427</v>
      </c>
    </row>
    <row r="5" spans="1:26" x14ac:dyDescent="0.25">
      <c r="A5" t="s">
        <v>46</v>
      </c>
      <c r="B5" s="16">
        <v>-26.40220263742026</v>
      </c>
      <c r="C5">
        <v>6</v>
      </c>
      <c r="D5" s="8">
        <v>10.114285714285714</v>
      </c>
      <c r="E5" s="8">
        <v>10.157142857142857</v>
      </c>
      <c r="F5" s="8">
        <v>9.9285714285714288</v>
      </c>
      <c r="G5" s="8">
        <v>9.4571428571428573</v>
      </c>
      <c r="H5" s="8">
        <v>9.6</v>
      </c>
      <c r="I5" s="8">
        <v>9.5</v>
      </c>
      <c r="J5" s="8">
        <v>9.7142857142857135</v>
      </c>
      <c r="K5" s="8">
        <v>9.9</v>
      </c>
      <c r="L5" s="8">
        <v>8.8624999999999989</v>
      </c>
      <c r="M5" s="8">
        <v>8.4</v>
      </c>
      <c r="N5" s="8">
        <v>9.1428571428571423</v>
      </c>
      <c r="O5" s="8">
        <v>9.0142857142857142</v>
      </c>
      <c r="P5" s="8">
        <v>9.9428571428571413</v>
      </c>
      <c r="Q5" s="8">
        <v>9.9428571428571413</v>
      </c>
      <c r="R5" s="8">
        <v>9.4142857142857146</v>
      </c>
      <c r="S5" s="8">
        <v>8.8571428571428577</v>
      </c>
      <c r="T5" s="8">
        <v>9.5285714285714285</v>
      </c>
      <c r="U5" s="8">
        <v>8.6999999999999993</v>
      </c>
      <c r="V5" s="8">
        <v>10.37142857142857</v>
      </c>
      <c r="W5" s="8">
        <v>9.9571428571428573</v>
      </c>
      <c r="X5" s="8"/>
      <c r="Y5" s="8">
        <f t="shared" si="1"/>
        <v>190.50535714285715</v>
      </c>
      <c r="Z5">
        <f t="shared" si="0"/>
        <v>9.1490550115350615</v>
      </c>
    </row>
    <row r="6" spans="1:26" x14ac:dyDescent="0.25">
      <c r="A6" t="s">
        <v>47</v>
      </c>
      <c r="B6" s="16">
        <v>304.95244679462053</v>
      </c>
      <c r="C6">
        <v>7</v>
      </c>
      <c r="D6" s="8">
        <v>9.8571428571428577</v>
      </c>
      <c r="E6" s="8">
        <v>9.6857142857142851</v>
      </c>
      <c r="F6" s="8">
        <v>9.8285714285714274</v>
      </c>
      <c r="G6" s="8">
        <v>8.7999999999999989</v>
      </c>
      <c r="H6" s="8">
        <v>9.3285714285714274</v>
      </c>
      <c r="I6" s="8">
        <v>8.8571428571428577</v>
      </c>
      <c r="J6" s="8">
        <v>9.5142857142857142</v>
      </c>
      <c r="K6" s="8">
        <v>9.1285714285714299</v>
      </c>
      <c r="L6" s="8">
        <v>9.1142857142857139</v>
      </c>
      <c r="M6" s="8">
        <v>9.6857142857142851</v>
      </c>
      <c r="N6" s="8">
        <v>8.9571428571428573</v>
      </c>
      <c r="O6" s="8">
        <v>9.6428571428571423</v>
      </c>
      <c r="P6" s="8">
        <v>9.1285714285714281</v>
      </c>
      <c r="Q6" s="8">
        <v>6.0571428571428561</v>
      </c>
      <c r="R6" s="8">
        <v>9.16</v>
      </c>
      <c r="S6" s="8">
        <v>9.8914285714285679</v>
      </c>
      <c r="T6" s="8">
        <v>10</v>
      </c>
      <c r="U6" s="8">
        <v>10.414285714285715</v>
      </c>
      <c r="V6" s="8">
        <v>10.004285714285714</v>
      </c>
      <c r="W6" s="8">
        <v>9.23</v>
      </c>
      <c r="X6" s="8"/>
      <c r="Y6" s="8">
        <f t="shared" si="1"/>
        <v>186.28571428571428</v>
      </c>
      <c r="Z6">
        <f t="shared" si="0"/>
        <v>9.6897020826728468</v>
      </c>
    </row>
    <row r="7" spans="1:26" x14ac:dyDescent="0.25">
      <c r="A7" t="s">
        <v>48</v>
      </c>
      <c r="B7" s="16">
        <v>-195.69290377333891</v>
      </c>
      <c r="C7">
        <v>8</v>
      </c>
      <c r="D7" s="8">
        <v>10.014285714285716</v>
      </c>
      <c r="E7" s="8">
        <v>10.042857142857143</v>
      </c>
      <c r="F7" s="8">
        <v>9.6571428571428566</v>
      </c>
      <c r="G7" s="8">
        <v>9.171428571428569</v>
      </c>
      <c r="H7" s="8">
        <v>9.514285714285716</v>
      </c>
      <c r="I7" s="8">
        <v>8.4</v>
      </c>
      <c r="J7" s="8">
        <v>9.6285714285714299</v>
      </c>
      <c r="K7" s="8">
        <v>9.4142857142857146</v>
      </c>
      <c r="L7" s="8">
        <v>9.1999999999999993</v>
      </c>
      <c r="M7" s="8">
        <v>8.4214285714285708</v>
      </c>
      <c r="N7" s="8">
        <v>7.5333333333333341</v>
      </c>
      <c r="O7" s="8">
        <v>8.7071428571428573</v>
      </c>
      <c r="P7" s="8">
        <v>9.1071428571428559</v>
      </c>
      <c r="Q7" s="8">
        <v>8.9785714285714295</v>
      </c>
      <c r="R7" s="8">
        <v>10.185714285714285</v>
      </c>
      <c r="S7" s="8">
        <v>9.757142857142858</v>
      </c>
      <c r="T7" s="8">
        <v>9.5142857142857142</v>
      </c>
      <c r="U7" s="8">
        <v>8.757142857142858</v>
      </c>
      <c r="V7" s="8">
        <v>10.085714285714285</v>
      </c>
      <c r="W7" s="8">
        <v>10.228571428571428</v>
      </c>
      <c r="X7" s="8"/>
      <c r="Y7" s="8">
        <f t="shared" si="1"/>
        <v>186.31904761904764</v>
      </c>
      <c r="Z7">
        <f t="shared" si="0"/>
        <v>9.2905495582609614</v>
      </c>
    </row>
    <row r="8" spans="1:26" x14ac:dyDescent="0.25">
      <c r="A8" t="s">
        <v>49</v>
      </c>
      <c r="B8" s="16">
        <v>-27.338254341298125</v>
      </c>
      <c r="C8">
        <v>9</v>
      </c>
      <c r="D8" s="8">
        <v>9.7571428571428562</v>
      </c>
      <c r="E8" s="8">
        <v>9.6857142857142851</v>
      </c>
      <c r="F8" s="8">
        <v>5.9857142857142858</v>
      </c>
      <c r="G8" s="8">
        <v>9.3857142857142861</v>
      </c>
      <c r="H8" s="8">
        <v>8.9428571428571413</v>
      </c>
      <c r="I8" s="8">
        <v>9.2285714285714295</v>
      </c>
      <c r="J8" s="8">
        <v>9.3857142857142861</v>
      </c>
      <c r="K8" s="8">
        <v>8.9142857142857146</v>
      </c>
      <c r="L8" s="8">
        <v>8.6499999999999986</v>
      </c>
      <c r="M8" s="8">
        <v>7.4571428571428573</v>
      </c>
      <c r="N8" s="8">
        <v>6.0285714285714276</v>
      </c>
      <c r="O8" s="8">
        <v>8.6571428571428566</v>
      </c>
      <c r="P8" s="8">
        <v>9.0142857142857142</v>
      </c>
      <c r="Q8" s="8">
        <v>9.4571428571428573</v>
      </c>
      <c r="R8" s="8">
        <v>9.4571428571428573</v>
      </c>
      <c r="S8" s="8">
        <v>9.7428571428571438</v>
      </c>
      <c r="T8" s="8">
        <v>9.6428571428571406</v>
      </c>
      <c r="U8" s="8">
        <v>9.9</v>
      </c>
      <c r="V8" s="8">
        <v>9.3142857142857149</v>
      </c>
      <c r="W8" s="8">
        <v>9.3142857142857149</v>
      </c>
      <c r="X8" s="8"/>
      <c r="Y8" s="8">
        <f t="shared" si="1"/>
        <v>177.92142857142858</v>
      </c>
      <c r="Z8">
        <f t="shared" si="0"/>
        <v>8.3627170897435619</v>
      </c>
    </row>
    <row r="9" spans="1:26" x14ac:dyDescent="0.25">
      <c r="A9" t="s">
        <v>50</v>
      </c>
      <c r="B9" s="16">
        <v>275.01639509074266</v>
      </c>
      <c r="C9">
        <v>10</v>
      </c>
      <c r="D9" s="8">
        <v>7.7714285714285714</v>
      </c>
      <c r="E9" s="8">
        <v>8.0142857142857142</v>
      </c>
      <c r="F9" s="8">
        <v>8.4714285714285733</v>
      </c>
      <c r="G9" s="8">
        <v>8.9571428571428573</v>
      </c>
      <c r="H9" s="8">
        <v>8.2999999999999989</v>
      </c>
      <c r="I9" s="8">
        <v>8.6428571428571441</v>
      </c>
      <c r="J9" s="8">
        <v>8.8571428571428577</v>
      </c>
      <c r="K9" s="8">
        <v>8.1571428571428566</v>
      </c>
      <c r="L9" s="8">
        <v>8.7124999999999986</v>
      </c>
      <c r="M9" s="8">
        <v>8.8285714285714274</v>
      </c>
      <c r="N9" s="8">
        <v>5.2285714285714286</v>
      </c>
      <c r="O9" s="8">
        <v>7.5857142857142863</v>
      </c>
      <c r="P9" s="8">
        <v>8.9</v>
      </c>
      <c r="Q9" s="8">
        <v>8.9571428571428573</v>
      </c>
      <c r="R9" s="8">
        <v>9.2999999999999989</v>
      </c>
      <c r="S9" s="8">
        <v>8.6428571428571423</v>
      </c>
      <c r="T9" s="8">
        <v>7.2571428571428571</v>
      </c>
      <c r="U9" s="8">
        <v>6.7714285714285722</v>
      </c>
      <c r="V9" s="8">
        <v>8.0285714285714285</v>
      </c>
      <c r="W9" s="8">
        <v>8.1428571428571423</v>
      </c>
      <c r="X9" s="8"/>
      <c r="Y9" s="8">
        <f t="shared" si="1"/>
        <v>163.52678571428575</v>
      </c>
      <c r="Z9">
        <f t="shared" si="0"/>
        <v>7.5427210810196073</v>
      </c>
    </row>
    <row r="10" spans="1:26" x14ac:dyDescent="0.25">
      <c r="A10" t="s">
        <v>51</v>
      </c>
      <c r="B10" s="16">
        <v>-76.62895547721655</v>
      </c>
      <c r="C10">
        <v>11</v>
      </c>
      <c r="D10" s="8">
        <v>8.3571428571428577</v>
      </c>
      <c r="E10" s="8">
        <v>9.3428571428571416</v>
      </c>
      <c r="F10" s="8">
        <v>9.257142857142858</v>
      </c>
      <c r="G10" s="8">
        <v>8.9</v>
      </c>
      <c r="H10" s="8">
        <v>9.0285714285714285</v>
      </c>
      <c r="I10" s="8">
        <v>8.7714285714285705</v>
      </c>
      <c r="J10" s="8">
        <v>8.6428571428571423</v>
      </c>
      <c r="K10" s="8">
        <v>8.6428571428571423</v>
      </c>
      <c r="L10" s="8">
        <v>8.0124999999999993</v>
      </c>
      <c r="M10" s="8">
        <v>8.0428571428571427</v>
      </c>
      <c r="N10" s="8">
        <v>8.9571428571428573</v>
      </c>
      <c r="O10" s="8">
        <v>8.9285714285714288</v>
      </c>
      <c r="P10" s="8">
        <v>9.1999999999999993</v>
      </c>
      <c r="Q10" s="8">
        <v>9.3142857142857132</v>
      </c>
      <c r="R10" s="8">
        <v>9.3000000000000007</v>
      </c>
      <c r="S10" s="8">
        <v>9.3571428571428577</v>
      </c>
      <c r="T10" s="8">
        <v>9.671428571428569</v>
      </c>
      <c r="U10" s="8">
        <v>9.4714285714285715</v>
      </c>
      <c r="V10" s="8">
        <v>9.2428571428571438</v>
      </c>
      <c r="W10" s="8">
        <v>7.7285714285714286</v>
      </c>
      <c r="X10" s="8"/>
      <c r="Y10" s="8">
        <f t="shared" si="1"/>
        <v>178.16964285714286</v>
      </c>
      <c r="Z10">
        <f t="shared" si="0"/>
        <v>8.9690337718543915</v>
      </c>
    </row>
    <row r="11" spans="1:26" x14ac:dyDescent="0.25">
      <c r="A11" t="s">
        <v>52</v>
      </c>
      <c r="B11" s="16">
        <v>-598.27430604517576</v>
      </c>
      <c r="C11">
        <v>12</v>
      </c>
      <c r="D11" s="8">
        <v>9.3428571428571434</v>
      </c>
      <c r="E11" s="8">
        <v>9.2571428571428562</v>
      </c>
      <c r="F11" s="8">
        <v>8.9285714285714288</v>
      </c>
      <c r="G11" s="8">
        <v>8.7857142857142865</v>
      </c>
      <c r="H11" s="8">
        <v>9.1285714285714281</v>
      </c>
      <c r="I11" s="8">
        <v>8.1714285714285726</v>
      </c>
      <c r="J11" s="8">
        <v>9.014285714285716</v>
      </c>
      <c r="K11" s="8">
        <v>8.1857142857142868</v>
      </c>
      <c r="L11" s="8">
        <v>7.6374999999999993</v>
      </c>
      <c r="M11" s="8">
        <v>8.9571428571428573</v>
      </c>
      <c r="N11" s="8">
        <v>6.9857142857142867</v>
      </c>
      <c r="O11" s="8">
        <v>8.5428571428571445</v>
      </c>
      <c r="P11" s="8">
        <v>9.1142857142857139</v>
      </c>
      <c r="Q11" s="8">
        <v>8.6285714285714299</v>
      </c>
      <c r="R11" s="8">
        <v>8.8857142857142861</v>
      </c>
      <c r="S11" s="8">
        <v>8.3714285714285719</v>
      </c>
      <c r="T11" s="8">
        <v>9.9285714285714288</v>
      </c>
      <c r="U11" s="8">
        <v>9.171428571428569</v>
      </c>
      <c r="V11" s="8">
        <v>7.6428571428571432</v>
      </c>
      <c r="W11" s="8">
        <v>6.8</v>
      </c>
      <c r="X11" s="8"/>
      <c r="Y11" s="8">
        <f t="shared" si="1"/>
        <v>171.48035714285714</v>
      </c>
      <c r="Z11">
        <f t="shared" si="0"/>
        <v>8.2082447220228989</v>
      </c>
    </row>
    <row r="12" spans="1:26" x14ac:dyDescent="0.25">
      <c r="A12" t="s">
        <v>53</v>
      </c>
      <c r="B12" s="16">
        <v>16.080343386865025</v>
      </c>
      <c r="C12">
        <v>13</v>
      </c>
      <c r="D12" s="8">
        <v>8.3142857142857149</v>
      </c>
      <c r="E12" s="8">
        <v>8.3857142857142861</v>
      </c>
      <c r="F12" s="8">
        <v>8.242857142857142</v>
      </c>
      <c r="G12" s="8">
        <v>7.1571428571428566</v>
      </c>
      <c r="H12" s="8">
        <v>7.3999999999999995</v>
      </c>
      <c r="I12" s="8">
        <v>6.3142857142857149</v>
      </c>
      <c r="J12" s="8">
        <v>7.8857142857142861</v>
      </c>
      <c r="K12" s="8">
        <v>8.1142857142857139</v>
      </c>
      <c r="L12" s="8">
        <v>7.95</v>
      </c>
      <c r="M12" s="8">
        <v>8.4</v>
      </c>
      <c r="N12" s="8">
        <v>8.9714285714285715</v>
      </c>
      <c r="O12" s="8">
        <v>9.3857142857142861</v>
      </c>
      <c r="P12" s="8">
        <v>9.2285714285714278</v>
      </c>
      <c r="Q12" s="8">
        <v>8.1428571428571423</v>
      </c>
      <c r="R12" s="8">
        <v>9.8571428571428577</v>
      </c>
      <c r="S12" s="8">
        <v>8.7428571428571438</v>
      </c>
      <c r="T12" s="8">
        <v>9.1142857142857157</v>
      </c>
      <c r="U12" s="8">
        <v>9.4857142857142858</v>
      </c>
      <c r="V12" s="8">
        <v>9.2428571428571438</v>
      </c>
      <c r="W12" s="8">
        <v>8.8714285714285719</v>
      </c>
      <c r="X12" s="8"/>
      <c r="Y12" s="8">
        <f t="shared" si="1"/>
        <v>169.20714285714288</v>
      </c>
      <c r="Z12">
        <f t="shared" si="0"/>
        <v>8.9753749469032229</v>
      </c>
    </row>
    <row r="13" spans="1:26" x14ac:dyDescent="0.25">
      <c r="A13" t="s">
        <v>54</v>
      </c>
      <c r="B13" s="16">
        <v>-52.565007181094188</v>
      </c>
      <c r="C13">
        <v>14</v>
      </c>
      <c r="D13" s="8">
        <v>8.4428571428571448</v>
      </c>
      <c r="E13" s="8">
        <v>8.7857142857142865</v>
      </c>
      <c r="F13" s="8">
        <v>7.7142857142857144</v>
      </c>
      <c r="G13" s="8">
        <v>8.3142857142857132</v>
      </c>
      <c r="H13" s="8">
        <v>7.6999999999999984</v>
      </c>
      <c r="I13" s="8">
        <v>9.3285714285714274</v>
      </c>
      <c r="J13" s="8">
        <v>8.6</v>
      </c>
      <c r="K13" s="8">
        <v>8.4999999999999982</v>
      </c>
      <c r="L13" s="8">
        <v>8.6000000000000014</v>
      </c>
      <c r="M13" s="8">
        <v>8.8428571428571416</v>
      </c>
      <c r="N13" s="8">
        <v>9.0285714285714267</v>
      </c>
      <c r="O13" s="8">
        <v>9.1428571428571423</v>
      </c>
      <c r="P13" s="8">
        <v>9.1857142857142851</v>
      </c>
      <c r="Q13" s="8">
        <v>9.3714285714285719</v>
      </c>
      <c r="R13" s="8">
        <v>8.8428571428571434</v>
      </c>
      <c r="S13" s="8">
        <v>9.4142857142857146</v>
      </c>
      <c r="T13" s="8">
        <v>9.514285714285716</v>
      </c>
      <c r="U13" s="8">
        <v>9.4142857142857146</v>
      </c>
      <c r="V13" s="8">
        <v>8.9571428571428573</v>
      </c>
      <c r="W13" s="8">
        <v>8.4428571428571413</v>
      </c>
      <c r="X13" s="8"/>
      <c r="Y13" s="8">
        <f t="shared" si="1"/>
        <v>176.14285714285714</v>
      </c>
      <c r="Z13">
        <f t="shared" si="0"/>
        <v>8.572720041529422</v>
      </c>
    </row>
    <row r="14" spans="1:26" x14ac:dyDescent="0.25">
      <c r="A14" t="s">
        <v>55</v>
      </c>
      <c r="B14" s="16">
        <v>-738.2103577490534</v>
      </c>
      <c r="C14">
        <v>15</v>
      </c>
      <c r="D14" s="8">
        <v>8.8428571428571416</v>
      </c>
      <c r="E14" s="8">
        <v>9.0571428571428587</v>
      </c>
      <c r="F14" s="8">
        <v>9.0714285714285712</v>
      </c>
      <c r="G14" s="8">
        <v>8.3142857142857149</v>
      </c>
      <c r="H14" s="8">
        <v>9</v>
      </c>
      <c r="I14" s="8">
        <v>8.7285714285714278</v>
      </c>
      <c r="J14" s="8">
        <v>13.171428571428574</v>
      </c>
      <c r="K14" s="8">
        <v>8.4714285714285715</v>
      </c>
      <c r="L14" s="8">
        <v>8.25</v>
      </c>
      <c r="M14" s="8">
        <v>8.7428571428571438</v>
      </c>
      <c r="N14" s="8">
        <v>8.4285714285714288</v>
      </c>
      <c r="O14" s="8">
        <v>9.2999999999999989</v>
      </c>
      <c r="P14" s="8">
        <v>8.242857142857142</v>
      </c>
      <c r="Q14" s="8">
        <v>8.5571428571428587</v>
      </c>
      <c r="R14" s="8">
        <v>8.5857142857142854</v>
      </c>
      <c r="S14" s="8">
        <v>9.4714285714285715</v>
      </c>
      <c r="T14" s="8">
        <v>8.5</v>
      </c>
      <c r="U14" s="8">
        <v>9.0857142857142854</v>
      </c>
      <c r="V14" s="8">
        <v>8.4</v>
      </c>
      <c r="W14" s="8">
        <v>8.828571428571431</v>
      </c>
      <c r="X14" s="8"/>
      <c r="Y14" s="8">
        <f t="shared" si="1"/>
        <v>179.05</v>
      </c>
      <c r="Z14">
        <f t="shared" si="0"/>
        <v>7.7899403482273195</v>
      </c>
    </row>
    <row r="15" spans="1:26" x14ac:dyDescent="0.25">
      <c r="A15" t="s">
        <v>56</v>
      </c>
      <c r="B15" s="16">
        <v>-90.855708317012613</v>
      </c>
      <c r="C15">
        <v>16</v>
      </c>
      <c r="D15" s="8">
        <v>9.3428571428571434</v>
      </c>
      <c r="E15" s="8">
        <v>8.8428571428571434</v>
      </c>
      <c r="F15" s="8">
        <v>8.9428571428571413</v>
      </c>
      <c r="G15" s="8">
        <v>9.0714285714285712</v>
      </c>
      <c r="H15" s="8">
        <v>8.8571428571428577</v>
      </c>
      <c r="I15" s="8">
        <v>8.7714285714285705</v>
      </c>
      <c r="J15" s="8">
        <v>8.671428571428569</v>
      </c>
      <c r="K15" s="8">
        <v>8.4142857142857146</v>
      </c>
      <c r="L15" s="8">
        <v>8.5374999999999996</v>
      </c>
      <c r="M15" s="8">
        <v>8.3571428571428577</v>
      </c>
      <c r="N15" s="8">
        <v>8.6714285714285726</v>
      </c>
      <c r="O15" s="8">
        <v>8.8142857142857132</v>
      </c>
      <c r="P15" s="8">
        <v>8.9142857142857146</v>
      </c>
      <c r="Q15" s="8">
        <v>8.7857142857142865</v>
      </c>
      <c r="R15" s="8">
        <v>9.3714285714285701</v>
      </c>
      <c r="S15" s="8">
        <v>9.2428571428571438</v>
      </c>
      <c r="T15" s="8">
        <v>9.7000000000000011</v>
      </c>
      <c r="U15" s="8">
        <v>9.4142857142857146</v>
      </c>
      <c r="V15" s="8">
        <v>9.9857142857142858</v>
      </c>
      <c r="W15" s="8">
        <v>10.014285714285714</v>
      </c>
      <c r="X15" s="8"/>
      <c r="Y15" s="8">
        <f t="shared" si="1"/>
        <v>180.72321428571428</v>
      </c>
      <c r="Z15">
        <f t="shared" si="0"/>
        <v>9.1108970227163706</v>
      </c>
    </row>
    <row r="16" spans="1:26" x14ac:dyDescent="0.25">
      <c r="A16" t="s">
        <v>57</v>
      </c>
      <c r="B16" s="16">
        <v>-417.50105888497183</v>
      </c>
      <c r="C16">
        <v>17</v>
      </c>
      <c r="D16" s="8">
        <v>9.4</v>
      </c>
      <c r="E16" s="8">
        <v>9.0571428571428569</v>
      </c>
      <c r="F16" s="8">
        <v>9.0714285714285712</v>
      </c>
      <c r="G16" s="8">
        <v>8.6142857142857139</v>
      </c>
      <c r="H16" s="8">
        <v>8.4142857142857146</v>
      </c>
      <c r="I16" s="8">
        <v>8.3857142857142843</v>
      </c>
      <c r="J16" s="8">
        <v>7.9428571428571422</v>
      </c>
      <c r="K16" s="8">
        <v>8.2714285714285722</v>
      </c>
      <c r="L16" s="8">
        <v>7.4444444444444446</v>
      </c>
      <c r="M16" s="8">
        <v>8.1285714285714281</v>
      </c>
      <c r="N16" s="8">
        <v>8.4</v>
      </c>
      <c r="O16" s="8">
        <v>7.4285714285714288</v>
      </c>
      <c r="P16" s="8">
        <v>8.2571428571428562</v>
      </c>
      <c r="Q16" s="8">
        <v>8.8428571428571434</v>
      </c>
      <c r="R16" s="8">
        <v>7.2714285714285714</v>
      </c>
      <c r="S16" s="8">
        <v>9.5</v>
      </c>
      <c r="T16" s="8">
        <v>9.6142857142857139</v>
      </c>
      <c r="U16" s="8">
        <v>9.7000000000000011</v>
      </c>
      <c r="V16" s="8">
        <v>8.4857142857142858</v>
      </c>
      <c r="W16" s="8">
        <v>7.1857142857142859</v>
      </c>
      <c r="X16" s="8"/>
      <c r="Y16" s="8">
        <f t="shared" si="1"/>
        <v>169.41587301587299</v>
      </c>
      <c r="Z16">
        <f t="shared" si="0"/>
        <v>8.6055542698265146</v>
      </c>
    </row>
    <row r="17" spans="1:26" x14ac:dyDescent="0.25">
      <c r="A17" t="s">
        <v>58</v>
      </c>
      <c r="B17" s="16">
        <v>-161.14640945293104</v>
      </c>
      <c r="C17">
        <v>18</v>
      </c>
      <c r="D17" s="8">
        <v>8.8714285714285719</v>
      </c>
      <c r="E17" s="8">
        <v>7.9571428571428573</v>
      </c>
      <c r="F17" s="8">
        <v>8.2428571428571438</v>
      </c>
      <c r="G17" s="8">
        <v>6.8</v>
      </c>
      <c r="H17" s="8">
        <v>8.1857142857142851</v>
      </c>
      <c r="I17" s="8">
        <v>8.5857142857142854</v>
      </c>
      <c r="J17" s="8">
        <v>8.6142857142857139</v>
      </c>
      <c r="K17" s="8">
        <v>8.6857142857142851</v>
      </c>
      <c r="L17" s="8">
        <v>7.7000000000000011</v>
      </c>
      <c r="M17" s="8">
        <v>8.5714285714285712</v>
      </c>
      <c r="N17" s="8">
        <v>8.7714285714285705</v>
      </c>
      <c r="O17" s="8">
        <v>8.8428571428571434</v>
      </c>
      <c r="P17" s="8">
        <v>8.2999999999999989</v>
      </c>
      <c r="Q17" s="8">
        <v>7.6428571428571432</v>
      </c>
      <c r="R17" s="8">
        <v>8.9857142857142858</v>
      </c>
      <c r="S17" s="8">
        <v>7.3999999999999995</v>
      </c>
      <c r="T17" s="8">
        <v>8.3571428571428559</v>
      </c>
      <c r="U17" s="8">
        <v>9.1142857142857157</v>
      </c>
      <c r="V17" s="8">
        <v>9.985714285714284</v>
      </c>
      <c r="W17" s="8">
        <v>9.0714285714285712</v>
      </c>
      <c r="X17" s="8"/>
      <c r="Y17" s="8">
        <f t="shared" si="1"/>
        <v>168.68571428571431</v>
      </c>
      <c r="Z17">
        <f t="shared" si="0"/>
        <v>8.1901590386388605</v>
      </c>
    </row>
    <row r="18" spans="1:26" x14ac:dyDescent="0.25">
      <c r="A18" t="s">
        <v>59</v>
      </c>
      <c r="B18" s="16">
        <v>64.208239979109749</v>
      </c>
      <c r="C18">
        <v>19</v>
      </c>
      <c r="D18" s="8">
        <v>9.828571428571431</v>
      </c>
      <c r="E18" s="8">
        <v>9.2714285714285705</v>
      </c>
      <c r="F18" s="8">
        <v>9.3714285714285719</v>
      </c>
      <c r="G18" s="8">
        <v>8.3285714285714274</v>
      </c>
      <c r="H18" s="8">
        <v>9.0285714285714285</v>
      </c>
      <c r="I18" s="8">
        <v>8.985714285714284</v>
      </c>
      <c r="J18" s="8">
        <v>8.4571428571428573</v>
      </c>
      <c r="K18" s="8">
        <v>8.6285714285714281</v>
      </c>
      <c r="L18" s="8">
        <v>7.7888888888888879</v>
      </c>
      <c r="M18" s="8">
        <v>7.8999999999999995</v>
      </c>
      <c r="N18" s="8">
        <v>7.9142857142857128</v>
      </c>
      <c r="O18" s="8">
        <v>7.7142857142857144</v>
      </c>
      <c r="P18" s="8">
        <v>9.4285714285714288</v>
      </c>
      <c r="Q18" s="8">
        <v>9.5857142857142854</v>
      </c>
      <c r="R18" s="8">
        <v>9.7857142857142865</v>
      </c>
      <c r="S18" s="8">
        <v>9.7714285714285722</v>
      </c>
      <c r="T18" s="8">
        <v>9.7285714285714278</v>
      </c>
      <c r="U18" s="8">
        <v>9.8714285714285701</v>
      </c>
      <c r="V18" s="8">
        <v>8.9142857142857146</v>
      </c>
      <c r="W18" s="8">
        <v>9.5000000000000018</v>
      </c>
      <c r="X18" s="8"/>
      <c r="Y18" s="8">
        <f t="shared" si="1"/>
        <v>179.8031746031746</v>
      </c>
      <c r="Z18">
        <f t="shared" si="0"/>
        <v>9.0492719964754151</v>
      </c>
    </row>
    <row r="19" spans="1:26" x14ac:dyDescent="0.25">
      <c r="A19" t="s">
        <v>60</v>
      </c>
      <c r="B19" s="17">
        <v>318.56288941115008</v>
      </c>
      <c r="C19">
        <v>20</v>
      </c>
      <c r="D19" s="8">
        <v>8.2714285714285705</v>
      </c>
      <c r="E19" s="8">
        <v>6.7999999999999989</v>
      </c>
      <c r="F19" s="8">
        <v>8.9428571428571431</v>
      </c>
      <c r="G19" s="8">
        <v>8.8714285714285701</v>
      </c>
      <c r="H19" s="8">
        <v>8.9428571428571413</v>
      </c>
      <c r="I19" s="8">
        <v>7.742857142857142</v>
      </c>
      <c r="J19" s="8">
        <v>7.6714285714285708</v>
      </c>
      <c r="K19" s="8">
        <v>8.9714285714285715</v>
      </c>
      <c r="L19" s="8">
        <v>7.25</v>
      </c>
      <c r="M19" s="8">
        <v>8.4571428571428573</v>
      </c>
      <c r="N19" s="8">
        <v>9.2571428571428562</v>
      </c>
      <c r="O19" s="8">
        <v>8.571428571428573</v>
      </c>
      <c r="P19" s="8">
        <v>5.7</v>
      </c>
      <c r="Q19" s="8">
        <v>9.1714285714285726</v>
      </c>
      <c r="R19" s="8">
        <v>8.8714285714285701</v>
      </c>
      <c r="S19" s="8">
        <v>8.8714285714285701</v>
      </c>
      <c r="T19" s="8">
        <v>9.985714285714284</v>
      </c>
      <c r="U19" s="8">
        <v>8.9285714285714288</v>
      </c>
      <c r="V19" s="8">
        <v>8</v>
      </c>
      <c r="W19" s="8">
        <v>9.4571428571428573</v>
      </c>
      <c r="X19" s="8"/>
      <c r="Y19" s="8">
        <f t="shared" si="1"/>
        <v>168.73571428571427</v>
      </c>
      <c r="Z19">
        <f t="shared" si="0"/>
        <v>9.073595588733868</v>
      </c>
    </row>
    <row r="20" spans="1:26" x14ac:dyDescent="0.25">
      <c r="A20" t="s">
        <v>61</v>
      </c>
      <c r="B20" s="16">
        <v>318.91753884319087</v>
      </c>
      <c r="C20">
        <v>21</v>
      </c>
      <c r="D20" s="8">
        <v>9.4285714285714288</v>
      </c>
      <c r="E20" s="8">
        <v>8.8857142857142861</v>
      </c>
      <c r="F20" s="8">
        <v>9.2142857142857135</v>
      </c>
      <c r="G20" s="8">
        <v>9.1999999999999993</v>
      </c>
      <c r="H20" s="8">
        <v>8.7999999999999989</v>
      </c>
      <c r="I20" s="8">
        <v>8.5571428571428587</v>
      </c>
      <c r="J20" s="8">
        <v>9.1428571428571423</v>
      </c>
      <c r="K20" s="8">
        <v>8.6</v>
      </c>
      <c r="L20" s="8">
        <v>8.4125000000000014</v>
      </c>
      <c r="M20" s="8">
        <v>8.4142857142857128</v>
      </c>
      <c r="N20" s="8">
        <v>9.1142857142857139</v>
      </c>
      <c r="O20" s="8">
        <v>8.6</v>
      </c>
      <c r="P20" s="8">
        <v>9.0857142857142854</v>
      </c>
      <c r="Q20" s="8">
        <v>8.6428571428571423</v>
      </c>
      <c r="R20" s="8">
        <v>9.1571428571428584</v>
      </c>
      <c r="S20" s="8">
        <v>9.2000000000000011</v>
      </c>
      <c r="T20" s="8">
        <v>9.5857142857142854</v>
      </c>
      <c r="U20" s="8">
        <v>9.6857142857142851</v>
      </c>
      <c r="V20" s="8">
        <v>7.8857142857142852</v>
      </c>
      <c r="W20" s="8">
        <v>8.5714285714285712</v>
      </c>
      <c r="X20" s="8"/>
      <c r="Y20" s="8">
        <f t="shared" si="1"/>
        <v>178.18392857142854</v>
      </c>
      <c r="Z20">
        <f t="shared" si="0"/>
        <v>8.9174897178249708</v>
      </c>
    </row>
    <row r="21" spans="1:26" x14ac:dyDescent="0.25">
      <c r="A21" t="s">
        <v>62</v>
      </c>
      <c r="B21" s="16">
        <v>203.06498106802428</v>
      </c>
      <c r="C21">
        <v>22</v>
      </c>
      <c r="D21" s="8">
        <v>8.8571428571428577</v>
      </c>
      <c r="E21" s="8">
        <v>8.1142857142857157</v>
      </c>
      <c r="F21" s="8">
        <v>8.1428571428571423</v>
      </c>
      <c r="G21" s="8">
        <v>8.2142857142857135</v>
      </c>
      <c r="H21" s="8">
        <v>8.6142857142857139</v>
      </c>
      <c r="I21" s="8">
        <v>7</v>
      </c>
      <c r="J21" s="8">
        <v>8.6428571428571423</v>
      </c>
      <c r="K21" s="8">
        <v>8.7857142857142865</v>
      </c>
      <c r="L21" s="8">
        <v>8.0428571428571427</v>
      </c>
      <c r="M21" s="8">
        <v>7.3714285714285719</v>
      </c>
      <c r="N21" s="8">
        <v>8.3428571428571416</v>
      </c>
      <c r="O21" s="8">
        <v>8.4285714285714288</v>
      </c>
      <c r="P21" s="8">
        <v>7.83</v>
      </c>
      <c r="Q21" s="8">
        <v>9.2142857142857135</v>
      </c>
      <c r="R21" s="8">
        <v>7.299999999999998</v>
      </c>
      <c r="S21" s="8">
        <v>9.5571428571428587</v>
      </c>
      <c r="T21" s="8">
        <v>9.2571428571428562</v>
      </c>
      <c r="U21" s="8">
        <v>9.5571428571428552</v>
      </c>
      <c r="V21" s="8">
        <v>8.6999999999999993</v>
      </c>
      <c r="W21" s="8">
        <v>9.2142857142857171</v>
      </c>
      <c r="X21" s="8"/>
      <c r="Y21" s="8">
        <f t="shared" si="1"/>
        <v>169.18714285714285</v>
      </c>
      <c r="Z21">
        <f t="shared" si="0"/>
        <v>8.7277518323591927</v>
      </c>
    </row>
    <row r="22" spans="1:26" x14ac:dyDescent="0.25">
      <c r="A22" t="s">
        <v>63</v>
      </c>
      <c r="B22" s="16">
        <v>604.62683770727244</v>
      </c>
      <c r="C22">
        <v>23</v>
      </c>
      <c r="D22" s="8">
        <v>8.9142857142857146</v>
      </c>
      <c r="E22" s="8">
        <v>9.3071428571428552</v>
      </c>
      <c r="F22" s="8">
        <v>8.9285714285714288</v>
      </c>
      <c r="G22" s="8">
        <v>9.1857142857142868</v>
      </c>
      <c r="H22" s="8">
        <v>8.9285714285714288</v>
      </c>
      <c r="I22" s="8">
        <v>6.9285714285714288</v>
      </c>
      <c r="J22" s="8">
        <v>7.871428571428571</v>
      </c>
      <c r="K22" s="8">
        <v>8.7000000000000011</v>
      </c>
      <c r="L22" s="8">
        <v>7.0125000000000011</v>
      </c>
      <c r="M22" s="8">
        <v>7.371428571428571</v>
      </c>
      <c r="N22" s="8">
        <v>7.3428571428571434</v>
      </c>
      <c r="O22" s="8">
        <v>7.8857142857142843</v>
      </c>
      <c r="P22" s="8">
        <v>8.8714285714285701</v>
      </c>
      <c r="Q22" s="8">
        <v>7.8571428571428568</v>
      </c>
      <c r="R22" s="8">
        <v>9.0571428571428552</v>
      </c>
      <c r="S22" s="8">
        <v>10.442857142857141</v>
      </c>
      <c r="T22" s="8">
        <v>9.5</v>
      </c>
      <c r="U22" s="8">
        <v>10.2125</v>
      </c>
      <c r="V22" s="8">
        <v>8.4428571428571431</v>
      </c>
      <c r="W22" s="8">
        <v>7.4571428571428573</v>
      </c>
      <c r="X22" s="8"/>
      <c r="Y22" s="8">
        <f t="shared" si="1"/>
        <v>170.21785714285716</v>
      </c>
      <c r="Z22">
        <f t="shared" si="0"/>
        <v>9.3581155038481203</v>
      </c>
    </row>
    <row r="23" spans="1:26" x14ac:dyDescent="0.25">
      <c r="A23" t="s">
        <v>64</v>
      </c>
      <c r="B23" s="16">
        <v>-69.018512860686769</v>
      </c>
      <c r="C23">
        <v>24</v>
      </c>
      <c r="D23" s="8">
        <v>10.057142857142859</v>
      </c>
      <c r="E23" s="8">
        <v>9.5285714285714267</v>
      </c>
      <c r="F23" s="8">
        <v>8</v>
      </c>
      <c r="G23" s="8">
        <v>7.6</v>
      </c>
      <c r="H23" s="8">
        <v>7.3428571428571434</v>
      </c>
      <c r="I23" s="8">
        <v>7.4571428571428564</v>
      </c>
      <c r="J23" s="8">
        <v>7.4142857142857128</v>
      </c>
      <c r="K23" s="8">
        <v>9.1</v>
      </c>
      <c r="L23" s="8">
        <v>0.16250000000000009</v>
      </c>
      <c r="M23" s="8">
        <v>8.9571428571428573</v>
      </c>
      <c r="N23" s="8">
        <v>8.3428571428571434</v>
      </c>
      <c r="O23" s="8">
        <v>3.8857142857142857</v>
      </c>
      <c r="P23" s="8">
        <v>6.4142857142857155</v>
      </c>
      <c r="Q23" s="8">
        <v>10.057142857142859</v>
      </c>
      <c r="R23" s="8">
        <v>9.4857142857142858</v>
      </c>
      <c r="S23" s="8">
        <v>9.7571428571428562</v>
      </c>
      <c r="T23" s="8">
        <v>8.9285714285714288</v>
      </c>
      <c r="U23" s="8">
        <v>9.8142857142857132</v>
      </c>
      <c r="V23" s="8">
        <v>9.5428571428571427</v>
      </c>
      <c r="W23" s="8">
        <v>9.3285714285714274</v>
      </c>
      <c r="X23" s="8"/>
      <c r="Y23" s="8">
        <f t="shared" si="1"/>
        <v>161.17678571428567</v>
      </c>
      <c r="Z23">
        <f t="shared" si="0"/>
        <v>8.4654191739297833</v>
      </c>
    </row>
    <row r="24" spans="1:26" x14ac:dyDescent="0.25">
      <c r="A24" t="s">
        <v>65</v>
      </c>
      <c r="B24" s="16">
        <v>-202.66386342864598</v>
      </c>
      <c r="C24">
        <v>25</v>
      </c>
      <c r="D24" s="8">
        <v>9.5571428571428552</v>
      </c>
      <c r="E24" s="8">
        <v>8.2142857142857153</v>
      </c>
      <c r="F24" s="8">
        <v>5.0285714285714294</v>
      </c>
      <c r="G24" s="8">
        <v>8.8428571428571416</v>
      </c>
      <c r="H24" s="8">
        <v>8.6428571428571423</v>
      </c>
      <c r="I24" s="8">
        <v>7.2714285714285714</v>
      </c>
      <c r="J24" s="8">
        <v>4.8714285714285719</v>
      </c>
      <c r="K24" s="8">
        <v>6.2</v>
      </c>
      <c r="L24" s="8">
        <v>8.7375000000000007</v>
      </c>
      <c r="M24" s="8">
        <v>8.2831168831168824</v>
      </c>
      <c r="N24" s="8">
        <v>8.5103896103896091</v>
      </c>
      <c r="O24" s="8">
        <v>8.0558441558441558</v>
      </c>
      <c r="P24" s="8">
        <v>8.2027272727272713</v>
      </c>
      <c r="Q24" s="8">
        <v>8.884415584415585</v>
      </c>
      <c r="R24" s="8">
        <v>8.7922077922077904</v>
      </c>
      <c r="S24" s="8">
        <v>9.3298701298701303</v>
      </c>
      <c r="T24" s="8">
        <v>9.3337662337662337</v>
      </c>
      <c r="U24" s="8">
        <v>9.5271103896103888</v>
      </c>
      <c r="V24" s="8">
        <v>8.8142857142857149</v>
      </c>
      <c r="W24" s="8">
        <v>9.6285714285714299</v>
      </c>
      <c r="X24" s="8"/>
      <c r="Y24" s="8">
        <f t="shared" si="1"/>
        <v>164.72837662337662</v>
      </c>
      <c r="Z24">
        <f t="shared" si="0"/>
        <v>8.696573492764518</v>
      </c>
    </row>
    <row r="25" spans="1:26" x14ac:dyDescent="0.25">
      <c r="A25" t="s">
        <v>66</v>
      </c>
      <c r="B25" s="18">
        <v>190.69078600339481</v>
      </c>
      <c r="C25">
        <v>26</v>
      </c>
      <c r="D25" s="8">
        <v>7.7999999999999989</v>
      </c>
      <c r="E25" s="8">
        <v>7.4571428571428564</v>
      </c>
      <c r="F25" s="8">
        <v>7.2</v>
      </c>
      <c r="G25" s="8">
        <v>6.4</v>
      </c>
      <c r="H25" s="8">
        <v>8.5857142857142854</v>
      </c>
      <c r="I25" s="8">
        <v>8.6142857142857139</v>
      </c>
      <c r="J25" s="8">
        <v>8.7142857142857135</v>
      </c>
      <c r="K25" s="8">
        <v>9.3142857142857149</v>
      </c>
      <c r="L25" s="8">
        <v>8.5749999999999993</v>
      </c>
      <c r="M25" s="8">
        <v>9.5285714285714267</v>
      </c>
      <c r="N25" s="8">
        <v>9.514285714285716</v>
      </c>
      <c r="O25" s="8">
        <v>9.3428571428571434</v>
      </c>
      <c r="P25" s="8">
        <v>9.6857142857142851</v>
      </c>
      <c r="Q25" s="8">
        <v>9.1285714285714299</v>
      </c>
      <c r="R25" s="8">
        <v>8.5142857142857107</v>
      </c>
      <c r="S25" s="8">
        <v>8.6</v>
      </c>
      <c r="T25" s="8">
        <v>9.8714285714285701</v>
      </c>
      <c r="U25" s="8">
        <v>9.3714285714285701</v>
      </c>
      <c r="V25" s="8">
        <v>9.5714285714285712</v>
      </c>
      <c r="W25" s="8">
        <v>8.2571428571429006</v>
      </c>
      <c r="X25" s="8"/>
      <c r="Y25" s="8">
        <f t="shared" si="1"/>
        <v>174.04642857142861</v>
      </c>
      <c r="Z25">
        <f t="shared" si="0"/>
        <v>8.5765507919933377</v>
      </c>
    </row>
    <row r="26" spans="1:26" x14ac:dyDescent="0.25">
      <c r="A26" t="s">
        <v>67</v>
      </c>
      <c r="B26" s="1">
        <v>-182.95456456456441</v>
      </c>
      <c r="C26">
        <v>27</v>
      </c>
      <c r="D26" s="8">
        <v>5.1285714285714281</v>
      </c>
      <c r="E26" s="8">
        <v>4.6285714285714281</v>
      </c>
      <c r="F26" s="8">
        <v>4.5428571428571427</v>
      </c>
      <c r="G26" s="8">
        <v>4.2</v>
      </c>
      <c r="H26" s="8">
        <v>8.6428571428571406</v>
      </c>
      <c r="I26" s="8">
        <v>8.8571428571428594</v>
      </c>
      <c r="J26" s="8">
        <v>8.3285714285714292</v>
      </c>
      <c r="K26" s="8">
        <v>8.4857142857142893</v>
      </c>
      <c r="L26" s="8">
        <v>7.3142857142857096</v>
      </c>
      <c r="M26" s="8">
        <v>8.3036599763872481</v>
      </c>
      <c r="N26" s="8">
        <v>8.5619834710743792</v>
      </c>
      <c r="O26" s="8">
        <v>7.9609208972845327</v>
      </c>
      <c r="P26" s="8">
        <v>8.2445336481700107</v>
      </c>
      <c r="Q26" s="8">
        <v>8.8920897284533673</v>
      </c>
      <c r="R26" s="8">
        <v>9.8142857142857132</v>
      </c>
      <c r="S26" s="8">
        <v>9.4</v>
      </c>
      <c r="T26" s="8">
        <v>9.6571428571428566</v>
      </c>
      <c r="U26" s="8">
        <v>10.214285714285714</v>
      </c>
      <c r="V26" s="8">
        <v>9.0571428571428587</v>
      </c>
      <c r="W26" s="8">
        <v>9.5857142857142872</v>
      </c>
      <c r="X26" s="8"/>
      <c r="Y26" s="8">
        <f t="shared" si="1"/>
        <v>159.8203305785124</v>
      </c>
      <c r="Z26">
        <f t="shared" si="0"/>
        <v>8.1829310309703622</v>
      </c>
    </row>
    <row r="27" spans="1:26" x14ac:dyDescent="0.25">
      <c r="B27" s="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6" x14ac:dyDescent="0.25">
      <c r="A28" t="s">
        <v>68</v>
      </c>
      <c r="B28" s="6"/>
      <c r="D28" s="8">
        <v>9.5428571428571445</v>
      </c>
      <c r="E28" s="8">
        <v>8.4428571428571431</v>
      </c>
      <c r="F28" s="8">
        <v>9.3714285714285701</v>
      </c>
      <c r="G28" s="8">
        <v>9.1</v>
      </c>
      <c r="H28" s="8">
        <v>8.9142857142857146</v>
      </c>
      <c r="I28" s="8">
        <v>7.742857142857142</v>
      </c>
      <c r="J28" s="8">
        <v>8.257142857142858</v>
      </c>
      <c r="K28" s="8">
        <v>8.0857142857142872</v>
      </c>
      <c r="L28" s="8">
        <v>9.1499999999999986</v>
      </c>
      <c r="M28" s="8">
        <v>8.3358471074380152</v>
      </c>
      <c r="N28" s="8">
        <v>8.6233323494687131</v>
      </c>
      <c r="O28" s="8">
        <v>7.8413813459268003</v>
      </c>
      <c r="P28" s="8">
        <v>8.0043004722550162</v>
      </c>
      <c r="Q28" s="8">
        <v>8.9809917355371915</v>
      </c>
      <c r="R28" s="8">
        <v>8.9990259740259724</v>
      </c>
      <c r="S28" s="8">
        <v>9.394805194805194</v>
      </c>
      <c r="T28" s="8">
        <v>9.5149350649350648</v>
      </c>
      <c r="U28" s="8">
        <v>9.6638798701298683</v>
      </c>
      <c r="V28" s="8">
        <v>8.7517857142857149</v>
      </c>
      <c r="W28" s="8">
        <v>9.1875</v>
      </c>
      <c r="X28" s="8"/>
      <c r="Y28" s="8">
        <f t="shared" si="1"/>
        <v>175.90492768595041</v>
      </c>
      <c r="Z28">
        <f>SUMPRODUCT($D$32:$W$32,D28:W28)</f>
        <v>9.1143218113671338</v>
      </c>
    </row>
    <row r="29" spans="1:26" x14ac:dyDescent="0.25">
      <c r="A29" t="s">
        <v>312</v>
      </c>
      <c r="D29" s="8">
        <v>9.7285714285714295</v>
      </c>
      <c r="E29" s="8">
        <v>7.9142857142857128</v>
      </c>
      <c r="F29" s="8">
        <v>9.328571428571431</v>
      </c>
      <c r="G29" s="8">
        <v>9.6714285714285726</v>
      </c>
      <c r="H29" s="8">
        <v>9.4142857142857146</v>
      </c>
      <c r="I29" s="8">
        <v>9.4</v>
      </c>
      <c r="J29" s="8">
        <v>8.2000000000000011</v>
      </c>
      <c r="K29" s="8">
        <v>5.3142857142857149</v>
      </c>
      <c r="L29" s="8">
        <v>8.4125000000000014</v>
      </c>
      <c r="M29" s="8">
        <v>8.4142857142857128</v>
      </c>
      <c r="N29" s="8">
        <v>9.1142857142857139</v>
      </c>
      <c r="O29" s="8">
        <v>8.6</v>
      </c>
      <c r="P29" s="8">
        <v>8.8000000000000007</v>
      </c>
      <c r="Q29" s="8">
        <v>7.7</v>
      </c>
      <c r="R29" s="8">
        <v>9.1999999999999993</v>
      </c>
      <c r="S29" s="8">
        <v>9.4</v>
      </c>
      <c r="T29" s="8">
        <v>9.8000000000000007</v>
      </c>
      <c r="U29" s="8">
        <v>10</v>
      </c>
      <c r="V29" s="8">
        <v>8.41</v>
      </c>
      <c r="W29" s="8">
        <v>9.01</v>
      </c>
      <c r="X29" s="8"/>
      <c r="Y29" s="8">
        <f t="shared" si="1"/>
        <v>175.83250000000001</v>
      </c>
      <c r="Z29">
        <f>SUMPRODUCT($D$32:$W$32,D29:W29)</f>
        <v>8.6783601152675427</v>
      </c>
    </row>
    <row r="30" spans="1:26" x14ac:dyDescent="0.25">
      <c r="A30" t="s">
        <v>313</v>
      </c>
      <c r="D30" s="8">
        <v>9.3000000000000007</v>
      </c>
      <c r="E30" s="8">
        <v>8.6999999999999993</v>
      </c>
      <c r="F30" s="8">
        <v>8.9</v>
      </c>
      <c r="G30" s="8">
        <v>9.4</v>
      </c>
      <c r="H30" s="8">
        <v>9.3000000000000007</v>
      </c>
      <c r="I30" s="8">
        <v>8.8000000000000007</v>
      </c>
      <c r="J30" s="8">
        <v>9.1</v>
      </c>
      <c r="K30" s="8">
        <v>7.8</v>
      </c>
      <c r="L30" s="8">
        <v>7.7</v>
      </c>
      <c r="M30" s="8">
        <v>8.3000000000000007</v>
      </c>
      <c r="N30" s="8">
        <v>9</v>
      </c>
      <c r="O30" s="8">
        <v>9.3000000000000007</v>
      </c>
      <c r="P30" s="8">
        <v>8.6787693259121816</v>
      </c>
      <c r="Q30" s="8">
        <v>8.8227272727272723</v>
      </c>
      <c r="R30" s="8">
        <v>8.9507854050711195</v>
      </c>
      <c r="S30" s="8">
        <v>9.1683611626468782</v>
      </c>
      <c r="T30" s="8">
        <v>9.373716759431046</v>
      </c>
      <c r="U30" s="8">
        <v>9.2930426716140992</v>
      </c>
      <c r="V30" s="8">
        <v>9.1049659863945571</v>
      </c>
      <c r="W30" s="8">
        <v>8.9476870748299326</v>
      </c>
      <c r="X30" s="8"/>
      <c r="Y30" s="8">
        <f t="shared" si="1"/>
        <v>177.94005565862707</v>
      </c>
      <c r="Z30">
        <f>SUMPRODUCT($D$32:$W$32,D30:W30)</f>
        <v>8.6771722796667525</v>
      </c>
    </row>
    <row r="31" spans="1:26" x14ac:dyDescent="0.25">
      <c r="A31" t="s">
        <v>676</v>
      </c>
      <c r="D31" s="8">
        <v>8.7673469387755105</v>
      </c>
      <c r="E31" s="8">
        <v>8.2790816326530603</v>
      </c>
      <c r="F31" s="8">
        <v>8.0295918367346939</v>
      </c>
      <c r="G31" s="8">
        <v>7.9969387755102028</v>
      </c>
      <c r="H31" s="8">
        <v>8.5489795918367353</v>
      </c>
      <c r="I31" s="8">
        <v>8.2295918367346932</v>
      </c>
      <c r="J31" s="8">
        <v>8.5764285714285702</v>
      </c>
      <c r="K31" s="8">
        <v>8.5278571428571421</v>
      </c>
      <c r="L31" s="8">
        <v>7.6995238095238081</v>
      </c>
      <c r="M31" s="8">
        <v>8.3668388429752074</v>
      </c>
      <c r="N31" s="8">
        <v>8.1952853207398668</v>
      </c>
      <c r="O31" s="8">
        <v>8.2890525383707185</v>
      </c>
      <c r="P31" s="8">
        <v>7.8883333333333345</v>
      </c>
      <c r="Q31" s="8">
        <v>9.0880952380952369</v>
      </c>
      <c r="R31" s="8">
        <v>8.8704545454545443</v>
      </c>
      <c r="S31" s="8">
        <v>9.4412337662337649</v>
      </c>
      <c r="T31" s="8">
        <v>9.3168831168831172</v>
      </c>
      <c r="U31" s="8">
        <v>9.5239260739260736</v>
      </c>
      <c r="V31" s="8">
        <v>8.8736263736263741</v>
      </c>
      <c r="W31" s="8">
        <v>8.8901098901098905</v>
      </c>
      <c r="Y31" s="8">
        <f t="shared" ref="Y31" si="2">SUM(D31:W31)</f>
        <v>171.39917917580254</v>
      </c>
      <c r="Z31">
        <f>SUMPRODUCT($D$32:$W$32,D31:W31)</f>
        <v>8.6036132823327591</v>
      </c>
    </row>
    <row r="32" spans="1:26" x14ac:dyDescent="0.25">
      <c r="A32" s="2" t="s">
        <v>69</v>
      </c>
      <c r="D32" s="3">
        <f>CORREL($B$2:$B$26,D2:D26)</f>
        <v>-2.1871189665519514E-2</v>
      </c>
      <c r="E32" s="3">
        <f t="shared" ref="E32:W32" si="3">CORREL($B$2:$B$26,E2:E26)</f>
        <v>-2.4733888869703551E-2</v>
      </c>
      <c r="F32" s="3">
        <f t="shared" si="3"/>
        <v>0.14011841640936962</v>
      </c>
      <c r="G32" s="3">
        <f t="shared" si="3"/>
        <v>0.10385739756423072</v>
      </c>
      <c r="H32" s="3">
        <f t="shared" si="3"/>
        <v>3.4147286726991494E-2</v>
      </c>
      <c r="I32" s="3">
        <f t="shared" si="3"/>
        <v>-0.11940136091105397</v>
      </c>
      <c r="J32" s="3">
        <f t="shared" si="3"/>
        <v>-0.17586198646122037</v>
      </c>
      <c r="K32" s="3">
        <f t="shared" si="3"/>
        <v>0.1999696070536765</v>
      </c>
      <c r="L32" s="3">
        <f t="shared" si="3"/>
        <v>5.2629450470412793E-2</v>
      </c>
      <c r="M32" s="3">
        <f t="shared" si="3"/>
        <v>-3.0017309009404535E-3</v>
      </c>
      <c r="N32" s="3">
        <f t="shared" si="3"/>
        <v>0.10301132952673252</v>
      </c>
      <c r="O32" s="3">
        <f t="shared" si="3"/>
        <v>1.4301405454911521E-2</v>
      </c>
      <c r="P32" s="3">
        <f t="shared" si="3"/>
        <v>4.2144486064052557E-2</v>
      </c>
      <c r="Q32" s="3">
        <f t="shared" si="3"/>
        <v>-8.2405892793305235E-2</v>
      </c>
      <c r="R32" s="3">
        <f t="shared" si="3"/>
        <v>0.10268033268969916</v>
      </c>
      <c r="S32" s="3">
        <f t="shared" si="3"/>
        <v>0.20257972867058563</v>
      </c>
      <c r="T32" s="3">
        <f t="shared" si="3"/>
        <v>0.14742122301347907</v>
      </c>
      <c r="U32" s="3">
        <f t="shared" si="3"/>
        <v>0.11673008795661162</v>
      </c>
      <c r="V32" s="3">
        <f t="shared" si="3"/>
        <v>7.1509062456206113E-2</v>
      </c>
      <c r="W32" s="3">
        <f t="shared" si="3"/>
        <v>7.5202707341805439E-2</v>
      </c>
      <c r="X32" s="3"/>
    </row>
    <row r="33" spans="1:26" x14ac:dyDescent="0.25">
      <c r="P33" s="8"/>
      <c r="Q33" s="8"/>
      <c r="R33" s="8"/>
      <c r="S33" s="8"/>
      <c r="T33" s="8"/>
      <c r="U33" s="8"/>
      <c r="V33" s="8"/>
      <c r="W33" s="8"/>
    </row>
    <row r="34" spans="1:26" x14ac:dyDescent="0.25">
      <c r="P34" s="8"/>
      <c r="Q34" s="8"/>
      <c r="R34" s="8"/>
      <c r="S34" s="8"/>
      <c r="T34" s="8"/>
      <c r="U34" s="8"/>
      <c r="V34" s="8"/>
      <c r="W34" s="8"/>
    </row>
    <row r="35" spans="1:26" x14ac:dyDescent="0.25">
      <c r="D35" t="s">
        <v>70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  <c r="J35" t="s">
        <v>76</v>
      </c>
      <c r="K35" t="s">
        <v>77</v>
      </c>
      <c r="L35" t="s">
        <v>316</v>
      </c>
      <c r="M35" t="s">
        <v>346</v>
      </c>
      <c r="N35" t="s">
        <v>347</v>
      </c>
      <c r="O35" t="s">
        <v>348</v>
      </c>
      <c r="P35" s="8" t="s">
        <v>456</v>
      </c>
      <c r="Q35" s="8" t="s">
        <v>457</v>
      </c>
      <c r="R35" s="8" t="s">
        <v>458</v>
      </c>
      <c r="S35" s="8" t="s">
        <v>459</v>
      </c>
      <c r="T35" s="8" t="s">
        <v>568</v>
      </c>
      <c r="U35" s="8" t="s">
        <v>569</v>
      </c>
      <c r="V35" s="8" t="s">
        <v>570</v>
      </c>
      <c r="W35" s="8" t="s">
        <v>571</v>
      </c>
      <c r="Y35" t="s">
        <v>78</v>
      </c>
      <c r="Z35" t="s">
        <v>79</v>
      </c>
    </row>
    <row r="36" spans="1:26" x14ac:dyDescent="0.25">
      <c r="A36" t="s">
        <v>43</v>
      </c>
      <c r="D36" s="8">
        <v>30.357142857142858</v>
      </c>
      <c r="E36" s="8">
        <v>29.285714285714285</v>
      </c>
      <c r="F36" s="8">
        <v>28.785714285714285</v>
      </c>
      <c r="G36" s="8">
        <v>27.071428571428573</v>
      </c>
      <c r="H36" s="8">
        <v>28.714285714285715</v>
      </c>
      <c r="I36" s="8">
        <v>28.071428571428573</v>
      </c>
      <c r="J36" s="8">
        <v>24.5</v>
      </c>
      <c r="K36" s="8">
        <v>25.214285714285715</v>
      </c>
      <c r="L36" s="8">
        <v>26.4375</v>
      </c>
      <c r="M36" s="8">
        <v>25.857142857142858</v>
      </c>
      <c r="N36" s="8">
        <v>24.857142857142858</v>
      </c>
      <c r="O36" s="8">
        <v>25.928571428571427</v>
      </c>
      <c r="P36" s="8">
        <v>25.357142857142858</v>
      </c>
      <c r="Q36" s="8">
        <v>27.785714285714285</v>
      </c>
      <c r="R36" s="8">
        <v>24.5</v>
      </c>
      <c r="S36" s="8">
        <v>25</v>
      </c>
      <c r="T36" s="8">
        <v>29.071428571428573</v>
      </c>
      <c r="U36" s="8">
        <v>27.071428571428573</v>
      </c>
      <c r="V36" s="8">
        <v>26.357142857142858</v>
      </c>
      <c r="W36" s="8">
        <v>26.5</v>
      </c>
      <c r="Y36" s="8">
        <f t="shared" ref="Y36:Y64" si="4">SUM(D36:W36)</f>
        <v>536.72321428571422</v>
      </c>
      <c r="Z36">
        <f t="shared" ref="Z36:Z60" si="5">SUMPRODUCT($D$66:$W$66,D36:W36)</f>
        <v>-36.853521344736841</v>
      </c>
    </row>
    <row r="37" spans="1:26" x14ac:dyDescent="0.25">
      <c r="A37" t="s">
        <v>44</v>
      </c>
      <c r="D37" s="8">
        <v>33.428571428571431</v>
      </c>
      <c r="E37" s="8">
        <v>32.428571428571431</v>
      </c>
      <c r="F37" s="8">
        <v>31.928571428571427</v>
      </c>
      <c r="G37" s="8">
        <v>31.114285714285717</v>
      </c>
      <c r="H37" s="8">
        <v>29.357142857142858</v>
      </c>
      <c r="I37" s="8">
        <v>30.285714285714285</v>
      </c>
      <c r="J37" s="8">
        <v>28.928571428571427</v>
      </c>
      <c r="K37" s="8">
        <v>29.285714285714285</v>
      </c>
      <c r="L37" s="8">
        <v>28.888888888888889</v>
      </c>
      <c r="M37" s="8">
        <v>28.571428571428573</v>
      </c>
      <c r="N37" s="8">
        <v>26.142857142857142</v>
      </c>
      <c r="O37" s="8">
        <v>28.428571428571427</v>
      </c>
      <c r="P37" s="8">
        <v>29.642857142857142</v>
      </c>
      <c r="Q37" s="8">
        <v>31.071428571428573</v>
      </c>
      <c r="R37" s="8">
        <v>29.071428571428573</v>
      </c>
      <c r="S37" s="8">
        <v>28.357142857142858</v>
      </c>
      <c r="T37" s="8">
        <v>30.285714285714285</v>
      </c>
      <c r="U37" s="8">
        <v>32.571428571428569</v>
      </c>
      <c r="V37" s="8">
        <v>32.071428571428569</v>
      </c>
      <c r="W37" s="8">
        <v>31.142857142857142</v>
      </c>
      <c r="Y37" s="8">
        <f t="shared" si="4"/>
        <v>603.00317460317456</v>
      </c>
      <c r="Z37">
        <f t="shared" si="5"/>
        <v>-37.526285979136823</v>
      </c>
    </row>
    <row r="38" spans="1:26" x14ac:dyDescent="0.25">
      <c r="A38" t="s">
        <v>45</v>
      </c>
      <c r="D38" s="8">
        <v>35.142857142857146</v>
      </c>
      <c r="E38" s="8">
        <v>33.5</v>
      </c>
      <c r="F38" s="8">
        <v>34.642857142857146</v>
      </c>
      <c r="G38" s="8">
        <v>34.428571428571431</v>
      </c>
      <c r="H38" s="8">
        <v>31.857142857142858</v>
      </c>
      <c r="I38" s="8">
        <v>31</v>
      </c>
      <c r="J38" s="8">
        <v>29.714285714285715</v>
      </c>
      <c r="K38" s="8">
        <v>28.571428571428573</v>
      </c>
      <c r="L38" s="8">
        <v>25.9375</v>
      </c>
      <c r="M38" s="8">
        <v>30.071428571428573</v>
      </c>
      <c r="N38" s="8">
        <v>31.142857142857142</v>
      </c>
      <c r="O38" s="8">
        <v>31.5</v>
      </c>
      <c r="P38" s="8">
        <v>31.571428571428573</v>
      </c>
      <c r="Q38" s="8">
        <v>30.571428571428573</v>
      </c>
      <c r="R38" s="8">
        <v>31.142857142857142</v>
      </c>
      <c r="S38" s="8">
        <v>29.571428571428573</v>
      </c>
      <c r="T38" s="8">
        <v>28.285714285714285</v>
      </c>
      <c r="U38" s="8">
        <v>28.571428571428573</v>
      </c>
      <c r="V38" s="8">
        <v>31.071428571428573</v>
      </c>
      <c r="W38" s="8">
        <v>30.642857142857142</v>
      </c>
      <c r="Y38" s="8">
        <f t="shared" si="4"/>
        <v>618.9375</v>
      </c>
      <c r="Z38">
        <f t="shared" si="5"/>
        <v>-41.016095322127192</v>
      </c>
    </row>
    <row r="39" spans="1:26" x14ac:dyDescent="0.25">
      <c r="A39" t="s">
        <v>46</v>
      </c>
      <c r="D39" s="8">
        <v>31.357142857142858</v>
      </c>
      <c r="E39" s="8">
        <v>32.857142857142854</v>
      </c>
      <c r="F39" s="8">
        <v>32.857142857142854</v>
      </c>
      <c r="G39" s="8">
        <v>30.571428571428573</v>
      </c>
      <c r="H39" s="8">
        <v>32.071428571428569</v>
      </c>
      <c r="I39" s="8">
        <v>31.571428571428573</v>
      </c>
      <c r="J39" s="8">
        <v>29.857142857142858</v>
      </c>
      <c r="K39" s="8">
        <v>29.357142857142858</v>
      </c>
      <c r="L39" s="8">
        <v>28</v>
      </c>
      <c r="M39" s="8">
        <v>24.5</v>
      </c>
      <c r="N39" s="8">
        <v>26.714285714285715</v>
      </c>
      <c r="O39" s="8">
        <v>28.285714285714285</v>
      </c>
      <c r="P39" s="8">
        <v>32.928571428571431</v>
      </c>
      <c r="Q39" s="8">
        <v>28.785714285714285</v>
      </c>
      <c r="R39" s="8">
        <v>31.071428571428573</v>
      </c>
      <c r="S39" s="8">
        <v>28.285714285714285</v>
      </c>
      <c r="T39" s="8">
        <v>31.357142857142858</v>
      </c>
      <c r="U39" s="8">
        <v>29.5</v>
      </c>
      <c r="V39" s="8">
        <v>30.928571428571427</v>
      </c>
      <c r="W39" s="8">
        <v>33.214285714285715</v>
      </c>
      <c r="Y39" s="8">
        <f t="shared" si="4"/>
        <v>604.07142857142844</v>
      </c>
      <c r="Z39">
        <f t="shared" si="5"/>
        <v>-36.901189185492917</v>
      </c>
    </row>
    <row r="40" spans="1:26" x14ac:dyDescent="0.25">
      <c r="A40" t="s">
        <v>47</v>
      </c>
      <c r="D40" s="8">
        <v>34.642857142857146</v>
      </c>
      <c r="E40" s="8">
        <v>32.571428571428569</v>
      </c>
      <c r="F40" s="8">
        <v>32.785714285714285</v>
      </c>
      <c r="G40" s="8">
        <v>32.5</v>
      </c>
      <c r="H40" s="8">
        <v>32.142857142857146</v>
      </c>
      <c r="I40" s="8">
        <v>32.214285714285715</v>
      </c>
      <c r="J40" s="8">
        <v>31.571428571428573</v>
      </c>
      <c r="K40" s="8">
        <v>27.5</v>
      </c>
      <c r="L40" s="8">
        <v>25.5</v>
      </c>
      <c r="M40" s="8">
        <v>27.428571428571427</v>
      </c>
      <c r="N40" s="8">
        <v>27.285714285714285</v>
      </c>
      <c r="O40" s="8">
        <v>29.714285714285715</v>
      </c>
      <c r="P40" s="8">
        <v>32.142857142857146</v>
      </c>
      <c r="Q40" s="8">
        <v>27.142857142857142</v>
      </c>
      <c r="R40" s="8">
        <v>27</v>
      </c>
      <c r="S40" s="8">
        <v>27.857142857142858</v>
      </c>
      <c r="T40" s="8">
        <v>27.714285714285715</v>
      </c>
      <c r="U40" s="8">
        <v>31.642857142857142</v>
      </c>
      <c r="V40" s="8">
        <v>29.785714285714285</v>
      </c>
      <c r="W40" s="8">
        <v>32.928571428571431</v>
      </c>
      <c r="Y40" s="8">
        <f t="shared" si="4"/>
        <v>602.07142857142867</v>
      </c>
      <c r="Z40">
        <f t="shared" si="5"/>
        <v>-37.20773288560779</v>
      </c>
    </row>
    <row r="41" spans="1:26" x14ac:dyDescent="0.25">
      <c r="A41" t="s">
        <v>48</v>
      </c>
      <c r="D41" s="8">
        <v>34.857142857142854</v>
      </c>
      <c r="E41" s="8">
        <v>34.5</v>
      </c>
      <c r="F41" s="8">
        <v>34.571428571428569</v>
      </c>
      <c r="G41" s="8">
        <v>31.785714285714285</v>
      </c>
      <c r="H41" s="8">
        <v>33.428571428571431</v>
      </c>
      <c r="I41" s="8">
        <v>30.571428571428573</v>
      </c>
      <c r="J41" s="8">
        <v>31.142857142857142</v>
      </c>
      <c r="K41" s="8">
        <v>30.428571428571427</v>
      </c>
      <c r="L41" s="8">
        <v>30.25</v>
      </c>
      <c r="M41" s="8">
        <v>29.785714285714285</v>
      </c>
      <c r="N41" s="8">
        <v>29.5</v>
      </c>
      <c r="O41" s="8">
        <v>29.5</v>
      </c>
      <c r="P41" s="8">
        <v>30.714285714285715</v>
      </c>
      <c r="Q41" s="8">
        <v>32.285714285714285</v>
      </c>
      <c r="R41" s="8">
        <v>30.714285714285715</v>
      </c>
      <c r="S41" s="8">
        <v>30.214285714285715</v>
      </c>
      <c r="T41" s="8">
        <v>30.571428571428573</v>
      </c>
      <c r="U41" s="8">
        <v>30.428571428571427</v>
      </c>
      <c r="V41" s="8">
        <v>30.928571428571427</v>
      </c>
      <c r="W41" s="8">
        <v>31.285714285714285</v>
      </c>
      <c r="Y41" s="8">
        <f t="shared" si="4"/>
        <v>627.46428571428589</v>
      </c>
      <c r="Z41">
        <f t="shared" si="5"/>
        <v>-42.39022149123138</v>
      </c>
    </row>
    <row r="42" spans="1:26" x14ac:dyDescent="0.25">
      <c r="A42" t="s">
        <v>49</v>
      </c>
      <c r="D42" s="8">
        <v>32.357142857142854</v>
      </c>
      <c r="E42" s="8">
        <v>31.642857142857142</v>
      </c>
      <c r="F42" s="8">
        <v>30.928571428571427</v>
      </c>
      <c r="G42" s="8">
        <v>31.642857142857142</v>
      </c>
      <c r="H42" s="8">
        <v>31.571428571428573</v>
      </c>
      <c r="I42" s="8">
        <v>30.428571428571427</v>
      </c>
      <c r="J42" s="8">
        <v>29.785714285714285</v>
      </c>
      <c r="K42" s="8">
        <v>28.428571428571427</v>
      </c>
      <c r="L42" s="8">
        <v>28.75</v>
      </c>
      <c r="M42" s="8">
        <v>30.428571428571427</v>
      </c>
      <c r="N42" s="8">
        <v>30.142857142857142</v>
      </c>
      <c r="O42" s="8">
        <v>27.142857142857142</v>
      </c>
      <c r="P42" s="8">
        <v>31.014285714285712</v>
      </c>
      <c r="Q42" s="8">
        <v>30.285714285714285</v>
      </c>
      <c r="R42" s="8">
        <v>29.571428571428573</v>
      </c>
      <c r="S42" s="8">
        <v>29.714285714285715</v>
      </c>
      <c r="T42" s="8">
        <v>29</v>
      </c>
      <c r="U42" s="8">
        <v>32.357142857142854</v>
      </c>
      <c r="V42" s="8">
        <v>33.928571428571431</v>
      </c>
      <c r="W42" s="8">
        <v>35.071428571428569</v>
      </c>
      <c r="Y42" s="8">
        <f t="shared" si="4"/>
        <v>614.19285714285718</v>
      </c>
      <c r="Z42">
        <f t="shared" si="5"/>
        <v>-36.838951824203008</v>
      </c>
    </row>
    <row r="43" spans="1:26" x14ac:dyDescent="0.25">
      <c r="A43" t="s">
        <v>50</v>
      </c>
      <c r="D43" s="8">
        <v>3.7142857142857144</v>
      </c>
      <c r="E43" s="8">
        <v>32.714285714285715</v>
      </c>
      <c r="F43" s="8">
        <v>31.928571428571427</v>
      </c>
      <c r="G43" s="8">
        <v>29.557142857142857</v>
      </c>
      <c r="H43" s="8">
        <v>28.842857142857145</v>
      </c>
      <c r="I43" s="8">
        <v>30.071428571428573</v>
      </c>
      <c r="J43" s="8">
        <v>28.428571428571427</v>
      </c>
      <c r="K43" s="8">
        <v>27.785714285714285</v>
      </c>
      <c r="L43" s="8">
        <v>26.9375</v>
      </c>
      <c r="M43" s="8">
        <v>27.428571428571427</v>
      </c>
      <c r="N43" s="8">
        <v>25.071428571428573</v>
      </c>
      <c r="O43" s="8">
        <v>25.285714285714285</v>
      </c>
      <c r="P43" s="8">
        <v>27.5</v>
      </c>
      <c r="Q43" s="8">
        <v>27.214285714285715</v>
      </c>
      <c r="R43" s="8">
        <v>30.5</v>
      </c>
      <c r="S43" s="8">
        <v>30.642857142857142</v>
      </c>
      <c r="T43" s="8">
        <v>30.571428571428573</v>
      </c>
      <c r="U43" s="8">
        <v>28.900000000000002</v>
      </c>
      <c r="V43" s="8">
        <v>33.928571428571431</v>
      </c>
      <c r="W43" s="8">
        <v>32.071428571428569</v>
      </c>
      <c r="Y43" s="8">
        <f t="shared" si="4"/>
        <v>559.09464285714273</v>
      </c>
      <c r="Z43">
        <f t="shared" si="5"/>
        <v>-27.965682372310859</v>
      </c>
    </row>
    <row r="44" spans="1:26" x14ac:dyDescent="0.25">
      <c r="A44" t="s">
        <v>51</v>
      </c>
      <c r="D44" s="8">
        <v>34.042857142857144</v>
      </c>
      <c r="E44" s="8">
        <v>33.071428571428569</v>
      </c>
      <c r="F44" s="8">
        <v>33.428571428571431</v>
      </c>
      <c r="G44" s="8">
        <v>32.857142857142854</v>
      </c>
      <c r="H44" s="8">
        <v>32.142857142857146</v>
      </c>
      <c r="I44" s="8">
        <v>30.571428571428573</v>
      </c>
      <c r="J44" s="8">
        <v>31.285714285714285</v>
      </c>
      <c r="K44" s="8">
        <v>30.828571428571429</v>
      </c>
      <c r="L44" s="8">
        <v>29.137499999999999</v>
      </c>
      <c r="M44" s="8">
        <v>26.571428571428573</v>
      </c>
      <c r="N44" s="8">
        <v>27.642857142857142</v>
      </c>
      <c r="O44" s="8">
        <v>25.785714285714285</v>
      </c>
      <c r="P44" s="8">
        <v>29.714285714285715</v>
      </c>
      <c r="Q44" s="8">
        <v>28.785714285714285</v>
      </c>
      <c r="R44" s="8">
        <v>30.075385256143274</v>
      </c>
      <c r="S44" s="8">
        <v>31.535110370678886</v>
      </c>
      <c r="T44" s="8">
        <v>31.354310703873388</v>
      </c>
      <c r="U44" s="8">
        <v>32.735781965847558</v>
      </c>
      <c r="V44" s="8">
        <v>28.857142857142858</v>
      </c>
      <c r="W44" s="8">
        <v>36</v>
      </c>
      <c r="Y44" s="8">
        <f t="shared" si="4"/>
        <v>616.42380258225739</v>
      </c>
      <c r="Z44">
        <f t="shared" si="5"/>
        <v>-39.42751566136549</v>
      </c>
    </row>
    <row r="45" spans="1:26" x14ac:dyDescent="0.25">
      <c r="A45" t="s">
        <v>52</v>
      </c>
      <c r="D45" s="8">
        <v>31.285714285714285</v>
      </c>
      <c r="E45" s="8">
        <v>32</v>
      </c>
      <c r="F45" s="8">
        <v>31.214285714285715</v>
      </c>
      <c r="G45" s="8">
        <v>30.785714285714285</v>
      </c>
      <c r="H45" s="8">
        <v>29.857142857142858</v>
      </c>
      <c r="I45" s="8">
        <v>30.071428571428573</v>
      </c>
      <c r="J45" s="8">
        <v>30.071428571428573</v>
      </c>
      <c r="K45" s="8">
        <v>31</v>
      </c>
      <c r="L45" s="8">
        <v>30.055555555555557</v>
      </c>
      <c r="M45" s="8">
        <v>29.857142857142858</v>
      </c>
      <c r="N45" s="8">
        <v>29.571428571428573</v>
      </c>
      <c r="O45" s="8">
        <v>27.642857142857142</v>
      </c>
      <c r="P45" s="8">
        <v>27.5</v>
      </c>
      <c r="Q45" s="8">
        <v>29.857142857142858</v>
      </c>
      <c r="R45" s="8">
        <v>30.071428571428573</v>
      </c>
      <c r="S45" s="8">
        <v>31.071428571428573</v>
      </c>
      <c r="T45" s="8">
        <v>31</v>
      </c>
      <c r="U45" s="8">
        <v>32</v>
      </c>
      <c r="V45" s="8">
        <v>32.714285714285715</v>
      </c>
      <c r="W45" s="8">
        <v>33.357142857142854</v>
      </c>
      <c r="Y45" s="8">
        <f t="shared" si="4"/>
        <v>610.98412698412687</v>
      </c>
      <c r="Z45">
        <f t="shared" si="5"/>
        <v>-38.489836431781058</v>
      </c>
    </row>
    <row r="46" spans="1:26" x14ac:dyDescent="0.25">
      <c r="A46" t="s">
        <v>53</v>
      </c>
      <c r="D46" s="8">
        <v>34.5</v>
      </c>
      <c r="E46" s="8">
        <v>33.785714285714285</v>
      </c>
      <c r="F46" s="8">
        <v>33.071428571428569</v>
      </c>
      <c r="G46" s="8">
        <v>31.428571428571427</v>
      </c>
      <c r="H46" s="8">
        <v>30.357142857142858</v>
      </c>
      <c r="I46" s="8">
        <v>30.5</v>
      </c>
      <c r="J46" s="8">
        <v>29.071428571428573</v>
      </c>
      <c r="K46" s="8">
        <v>28.142857142857142</v>
      </c>
      <c r="L46" s="8">
        <v>29.1875</v>
      </c>
      <c r="M46" s="8">
        <v>29.285714285714285</v>
      </c>
      <c r="N46" s="8">
        <v>30.428571428571427</v>
      </c>
      <c r="O46" s="8">
        <v>27.5</v>
      </c>
      <c r="P46" s="8">
        <v>28</v>
      </c>
      <c r="Q46" s="8">
        <v>30.857142857142858</v>
      </c>
      <c r="R46" s="8">
        <v>31.5</v>
      </c>
      <c r="S46" s="8">
        <v>30.785714285714285</v>
      </c>
      <c r="T46" s="8">
        <v>28.928571428571427</v>
      </c>
      <c r="U46" s="8">
        <v>31.814285714285713</v>
      </c>
      <c r="V46" s="8">
        <v>31.285714285714285</v>
      </c>
      <c r="W46" s="8">
        <v>32.214285714285715</v>
      </c>
      <c r="Y46" s="8">
        <f t="shared" si="4"/>
        <v>612.6446428571428</v>
      </c>
      <c r="Z46">
        <f t="shared" si="5"/>
        <v>-39.841951717672202</v>
      </c>
    </row>
    <row r="47" spans="1:26" x14ac:dyDescent="0.25">
      <c r="A47" t="s">
        <v>54</v>
      </c>
      <c r="D47" s="8">
        <v>31.928571428571427</v>
      </c>
      <c r="E47" s="8">
        <v>34.671428571428571</v>
      </c>
      <c r="F47" s="8">
        <v>34.285714285714285</v>
      </c>
      <c r="G47" s="8">
        <v>34.5</v>
      </c>
      <c r="H47" s="8">
        <v>32.928571428571431</v>
      </c>
      <c r="I47" s="8">
        <v>31.142857142857142</v>
      </c>
      <c r="J47" s="8">
        <v>31.142857142857142</v>
      </c>
      <c r="K47" s="8">
        <v>31.571428571428573</v>
      </c>
      <c r="L47" s="8">
        <v>31.25</v>
      </c>
      <c r="M47" s="8">
        <v>26.785714285714285</v>
      </c>
      <c r="N47" s="8">
        <v>28.642857142857142</v>
      </c>
      <c r="O47" s="8">
        <v>29.642857142857142</v>
      </c>
      <c r="P47" s="8">
        <v>31.928571428571427</v>
      </c>
      <c r="Q47" s="8">
        <v>32.214285714285715</v>
      </c>
      <c r="R47" s="8">
        <v>28.642857142857142</v>
      </c>
      <c r="S47" s="8">
        <v>31.571428571428573</v>
      </c>
      <c r="T47" s="8">
        <v>30</v>
      </c>
      <c r="U47" s="8">
        <v>33.214285714285715</v>
      </c>
      <c r="V47" s="8">
        <v>34.357142857142854</v>
      </c>
      <c r="W47" s="8">
        <v>37.214285714285715</v>
      </c>
      <c r="Y47" s="8">
        <f t="shared" si="4"/>
        <v>637.63571428571424</v>
      </c>
      <c r="Z47">
        <f t="shared" si="5"/>
        <v>-38.539523539943403</v>
      </c>
    </row>
    <row r="48" spans="1:26" x14ac:dyDescent="0.25">
      <c r="A48" t="s">
        <v>55</v>
      </c>
      <c r="D48" s="8">
        <v>33.6</v>
      </c>
      <c r="E48" s="8">
        <v>33.142857142857146</v>
      </c>
      <c r="F48" s="8">
        <v>34.142857142857146</v>
      </c>
      <c r="G48" s="8">
        <v>32.142857142857146</v>
      </c>
      <c r="H48" s="8">
        <v>32.357142857142854</v>
      </c>
      <c r="I48" s="8">
        <v>30.171428571428574</v>
      </c>
      <c r="J48" s="8">
        <v>29.057142857142857</v>
      </c>
      <c r="K48" s="8">
        <v>29.485714285714288</v>
      </c>
      <c r="L48" s="8">
        <v>30.8</v>
      </c>
      <c r="M48" s="8">
        <v>29.285714285714285</v>
      </c>
      <c r="N48" s="8">
        <v>29.142857142857142</v>
      </c>
      <c r="O48" s="8">
        <v>29.828571428571429</v>
      </c>
      <c r="P48" s="8">
        <v>27.542857142857144</v>
      </c>
      <c r="Q48" s="8">
        <v>28.62857142857143</v>
      </c>
      <c r="R48" s="8">
        <v>30.484839650145773</v>
      </c>
      <c r="S48" s="8">
        <v>31.888629737609332</v>
      </c>
      <c r="T48" s="8">
        <v>32.3801749271137</v>
      </c>
      <c r="U48" s="8">
        <v>33.550473760932945</v>
      </c>
      <c r="V48" s="8">
        <v>25.028571428571432</v>
      </c>
      <c r="W48" s="8">
        <v>29.599999999999998</v>
      </c>
      <c r="Y48" s="8">
        <f t="shared" si="4"/>
        <v>612.26126093294477</v>
      </c>
      <c r="Z48">
        <f t="shared" si="5"/>
        <v>-43.806026615697192</v>
      </c>
    </row>
    <row r="49" spans="1:26" x14ac:dyDescent="0.25">
      <c r="A49" t="s">
        <v>56</v>
      </c>
      <c r="D49" s="8">
        <v>36.142857142857146</v>
      </c>
      <c r="E49" s="8">
        <v>35.4</v>
      </c>
      <c r="F49" s="8">
        <v>34.657142857142858</v>
      </c>
      <c r="G49" s="8">
        <v>32.200000000000003</v>
      </c>
      <c r="H49" s="8">
        <v>32.914285714285718</v>
      </c>
      <c r="I49" s="8">
        <v>32</v>
      </c>
      <c r="J49" s="8">
        <v>32.314285714285717</v>
      </c>
      <c r="K49" s="8">
        <v>31.800000000000004</v>
      </c>
      <c r="L49" s="8">
        <v>31.733333333333334</v>
      </c>
      <c r="M49" s="8">
        <v>28.314285714285717</v>
      </c>
      <c r="N49" s="8">
        <v>30.171428571428571</v>
      </c>
      <c r="O49" s="8">
        <v>31.228571428571431</v>
      </c>
      <c r="P49" s="8">
        <v>31.485714285714288</v>
      </c>
      <c r="Q49" s="8">
        <v>31.657142857142855</v>
      </c>
      <c r="R49" s="8">
        <v>30.885714285714283</v>
      </c>
      <c r="S49" s="8">
        <v>31.657142857142862</v>
      </c>
      <c r="T49" s="8">
        <v>32.6</v>
      </c>
      <c r="U49" s="8">
        <v>32.857142857142854</v>
      </c>
      <c r="V49" s="8">
        <v>33.057142857142857</v>
      </c>
      <c r="W49" s="8">
        <v>30.62857142857143</v>
      </c>
      <c r="Y49" s="8">
        <f t="shared" si="4"/>
        <v>643.70476190476188</v>
      </c>
      <c r="Z49">
        <f t="shared" si="5"/>
        <v>-42.634696695752353</v>
      </c>
    </row>
    <row r="50" spans="1:26" x14ac:dyDescent="0.25">
      <c r="A50" t="s">
        <v>57</v>
      </c>
      <c r="D50" s="8">
        <v>35.028571428571425</v>
      </c>
      <c r="E50" s="8">
        <v>33.942857142857143</v>
      </c>
      <c r="F50" s="8">
        <v>32.857142857142854</v>
      </c>
      <c r="G50" s="8">
        <v>34.457142857142856</v>
      </c>
      <c r="H50" s="8">
        <v>31.714285714285715</v>
      </c>
      <c r="I50" s="8">
        <v>31.714285714285715</v>
      </c>
      <c r="J50" s="8">
        <v>31.857142857142858</v>
      </c>
      <c r="K50" s="8">
        <v>31.714285714285715</v>
      </c>
      <c r="L50" s="8">
        <v>30.574999999999999</v>
      </c>
      <c r="M50" s="8">
        <v>28.828571428571426</v>
      </c>
      <c r="N50" s="8">
        <v>30.228571428571428</v>
      </c>
      <c r="O50" s="8">
        <v>27.685714285714283</v>
      </c>
      <c r="P50" s="8">
        <v>28.37142857142857</v>
      </c>
      <c r="Q50" s="8">
        <v>29.085714285714285</v>
      </c>
      <c r="R50" s="8">
        <v>28.542857142857144</v>
      </c>
      <c r="S50" s="8">
        <v>32.6</v>
      </c>
      <c r="T50" s="8">
        <v>33.485714285714288</v>
      </c>
      <c r="U50" s="8">
        <v>32.51428571428572</v>
      </c>
      <c r="V50" s="8">
        <v>35.885714285714286</v>
      </c>
      <c r="W50" s="8">
        <v>33.714285714285715</v>
      </c>
      <c r="Y50" s="8">
        <f t="shared" si="4"/>
        <v>634.80357142857133</v>
      </c>
      <c r="Z50">
        <f t="shared" si="5"/>
        <v>-40.277636600005494</v>
      </c>
    </row>
    <row r="51" spans="1:26" x14ac:dyDescent="0.25">
      <c r="A51" t="s">
        <v>58</v>
      </c>
      <c r="D51" s="8">
        <v>34.6</v>
      </c>
      <c r="E51" s="8">
        <v>34.571428571428569</v>
      </c>
      <c r="F51" s="8">
        <v>33.48571428571428</v>
      </c>
      <c r="G51" s="8">
        <v>32.914285714285711</v>
      </c>
      <c r="H51" s="8">
        <v>32.74285714285714</v>
      </c>
      <c r="I51" s="8">
        <v>31.400000000000002</v>
      </c>
      <c r="J51" s="8">
        <v>32.4</v>
      </c>
      <c r="K51" s="8">
        <v>31.342857142857138</v>
      </c>
      <c r="L51" s="8">
        <v>29.824999999999999</v>
      </c>
      <c r="M51" s="8">
        <v>27.914285714285715</v>
      </c>
      <c r="N51" s="8">
        <v>31.085714285714285</v>
      </c>
      <c r="O51" s="8">
        <v>30.457142857142856</v>
      </c>
      <c r="P51" s="8">
        <v>32.542857142857144</v>
      </c>
      <c r="Q51" s="8">
        <v>29.657142857142862</v>
      </c>
      <c r="R51" s="8">
        <v>30.400000000000002</v>
      </c>
      <c r="S51" s="8">
        <v>31.171428571428571</v>
      </c>
      <c r="T51" s="8">
        <v>31.085714285714285</v>
      </c>
      <c r="U51" s="8">
        <v>33.200000000000003</v>
      </c>
      <c r="V51" s="8">
        <v>33.342857142857142</v>
      </c>
      <c r="W51" s="8">
        <v>33.857142857142854</v>
      </c>
      <c r="Y51" s="8">
        <f t="shared" si="4"/>
        <v>637.99642857142862</v>
      </c>
      <c r="Z51">
        <f t="shared" si="5"/>
        <v>-39.717123362265454</v>
      </c>
    </row>
    <row r="52" spans="1:26" x14ac:dyDescent="0.25">
      <c r="A52" t="s">
        <v>59</v>
      </c>
      <c r="D52" s="8">
        <v>31.322448979591837</v>
      </c>
      <c r="E52" s="8">
        <v>34.563265306122453</v>
      </c>
      <c r="F52" s="8">
        <v>31.255102040816325</v>
      </c>
      <c r="G52" s="8">
        <v>30.985714285714288</v>
      </c>
      <c r="H52" s="8">
        <v>30.999999999999996</v>
      </c>
      <c r="I52" s="8">
        <v>30.453061224489797</v>
      </c>
      <c r="J52" s="8">
        <v>30.602040816326536</v>
      </c>
      <c r="K52" s="8">
        <v>30.400612244897957</v>
      </c>
      <c r="L52" s="8">
        <v>29.667346938775513</v>
      </c>
      <c r="M52" s="8">
        <v>29.269387755102048</v>
      </c>
      <c r="N52" s="8">
        <v>29.344897959183672</v>
      </c>
      <c r="O52" s="8">
        <v>29.328571428571426</v>
      </c>
      <c r="P52" s="8">
        <v>30.038775510204083</v>
      </c>
      <c r="Q52" s="8">
        <v>29.359183673469385</v>
      </c>
      <c r="R52" s="8">
        <v>30.465306122448983</v>
      </c>
      <c r="S52" s="8">
        <v>31.420408163265304</v>
      </c>
      <c r="T52" s="8">
        <v>31.646938775510204</v>
      </c>
      <c r="U52" s="8">
        <v>32.996173469387756</v>
      </c>
      <c r="V52" s="8">
        <v>35.231632653061226</v>
      </c>
      <c r="W52" s="8">
        <v>35.164285714285718</v>
      </c>
      <c r="Y52" s="8">
        <f t="shared" si="4"/>
        <v>624.5151530612244</v>
      </c>
      <c r="Z52">
        <f t="shared" si="5"/>
        <v>-36.236303976805324</v>
      </c>
    </row>
    <row r="53" spans="1:26" x14ac:dyDescent="0.25">
      <c r="A53" t="s">
        <v>60</v>
      </c>
      <c r="D53" s="8">
        <v>31.322448979591837</v>
      </c>
      <c r="E53" s="8">
        <v>34.563265306122453</v>
      </c>
      <c r="F53" s="8">
        <v>31.255102040816325</v>
      </c>
      <c r="G53" s="8">
        <v>30.985714285714288</v>
      </c>
      <c r="H53" s="8">
        <v>30.999999999999996</v>
      </c>
      <c r="I53" s="8">
        <v>30.453061224489797</v>
      </c>
      <c r="J53" s="8">
        <v>30.602040816326536</v>
      </c>
      <c r="K53" s="8">
        <v>30.400612244897957</v>
      </c>
      <c r="L53" s="8">
        <v>29.667346938775513</v>
      </c>
      <c r="M53" s="8">
        <v>28.457142857142856</v>
      </c>
      <c r="N53" s="8">
        <v>28.657142857142855</v>
      </c>
      <c r="O53" s="8">
        <v>27.971428571428568</v>
      </c>
      <c r="P53" s="8">
        <v>30.085714285714285</v>
      </c>
      <c r="Q53" s="8">
        <v>27.828571428571429</v>
      </c>
      <c r="R53" s="8">
        <v>29.11428571428571</v>
      </c>
      <c r="S53" s="8">
        <v>30.085714285714285</v>
      </c>
      <c r="T53" s="8">
        <v>29.057142857142853</v>
      </c>
      <c r="U53" s="8">
        <v>33.542857142857137</v>
      </c>
      <c r="V53" s="8">
        <v>36.021428571428572</v>
      </c>
      <c r="W53" s="8">
        <v>35.878571428571433</v>
      </c>
      <c r="Y53" s="8">
        <f t="shared" si="4"/>
        <v>616.94959183673473</v>
      </c>
      <c r="Z53">
        <f t="shared" si="5"/>
        <v>-34.681182023513081</v>
      </c>
    </row>
    <row r="54" spans="1:26" x14ac:dyDescent="0.25">
      <c r="A54" t="s">
        <v>61</v>
      </c>
      <c r="D54" s="8">
        <v>33.114285714285714</v>
      </c>
      <c r="E54" s="8">
        <v>33.542857142857144</v>
      </c>
      <c r="F54" s="8">
        <v>34.142857142857146</v>
      </c>
      <c r="G54" s="8">
        <v>31.571428571428573</v>
      </c>
      <c r="H54" s="8">
        <v>31.342857142857138</v>
      </c>
      <c r="I54" s="8">
        <v>28.914285714285715</v>
      </c>
      <c r="J54" s="8">
        <v>29.028571428571432</v>
      </c>
      <c r="K54" s="8">
        <v>29.585714285714285</v>
      </c>
      <c r="L54" s="8">
        <v>26.025000000000002</v>
      </c>
      <c r="M54" s="8">
        <v>29</v>
      </c>
      <c r="N54" s="8">
        <v>29.671428571428571</v>
      </c>
      <c r="O54" s="8">
        <v>29.214285714285715</v>
      </c>
      <c r="P54" s="8">
        <v>30.214285714285715</v>
      </c>
      <c r="Q54" s="8">
        <v>27.971428571428572</v>
      </c>
      <c r="R54" s="8">
        <v>32.200000000000003</v>
      </c>
      <c r="S54" s="8">
        <v>33.785714285714285</v>
      </c>
      <c r="T54" s="8">
        <v>34.5</v>
      </c>
      <c r="U54" s="8">
        <v>35.028571428571425</v>
      </c>
      <c r="V54" s="8">
        <v>32.614285714285714</v>
      </c>
      <c r="W54" s="8">
        <v>33.114285714285714</v>
      </c>
      <c r="Y54" s="8">
        <f t="shared" si="4"/>
        <v>624.58214285714303</v>
      </c>
      <c r="Z54">
        <f t="shared" si="5"/>
        <v>-37.254004197102965</v>
      </c>
    </row>
    <row r="55" spans="1:26" x14ac:dyDescent="0.25">
      <c r="A55" t="s">
        <v>62</v>
      </c>
      <c r="D55" s="8">
        <v>29.5</v>
      </c>
      <c r="E55" s="8">
        <v>57.285714285714285</v>
      </c>
      <c r="F55" s="8">
        <v>30.571428571428573</v>
      </c>
      <c r="G55" s="8">
        <v>30</v>
      </c>
      <c r="H55" s="8">
        <v>29.614285714285717</v>
      </c>
      <c r="I55" s="8">
        <v>29.314285714285713</v>
      </c>
      <c r="J55" s="8">
        <v>30.214285714285715</v>
      </c>
      <c r="K55" s="8">
        <v>29.928571428571427</v>
      </c>
      <c r="L55" s="8">
        <v>28.542857142857144</v>
      </c>
      <c r="M55" s="8">
        <v>29.400000000000002</v>
      </c>
      <c r="N55" s="8">
        <v>30.428571428571427</v>
      </c>
      <c r="O55" s="8">
        <v>30.642857142857142</v>
      </c>
      <c r="P55" s="8">
        <v>30.714285714285715</v>
      </c>
      <c r="Q55" s="8">
        <v>30.571428571428573</v>
      </c>
      <c r="R55" s="8">
        <v>31.785714285714285</v>
      </c>
      <c r="S55" s="8">
        <v>32.5</v>
      </c>
      <c r="T55" s="8">
        <v>34.285714285714285</v>
      </c>
      <c r="U55" s="8">
        <v>34.714285714285715</v>
      </c>
      <c r="V55" s="8">
        <v>37.142857142857146</v>
      </c>
      <c r="W55" s="8">
        <v>37.18571428571429</v>
      </c>
      <c r="Y55" s="8">
        <f t="shared" si="4"/>
        <v>654.34285714285716</v>
      </c>
      <c r="Z55">
        <f t="shared" si="5"/>
        <v>-30.978481583705978</v>
      </c>
    </row>
    <row r="56" spans="1:26" x14ac:dyDescent="0.25">
      <c r="A56" t="s">
        <v>63</v>
      </c>
      <c r="D56" s="8">
        <v>29.928571428571427</v>
      </c>
      <c r="E56" s="8">
        <v>29.285714285714285</v>
      </c>
      <c r="F56" s="8">
        <v>28.785714285714285</v>
      </c>
      <c r="G56" s="8">
        <v>29</v>
      </c>
      <c r="H56" s="8">
        <v>28.857142857142858</v>
      </c>
      <c r="I56" s="8">
        <v>28.928571428571427</v>
      </c>
      <c r="J56" s="8">
        <v>29.214285714285715</v>
      </c>
      <c r="K56" s="8">
        <v>29.428571428571427</v>
      </c>
      <c r="L56" s="8">
        <v>29.625</v>
      </c>
      <c r="M56" s="8">
        <v>28.5</v>
      </c>
      <c r="N56" s="8">
        <v>27.400000000000002</v>
      </c>
      <c r="O56" s="8">
        <v>27.857142857142858</v>
      </c>
      <c r="P56" s="8">
        <v>27.428571428571427</v>
      </c>
      <c r="Q56" s="8">
        <v>26.928571428571427</v>
      </c>
      <c r="R56" s="8">
        <v>28.142857142857142</v>
      </c>
      <c r="S56" s="8">
        <v>30.914285714285715</v>
      </c>
      <c r="T56" s="8">
        <v>31.214285714285715</v>
      </c>
      <c r="U56" s="8">
        <v>32.1875</v>
      </c>
      <c r="V56" s="8">
        <v>33.857142857142854</v>
      </c>
      <c r="W56" s="8">
        <v>34.785714285714285</v>
      </c>
      <c r="Y56" s="8">
        <f t="shared" si="4"/>
        <v>592.26964285714291</v>
      </c>
      <c r="Z56">
        <f t="shared" si="5"/>
        <v>-34.489700247060355</v>
      </c>
    </row>
    <row r="57" spans="1:26" x14ac:dyDescent="0.25">
      <c r="A57" t="s">
        <v>64</v>
      </c>
      <c r="D57" s="8">
        <v>30.928571428571427</v>
      </c>
      <c r="E57" s="8">
        <v>30.857142857142858</v>
      </c>
      <c r="F57" s="8">
        <v>32.928571428571431</v>
      </c>
      <c r="G57" s="8">
        <v>33.428571428571431</v>
      </c>
      <c r="H57" s="8">
        <v>33.542857142857144</v>
      </c>
      <c r="I57" s="8">
        <v>29.614285714285717</v>
      </c>
      <c r="J57" s="8">
        <v>29.471428571428572</v>
      </c>
      <c r="K57" s="8">
        <v>29.5</v>
      </c>
      <c r="L57" s="8">
        <v>29.8125</v>
      </c>
      <c r="M57" s="8">
        <v>30.25714285714286</v>
      </c>
      <c r="N57" s="8">
        <v>30.857142857142858</v>
      </c>
      <c r="O57" s="8">
        <v>31.142857142857142</v>
      </c>
      <c r="P57" s="8">
        <v>30.642857142857142</v>
      </c>
      <c r="Q57" s="8">
        <v>30.642857142857142</v>
      </c>
      <c r="R57" s="8">
        <v>32.214285714285715</v>
      </c>
      <c r="S57" s="8">
        <v>32.042857142857144</v>
      </c>
      <c r="T57" s="8">
        <v>31.571428571428573</v>
      </c>
      <c r="U57" s="8">
        <v>32.428571428571431</v>
      </c>
      <c r="V57" s="8">
        <v>39.728571428571435</v>
      </c>
      <c r="W57" s="8">
        <v>37.642857142857146</v>
      </c>
      <c r="Y57" s="8">
        <f t="shared" si="4"/>
        <v>639.25535714285718</v>
      </c>
      <c r="Z57">
        <f t="shared" si="5"/>
        <v>-36.477907647947873</v>
      </c>
    </row>
    <row r="58" spans="1:26" x14ac:dyDescent="0.25">
      <c r="A58" t="s">
        <v>65</v>
      </c>
      <c r="D58" s="8">
        <v>30.714285714285715</v>
      </c>
      <c r="E58" s="8">
        <v>29.25714285714286</v>
      </c>
      <c r="F58" s="8">
        <v>30.642857142857142</v>
      </c>
      <c r="G58" s="8">
        <v>31.25714285714286</v>
      </c>
      <c r="H58" s="8">
        <v>30.928571428571427</v>
      </c>
      <c r="I58" s="8">
        <v>30.400000000000002</v>
      </c>
      <c r="J58" s="8">
        <v>31</v>
      </c>
      <c r="K58" s="8">
        <v>31.857142857142858</v>
      </c>
      <c r="L58" s="8">
        <v>30.300000000000004</v>
      </c>
      <c r="M58" s="8">
        <v>29.657142857142862</v>
      </c>
      <c r="N58" s="8">
        <v>29.5</v>
      </c>
      <c r="O58" s="8">
        <v>29.428571428571427</v>
      </c>
      <c r="P58" s="8">
        <v>30.642857142857142</v>
      </c>
      <c r="Q58" s="8">
        <v>31.285714285714285</v>
      </c>
      <c r="R58" s="8">
        <v>30.714285714285715</v>
      </c>
      <c r="S58" s="8">
        <v>30.642857142857142</v>
      </c>
      <c r="T58" s="8">
        <v>30.642857142857142</v>
      </c>
      <c r="U58" s="8">
        <v>30.571428571428573</v>
      </c>
      <c r="V58" s="8">
        <v>33.357142857142854</v>
      </c>
      <c r="W58" s="8">
        <v>33.9</v>
      </c>
      <c r="Y58" s="8">
        <f t="shared" si="4"/>
        <v>616.70000000000005</v>
      </c>
      <c r="Z58">
        <f t="shared" si="5"/>
        <v>-38.725122953191459</v>
      </c>
    </row>
    <row r="59" spans="1:26" x14ac:dyDescent="0.25">
      <c r="A59" t="s">
        <v>66</v>
      </c>
      <c r="D59" s="8">
        <v>30.857142857142858</v>
      </c>
      <c r="E59" s="8">
        <v>31</v>
      </c>
      <c r="F59" s="8">
        <v>30.785714285714285</v>
      </c>
      <c r="G59" s="8">
        <v>31</v>
      </c>
      <c r="H59" s="8">
        <v>31.785714285714285</v>
      </c>
      <c r="I59" s="8">
        <v>31</v>
      </c>
      <c r="J59" s="8">
        <v>31.071428571428573</v>
      </c>
      <c r="K59" s="8">
        <v>31.79</v>
      </c>
      <c r="L59" s="8">
        <v>32.4375</v>
      </c>
      <c r="M59" s="8">
        <v>29.614285714285717</v>
      </c>
      <c r="N59" s="8">
        <v>28.900000000000002</v>
      </c>
      <c r="O59" s="8">
        <v>29.042857142857144</v>
      </c>
      <c r="P59" s="8">
        <v>30.542857142857144</v>
      </c>
      <c r="Q59" s="8">
        <v>30.285714285714285</v>
      </c>
      <c r="R59" s="8">
        <v>29.085714285714285</v>
      </c>
      <c r="S59" s="8">
        <v>29.971428571428572</v>
      </c>
      <c r="T59" s="8">
        <v>30.25714285714286</v>
      </c>
      <c r="U59" s="8">
        <v>32.5</v>
      </c>
      <c r="V59" s="8">
        <v>33.9</v>
      </c>
      <c r="W59" s="8">
        <v>33.642857142857146</v>
      </c>
      <c r="Y59" s="8">
        <f t="shared" si="4"/>
        <v>619.47035714285698</v>
      </c>
      <c r="Z59">
        <f t="shared" si="5"/>
        <v>-38.681401733948633</v>
      </c>
    </row>
    <row r="60" spans="1:26" x14ac:dyDescent="0.25">
      <c r="A60" t="s">
        <v>67</v>
      </c>
      <c r="D60" s="8">
        <v>34.214285714285715</v>
      </c>
      <c r="E60" s="8">
        <v>30.714285714285715</v>
      </c>
      <c r="F60" s="8">
        <v>30.928571428571427</v>
      </c>
      <c r="G60" s="8">
        <v>30.642857142857142</v>
      </c>
      <c r="H60" s="8">
        <v>30.928571428571427</v>
      </c>
      <c r="I60" s="8">
        <v>35</v>
      </c>
      <c r="J60" s="8">
        <v>34.214285714285715</v>
      </c>
      <c r="K60" s="8">
        <v>30.714285714285715</v>
      </c>
      <c r="L60" s="8">
        <v>30.928571428571427</v>
      </c>
      <c r="M60" s="8">
        <v>30.214285714285715</v>
      </c>
      <c r="N60" s="8">
        <v>29.071428571428573</v>
      </c>
      <c r="O60" s="8">
        <v>28.714285714285715</v>
      </c>
      <c r="P60" s="8">
        <v>28.428571428571427</v>
      </c>
      <c r="Q60" s="8">
        <v>28.642857142857142</v>
      </c>
      <c r="R60" s="8">
        <v>28.642857142857142</v>
      </c>
      <c r="S60" s="8">
        <v>28.571428571428573</v>
      </c>
      <c r="T60" s="8">
        <v>28.857142857142858</v>
      </c>
      <c r="U60" s="8">
        <v>28.785714285714285</v>
      </c>
      <c r="V60" s="8">
        <v>31.5</v>
      </c>
      <c r="W60" s="8">
        <v>34.428571428571431</v>
      </c>
      <c r="Y60" s="8">
        <f t="shared" si="4"/>
        <v>614.14285714285722</v>
      </c>
      <c r="Z60">
        <f t="shared" si="5"/>
        <v>-40.617801024757874</v>
      </c>
    </row>
    <row r="61" spans="1:26" x14ac:dyDescent="0.25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Y61" s="8"/>
    </row>
    <row r="62" spans="1:26" x14ac:dyDescent="0.25">
      <c r="A62" t="s">
        <v>68</v>
      </c>
      <c r="D62" s="8">
        <v>30.642857142857142</v>
      </c>
      <c r="E62" s="8">
        <v>30.571428571428573</v>
      </c>
      <c r="F62" s="8">
        <v>30.428571428571427</v>
      </c>
      <c r="G62" s="8">
        <v>31.142857142857142</v>
      </c>
      <c r="H62" s="8">
        <v>30.714285714285715</v>
      </c>
      <c r="I62" s="8">
        <v>30.285714285714285</v>
      </c>
      <c r="J62" s="8">
        <v>29.892857142857142</v>
      </c>
      <c r="K62" s="8">
        <v>29.510714285714286</v>
      </c>
      <c r="L62" s="8">
        <v>28.72013888888889</v>
      </c>
      <c r="M62" s="8">
        <v>28.867974882260594</v>
      </c>
      <c r="N62" s="8">
        <v>29.540816326530607</v>
      </c>
      <c r="O62" s="8">
        <v>29.497802197802198</v>
      </c>
      <c r="P62" s="8">
        <v>30.16781789638933</v>
      </c>
      <c r="Q62" s="8">
        <v>29.701255886970173</v>
      </c>
      <c r="R62" s="8">
        <v>30.206055169320475</v>
      </c>
      <c r="S62" s="8">
        <v>31.557838080287066</v>
      </c>
      <c r="T62" s="8">
        <v>31.748239515586455</v>
      </c>
      <c r="U62" s="8">
        <v>33.023505830903794</v>
      </c>
      <c r="V62" s="8">
        <v>34.117268445839876</v>
      </c>
      <c r="W62" s="8">
        <v>34.332967032967034</v>
      </c>
      <c r="X62" s="10"/>
      <c r="Y62" s="8">
        <f t="shared" si="4"/>
        <v>614.67096586803211</v>
      </c>
      <c r="Z62">
        <f>SUMPRODUCT($D$66:$W$66,D62:W62)</f>
        <v>-36.470602564038231</v>
      </c>
    </row>
    <row r="63" spans="1:26" x14ac:dyDescent="0.25">
      <c r="A63" t="s">
        <v>312</v>
      </c>
      <c r="D63" s="5">
        <v>33.514285714285712</v>
      </c>
      <c r="E63" s="5">
        <v>32.214285714285715</v>
      </c>
      <c r="F63" s="5">
        <v>30.028571428571428</v>
      </c>
      <c r="G63" s="5">
        <v>31.228571428571431</v>
      </c>
      <c r="H63" s="5">
        <v>31.285714285714285</v>
      </c>
      <c r="I63" s="5">
        <v>29.971428571428572</v>
      </c>
      <c r="J63" s="5">
        <v>29.62857142857143</v>
      </c>
      <c r="K63" s="5">
        <v>15.942857142857141</v>
      </c>
      <c r="L63" s="8">
        <v>29.362499999999997</v>
      </c>
      <c r="M63" s="8">
        <v>27.885714285714283</v>
      </c>
      <c r="N63" s="8">
        <v>24.528571428571432</v>
      </c>
      <c r="O63" s="8">
        <v>28.328571428571429</v>
      </c>
      <c r="P63" s="8">
        <v>26.3</v>
      </c>
      <c r="Q63" s="8">
        <v>30</v>
      </c>
      <c r="R63" s="8">
        <v>27.2</v>
      </c>
      <c r="S63" s="8">
        <v>15.3</v>
      </c>
      <c r="T63" s="8">
        <v>32.1</v>
      </c>
      <c r="U63" s="8">
        <v>31</v>
      </c>
      <c r="V63" s="8">
        <v>35.1</v>
      </c>
      <c r="W63" s="8">
        <v>35.1</v>
      </c>
      <c r="X63" s="10"/>
      <c r="Y63" s="8">
        <f t="shared" si="4"/>
        <v>576.01964285714291</v>
      </c>
      <c r="Z63">
        <f>SUMPRODUCT($D$66:$W$66,D63:W63)</f>
        <v>-33.270198622609207</v>
      </c>
    </row>
    <row r="64" spans="1:26" x14ac:dyDescent="0.25">
      <c r="A64" t="s">
        <v>313</v>
      </c>
      <c r="D64" s="9">
        <v>32.1</v>
      </c>
      <c r="E64" s="9">
        <v>33.299999999999997</v>
      </c>
      <c r="F64" s="9">
        <v>30.5</v>
      </c>
      <c r="G64" s="9">
        <v>31.6</v>
      </c>
      <c r="H64" s="9">
        <v>31.7</v>
      </c>
      <c r="I64" s="9">
        <v>30.6</v>
      </c>
      <c r="J64" s="9">
        <v>29</v>
      </c>
      <c r="K64" s="5">
        <v>16.7</v>
      </c>
      <c r="L64" s="5">
        <v>29.6</v>
      </c>
      <c r="M64" s="5">
        <v>28.3</v>
      </c>
      <c r="N64" s="5">
        <v>25.7</v>
      </c>
      <c r="O64" s="9">
        <v>29.4</v>
      </c>
      <c r="P64" s="9">
        <v>29.729300291545197</v>
      </c>
      <c r="Q64" s="9">
        <v>29.574635568513123</v>
      </c>
      <c r="R64" s="9">
        <v>30.323252216338428</v>
      </c>
      <c r="S64" s="9">
        <v>31.644990182661985</v>
      </c>
      <c r="T64" s="9">
        <v>31.650713988219195</v>
      </c>
      <c r="U64" s="9">
        <v>33.056015350746712</v>
      </c>
      <c r="V64" s="9">
        <v>33.508892128279889</v>
      </c>
      <c r="W64" s="9">
        <v>34.311224489795919</v>
      </c>
      <c r="X64" s="10"/>
      <c r="Y64" s="8">
        <f t="shared" si="4"/>
        <v>602.29902421610041</v>
      </c>
      <c r="Z64">
        <f>SUMPRODUCT($D$66:$W$66,D64:W64)</f>
        <v>-34.092786819234178</v>
      </c>
    </row>
    <row r="65" spans="1:26" x14ac:dyDescent="0.25">
      <c r="A65" t="s">
        <v>676</v>
      </c>
      <c r="D65" s="8">
        <v>30.542857142857141</v>
      </c>
      <c r="E65" s="8">
        <v>30.6</v>
      </c>
      <c r="F65" s="8">
        <v>30.314285714285713</v>
      </c>
      <c r="G65" s="8">
        <v>30.88571428571429</v>
      </c>
      <c r="H65" s="8">
        <v>30.6</v>
      </c>
      <c r="I65" s="8">
        <v>31.368367346938776</v>
      </c>
      <c r="J65" s="8">
        <v>30.362682215743437</v>
      </c>
      <c r="K65" s="8">
        <v>30.431924198250734</v>
      </c>
      <c r="L65" s="8">
        <v>30.439883381924197</v>
      </c>
      <c r="M65" s="8">
        <v>29.790459993521218</v>
      </c>
      <c r="N65" s="8">
        <v>28.915160349854226</v>
      </c>
      <c r="O65" s="8">
        <v>29.652186588921278</v>
      </c>
      <c r="P65" s="8">
        <v>30.504897959183676</v>
      </c>
      <c r="Q65" s="8">
        <v>29.517551020408167</v>
      </c>
      <c r="R65" s="8">
        <v>30.6</v>
      </c>
      <c r="S65" s="8">
        <v>31.797505668934239</v>
      </c>
      <c r="T65" s="8">
        <v>32.182711370262389</v>
      </c>
      <c r="U65" s="8">
        <v>33.301986151603501</v>
      </c>
      <c r="V65" s="8">
        <v>34.191020408163268</v>
      </c>
      <c r="W65" s="8">
        <v>34.157142857142858</v>
      </c>
      <c r="Y65" s="8">
        <f t="shared" ref="Y65" si="6">SUM(D65:W65)</f>
        <v>620.1563366537091</v>
      </c>
      <c r="Z65">
        <f>SUMPRODUCT($D$66:$W$66,D65:W65)</f>
        <v>-37.071466866432189</v>
      </c>
    </row>
    <row r="66" spans="1:26" x14ac:dyDescent="0.25">
      <c r="A66" s="2" t="s">
        <v>69</v>
      </c>
      <c r="D66" s="3">
        <f>CORREL($B$2:$B$26,D36:D60)</f>
        <v>-0.23939155330636688</v>
      </c>
      <c r="E66" s="3">
        <f t="shared" ref="E66:W66" si="7">CORREL($B$2:$B$26,E36:E60)</f>
        <v>0.11726215454003612</v>
      </c>
      <c r="F66" s="3">
        <f t="shared" si="7"/>
        <v>-0.21717725864388171</v>
      </c>
      <c r="G66" s="3">
        <f t="shared" si="7"/>
        <v>-0.205282744948764</v>
      </c>
      <c r="H66" s="3">
        <f t="shared" si="7"/>
        <v>-0.31343486859788622</v>
      </c>
      <c r="I66" s="3">
        <f t="shared" si="7"/>
        <v>-0.15109703181906117</v>
      </c>
      <c r="J66" s="3">
        <f t="shared" si="7"/>
        <v>-6.4978844130460928E-2</v>
      </c>
      <c r="K66" s="3">
        <f t="shared" si="7"/>
        <v>-0.17611910212449014</v>
      </c>
      <c r="L66" s="3">
        <f t="shared" si="7"/>
        <v>-0.32460523059741231</v>
      </c>
      <c r="M66" s="3">
        <f t="shared" si="7"/>
        <v>-9.1575279099137416E-2</v>
      </c>
      <c r="N66" s="3">
        <f t="shared" si="7"/>
        <v>-0.27918963554371878</v>
      </c>
      <c r="O66" s="3">
        <f t="shared" si="7"/>
        <v>-2.7836957848279442E-2</v>
      </c>
      <c r="P66" s="3">
        <f t="shared" si="7"/>
        <v>0.23113970914789903</v>
      </c>
      <c r="Q66" s="3">
        <f t="shared" si="7"/>
        <v>-0.21705028423609848</v>
      </c>
      <c r="R66" s="3">
        <f t="shared" si="7"/>
        <v>5.4175927648632671E-3</v>
      </c>
      <c r="S66" s="3">
        <f t="shared" si="7"/>
        <v>-5.1816706704287133E-2</v>
      </c>
      <c r="T66" s="3">
        <f t="shared" si="7"/>
        <v>-0.10789316744291036</v>
      </c>
      <c r="U66" s="3">
        <f t="shared" si="7"/>
        <v>0.17165073434064793</v>
      </c>
      <c r="V66" s="3">
        <f t="shared" si="7"/>
        <v>0.35448851170935242</v>
      </c>
      <c r="W66" s="3">
        <f t="shared" si="7"/>
        <v>0.2699265189845515</v>
      </c>
      <c r="X66" s="3"/>
    </row>
    <row r="67" spans="1:26" x14ac:dyDescent="0.25">
      <c r="P67" s="8"/>
      <c r="Q67" s="8"/>
      <c r="R67" s="8"/>
      <c r="S67" s="8"/>
      <c r="T67" s="8"/>
      <c r="U67" s="8"/>
      <c r="V67" s="8"/>
      <c r="W67" s="8"/>
    </row>
    <row r="68" spans="1:26" x14ac:dyDescent="0.25">
      <c r="P68" s="8"/>
      <c r="Q68" s="8"/>
      <c r="R68" s="8"/>
      <c r="S68" s="8"/>
      <c r="T68" s="8"/>
      <c r="U68" s="8"/>
      <c r="V68" s="8"/>
      <c r="W68" s="8"/>
    </row>
    <row r="69" spans="1:26" x14ac:dyDescent="0.25">
      <c r="D69" t="s">
        <v>80</v>
      </c>
      <c r="E69" t="s">
        <v>81</v>
      </c>
      <c r="F69" t="s">
        <v>82</v>
      </c>
      <c r="G69" t="s">
        <v>83</v>
      </c>
      <c r="H69" t="s">
        <v>84</v>
      </c>
      <c r="I69" t="s">
        <v>85</v>
      </c>
      <c r="J69" t="s">
        <v>86</v>
      </c>
      <c r="K69" t="s">
        <v>87</v>
      </c>
      <c r="L69" t="s">
        <v>317</v>
      </c>
      <c r="M69" t="s">
        <v>349</v>
      </c>
      <c r="N69" t="s">
        <v>350</v>
      </c>
      <c r="O69" t="s">
        <v>351</v>
      </c>
      <c r="P69" s="8" t="s">
        <v>460</v>
      </c>
      <c r="Q69" s="8" t="s">
        <v>461</v>
      </c>
      <c r="R69" s="8" t="s">
        <v>462</v>
      </c>
      <c r="S69" s="8" t="s">
        <v>463</v>
      </c>
      <c r="T69" s="8" t="s">
        <v>572</v>
      </c>
      <c r="U69" s="8" t="s">
        <v>573</v>
      </c>
      <c r="V69" s="8" t="s">
        <v>574</v>
      </c>
      <c r="W69" s="8" t="s">
        <v>575</v>
      </c>
      <c r="Y69" t="s">
        <v>88</v>
      </c>
      <c r="Z69" t="s">
        <v>89</v>
      </c>
    </row>
    <row r="70" spans="1:26" x14ac:dyDescent="0.25">
      <c r="A70" t="s">
        <v>43</v>
      </c>
      <c r="D70" s="8">
        <v>20.214285714285715</v>
      </c>
      <c r="E70" s="8">
        <v>20.142857142857142</v>
      </c>
      <c r="F70" s="8">
        <v>20.071428571428573</v>
      </c>
      <c r="G70" s="8">
        <v>17.142857142857142</v>
      </c>
      <c r="H70" s="8">
        <v>13.314285714285715</v>
      </c>
      <c r="I70" s="8">
        <v>11.285714285714286</v>
      </c>
      <c r="J70" s="8">
        <v>11.785714285714286</v>
      </c>
      <c r="K70" s="8">
        <v>11.714285714285714</v>
      </c>
      <c r="L70" s="8">
        <v>15.625</v>
      </c>
      <c r="M70" s="8">
        <v>13.785714285714286</v>
      </c>
      <c r="N70" s="8">
        <v>13.071428571428571</v>
      </c>
      <c r="O70" s="8">
        <v>14.642857142857142</v>
      </c>
      <c r="P70" s="8">
        <v>12.857142857142858</v>
      </c>
      <c r="Q70" s="8">
        <v>14.928571428571429</v>
      </c>
      <c r="R70" s="8">
        <v>12.5</v>
      </c>
      <c r="S70" s="8">
        <v>14.428571428571429</v>
      </c>
      <c r="T70" s="8">
        <v>16.785714285714285</v>
      </c>
      <c r="U70" s="8">
        <v>15.428571428571429</v>
      </c>
      <c r="V70" s="8">
        <v>16.214285714285715</v>
      </c>
      <c r="W70" s="8">
        <v>16.785714285714285</v>
      </c>
      <c r="Y70" s="8">
        <f t="shared" ref="Y70:Y98" si="8">SUM(D70:W70)</f>
        <v>302.72499999999997</v>
      </c>
      <c r="Z70">
        <f t="shared" ref="Z70:Z94" si="9">SUMPRODUCT($D$100:$W$100,D70:W70)</f>
        <v>-11.309211210741775</v>
      </c>
    </row>
    <row r="71" spans="1:26" x14ac:dyDescent="0.25">
      <c r="A71" t="s">
        <v>44</v>
      </c>
      <c r="D71" s="8">
        <v>22.428571428571427</v>
      </c>
      <c r="E71" s="8">
        <v>21.142857142857142</v>
      </c>
      <c r="F71" s="8">
        <v>19.285714285714285</v>
      </c>
      <c r="G71" s="8">
        <v>15.142857142857142</v>
      </c>
      <c r="H71" s="8">
        <v>16.357142857142858</v>
      </c>
      <c r="I71" s="8">
        <v>16.357142857142858</v>
      </c>
      <c r="J71" s="8">
        <v>18.285714285714285</v>
      </c>
      <c r="K71" s="8">
        <v>17.071428571428573</v>
      </c>
      <c r="L71" s="8">
        <v>16.222222222222221</v>
      </c>
      <c r="M71" s="8">
        <v>13.571428571428571</v>
      </c>
      <c r="N71" s="8">
        <v>12</v>
      </c>
      <c r="O71" s="8">
        <v>13.214285714285714</v>
      </c>
      <c r="P71" s="8">
        <v>14.071428571428571</v>
      </c>
      <c r="Q71" s="8">
        <v>15.642857142857142</v>
      </c>
      <c r="R71" s="8">
        <v>13.642857142857142</v>
      </c>
      <c r="S71" s="8">
        <v>16.142857142857142</v>
      </c>
      <c r="T71" s="8">
        <v>18.142857142857142</v>
      </c>
      <c r="U71" s="8">
        <v>18.142857142857142</v>
      </c>
      <c r="V71" s="8">
        <v>19.357142857142858</v>
      </c>
      <c r="W71" s="8">
        <v>20.142857142857142</v>
      </c>
      <c r="Y71" s="8">
        <f t="shared" si="8"/>
        <v>336.36507936507945</v>
      </c>
      <c r="Z71">
        <f t="shared" si="9"/>
        <v>-6.3934822141820522</v>
      </c>
    </row>
    <row r="72" spans="1:26" x14ac:dyDescent="0.25">
      <c r="A72" t="s">
        <v>45</v>
      </c>
      <c r="D72" s="8">
        <v>23.357142857142858</v>
      </c>
      <c r="E72" s="8">
        <v>22.785714285714285</v>
      </c>
      <c r="F72" s="8">
        <v>22.428571428571427</v>
      </c>
      <c r="G72" s="8">
        <v>20.285714285714285</v>
      </c>
      <c r="H72" s="8">
        <v>19.357142857142858</v>
      </c>
      <c r="I72" s="8">
        <v>18.785714285714285</v>
      </c>
      <c r="J72" s="8">
        <v>17.642857142857142</v>
      </c>
      <c r="K72" s="8">
        <v>17.285714285714285</v>
      </c>
      <c r="L72" s="8">
        <v>14</v>
      </c>
      <c r="M72" s="8">
        <v>15.571428571428571</v>
      </c>
      <c r="N72" s="8">
        <v>17.857142857142858</v>
      </c>
      <c r="O72" s="8">
        <v>14.785714285714286</v>
      </c>
      <c r="P72" s="8">
        <v>16.928571428571427</v>
      </c>
      <c r="Q72" s="8">
        <v>16.571428571428573</v>
      </c>
      <c r="R72" s="8">
        <v>18.071428571428573</v>
      </c>
      <c r="S72" s="8">
        <v>17.285714285714285</v>
      </c>
      <c r="T72" s="8">
        <v>15.285714285714286</v>
      </c>
      <c r="U72" s="8">
        <v>15.142857142857142</v>
      </c>
      <c r="V72" s="8">
        <v>17.5</v>
      </c>
      <c r="W72" s="8">
        <v>18.5</v>
      </c>
      <c r="Y72" s="8">
        <f t="shared" si="8"/>
        <v>359.42857142857139</v>
      </c>
      <c r="Z72">
        <f t="shared" si="9"/>
        <v>-9.6510668183338346</v>
      </c>
    </row>
    <row r="73" spans="1:26" x14ac:dyDescent="0.25">
      <c r="A73" t="s">
        <v>46</v>
      </c>
      <c r="D73" s="8">
        <v>22.571428571428573</v>
      </c>
      <c r="E73" s="8">
        <v>19.714285714285715</v>
      </c>
      <c r="F73" s="8">
        <v>20.142857142857142</v>
      </c>
      <c r="G73" s="8">
        <v>21.214285714285715</v>
      </c>
      <c r="H73" s="8">
        <v>20.642857142857142</v>
      </c>
      <c r="I73" s="8">
        <v>19.928571428571427</v>
      </c>
      <c r="J73" s="8">
        <v>17</v>
      </c>
      <c r="K73" s="8">
        <v>17</v>
      </c>
      <c r="L73" s="8">
        <v>16.25</v>
      </c>
      <c r="M73" s="8">
        <v>12.142857142857142</v>
      </c>
      <c r="N73" s="8">
        <v>12.285714285714286</v>
      </c>
      <c r="O73" s="8">
        <v>14.057142857142859</v>
      </c>
      <c r="P73" s="8">
        <v>18.214285714285715</v>
      </c>
      <c r="Q73" s="8">
        <v>12</v>
      </c>
      <c r="R73" s="8">
        <v>14</v>
      </c>
      <c r="S73" s="8">
        <v>13.5</v>
      </c>
      <c r="T73" s="8">
        <v>16.071428571428573</v>
      </c>
      <c r="U73" s="8">
        <v>15.785714285714286</v>
      </c>
      <c r="V73" s="8">
        <v>18.642857142857142</v>
      </c>
      <c r="W73" s="8">
        <v>19.5</v>
      </c>
      <c r="Y73" s="8">
        <f t="shared" si="8"/>
        <v>340.66428571428571</v>
      </c>
      <c r="Z73">
        <f t="shared" si="9"/>
        <v>-6.1834487686392805</v>
      </c>
    </row>
    <row r="74" spans="1:26" x14ac:dyDescent="0.25">
      <c r="A74" t="s">
        <v>47</v>
      </c>
      <c r="D74" s="8">
        <v>21.571428571428573</v>
      </c>
      <c r="E74" s="8">
        <v>19</v>
      </c>
      <c r="F74" s="8">
        <v>21.285714285714285</v>
      </c>
      <c r="G74" s="8">
        <v>22.071428571428573</v>
      </c>
      <c r="H74" s="8">
        <v>20.642857142857142</v>
      </c>
      <c r="I74" s="8">
        <v>17.285714285714285</v>
      </c>
      <c r="J74" s="8">
        <v>17.714285714285715</v>
      </c>
      <c r="K74" s="8">
        <v>15.928571428571429</v>
      </c>
      <c r="L74" s="8">
        <v>12.625</v>
      </c>
      <c r="M74" s="8">
        <v>13.5</v>
      </c>
      <c r="N74" s="8">
        <v>13.428571428571429</v>
      </c>
      <c r="O74" s="8">
        <v>15</v>
      </c>
      <c r="P74" s="8">
        <v>16.857142857142858</v>
      </c>
      <c r="Q74" s="8">
        <v>14.428571428571429</v>
      </c>
      <c r="R74" s="8">
        <v>17.571428571428573</v>
      </c>
      <c r="S74" s="8">
        <v>14.285714285714286</v>
      </c>
      <c r="T74" s="8">
        <v>15.571428571428571</v>
      </c>
      <c r="U74" s="8">
        <v>17.857142857142858</v>
      </c>
      <c r="V74" s="8">
        <v>15.571428571428571</v>
      </c>
      <c r="W74" s="8">
        <v>21.071428571428573</v>
      </c>
      <c r="Y74" s="8">
        <f t="shared" si="8"/>
        <v>343.26785714285705</v>
      </c>
      <c r="Z74">
        <f t="shared" si="9"/>
        <v>-6.5800482653146046</v>
      </c>
    </row>
    <row r="75" spans="1:26" x14ac:dyDescent="0.25">
      <c r="A75" t="s">
        <v>48</v>
      </c>
      <c r="D75" s="8">
        <v>24.071428571428573</v>
      </c>
      <c r="E75" s="8">
        <v>22.5</v>
      </c>
      <c r="F75" s="8">
        <v>22.785714285714285</v>
      </c>
      <c r="G75" s="8">
        <v>23</v>
      </c>
      <c r="H75" s="8">
        <v>21</v>
      </c>
      <c r="I75" s="8">
        <v>18.571428571428573</v>
      </c>
      <c r="J75" s="8">
        <v>18</v>
      </c>
      <c r="K75" s="8">
        <v>17.414285714285715</v>
      </c>
      <c r="L75" s="8">
        <v>15.375</v>
      </c>
      <c r="M75" s="8">
        <v>15.285714285714286</v>
      </c>
      <c r="N75" s="8">
        <v>14.142857142857142</v>
      </c>
      <c r="O75" s="8">
        <v>14.142857142857142</v>
      </c>
      <c r="P75" s="8">
        <v>16.071428571428573</v>
      </c>
      <c r="Q75" s="8">
        <v>17.5</v>
      </c>
      <c r="R75" s="8">
        <v>17.285714285714285</v>
      </c>
      <c r="S75" s="8">
        <v>16.357142857142858</v>
      </c>
      <c r="T75" s="8">
        <v>18.357142857142858</v>
      </c>
      <c r="U75" s="8">
        <v>16.571428571428573</v>
      </c>
      <c r="V75" s="8">
        <v>18.428571428571427</v>
      </c>
      <c r="W75" s="8">
        <v>19.785714285714285</v>
      </c>
      <c r="Y75" s="8">
        <f t="shared" si="8"/>
        <v>366.64642857142849</v>
      </c>
      <c r="Z75">
        <f t="shared" si="9"/>
        <v>-9.4800352506779113</v>
      </c>
    </row>
    <row r="76" spans="1:26" x14ac:dyDescent="0.25">
      <c r="A76" t="s">
        <v>49</v>
      </c>
      <c r="D76" s="8">
        <v>21.642857142857142</v>
      </c>
      <c r="E76" s="8">
        <v>21</v>
      </c>
      <c r="F76" s="8">
        <v>22.071428571428573</v>
      </c>
      <c r="G76" s="8">
        <v>20.285714285714285</v>
      </c>
      <c r="H76" s="8">
        <v>16.928571428571427</v>
      </c>
      <c r="I76" s="8">
        <v>18.428571428571427</v>
      </c>
      <c r="J76" s="8">
        <v>16.714285714285715</v>
      </c>
      <c r="K76" s="8">
        <v>15.571428571428571</v>
      </c>
      <c r="L76" s="8">
        <v>14.5625</v>
      </c>
      <c r="M76" s="8">
        <v>15.857142857142858</v>
      </c>
      <c r="N76" s="8">
        <v>14.571428571428571</v>
      </c>
      <c r="O76" s="8">
        <v>11.071428571428571</v>
      </c>
      <c r="P76" s="8">
        <v>16.357142857142858</v>
      </c>
      <c r="Q76" s="8">
        <v>12.857142857142858</v>
      </c>
      <c r="R76" s="8">
        <v>14.142857142857142</v>
      </c>
      <c r="S76" s="8">
        <v>16.5</v>
      </c>
      <c r="T76" s="8">
        <v>14.714285714285714</v>
      </c>
      <c r="U76" s="8">
        <v>17.214285714285715</v>
      </c>
      <c r="V76" s="8">
        <v>20.142857142857142</v>
      </c>
      <c r="W76" s="8">
        <v>20.571428571428573</v>
      </c>
      <c r="Y76" s="8">
        <f t="shared" si="8"/>
        <v>341.20535714285722</v>
      </c>
      <c r="Z76">
        <f t="shared" si="9"/>
        <v>-6.6543335100698018</v>
      </c>
    </row>
    <row r="77" spans="1:26" x14ac:dyDescent="0.25">
      <c r="A77" t="s">
        <v>50</v>
      </c>
      <c r="D77" s="8">
        <v>1.7142857142857142</v>
      </c>
      <c r="E77" s="8">
        <v>19.214285714285715</v>
      </c>
      <c r="F77" s="8">
        <v>18.957142857142856</v>
      </c>
      <c r="G77" s="8">
        <v>16.285714285714285</v>
      </c>
      <c r="H77" s="8">
        <v>14.214285714285714</v>
      </c>
      <c r="I77" s="8">
        <v>16.428571428571427</v>
      </c>
      <c r="J77" s="8">
        <v>15.142857142857142</v>
      </c>
      <c r="K77" s="8">
        <v>15.071428571428571</v>
      </c>
      <c r="L77" s="8">
        <v>14.6875</v>
      </c>
      <c r="M77" s="8">
        <v>14.214285714285714</v>
      </c>
      <c r="N77" s="8">
        <v>12.928571428571429</v>
      </c>
      <c r="O77" s="8">
        <v>14.642857142857142</v>
      </c>
      <c r="P77" s="8">
        <v>14.285714285714286</v>
      </c>
      <c r="Q77" s="8">
        <v>16.5</v>
      </c>
      <c r="R77" s="8">
        <v>18.5</v>
      </c>
      <c r="S77" s="8">
        <v>17.857142857142858</v>
      </c>
      <c r="T77" s="8">
        <v>17.571428571428573</v>
      </c>
      <c r="U77" s="8">
        <v>17.5</v>
      </c>
      <c r="V77" s="8">
        <v>20</v>
      </c>
      <c r="W77" s="8">
        <v>19.642857142857142</v>
      </c>
      <c r="Y77" s="8">
        <f t="shared" si="8"/>
        <v>315.35892857142858</v>
      </c>
      <c r="Z77">
        <f t="shared" si="9"/>
        <v>-2.4498476284944832</v>
      </c>
    </row>
    <row r="78" spans="1:26" x14ac:dyDescent="0.25">
      <c r="A78" t="s">
        <v>51</v>
      </c>
      <c r="D78" s="8">
        <v>21.168571428571429</v>
      </c>
      <c r="E78" s="8">
        <v>18</v>
      </c>
      <c r="F78" s="8">
        <v>17.785714285714285</v>
      </c>
      <c r="G78" s="8">
        <v>18.071428571428573</v>
      </c>
      <c r="H78" s="8">
        <v>17.071428571428573</v>
      </c>
      <c r="I78" s="8">
        <v>15.928571428571429</v>
      </c>
      <c r="J78" s="8">
        <v>16.857142857142858</v>
      </c>
      <c r="K78" s="8">
        <v>16.142857142857142</v>
      </c>
      <c r="L78" s="8">
        <v>14.5</v>
      </c>
      <c r="M78" s="8">
        <v>15.571428571428571</v>
      </c>
      <c r="N78" s="8">
        <v>13.785714285714286</v>
      </c>
      <c r="O78" s="8">
        <v>12.928571428571429</v>
      </c>
      <c r="P78" s="8">
        <v>15.928571428571429</v>
      </c>
      <c r="Q78" s="8">
        <v>15</v>
      </c>
      <c r="R78" s="8">
        <v>14.493935860058306</v>
      </c>
      <c r="S78" s="8">
        <v>15.588921282798834</v>
      </c>
      <c r="T78" s="8">
        <v>16.71195335276968</v>
      </c>
      <c r="U78" s="8">
        <v>18.133447521865889</v>
      </c>
      <c r="V78" s="8">
        <v>16.071428571428573</v>
      </c>
      <c r="W78" s="8">
        <v>21.142857142857142</v>
      </c>
      <c r="Y78" s="8">
        <f t="shared" si="8"/>
        <v>330.88254373177841</v>
      </c>
      <c r="Z78">
        <f t="shared" si="9"/>
        <v>-6.8562897270807683</v>
      </c>
    </row>
    <row r="79" spans="1:26" x14ac:dyDescent="0.25">
      <c r="A79" t="s">
        <v>52</v>
      </c>
      <c r="D79" s="8">
        <v>20.071428571428573</v>
      </c>
      <c r="E79" s="8">
        <v>20.142857142857142</v>
      </c>
      <c r="F79" s="8">
        <v>20.857142857142858</v>
      </c>
      <c r="G79" s="8">
        <v>18.642857142857142</v>
      </c>
      <c r="H79" s="8">
        <v>17.785714285714285</v>
      </c>
      <c r="I79" s="8">
        <v>16.714285714285715</v>
      </c>
      <c r="J79" s="8">
        <v>15.857142857142858</v>
      </c>
      <c r="K79" s="8">
        <v>18.642857142857142</v>
      </c>
      <c r="L79" s="8">
        <v>17.388888888888889</v>
      </c>
      <c r="M79" s="8">
        <v>16</v>
      </c>
      <c r="N79" s="8">
        <v>15.785714285714286</v>
      </c>
      <c r="O79" s="8">
        <v>12.857142857142858</v>
      </c>
      <c r="P79" s="8">
        <v>13</v>
      </c>
      <c r="Q79" s="8">
        <v>16.428571428571427</v>
      </c>
      <c r="R79" s="8">
        <v>15</v>
      </c>
      <c r="S79" s="8">
        <v>17.428571428571427</v>
      </c>
      <c r="T79" s="8">
        <v>16.357142857142858</v>
      </c>
      <c r="U79" s="8">
        <v>18.214285714285715</v>
      </c>
      <c r="V79" s="8">
        <v>19.071428571428573</v>
      </c>
      <c r="W79" s="8">
        <v>20.714285714285715</v>
      </c>
      <c r="Y79" s="8">
        <f t="shared" si="8"/>
        <v>346.96031746031741</v>
      </c>
      <c r="Z79">
        <f t="shared" si="9"/>
        <v>-8.999020570371389</v>
      </c>
    </row>
    <row r="80" spans="1:26" x14ac:dyDescent="0.25">
      <c r="A80" t="s">
        <v>53</v>
      </c>
      <c r="D80" s="8">
        <v>23.142857142857142</v>
      </c>
      <c r="E80" s="8">
        <v>22.5</v>
      </c>
      <c r="F80" s="8">
        <v>20.857142857142858</v>
      </c>
      <c r="G80" s="8">
        <v>18.214285714285715</v>
      </c>
      <c r="H80" s="8">
        <v>18.928571428571427</v>
      </c>
      <c r="I80" s="8">
        <v>16.857142857142858</v>
      </c>
      <c r="J80" s="8">
        <v>15.428571428571429</v>
      </c>
      <c r="K80" s="8">
        <v>15.142857142857142</v>
      </c>
      <c r="L80" s="8">
        <v>16</v>
      </c>
      <c r="M80" s="8">
        <v>16.714285714285715</v>
      </c>
      <c r="N80" s="8">
        <v>17.785714285714285</v>
      </c>
      <c r="O80" s="8">
        <v>13.857142857142858</v>
      </c>
      <c r="P80" s="8">
        <v>14.857142857142858</v>
      </c>
      <c r="Q80" s="8">
        <v>18.142857142857142</v>
      </c>
      <c r="R80" s="8">
        <v>17.571428571428573</v>
      </c>
      <c r="S80" s="8">
        <v>16.571428571428573</v>
      </c>
      <c r="T80" s="8">
        <v>17.428571428571427</v>
      </c>
      <c r="U80" s="8">
        <v>18</v>
      </c>
      <c r="V80" s="8">
        <v>18.857142857142858</v>
      </c>
      <c r="W80" s="8">
        <v>18.428571428571427</v>
      </c>
      <c r="Y80" s="8">
        <f t="shared" si="8"/>
        <v>355.28571428571428</v>
      </c>
      <c r="Z80">
        <f t="shared" si="9"/>
        <v>-10.217728695770449</v>
      </c>
    </row>
    <row r="81" spans="1:26" x14ac:dyDescent="0.25">
      <c r="A81" t="s">
        <v>54</v>
      </c>
      <c r="D81" s="8">
        <v>25.214285714285715</v>
      </c>
      <c r="E81" s="8">
        <v>22.714285714285715</v>
      </c>
      <c r="F81" s="8">
        <v>21.428571428571427</v>
      </c>
      <c r="G81" s="8">
        <v>22.857142857142858</v>
      </c>
      <c r="H81" s="8">
        <v>17</v>
      </c>
      <c r="I81" s="8">
        <v>17</v>
      </c>
      <c r="J81" s="8">
        <v>16.428571428571427</v>
      </c>
      <c r="K81" s="8">
        <v>14.785714285714286</v>
      </c>
      <c r="L81" s="8">
        <v>14.125</v>
      </c>
      <c r="M81" s="8">
        <v>12</v>
      </c>
      <c r="N81" s="8">
        <v>14.5</v>
      </c>
      <c r="O81" s="8">
        <v>15.285714285714286</v>
      </c>
      <c r="P81" s="8">
        <v>16.714285714285715</v>
      </c>
      <c r="Q81" s="8">
        <v>17.071428571428573</v>
      </c>
      <c r="R81" s="8">
        <v>13.5</v>
      </c>
      <c r="S81" s="8">
        <v>14</v>
      </c>
      <c r="T81" s="8">
        <v>15.785714285714286</v>
      </c>
      <c r="U81" s="8">
        <v>19.5</v>
      </c>
      <c r="V81" s="8">
        <v>22.357142857142858</v>
      </c>
      <c r="W81" s="8">
        <v>23.071428571428573</v>
      </c>
      <c r="Y81" s="8">
        <f t="shared" si="8"/>
        <v>355.33928571428567</v>
      </c>
      <c r="Z81">
        <f t="shared" si="9"/>
        <v>-6.9954984923838461</v>
      </c>
    </row>
    <row r="82" spans="1:26" x14ac:dyDescent="0.25">
      <c r="A82" t="s">
        <v>55</v>
      </c>
      <c r="D82" s="8">
        <v>17.285714285714285</v>
      </c>
      <c r="E82" s="8">
        <v>18.714285714285715</v>
      </c>
      <c r="F82" s="8">
        <v>17.428571428571427</v>
      </c>
      <c r="G82" s="8">
        <v>17.399999999999999</v>
      </c>
      <c r="H82" s="8">
        <v>16.914285714285715</v>
      </c>
      <c r="I82" s="8">
        <v>13.857142857142858</v>
      </c>
      <c r="J82" s="8">
        <v>14.6</v>
      </c>
      <c r="K82" s="8">
        <v>13.985714285714284</v>
      </c>
      <c r="L82" s="8">
        <v>14.65</v>
      </c>
      <c r="M82" s="8">
        <v>13.314285714285717</v>
      </c>
      <c r="N82" s="8">
        <v>12.357142857142858</v>
      </c>
      <c r="O82" s="8">
        <v>12.428571428571429</v>
      </c>
      <c r="P82" s="8">
        <v>12.771428571428572</v>
      </c>
      <c r="Q82" s="8">
        <v>13.057142857142859</v>
      </c>
      <c r="R82" s="8">
        <v>14.243265306122447</v>
      </c>
      <c r="S82" s="8">
        <v>15.43673469387755</v>
      </c>
      <c r="T82" s="8">
        <v>16.069387755102042</v>
      </c>
      <c r="U82" s="8">
        <v>17.61984693877551</v>
      </c>
      <c r="V82" s="8">
        <v>11.285714285714286</v>
      </c>
      <c r="W82" s="8">
        <v>14.571428571428571</v>
      </c>
      <c r="Y82" s="8">
        <f t="shared" si="8"/>
        <v>297.99066326530607</v>
      </c>
      <c r="Z82">
        <f t="shared" si="9"/>
        <v>-9.0465956065617235</v>
      </c>
    </row>
    <row r="83" spans="1:26" x14ac:dyDescent="0.25">
      <c r="A83" t="s">
        <v>56</v>
      </c>
      <c r="D83" s="8">
        <v>21.171428571428571</v>
      </c>
      <c r="E83" s="8">
        <v>18.771428571428572</v>
      </c>
      <c r="F83" s="8">
        <v>18.428571428571427</v>
      </c>
      <c r="G83" s="8">
        <v>15.228571428571428</v>
      </c>
      <c r="H83" s="8">
        <v>17.914285714285715</v>
      </c>
      <c r="I83" s="8">
        <v>15.114285714285716</v>
      </c>
      <c r="J83" s="8">
        <v>12.314285714285715</v>
      </c>
      <c r="K83" s="8">
        <v>15.028571428571427</v>
      </c>
      <c r="L83" s="8">
        <v>15.222222222222221</v>
      </c>
      <c r="M83" s="8">
        <v>14.342857142857143</v>
      </c>
      <c r="N83" s="8">
        <v>12.914285714285715</v>
      </c>
      <c r="O83" s="8">
        <v>15.457142857142856</v>
      </c>
      <c r="P83" s="8">
        <v>17.914285714285715</v>
      </c>
      <c r="Q83" s="8">
        <v>15.114285714285714</v>
      </c>
      <c r="R83" s="8">
        <v>13.857142857142858</v>
      </c>
      <c r="S83" s="8">
        <v>14.314285714285715</v>
      </c>
      <c r="T83" s="8">
        <v>16.114285714285714</v>
      </c>
      <c r="U83" s="8">
        <v>18.971428571428572</v>
      </c>
      <c r="V83" s="8">
        <v>14.971428571428572</v>
      </c>
      <c r="W83" s="8">
        <v>16.914285714285715</v>
      </c>
      <c r="Y83" s="8">
        <f t="shared" si="8"/>
        <v>320.07936507936512</v>
      </c>
      <c r="Z83">
        <f t="shared" si="9"/>
        <v>-8.4460039386718755</v>
      </c>
    </row>
    <row r="84" spans="1:26" x14ac:dyDescent="0.25">
      <c r="A84" t="s">
        <v>57</v>
      </c>
      <c r="D84" s="8">
        <v>19.028571428571428</v>
      </c>
      <c r="E84" s="8">
        <v>19.514285714285712</v>
      </c>
      <c r="F84" s="8">
        <v>16.8</v>
      </c>
      <c r="G84" s="8">
        <v>17.25714285714286</v>
      </c>
      <c r="H84" s="8">
        <v>16.771428571428569</v>
      </c>
      <c r="I84" s="8">
        <v>13.171428571428569</v>
      </c>
      <c r="J84" s="8">
        <v>16.514285714285716</v>
      </c>
      <c r="K84" s="8">
        <v>16.342857142857145</v>
      </c>
      <c r="L84" s="8">
        <v>15.05</v>
      </c>
      <c r="M84" s="8">
        <v>15.028571428571428</v>
      </c>
      <c r="N84" s="8">
        <v>16.600000000000001</v>
      </c>
      <c r="O84" s="8">
        <v>13</v>
      </c>
      <c r="P84" s="8">
        <v>10.085714285714285</v>
      </c>
      <c r="Q84" s="8">
        <v>14.914285714285715</v>
      </c>
      <c r="R84" s="8">
        <v>13.485714285714286</v>
      </c>
      <c r="S84" s="8">
        <v>17.885714285714283</v>
      </c>
      <c r="T84" s="8">
        <v>18.085714285714285</v>
      </c>
      <c r="U84" s="8">
        <v>16.342857142857145</v>
      </c>
      <c r="V84" s="8">
        <v>20.657142857142855</v>
      </c>
      <c r="W84" s="8">
        <v>20.514285714285712</v>
      </c>
      <c r="Y84" s="8">
        <f t="shared" si="8"/>
        <v>327.05</v>
      </c>
      <c r="Z84">
        <f t="shared" si="9"/>
        <v>-7.9125820523659049</v>
      </c>
    </row>
    <row r="85" spans="1:26" x14ac:dyDescent="0.25">
      <c r="A85" t="s">
        <v>58</v>
      </c>
      <c r="D85" s="8">
        <v>16.914285714285715</v>
      </c>
      <c r="E85" s="8">
        <v>17.8</v>
      </c>
      <c r="F85" s="8">
        <v>18.599999999999998</v>
      </c>
      <c r="G85" s="8">
        <v>17.457142857142856</v>
      </c>
      <c r="H85" s="8">
        <v>15.342857142857143</v>
      </c>
      <c r="I85" s="8">
        <v>14.828571428571431</v>
      </c>
      <c r="J85" s="8">
        <v>15.22857142857143</v>
      </c>
      <c r="K85" s="8">
        <v>14.657142857142857</v>
      </c>
      <c r="L85" s="8">
        <v>15.150000000000002</v>
      </c>
      <c r="M85" s="8">
        <v>16.685714285714287</v>
      </c>
      <c r="N85" s="8">
        <v>16.485714285714284</v>
      </c>
      <c r="O85" s="8">
        <v>15.685714285714287</v>
      </c>
      <c r="P85" s="8">
        <v>14.628571428571428</v>
      </c>
      <c r="Q85" s="8">
        <v>14.37142857142857</v>
      </c>
      <c r="R85" s="8">
        <v>13.799999999999999</v>
      </c>
      <c r="S85" s="8">
        <v>13.485714285714286</v>
      </c>
      <c r="T85" s="8">
        <v>17.142857142857142</v>
      </c>
      <c r="U85" s="8">
        <v>18.285714285714285</v>
      </c>
      <c r="V85" s="8">
        <v>16.285714285714285</v>
      </c>
      <c r="W85" s="8">
        <v>15.771428571428572</v>
      </c>
      <c r="Y85" s="8">
        <f t="shared" si="8"/>
        <v>318.60714285714289</v>
      </c>
      <c r="Z85">
        <f t="shared" si="9"/>
        <v>-9.4443044335370931</v>
      </c>
    </row>
    <row r="86" spans="1:26" x14ac:dyDescent="0.25">
      <c r="A86" t="s">
        <v>59</v>
      </c>
      <c r="D86" s="8">
        <v>18.889795918367348</v>
      </c>
      <c r="E86" s="8">
        <v>18.497959183673469</v>
      </c>
      <c r="F86" s="8">
        <v>18.855510204081636</v>
      </c>
      <c r="G86" s="8">
        <v>17.59591836734694</v>
      </c>
      <c r="H86" s="8">
        <v>17.630204081632652</v>
      </c>
      <c r="I86" s="8">
        <v>17.332653061224487</v>
      </c>
      <c r="J86" s="8">
        <v>17.06530612244898</v>
      </c>
      <c r="K86" s="8">
        <v>16.187755102040818</v>
      </c>
      <c r="L86" s="8">
        <v>13.658928571428572</v>
      </c>
      <c r="M86" s="8">
        <v>13.945714285714285</v>
      </c>
      <c r="N86" s="8">
        <v>14.002857142857144</v>
      </c>
      <c r="O86" s="8">
        <v>13.614285714285714</v>
      </c>
      <c r="P86" s="8">
        <v>14.477142857142855</v>
      </c>
      <c r="Q86" s="8">
        <v>14.431428571428572</v>
      </c>
      <c r="R86" s="8">
        <v>15.002857142857142</v>
      </c>
      <c r="S86" s="8">
        <v>16.271428571428572</v>
      </c>
      <c r="T86" s="8">
        <v>16.8</v>
      </c>
      <c r="U86" s="8">
        <v>17.474642857142857</v>
      </c>
      <c r="V86" s="8">
        <v>19.085714285714282</v>
      </c>
      <c r="W86" s="8">
        <v>19.454285714285714</v>
      </c>
      <c r="Y86" s="8">
        <f t="shared" si="8"/>
        <v>330.27438775510211</v>
      </c>
      <c r="Z86">
        <f t="shared" si="9"/>
        <v>-5.1126698035646925</v>
      </c>
    </row>
    <row r="87" spans="1:26" x14ac:dyDescent="0.25">
      <c r="A87" t="s">
        <v>60</v>
      </c>
      <c r="D87" s="8">
        <v>19.171428571428571</v>
      </c>
      <c r="E87" s="8">
        <v>18.485714285714288</v>
      </c>
      <c r="F87" s="8">
        <v>19.117142857142859</v>
      </c>
      <c r="G87" s="8">
        <v>17.628571428571426</v>
      </c>
      <c r="H87" s="8">
        <v>17.868571428571425</v>
      </c>
      <c r="I87" s="8">
        <v>18.24285714285714</v>
      </c>
      <c r="J87" s="8">
        <v>17.985714285714288</v>
      </c>
      <c r="K87" s="8">
        <v>17.128571428571426</v>
      </c>
      <c r="L87" s="8">
        <v>14.1625</v>
      </c>
      <c r="M87" s="8">
        <v>12.885714285714284</v>
      </c>
      <c r="N87" s="8">
        <v>12.6</v>
      </c>
      <c r="O87" s="8">
        <v>9.9714285714285715</v>
      </c>
      <c r="P87" s="8">
        <v>12.37142857142857</v>
      </c>
      <c r="Q87" s="8">
        <v>12.97142857142857</v>
      </c>
      <c r="R87" s="8">
        <v>13.3</v>
      </c>
      <c r="S87" s="8">
        <v>12.742857142857144</v>
      </c>
      <c r="T87" s="8">
        <v>10.200000000000001</v>
      </c>
      <c r="U87" s="8">
        <v>17.37142857142857</v>
      </c>
      <c r="V87" s="8">
        <v>19.391836734693875</v>
      </c>
      <c r="W87" s="8">
        <v>20.110204081632652</v>
      </c>
      <c r="Y87" s="8">
        <f t="shared" si="8"/>
        <v>313.70739795918365</v>
      </c>
      <c r="Z87">
        <f t="shared" si="9"/>
        <v>-4.218938148596612</v>
      </c>
    </row>
    <row r="88" spans="1:26" x14ac:dyDescent="0.25">
      <c r="A88" t="s">
        <v>61</v>
      </c>
      <c r="D88" s="8">
        <v>17.2</v>
      </c>
      <c r="E88" s="8">
        <v>18.571428571428573</v>
      </c>
      <c r="F88" s="8">
        <v>17.285714285714285</v>
      </c>
      <c r="G88" s="8">
        <v>17.399999999999999</v>
      </c>
      <c r="H88" s="8">
        <v>16.2</v>
      </c>
      <c r="I88" s="8">
        <v>11.87142857142857</v>
      </c>
      <c r="J88" s="8">
        <v>11.542857142857143</v>
      </c>
      <c r="K88" s="8">
        <v>10.542857142857143</v>
      </c>
      <c r="L88" s="8">
        <v>10.637499999999999</v>
      </c>
      <c r="M88" s="8">
        <v>14</v>
      </c>
      <c r="N88" s="8">
        <v>12.657142857142858</v>
      </c>
      <c r="O88" s="8">
        <v>9.8571428571428577</v>
      </c>
      <c r="P88" s="8">
        <v>12.085714285714285</v>
      </c>
      <c r="Q88" s="8">
        <v>12.514285714285714</v>
      </c>
      <c r="R88" s="8">
        <v>13.828571428571427</v>
      </c>
      <c r="S88" s="8">
        <v>15.714285714285714</v>
      </c>
      <c r="T88" s="8">
        <v>16.857142857142858</v>
      </c>
      <c r="U88" s="8">
        <v>17.892857142857142</v>
      </c>
      <c r="V88" s="8">
        <v>16.399999999999999</v>
      </c>
      <c r="W88" s="8">
        <v>16.042857142857141</v>
      </c>
      <c r="Y88" s="8">
        <f t="shared" si="8"/>
        <v>289.10178571428571</v>
      </c>
      <c r="Z88">
        <f t="shared" si="9"/>
        <v>-6.4830660121328414</v>
      </c>
    </row>
    <row r="89" spans="1:26" x14ac:dyDescent="0.25">
      <c r="A89" t="s">
        <v>62</v>
      </c>
      <c r="D89" s="8">
        <v>18.571428571428573</v>
      </c>
      <c r="E89" s="8">
        <v>18.285714285714285</v>
      </c>
      <c r="F89" s="8">
        <v>18.714285714285715</v>
      </c>
      <c r="G89" s="8">
        <v>15</v>
      </c>
      <c r="H89" s="8">
        <v>16.5</v>
      </c>
      <c r="I89" s="8">
        <v>18.142857142857142</v>
      </c>
      <c r="J89" s="8">
        <v>16.785714285714285</v>
      </c>
      <c r="K89" s="8">
        <v>14.857142857142858</v>
      </c>
      <c r="L89" s="8">
        <v>13.928571428571429</v>
      </c>
      <c r="M89" s="8">
        <v>14.928571428571429</v>
      </c>
      <c r="N89" s="8">
        <v>13.857142857142858</v>
      </c>
      <c r="O89" s="8">
        <v>13.714285714285714</v>
      </c>
      <c r="P89" s="8">
        <v>13.928571428571429</v>
      </c>
      <c r="Q89" s="8">
        <v>13.857142857142858</v>
      </c>
      <c r="R89" s="8">
        <v>16.428571428571427</v>
      </c>
      <c r="S89" s="8">
        <v>17.642857142857142</v>
      </c>
      <c r="T89" s="8">
        <v>17.285714285714285</v>
      </c>
      <c r="U89" s="8">
        <v>17</v>
      </c>
      <c r="V89" s="8">
        <v>19.285714285714285</v>
      </c>
      <c r="W89" s="8">
        <v>20.071428571428573</v>
      </c>
      <c r="Y89" s="8">
        <f t="shared" si="8"/>
        <v>328.78571428571422</v>
      </c>
      <c r="Z89">
        <f t="shared" si="9"/>
        <v>-4.1365748842410612</v>
      </c>
    </row>
    <row r="90" spans="1:26" x14ac:dyDescent="0.25">
      <c r="A90" t="s">
        <v>63</v>
      </c>
      <c r="D90" s="8">
        <v>17.571428571428573</v>
      </c>
      <c r="E90" s="8">
        <v>15.642857142857142</v>
      </c>
      <c r="F90" s="8">
        <v>15.714285714285714</v>
      </c>
      <c r="G90" s="8">
        <v>15.357142857142858</v>
      </c>
      <c r="H90" s="8">
        <v>17.142857142857142</v>
      </c>
      <c r="I90" s="8">
        <v>18.928571428571427</v>
      </c>
      <c r="J90" s="8">
        <v>16.571428571428573</v>
      </c>
      <c r="K90" s="8">
        <v>15</v>
      </c>
      <c r="L90" s="8">
        <v>12.625</v>
      </c>
      <c r="M90" s="8">
        <v>11.042857142857143</v>
      </c>
      <c r="N90" s="8">
        <v>14.428571428571429</v>
      </c>
      <c r="O90" s="8">
        <v>13.642857142857142</v>
      </c>
      <c r="P90" s="8">
        <v>14.357142857142858</v>
      </c>
      <c r="Q90" s="8">
        <v>13.285714285714286</v>
      </c>
      <c r="R90" s="8">
        <v>11.5</v>
      </c>
      <c r="S90" s="8">
        <v>15.214285714285714</v>
      </c>
      <c r="T90" s="8">
        <v>15.714285714285714</v>
      </c>
      <c r="U90" s="8">
        <v>17.4375</v>
      </c>
      <c r="V90" s="8">
        <v>18.785714285714285</v>
      </c>
      <c r="W90" s="8">
        <v>19</v>
      </c>
      <c r="Y90" s="8">
        <f t="shared" si="8"/>
        <v>308.96250000000003</v>
      </c>
      <c r="Z90">
        <f t="shared" si="9"/>
        <v>-2.1658534534482214</v>
      </c>
    </row>
    <row r="91" spans="1:26" x14ac:dyDescent="0.25">
      <c r="A91" t="s">
        <v>64</v>
      </c>
      <c r="D91" s="8">
        <v>20.857142857142858</v>
      </c>
      <c r="E91" s="8">
        <v>18.857142857142858</v>
      </c>
      <c r="F91" s="8">
        <v>19.042857142857144</v>
      </c>
      <c r="G91" s="8">
        <v>18.928571428571427</v>
      </c>
      <c r="H91" s="8">
        <v>18.585714285714285</v>
      </c>
      <c r="I91" s="8">
        <v>18.5</v>
      </c>
      <c r="J91" s="8">
        <v>18.428571428571427</v>
      </c>
      <c r="K91" s="8">
        <v>18.642857142857142</v>
      </c>
      <c r="L91" s="8">
        <v>18.5625</v>
      </c>
      <c r="M91" s="8">
        <v>15.5</v>
      </c>
      <c r="N91" s="8">
        <v>15.785714285714286</v>
      </c>
      <c r="O91" s="8">
        <v>14</v>
      </c>
      <c r="P91" s="8">
        <v>14.571428571428571</v>
      </c>
      <c r="Q91" s="8">
        <v>13.785714285714286</v>
      </c>
      <c r="R91" s="8">
        <v>16.214285714285715</v>
      </c>
      <c r="S91" s="8">
        <v>15.928571428571429</v>
      </c>
      <c r="T91" s="8">
        <v>15.928571428571429</v>
      </c>
      <c r="U91" s="8">
        <v>16.114285714285714</v>
      </c>
      <c r="V91" s="8">
        <v>21.5</v>
      </c>
      <c r="W91" s="8">
        <v>22.014285714285712</v>
      </c>
      <c r="Y91" s="8">
        <f t="shared" si="8"/>
        <v>351.74821428571431</v>
      </c>
      <c r="Z91">
        <f t="shared" si="9"/>
        <v>-6.8454346079813497</v>
      </c>
    </row>
    <row r="92" spans="1:26" x14ac:dyDescent="0.25">
      <c r="A92" t="s">
        <v>65</v>
      </c>
      <c r="D92" s="8">
        <v>21.857142857142858</v>
      </c>
      <c r="E92" s="8">
        <v>22.642857142857142</v>
      </c>
      <c r="F92" s="8">
        <v>23.900000000000002</v>
      </c>
      <c r="G92" s="8">
        <v>21.214285714285715</v>
      </c>
      <c r="H92" s="8">
        <v>19.328571428571429</v>
      </c>
      <c r="I92" s="8">
        <v>18.571428571428573</v>
      </c>
      <c r="J92" s="8">
        <v>20.214285714285715</v>
      </c>
      <c r="K92" s="8">
        <v>19.357142857142858</v>
      </c>
      <c r="L92" s="8">
        <v>11.071428571428571</v>
      </c>
      <c r="M92" s="8">
        <v>14.257142857142856</v>
      </c>
      <c r="N92" s="8">
        <v>13.285714285714286</v>
      </c>
      <c r="O92" s="8">
        <v>16.857142857142858</v>
      </c>
      <c r="P92" s="8">
        <v>17.442857142857143</v>
      </c>
      <c r="Q92" s="8">
        <v>18.714285714285715</v>
      </c>
      <c r="R92" s="8">
        <v>17.042857142857141</v>
      </c>
      <c r="S92" s="8">
        <v>16.857142857142858</v>
      </c>
      <c r="T92" s="8">
        <v>18.214285714285715</v>
      </c>
      <c r="U92" s="8">
        <v>18.928571428571427</v>
      </c>
      <c r="V92" s="8">
        <v>19.457142857142856</v>
      </c>
      <c r="W92" s="8">
        <v>20.142857142857142</v>
      </c>
      <c r="Y92" s="8">
        <f t="shared" si="8"/>
        <v>369.35714285714289</v>
      </c>
      <c r="Z92">
        <f t="shared" si="9"/>
        <v>-6.3607132165330853</v>
      </c>
    </row>
    <row r="93" spans="1:26" x14ac:dyDescent="0.25">
      <c r="A93" t="s">
        <v>66</v>
      </c>
      <c r="D93" s="8">
        <v>17</v>
      </c>
      <c r="E93" s="8">
        <v>17</v>
      </c>
      <c r="F93" s="8">
        <v>18.214285714285715</v>
      </c>
      <c r="G93" s="8">
        <v>17.642857142857142</v>
      </c>
      <c r="H93" s="8">
        <v>17.785714285714285</v>
      </c>
      <c r="I93" s="8">
        <v>17.071428571428573</v>
      </c>
      <c r="J93" s="8">
        <v>17.928571428571427</v>
      </c>
      <c r="K93" s="8">
        <v>17.785714285714285</v>
      </c>
      <c r="L93" s="8">
        <v>14.625</v>
      </c>
      <c r="M93" s="8">
        <v>10.928571428571429</v>
      </c>
      <c r="N93" s="8">
        <v>10.542857142857143</v>
      </c>
      <c r="O93" s="8">
        <v>11.685714285714285</v>
      </c>
      <c r="P93" s="8">
        <v>13.928571428571429</v>
      </c>
      <c r="Q93" s="8">
        <v>14.857142857142858</v>
      </c>
      <c r="R93" s="8">
        <v>22.900000000000002</v>
      </c>
      <c r="S93" s="8">
        <v>22.971428571428572</v>
      </c>
      <c r="T93" s="8">
        <v>23.214285714285715</v>
      </c>
      <c r="U93" s="8">
        <v>23.214285714285715</v>
      </c>
      <c r="V93" s="8">
        <v>21.314285714285713</v>
      </c>
      <c r="W93" s="8">
        <v>21.857142857142858</v>
      </c>
      <c r="Y93" s="8">
        <f t="shared" si="8"/>
        <v>352.4678571428571</v>
      </c>
      <c r="Z93">
        <f t="shared" si="9"/>
        <v>0.68893425195267977</v>
      </c>
    </row>
    <row r="94" spans="1:26" x14ac:dyDescent="0.25">
      <c r="A94" t="s">
        <v>67</v>
      </c>
      <c r="D94" s="8">
        <v>19.614285714285717</v>
      </c>
      <c r="E94" s="8">
        <v>16.785714285714285</v>
      </c>
      <c r="F94" s="8">
        <v>16.714285714285715</v>
      </c>
      <c r="G94" s="8">
        <v>16.542857142857141</v>
      </c>
      <c r="H94" s="8">
        <v>16.757142857142856</v>
      </c>
      <c r="I94" s="8">
        <v>18.24285714285714</v>
      </c>
      <c r="J94" s="8">
        <v>17.985714285714288</v>
      </c>
      <c r="K94" s="8">
        <v>17.128571428571426</v>
      </c>
      <c r="L94" s="8">
        <v>14.1625</v>
      </c>
      <c r="M94" s="8">
        <v>10.928571428571429</v>
      </c>
      <c r="N94" s="8">
        <v>10.428571428571429</v>
      </c>
      <c r="O94" s="8">
        <v>12.928571428571429</v>
      </c>
      <c r="P94" s="8">
        <v>12.142857142857142</v>
      </c>
      <c r="Q94" s="8">
        <v>11.542857142857143</v>
      </c>
      <c r="R94" s="8">
        <v>8.6428571428571423</v>
      </c>
      <c r="S94" s="8">
        <v>9.3571428571428577</v>
      </c>
      <c r="T94" s="8">
        <v>9.2857142857142865</v>
      </c>
      <c r="U94" s="8">
        <v>10.714285714285714</v>
      </c>
      <c r="V94" s="8">
        <v>19</v>
      </c>
      <c r="W94" s="8">
        <v>21.642857142857142</v>
      </c>
      <c r="Y94" s="8">
        <f t="shared" si="8"/>
        <v>290.54821428571427</v>
      </c>
      <c r="Z94">
        <f t="shared" si="9"/>
        <v>-4.4241429665771657</v>
      </c>
    </row>
    <row r="95" spans="1:26" x14ac:dyDescent="0.2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Y95" s="8"/>
    </row>
    <row r="96" spans="1:26" x14ac:dyDescent="0.25">
      <c r="A96" t="s">
        <v>68</v>
      </c>
      <c r="D96" s="8">
        <v>14.714285714285699</v>
      </c>
      <c r="E96" s="8">
        <v>12.6428571428571</v>
      </c>
      <c r="F96" s="8">
        <v>13.5714285714286</v>
      </c>
      <c r="G96" s="8">
        <v>21.8571428571429</v>
      </c>
      <c r="H96" s="8">
        <v>14.714285714285699</v>
      </c>
      <c r="I96" s="8">
        <v>22.875</v>
      </c>
      <c r="J96" s="8">
        <v>19.1428571428571</v>
      </c>
      <c r="K96" s="8">
        <v>14.3571428571429</v>
      </c>
      <c r="L96" s="8">
        <v>11.2847222222222</v>
      </c>
      <c r="M96" s="8">
        <v>13.758461538461537</v>
      </c>
      <c r="N96" s="8">
        <v>10.847472527472499</v>
      </c>
      <c r="O96" s="8">
        <v>10.4769230769231</v>
      </c>
      <c r="P96" s="8">
        <v>14.252087912087914</v>
      </c>
      <c r="Q96" s="8">
        <v>14.534285714285714</v>
      </c>
      <c r="R96" s="8">
        <v>15.007943485086342</v>
      </c>
      <c r="S96" s="8">
        <v>16.03579277864992</v>
      </c>
      <c r="T96" s="8">
        <v>16.724018838304552</v>
      </c>
      <c r="U96" s="8">
        <v>18.165647566718995</v>
      </c>
      <c r="V96" s="8">
        <v>18.521350078492933</v>
      </c>
      <c r="W96" s="8">
        <v>19.195070643642076</v>
      </c>
      <c r="Y96" s="8">
        <f t="shared" si="8"/>
        <v>312.67877638234773</v>
      </c>
      <c r="Z96">
        <f>SUMPRODUCT($D$100:$W$100,D96:W96)</f>
        <v>0.80580119612912693</v>
      </c>
    </row>
    <row r="97" spans="1:26" x14ac:dyDescent="0.25">
      <c r="A97" t="s">
        <v>312</v>
      </c>
      <c r="D97" s="5">
        <v>19</v>
      </c>
      <c r="E97" s="5">
        <v>17.62857142857143</v>
      </c>
      <c r="F97" s="5">
        <v>12.528571428571428</v>
      </c>
      <c r="G97" s="5">
        <v>12.357142857142858</v>
      </c>
      <c r="H97" s="5">
        <v>14.285714285714286</v>
      </c>
      <c r="I97" s="5">
        <v>13.214285714285714</v>
      </c>
      <c r="J97" s="5">
        <v>13.285714285714286</v>
      </c>
      <c r="K97" s="5">
        <v>6.8571428571428568</v>
      </c>
      <c r="L97" s="8">
        <v>8.5125000000000011</v>
      </c>
      <c r="M97" s="8">
        <v>9.2999999999999989</v>
      </c>
      <c r="N97" s="8">
        <v>7.2142857142857144</v>
      </c>
      <c r="O97" s="8">
        <v>8</v>
      </c>
      <c r="P97" s="8">
        <v>9.6</v>
      </c>
      <c r="Q97" s="8">
        <v>10.5</v>
      </c>
      <c r="R97" s="8">
        <v>11.1</v>
      </c>
      <c r="S97" s="8">
        <v>6.6</v>
      </c>
      <c r="T97" s="8">
        <v>9.8000000000000007</v>
      </c>
      <c r="U97" s="8">
        <v>14.2</v>
      </c>
      <c r="V97" s="8">
        <v>19.8</v>
      </c>
      <c r="W97" s="8">
        <v>18.2</v>
      </c>
      <c r="Y97" s="8">
        <f t="shared" si="8"/>
        <v>241.98392857142858</v>
      </c>
      <c r="Z97">
        <f>SUMPRODUCT($D$100:$W$100,D97:W97)</f>
        <v>-0.46966957183505897</v>
      </c>
    </row>
    <row r="98" spans="1:26" x14ac:dyDescent="0.25">
      <c r="A98" t="s">
        <v>313</v>
      </c>
      <c r="D98" s="8">
        <v>18.399999999999999</v>
      </c>
      <c r="E98" s="8">
        <v>18.3</v>
      </c>
      <c r="F98" s="8">
        <v>12.3</v>
      </c>
      <c r="G98" s="8">
        <v>11.3</v>
      </c>
      <c r="H98" s="8">
        <v>13.6</v>
      </c>
      <c r="I98" s="8">
        <v>14.2</v>
      </c>
      <c r="J98" s="8">
        <v>14.3</v>
      </c>
      <c r="K98" s="5">
        <v>10.199999999999999</v>
      </c>
      <c r="L98" s="5">
        <v>9.4</v>
      </c>
      <c r="M98" s="5">
        <v>8.4</v>
      </c>
      <c r="N98" s="5">
        <v>8.3000000000000007</v>
      </c>
      <c r="O98" s="8">
        <v>7.3</v>
      </c>
      <c r="P98" s="8">
        <v>14.547142857142859</v>
      </c>
      <c r="Q98" s="8">
        <v>15.028730158730156</v>
      </c>
      <c r="R98" s="8">
        <v>14.95540006478782</v>
      </c>
      <c r="S98" s="8">
        <v>15.87761580822805</v>
      </c>
      <c r="T98" s="8">
        <v>16.407693553611924</v>
      </c>
      <c r="U98" s="8">
        <v>17.698476676384839</v>
      </c>
      <c r="V98" s="8">
        <v>18.446371882086165</v>
      </c>
      <c r="W98" s="8">
        <v>19.331360544217688</v>
      </c>
      <c r="Y98" s="8">
        <f t="shared" si="8"/>
        <v>278.29279154518952</v>
      </c>
      <c r="Z98">
        <f>SUMPRODUCT($D$100:$W$100,D98:W98)</f>
        <v>1.4718077292478133</v>
      </c>
    </row>
    <row r="99" spans="1:26" x14ac:dyDescent="0.25">
      <c r="A99" t="s">
        <v>676</v>
      </c>
      <c r="D99" s="8">
        <v>20.885714285714283</v>
      </c>
      <c r="E99" s="8">
        <v>21.542857142857144</v>
      </c>
      <c r="F99" s="8">
        <v>21.585714285714285</v>
      </c>
      <c r="G99" s="8">
        <v>21.8</v>
      </c>
      <c r="H99" s="8">
        <v>21.62857142857143</v>
      </c>
      <c r="I99" s="8">
        <v>16.392128279883384</v>
      </c>
      <c r="J99" s="8">
        <v>16.216909620991252</v>
      </c>
      <c r="K99" s="8">
        <v>15.67463556851312</v>
      </c>
      <c r="L99" s="8">
        <v>14.247760770975058</v>
      </c>
      <c r="M99" s="8">
        <v>13.969591836734693</v>
      </c>
      <c r="N99" s="8">
        <v>14.128775510204077</v>
      </c>
      <c r="O99" s="8">
        <v>13.504081632653063</v>
      </c>
      <c r="P99" s="8">
        <v>12.729714285714286</v>
      </c>
      <c r="Q99" s="8">
        <v>13.840571428571428</v>
      </c>
      <c r="R99" s="8">
        <v>14.8</v>
      </c>
      <c r="S99" s="8">
        <v>15</v>
      </c>
      <c r="T99" s="8">
        <v>15.998515769944341</v>
      </c>
      <c r="U99" s="8">
        <v>17.637323747680888</v>
      </c>
      <c r="V99" s="8">
        <v>18.182374768089051</v>
      </c>
      <c r="W99" s="8">
        <v>18.866901669758814</v>
      </c>
      <c r="Y99" s="8">
        <f t="shared" ref="Y99" si="10">SUM(D99:W99)</f>
        <v>338.63214203257058</v>
      </c>
      <c r="Z99">
        <f>SUMPRODUCT($D$100:$W$100,D99:W99)</f>
        <v>-8.6497311243129111</v>
      </c>
    </row>
    <row r="100" spans="1:26" x14ac:dyDescent="0.25">
      <c r="A100" s="2" t="s">
        <v>69</v>
      </c>
      <c r="D100" s="3">
        <f>CORREL($B$2:$B$26,D70:D94)</f>
        <v>-0.17125776156478892</v>
      </c>
      <c r="E100" s="3">
        <f t="shared" ref="E100:W100" si="11">CORREL($B$2:$B$26,E70:E94)</f>
        <v>-0.22669580864727676</v>
      </c>
      <c r="F100" s="3">
        <f t="shared" si="11"/>
        <v>-0.14735627447837679</v>
      </c>
      <c r="G100" s="3">
        <f t="shared" si="11"/>
        <v>-0.21894759463604938</v>
      </c>
      <c r="H100" s="3">
        <f t="shared" si="11"/>
        <v>1.4183982177398642E-2</v>
      </c>
      <c r="I100" s="3">
        <f t="shared" si="11"/>
        <v>0.30965005288314051</v>
      </c>
      <c r="J100" s="3">
        <f t="shared" si="11"/>
        <v>0.1671210416141172</v>
      </c>
      <c r="K100" s="3">
        <f t="shared" si="11"/>
        <v>-8.8735712274513004E-2</v>
      </c>
      <c r="L100" s="3">
        <f t="shared" si="11"/>
        <v>-0.3452101626260814</v>
      </c>
      <c r="M100" s="3">
        <f t="shared" si="11"/>
        <v>-0.31477377929101374</v>
      </c>
      <c r="N100" s="3">
        <f t="shared" si="11"/>
        <v>-0.19519070545354331</v>
      </c>
      <c r="O100" s="3">
        <f t="shared" si="11"/>
        <v>-0.16089997550916699</v>
      </c>
      <c r="P100" s="3">
        <f t="shared" si="11"/>
        <v>0.14011835897715663</v>
      </c>
      <c r="Q100" s="3">
        <f t="shared" si="11"/>
        <v>-0.13286455339696537</v>
      </c>
      <c r="R100" s="3">
        <f t="shared" si="11"/>
        <v>0.12690977617632396</v>
      </c>
      <c r="S100" s="3">
        <f t="shared" si="11"/>
        <v>6.0829173536271583E-2</v>
      </c>
      <c r="T100" s="3">
        <f t="shared" si="11"/>
        <v>9.8087816531405025E-3</v>
      </c>
      <c r="U100" s="3">
        <f t="shared" si="11"/>
        <v>0.18131862307764396</v>
      </c>
      <c r="V100" s="3">
        <f t="shared" si="11"/>
        <v>0.29349712483511559</v>
      </c>
      <c r="W100" s="3">
        <f t="shared" si="11"/>
        <v>0.20577119944003366</v>
      </c>
      <c r="X100" s="3"/>
    </row>
    <row r="101" spans="1:26" x14ac:dyDescent="0.25">
      <c r="P101" s="8"/>
      <c r="Q101" s="8"/>
      <c r="R101" s="8"/>
      <c r="S101" s="8"/>
      <c r="T101" s="8"/>
      <c r="U101" s="8"/>
      <c r="V101" s="8"/>
      <c r="W101" s="8"/>
    </row>
    <row r="102" spans="1:26" x14ac:dyDescent="0.25">
      <c r="P102" s="8"/>
      <c r="Q102" s="8"/>
      <c r="R102" s="8"/>
      <c r="S102" s="8"/>
      <c r="T102" s="8"/>
      <c r="U102" s="8"/>
      <c r="V102" s="8"/>
      <c r="W102" s="8"/>
    </row>
    <row r="103" spans="1:26" x14ac:dyDescent="0.25"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318</v>
      </c>
      <c r="M103" t="s">
        <v>352</v>
      </c>
      <c r="N103" t="s">
        <v>353</v>
      </c>
      <c r="O103" t="s">
        <v>354</v>
      </c>
      <c r="P103" s="8" t="s">
        <v>464</v>
      </c>
      <c r="Q103" s="8" t="s">
        <v>465</v>
      </c>
      <c r="R103" s="8" t="s">
        <v>466</v>
      </c>
      <c r="S103" s="8" t="s">
        <v>467</v>
      </c>
      <c r="T103" s="8" t="s">
        <v>576</v>
      </c>
      <c r="U103" s="8" t="s">
        <v>577</v>
      </c>
      <c r="V103" s="8" t="s">
        <v>578</v>
      </c>
      <c r="W103" s="8" t="s">
        <v>579</v>
      </c>
      <c r="Y103" t="s">
        <v>90</v>
      </c>
      <c r="Z103" t="s">
        <v>91</v>
      </c>
    </row>
    <row r="104" spans="1:26" x14ac:dyDescent="0.25">
      <c r="A104" t="s">
        <v>43</v>
      </c>
      <c r="D104" s="8">
        <v>70.105449803346787</v>
      </c>
      <c r="E104" s="8">
        <v>53.450569592705897</v>
      </c>
      <c r="F104" s="8">
        <v>58.491997816973203</v>
      </c>
      <c r="G104" s="8">
        <v>98.775432378359511</v>
      </c>
      <c r="H104" s="8">
        <v>69.948056667425291</v>
      </c>
      <c r="I104" s="8">
        <v>70.002941845414469</v>
      </c>
      <c r="J104" s="8">
        <v>70.73421821584698</v>
      </c>
      <c r="K104" s="8">
        <v>81.073317573169547</v>
      </c>
      <c r="L104" s="8">
        <v>60.437708532047459</v>
      </c>
      <c r="M104" s="8">
        <v>61.582677699225691</v>
      </c>
      <c r="N104" s="8">
        <v>70.28925983731753</v>
      </c>
      <c r="O104" s="8">
        <v>73.100664105904727</v>
      </c>
      <c r="P104" s="8">
        <v>58.522111606845201</v>
      </c>
      <c r="Q104" s="8">
        <v>74.568449736117813</v>
      </c>
      <c r="R104" s="8">
        <v>225.07505896906301</v>
      </c>
      <c r="S104" s="8">
        <v>75.020179238801347</v>
      </c>
      <c r="T104" s="8">
        <v>63.620346950344121</v>
      </c>
      <c r="U104" s="8">
        <v>62.691471087039282</v>
      </c>
      <c r="V104" s="8">
        <v>80.56909651498141</v>
      </c>
      <c r="W104" s="8">
        <v>73.531114644880589</v>
      </c>
      <c r="Y104" s="8">
        <f t="shared" ref="Y104:Y132" si="12">SUM(D104:W104)</f>
        <v>1551.5901228158095</v>
      </c>
      <c r="Z104">
        <f t="shared" ref="Z104:Z128" si="13">SUMPRODUCT($D$134:$W$134,D104:W104)</f>
        <v>-25.794457314603946</v>
      </c>
    </row>
    <row r="105" spans="1:26" x14ac:dyDescent="0.25">
      <c r="A105" t="s">
        <v>44</v>
      </c>
      <c r="D105" s="8">
        <v>55.411743976055604</v>
      </c>
      <c r="E105" s="8">
        <v>61.232209384427115</v>
      </c>
      <c r="F105" s="8">
        <v>59.942618847784424</v>
      </c>
      <c r="G105" s="8">
        <v>73.015373648512579</v>
      </c>
      <c r="H105" s="8">
        <v>66.903374431559911</v>
      </c>
      <c r="I105" s="8">
        <v>62.984484112824354</v>
      </c>
      <c r="J105" s="8">
        <v>58.983421836760613</v>
      </c>
      <c r="K105" s="8">
        <v>69.042978391031852</v>
      </c>
      <c r="L105" s="8">
        <v>63.724637305511237</v>
      </c>
      <c r="M105" s="8">
        <v>72.095803555934665</v>
      </c>
      <c r="N105" s="8">
        <v>66.028787652148381</v>
      </c>
      <c r="O105" s="8">
        <v>66.598153471669107</v>
      </c>
      <c r="P105" s="8">
        <v>61.873235861416731</v>
      </c>
      <c r="Q105" s="8">
        <v>64.750989998853626</v>
      </c>
      <c r="R105" s="8">
        <v>55.95355202256399</v>
      </c>
      <c r="S105" s="8">
        <v>65.160590569541526</v>
      </c>
      <c r="T105" s="8">
        <v>55.206439450664739</v>
      </c>
      <c r="U105" s="8">
        <v>57.778682404822561</v>
      </c>
      <c r="V105" s="8">
        <v>65.754967006187968</v>
      </c>
      <c r="W105" s="8">
        <v>75.243946183172739</v>
      </c>
      <c r="Y105" s="8">
        <f t="shared" si="12"/>
        <v>1277.6859901114437</v>
      </c>
      <c r="Z105">
        <f t="shared" si="13"/>
        <v>0.84979274319688614</v>
      </c>
    </row>
    <row r="106" spans="1:26" x14ac:dyDescent="0.25">
      <c r="A106" t="s">
        <v>45</v>
      </c>
      <c r="D106" s="8">
        <v>55.425959441505334</v>
      </c>
      <c r="E106" s="8">
        <v>51.707049864605665</v>
      </c>
      <c r="F106" s="8">
        <v>54.425436891736645</v>
      </c>
      <c r="G106" s="8">
        <v>61.801045249473688</v>
      </c>
      <c r="H106" s="8">
        <v>69.891167639869806</v>
      </c>
      <c r="I106" s="8">
        <v>54.709046375365837</v>
      </c>
      <c r="J106" s="8">
        <v>59.423432075608886</v>
      </c>
      <c r="K106" s="8">
        <v>63.95053657728878</v>
      </c>
      <c r="L106" s="8">
        <v>80.276023909542999</v>
      </c>
      <c r="M106" s="8">
        <v>55.259990888230519</v>
      </c>
      <c r="N106" s="8">
        <v>43.513671941866342</v>
      </c>
      <c r="O106" s="8">
        <v>62.796443935576441</v>
      </c>
      <c r="P106" s="8">
        <v>70.431752385040824</v>
      </c>
      <c r="Q106" s="8">
        <v>62.371000075005782</v>
      </c>
      <c r="R106" s="8">
        <v>68.501008861920624</v>
      </c>
      <c r="S106" s="8">
        <v>73.791152554941718</v>
      </c>
      <c r="T106" s="8">
        <v>66.13828241862781</v>
      </c>
      <c r="U106" s="8">
        <v>75.946002430631353</v>
      </c>
      <c r="V106" s="8">
        <v>59.722329130024541</v>
      </c>
      <c r="W106" s="8">
        <v>72.484539434883914</v>
      </c>
      <c r="Y106" s="8">
        <f t="shared" si="12"/>
        <v>1262.5658720817473</v>
      </c>
      <c r="Z106">
        <f t="shared" si="13"/>
        <v>17.024654311179209</v>
      </c>
    </row>
    <row r="107" spans="1:26" x14ac:dyDescent="0.25">
      <c r="A107" t="s">
        <v>46</v>
      </c>
      <c r="D107" s="8">
        <v>74.237982316545825</v>
      </c>
      <c r="E107" s="8">
        <v>67.034689677686501</v>
      </c>
      <c r="F107" s="8">
        <v>66.113951125606704</v>
      </c>
      <c r="G107" s="8">
        <v>69.728255213545907</v>
      </c>
      <c r="H107" s="8">
        <v>57.305592459617507</v>
      </c>
      <c r="I107" s="8">
        <v>72.591737881515456</v>
      </c>
      <c r="J107" s="8">
        <v>68.204969631891132</v>
      </c>
      <c r="K107" s="8">
        <v>64.694423927018335</v>
      </c>
      <c r="L107" s="8">
        <v>71.813478828340322</v>
      </c>
      <c r="M107" s="8">
        <v>48.920071056872359</v>
      </c>
      <c r="N107" s="8">
        <v>58.838284404770086</v>
      </c>
      <c r="O107" s="8">
        <v>55.072671948007532</v>
      </c>
      <c r="P107" s="8">
        <v>58.499085306650947</v>
      </c>
      <c r="Q107" s="8">
        <v>70.894742244211088</v>
      </c>
      <c r="R107" s="8">
        <v>62.864271910623565</v>
      </c>
      <c r="S107" s="8">
        <v>49.162197719574252</v>
      </c>
      <c r="T107" s="8">
        <v>61.055189079627119</v>
      </c>
      <c r="U107" s="8">
        <v>70.75301564273343</v>
      </c>
      <c r="V107" s="8">
        <v>59.853063620415064</v>
      </c>
      <c r="W107" s="8">
        <v>58.008758257566342</v>
      </c>
      <c r="Y107" s="8">
        <f t="shared" si="12"/>
        <v>1265.6464322528193</v>
      </c>
      <c r="Z107">
        <f t="shared" si="13"/>
        <v>4.5146276856405976</v>
      </c>
    </row>
    <row r="108" spans="1:26" x14ac:dyDescent="0.25">
      <c r="A108" t="s">
        <v>47</v>
      </c>
      <c r="D108" s="8">
        <v>61.537196301740195</v>
      </c>
      <c r="E108" s="8">
        <v>73.488664483364616</v>
      </c>
      <c r="F108" s="8">
        <v>77.36016282279482</v>
      </c>
      <c r="G108" s="8">
        <v>73.939861331024233</v>
      </c>
      <c r="H108" s="8">
        <v>69.676544314966264</v>
      </c>
      <c r="I108" s="8">
        <v>62.964859572102604</v>
      </c>
      <c r="J108" s="8">
        <v>82.205930391274691</v>
      </c>
      <c r="K108" s="8">
        <v>81.501942743924744</v>
      </c>
      <c r="L108" s="8">
        <v>65.310489681328121</v>
      </c>
      <c r="M108" s="8">
        <v>73.650390494842071</v>
      </c>
      <c r="N108" s="8">
        <v>67.04288415250231</v>
      </c>
      <c r="O108" s="8">
        <v>60.244620112908841</v>
      </c>
      <c r="P108" s="8">
        <v>74.518324674918532</v>
      </c>
      <c r="Q108" s="8">
        <v>79.526596001473337</v>
      </c>
      <c r="R108" s="8">
        <v>76.822799823362658</v>
      </c>
      <c r="S108" s="8">
        <v>60.369954387318778</v>
      </c>
      <c r="T108" s="8">
        <v>73.357113843213781</v>
      </c>
      <c r="U108" s="8">
        <v>74.128285837627473</v>
      </c>
      <c r="V108" s="8">
        <v>71.811723805174324</v>
      </c>
      <c r="W108" s="8">
        <v>51.855478782045502</v>
      </c>
      <c r="Y108" s="8">
        <f t="shared" si="12"/>
        <v>1411.3138235579081</v>
      </c>
      <c r="Z108">
        <f t="shared" si="13"/>
        <v>10.181076229831815</v>
      </c>
    </row>
    <row r="109" spans="1:26" x14ac:dyDescent="0.25">
      <c r="A109" t="s">
        <v>48</v>
      </c>
      <c r="D109" s="8">
        <v>62.818548236183474</v>
      </c>
      <c r="E109" s="8">
        <v>51.165903753267244</v>
      </c>
      <c r="F109" s="8">
        <v>51.432233903284676</v>
      </c>
      <c r="G109" s="8">
        <v>79.276559519494739</v>
      </c>
      <c r="H109" s="8">
        <v>55.069388319670011</v>
      </c>
      <c r="I109" s="8">
        <v>68.11283686458458</v>
      </c>
      <c r="J109" s="8">
        <v>67.86886107678626</v>
      </c>
      <c r="K109" s="8">
        <v>62.082748107933256</v>
      </c>
      <c r="L109" s="8">
        <v>62.415296220377272</v>
      </c>
      <c r="M109" s="8">
        <v>67.320954179278573</v>
      </c>
      <c r="N109" s="8">
        <v>68.893953463226666</v>
      </c>
      <c r="O109" s="8">
        <v>60.235567134507605</v>
      </c>
      <c r="P109" s="8">
        <v>58.085591027725549</v>
      </c>
      <c r="Q109" s="8">
        <v>43.096867617895064</v>
      </c>
      <c r="R109" s="8">
        <v>51.24743619071004</v>
      </c>
      <c r="S109" s="8">
        <v>71.764920180682523</v>
      </c>
      <c r="T109" s="8">
        <v>50.392065781250459</v>
      </c>
      <c r="U109" s="8">
        <v>53.19093341927185</v>
      </c>
      <c r="V109" s="8">
        <v>66.102129383612407</v>
      </c>
      <c r="W109" s="8">
        <v>68.042343829292193</v>
      </c>
      <c r="Y109" s="8">
        <f t="shared" si="12"/>
        <v>1218.6151382090345</v>
      </c>
      <c r="Z109">
        <f t="shared" si="13"/>
        <v>9.2875199968890598E-2</v>
      </c>
    </row>
    <row r="110" spans="1:26" x14ac:dyDescent="0.25">
      <c r="A110" t="s">
        <v>49</v>
      </c>
      <c r="D110" s="8">
        <v>68.859160785154685</v>
      </c>
      <c r="E110" s="8">
        <v>68.454256826347319</v>
      </c>
      <c r="F110" s="8">
        <v>80.624359115012354</v>
      </c>
      <c r="G110" s="8">
        <v>86.663104501331617</v>
      </c>
      <c r="H110" s="8">
        <v>92.736442331729151</v>
      </c>
      <c r="I110" s="8">
        <v>86.895604236031275</v>
      </c>
      <c r="J110" s="8">
        <v>82.533110912908555</v>
      </c>
      <c r="K110" s="8">
        <v>71.256895732425619</v>
      </c>
      <c r="L110" s="8">
        <v>73.499145738559321</v>
      </c>
      <c r="M110" s="8">
        <v>71.346687958890044</v>
      </c>
      <c r="N110" s="8">
        <v>75.587586721995351</v>
      </c>
      <c r="O110" s="8">
        <v>72.188132204317668</v>
      </c>
      <c r="P110" s="8">
        <v>71.259808603009489</v>
      </c>
      <c r="Q110" s="8">
        <v>75.503453787321533</v>
      </c>
      <c r="R110" s="8">
        <v>91.690198104074852</v>
      </c>
      <c r="S110" s="8">
        <v>82.211738103239199</v>
      </c>
      <c r="T110" s="8">
        <v>60.150094479691781</v>
      </c>
      <c r="U110" s="8">
        <v>63.154416598507758</v>
      </c>
      <c r="V110" s="8">
        <v>54.901077388964609</v>
      </c>
      <c r="W110" s="8">
        <v>71.277859406004183</v>
      </c>
      <c r="Y110" s="8">
        <f t="shared" si="12"/>
        <v>1500.7931335355161</v>
      </c>
      <c r="Z110">
        <f t="shared" si="13"/>
        <v>2.6320121029753629</v>
      </c>
    </row>
    <row r="111" spans="1:26" x14ac:dyDescent="0.25">
      <c r="A111" t="s">
        <v>50</v>
      </c>
      <c r="D111" s="8">
        <v>97.753851738951184</v>
      </c>
      <c r="E111" s="8">
        <v>77.856250831303441</v>
      </c>
      <c r="F111" s="8">
        <v>75.653410121671826</v>
      </c>
      <c r="G111" s="8">
        <v>67.866453753987273</v>
      </c>
      <c r="H111" s="8">
        <v>75.009204938699057</v>
      </c>
      <c r="I111" s="8">
        <v>74.743566142887147</v>
      </c>
      <c r="J111" s="8">
        <v>64.169005206612312</v>
      </c>
      <c r="K111" s="8">
        <v>68.372320595706086</v>
      </c>
      <c r="L111" s="8">
        <v>75.116449353900919</v>
      </c>
      <c r="M111" s="8">
        <v>70.959029492334381</v>
      </c>
      <c r="N111" s="8">
        <v>66.793875883258977</v>
      </c>
      <c r="O111" s="8">
        <v>72.410836257603322</v>
      </c>
      <c r="P111" s="8">
        <v>69.821241399243632</v>
      </c>
      <c r="Q111" s="8">
        <v>67.597118229178506</v>
      </c>
      <c r="R111" s="8">
        <v>72.512561984396839</v>
      </c>
      <c r="S111" s="8">
        <v>74.693662183033695</v>
      </c>
      <c r="T111" s="8">
        <v>69.511017320722104</v>
      </c>
      <c r="U111" s="8">
        <v>73.998067500834509</v>
      </c>
      <c r="V111" s="8">
        <v>81.245192179428457</v>
      </c>
      <c r="W111" s="8">
        <v>78.727344692528874</v>
      </c>
      <c r="Y111" s="8">
        <f t="shared" si="12"/>
        <v>1474.8104598062828</v>
      </c>
      <c r="Z111">
        <f t="shared" si="13"/>
        <v>1.0756331196854276</v>
      </c>
    </row>
    <row r="112" spans="1:26" x14ac:dyDescent="0.25">
      <c r="A112" t="s">
        <v>51</v>
      </c>
      <c r="D112" s="8">
        <v>68.513344044169244</v>
      </c>
      <c r="E112" s="8">
        <v>74.543050665728884</v>
      </c>
      <c r="F112" s="8">
        <v>77.05355800915855</v>
      </c>
      <c r="G112" s="8">
        <v>81.48514429657908</v>
      </c>
      <c r="H112" s="8">
        <v>76.908200300757287</v>
      </c>
      <c r="I112" s="8">
        <v>78.370380493390726</v>
      </c>
      <c r="J112" s="8">
        <v>80.240661951816065</v>
      </c>
      <c r="K112" s="8">
        <v>80.040863638258273</v>
      </c>
      <c r="L112" s="8">
        <v>80.196178923235919</v>
      </c>
      <c r="M112" s="8">
        <v>84.590826040365201</v>
      </c>
      <c r="N112" s="8">
        <v>77.189900430513788</v>
      </c>
      <c r="O112" s="8">
        <v>82.23739022781163</v>
      </c>
      <c r="P112" s="8">
        <v>84.8764123807196</v>
      </c>
      <c r="Q112" s="8">
        <v>154.74457265460069</v>
      </c>
      <c r="R112" s="8">
        <v>55.554913921688154</v>
      </c>
      <c r="S112" s="8">
        <v>59.299433950133015</v>
      </c>
      <c r="T112" s="8">
        <v>55.707590023030264</v>
      </c>
      <c r="U112" s="8">
        <v>59.022808254941488</v>
      </c>
      <c r="V112" s="8">
        <v>87.373475333441434</v>
      </c>
      <c r="W112" s="8">
        <v>84.742591530399679</v>
      </c>
      <c r="Y112" s="8">
        <f t="shared" si="12"/>
        <v>1582.6912970707394</v>
      </c>
      <c r="Z112">
        <f t="shared" si="13"/>
        <v>1.044592963814349</v>
      </c>
    </row>
    <row r="113" spans="1:26" x14ac:dyDescent="0.25">
      <c r="A113" t="s">
        <v>52</v>
      </c>
      <c r="D113" s="8">
        <v>83.602600036402123</v>
      </c>
      <c r="E113" s="8">
        <v>74.867671864884514</v>
      </c>
      <c r="F113" s="8">
        <v>77.899206857094484</v>
      </c>
      <c r="G113" s="8">
        <v>79.914155215690997</v>
      </c>
      <c r="H113" s="8">
        <v>72.96545930932534</v>
      </c>
      <c r="I113" s="8">
        <v>68.214737761416814</v>
      </c>
      <c r="J113" s="8">
        <v>68.245516536221984</v>
      </c>
      <c r="K113" s="8">
        <v>69.436536402130002</v>
      </c>
      <c r="L113" s="8">
        <v>71.4373151439666</v>
      </c>
      <c r="M113" s="8">
        <v>78.531944925899737</v>
      </c>
      <c r="N113" s="8">
        <v>77.640056357986722</v>
      </c>
      <c r="O113" s="8">
        <v>78.397512241654226</v>
      </c>
      <c r="P113" s="8">
        <v>82.471765264962102</v>
      </c>
      <c r="Q113" s="8">
        <v>76.156209143216628</v>
      </c>
      <c r="R113" s="8">
        <v>79.744756451680317</v>
      </c>
      <c r="S113" s="8">
        <v>80.72756270282153</v>
      </c>
      <c r="T113" s="8">
        <v>75.830071243303749</v>
      </c>
      <c r="U113" s="8">
        <v>81.271754286021334</v>
      </c>
      <c r="V113" s="8">
        <v>75.645213418616706</v>
      </c>
      <c r="W113" s="8">
        <v>78.749244007884016</v>
      </c>
      <c r="Y113" s="8">
        <f t="shared" si="12"/>
        <v>1531.7492891711802</v>
      </c>
      <c r="Z113">
        <f t="shared" si="13"/>
        <v>2.1224061146747992</v>
      </c>
    </row>
    <row r="114" spans="1:26" x14ac:dyDescent="0.25">
      <c r="A114" t="s">
        <v>53</v>
      </c>
      <c r="D114" s="8">
        <v>78.927898055354845</v>
      </c>
      <c r="E114" s="8">
        <v>75.24787000958581</v>
      </c>
      <c r="F114" s="8">
        <v>82.075164243725709</v>
      </c>
      <c r="G114" s="8">
        <v>70.99897554697263</v>
      </c>
      <c r="H114" s="8">
        <v>79.284162090047857</v>
      </c>
      <c r="I114" s="8">
        <v>80.707132407283652</v>
      </c>
      <c r="J114" s="8">
        <v>82.567486908846035</v>
      </c>
      <c r="K114" s="8">
        <v>82.609481226792468</v>
      </c>
      <c r="L114" s="8">
        <v>78.579529066208025</v>
      </c>
      <c r="M114" s="8">
        <v>80.836543022391112</v>
      </c>
      <c r="N114" s="8">
        <v>74.777327228001823</v>
      </c>
      <c r="O114" s="8">
        <v>75.834315421570523</v>
      </c>
      <c r="P114" s="8">
        <v>78.866841786610365</v>
      </c>
      <c r="Q114" s="8">
        <v>72.047190299328904</v>
      </c>
      <c r="R114" s="8">
        <v>77.915660387114116</v>
      </c>
      <c r="S114" s="8">
        <v>77.695888493360911</v>
      </c>
      <c r="T114" s="8">
        <v>78.18166991870298</v>
      </c>
      <c r="U114" s="8">
        <v>80.859429792908699</v>
      </c>
      <c r="V114" s="8">
        <v>78.285359181137551</v>
      </c>
      <c r="W114" s="8">
        <v>80.237751532146973</v>
      </c>
      <c r="Y114" s="8">
        <f t="shared" si="12"/>
        <v>1566.535676618091</v>
      </c>
      <c r="Z114">
        <f t="shared" si="13"/>
        <v>10.266791949476556</v>
      </c>
    </row>
    <row r="115" spans="1:26" x14ac:dyDescent="0.25">
      <c r="A115" t="s">
        <v>54</v>
      </c>
      <c r="D115" s="8">
        <v>86.252808710595744</v>
      </c>
      <c r="E115" s="8">
        <v>51.383803098016706</v>
      </c>
      <c r="F115" s="8">
        <v>55.020968699514427</v>
      </c>
      <c r="G115" s="8">
        <v>65.963443443390176</v>
      </c>
      <c r="H115" s="8">
        <v>76.908200300757287</v>
      </c>
      <c r="I115" s="8">
        <v>65.486045680085425</v>
      </c>
      <c r="J115" s="8">
        <v>70.741416970821618</v>
      </c>
      <c r="K115" s="8">
        <v>60.423669874001838</v>
      </c>
      <c r="L115" s="8">
        <v>62.371769335525606</v>
      </c>
      <c r="M115" s="8">
        <v>63.613178779235945</v>
      </c>
      <c r="N115" s="8">
        <v>54.581006420297918</v>
      </c>
      <c r="O115" s="8">
        <v>67.320954179278573</v>
      </c>
      <c r="P115" s="8">
        <v>61.167446051788509</v>
      </c>
      <c r="Q115" s="8">
        <v>66.503905756801871</v>
      </c>
      <c r="R115" s="8">
        <v>49.162197719574252</v>
      </c>
      <c r="S115" s="8">
        <v>62.864271910623565</v>
      </c>
      <c r="T115" s="8">
        <v>70.308001831928649</v>
      </c>
      <c r="U115" s="8">
        <v>56.740626183766935</v>
      </c>
      <c r="V115" s="8">
        <v>58.071136060687145</v>
      </c>
      <c r="W115" s="8">
        <v>47.92856137533014</v>
      </c>
      <c r="Y115" s="8">
        <f t="shared" si="12"/>
        <v>1252.8134123820223</v>
      </c>
      <c r="Z115">
        <f t="shared" si="13"/>
        <v>17.251966477221227</v>
      </c>
    </row>
    <row r="116" spans="1:26" x14ac:dyDescent="0.25">
      <c r="A116" t="s">
        <v>55</v>
      </c>
      <c r="D116" s="8">
        <v>70.941274683190315</v>
      </c>
      <c r="E116" s="8">
        <v>81.411947310955583</v>
      </c>
      <c r="F116" s="8">
        <v>69.275304533774218</v>
      </c>
      <c r="G116" s="8">
        <v>59.981892900975275</v>
      </c>
      <c r="H116" s="8">
        <v>54.258901763803102</v>
      </c>
      <c r="I116" s="8">
        <v>51.482072833394007</v>
      </c>
      <c r="J116" s="8">
        <v>54.272954172126894</v>
      </c>
      <c r="K116" s="8">
        <v>60.214578331190907</v>
      </c>
      <c r="L116" s="8">
        <v>51.54442144449601</v>
      </c>
      <c r="M116" s="8">
        <v>56.233012851069347</v>
      </c>
      <c r="N116" s="8">
        <v>55.39851248139751</v>
      </c>
      <c r="O116" s="8">
        <v>49.184688770631574</v>
      </c>
      <c r="P116" s="8">
        <v>56.611778876985113</v>
      </c>
      <c r="Q116" s="8">
        <v>64.560145589410169</v>
      </c>
      <c r="R116" s="8">
        <v>64.858879196654229</v>
      </c>
      <c r="S116" s="8">
        <v>63.772056210629316</v>
      </c>
      <c r="T116" s="8">
        <v>16.355898303819988</v>
      </c>
      <c r="U116" s="8">
        <v>68.504559332566032</v>
      </c>
      <c r="V116" s="8">
        <v>64.901623523657307</v>
      </c>
      <c r="W116" s="8">
        <v>77.161259775505272</v>
      </c>
      <c r="Y116" s="8">
        <f t="shared" si="12"/>
        <v>1190.925762886232</v>
      </c>
      <c r="Z116">
        <f t="shared" si="13"/>
        <v>-30.484123339625881</v>
      </c>
    </row>
    <row r="117" spans="1:26" x14ac:dyDescent="0.25">
      <c r="A117" t="s">
        <v>56</v>
      </c>
      <c r="D117" s="8">
        <v>55.134622575611722</v>
      </c>
      <c r="E117" s="8">
        <v>67.907249365282638</v>
      </c>
      <c r="F117" s="8">
        <v>63.232710624157406</v>
      </c>
      <c r="G117" s="8">
        <v>67.694320394053861</v>
      </c>
      <c r="H117" s="8">
        <v>66.709607764523724</v>
      </c>
      <c r="I117" s="8">
        <v>52.001770740616465</v>
      </c>
      <c r="J117" s="8">
        <v>57.67349927254385</v>
      </c>
      <c r="K117" s="8">
        <v>57.628401155517267</v>
      </c>
      <c r="L117" s="8">
        <v>52.489632593209436</v>
      </c>
      <c r="M117" s="8">
        <v>52.116789059426921</v>
      </c>
      <c r="N117" s="8">
        <v>60.80325991164635</v>
      </c>
      <c r="O117" s="8">
        <v>63.095582376548961</v>
      </c>
      <c r="P117" s="8">
        <v>52.4824308559486</v>
      </c>
      <c r="Q117" s="8">
        <v>47.471599165485124</v>
      </c>
      <c r="R117" s="8">
        <v>52.826733275153948</v>
      </c>
      <c r="S117" s="8">
        <v>62.863214532583648</v>
      </c>
      <c r="T117" s="8">
        <v>59.656500007489299</v>
      </c>
      <c r="U117" s="8">
        <v>56.305896924922557</v>
      </c>
      <c r="V117" s="8">
        <v>60.506567549930033</v>
      </c>
      <c r="W117" s="8">
        <v>65.412469137933044</v>
      </c>
      <c r="Y117" s="8">
        <f t="shared" si="12"/>
        <v>1174.0128572825847</v>
      </c>
      <c r="Z117">
        <f t="shared" si="13"/>
        <v>-7.8170349869960631E-2</v>
      </c>
    </row>
    <row r="118" spans="1:26" x14ac:dyDescent="0.25">
      <c r="A118" t="s">
        <v>57</v>
      </c>
      <c r="D118" s="8">
        <v>58.140194732801653</v>
      </c>
      <c r="E118" s="8">
        <v>52.076566270868099</v>
      </c>
      <c r="F118" s="8">
        <v>49.845368858424742</v>
      </c>
      <c r="G118" s="8">
        <v>60.803959200338475</v>
      </c>
      <c r="H118" s="8">
        <v>46.686950327958051</v>
      </c>
      <c r="I118" s="8">
        <v>38.825158270783774</v>
      </c>
      <c r="J118" s="8">
        <v>54.236170572495489</v>
      </c>
      <c r="K118" s="8">
        <v>58.903836201911886</v>
      </c>
      <c r="L118" s="8">
        <v>44.433779242021039</v>
      </c>
      <c r="M118" s="8">
        <v>53.537190686592794</v>
      </c>
      <c r="N118" s="8">
        <v>60.622111370697112</v>
      </c>
      <c r="O118" s="8">
        <v>51.996815571175468</v>
      </c>
      <c r="P118" s="8">
        <v>33.737949905085202</v>
      </c>
      <c r="Q118" s="8">
        <v>30.843922846233987</v>
      </c>
      <c r="R118" s="8">
        <v>36.89663105404869</v>
      </c>
      <c r="S118" s="8">
        <v>42.65777332066672</v>
      </c>
      <c r="T118" s="8">
        <v>48.28417968041078</v>
      </c>
      <c r="U118" s="8">
        <v>38.534662359805793</v>
      </c>
      <c r="V118" s="8">
        <v>44.300306432125865</v>
      </c>
      <c r="W118" s="8">
        <v>50.575619325719991</v>
      </c>
      <c r="Y118" s="8">
        <f t="shared" si="12"/>
        <v>955.93914623016576</v>
      </c>
      <c r="Z118">
        <f t="shared" si="13"/>
        <v>-3.3291773344663689</v>
      </c>
    </row>
    <row r="119" spans="1:26" x14ac:dyDescent="0.25">
      <c r="A119" t="s">
        <v>58</v>
      </c>
      <c r="D119" s="8">
        <v>61.683265507461194</v>
      </c>
      <c r="E119" s="8">
        <v>63.264742995712879</v>
      </c>
      <c r="F119" s="8">
        <v>48.840469301068467</v>
      </c>
      <c r="G119" s="8">
        <v>46.228475429744584</v>
      </c>
      <c r="H119" s="8">
        <v>43.401101573848926</v>
      </c>
      <c r="I119" s="8">
        <v>54.569103160489909</v>
      </c>
      <c r="J119" s="8">
        <v>41.787820849006536</v>
      </c>
      <c r="K119" s="8">
        <v>59.907207631919697</v>
      </c>
      <c r="L119" s="8">
        <v>60.17585774159582</v>
      </c>
      <c r="M119" s="8">
        <v>46.557765585189152</v>
      </c>
      <c r="N119" s="8">
        <v>39.96779872905028</v>
      </c>
      <c r="O119" s="8">
        <v>38.794688465716256</v>
      </c>
      <c r="P119" s="8">
        <v>45.441082769084588</v>
      </c>
      <c r="Q119" s="8">
        <v>54.274502087973893</v>
      </c>
      <c r="R119" s="8">
        <v>51.669381897583698</v>
      </c>
      <c r="S119" s="8">
        <v>45.943399232933906</v>
      </c>
      <c r="T119" s="8">
        <v>61.459290395829903</v>
      </c>
      <c r="U119" s="8">
        <v>53.191674935678911</v>
      </c>
      <c r="V119" s="8">
        <v>32.494844551754539</v>
      </c>
      <c r="W119" s="8">
        <v>55.282651838848736</v>
      </c>
      <c r="Y119" s="8">
        <f t="shared" si="12"/>
        <v>1004.9351246804919</v>
      </c>
      <c r="Z119">
        <f t="shared" si="13"/>
        <v>10.333169784632819</v>
      </c>
    </row>
    <row r="120" spans="1:26" x14ac:dyDescent="0.25">
      <c r="A120" t="s">
        <v>59</v>
      </c>
      <c r="D120" s="8">
        <v>60.190953070837253</v>
      </c>
      <c r="E120" s="8">
        <v>64.304528679154757</v>
      </c>
      <c r="F120" s="8">
        <v>57.089183234188027</v>
      </c>
      <c r="G120" s="8">
        <v>57.525096385795791</v>
      </c>
      <c r="H120" s="8">
        <v>55.898359345998273</v>
      </c>
      <c r="I120" s="8">
        <v>61.524124263102145</v>
      </c>
      <c r="J120" s="8">
        <v>56.498232610900921</v>
      </c>
      <c r="K120" s="8">
        <v>59.140191578322849</v>
      </c>
      <c r="L120" s="8">
        <v>61.052886645537008</v>
      </c>
      <c r="M120" s="8">
        <v>54.450900703038258</v>
      </c>
      <c r="N120" s="8">
        <v>57.017435618818823</v>
      </c>
      <c r="O120" s="8">
        <v>58.568537053354547</v>
      </c>
      <c r="P120" s="8">
        <v>56.897820392359776</v>
      </c>
      <c r="Q120" s="8">
        <v>54.845316993654663</v>
      </c>
      <c r="R120" s="8">
        <v>58.339611624951417</v>
      </c>
      <c r="S120" s="8">
        <v>60.437121034019924</v>
      </c>
      <c r="T120" s="8">
        <v>60.299717384695214</v>
      </c>
      <c r="U120" s="8">
        <v>54.4173105119933</v>
      </c>
      <c r="V120" s="8">
        <v>58.126519454061089</v>
      </c>
      <c r="W120" s="8">
        <v>54.411196802052679</v>
      </c>
      <c r="Y120" s="8">
        <f t="shared" si="12"/>
        <v>1161.0350433868368</v>
      </c>
      <c r="Z120">
        <f t="shared" si="13"/>
        <v>9.0128511345738129</v>
      </c>
    </row>
    <row r="121" spans="1:26" x14ac:dyDescent="0.25">
      <c r="A121" t="s">
        <v>60</v>
      </c>
      <c r="D121" s="8">
        <v>57.480675922396117</v>
      </c>
      <c r="E121" s="8">
        <v>61.085249703844909</v>
      </c>
      <c r="F121" s="8">
        <v>54.892558365277011</v>
      </c>
      <c r="G121" s="8">
        <v>57.317752741523705</v>
      </c>
      <c r="H121" s="8">
        <v>55.642214676802141</v>
      </c>
      <c r="I121" s="8">
        <v>61.941118973320386</v>
      </c>
      <c r="J121" s="8">
        <v>56.86496366001866</v>
      </c>
      <c r="K121" s="8">
        <v>57.71690174023265</v>
      </c>
      <c r="L121" s="8">
        <v>60.363313632039969</v>
      </c>
      <c r="M121" s="8">
        <v>59.793905292724048</v>
      </c>
      <c r="N121" s="8">
        <v>55.438830946844348</v>
      </c>
      <c r="O121" s="8">
        <v>63.835669575677414</v>
      </c>
      <c r="P121" s="8">
        <v>59.699965951078866</v>
      </c>
      <c r="Q121" s="8">
        <v>61.205484983831347</v>
      </c>
      <c r="R121" s="8">
        <v>85.062132634738006</v>
      </c>
      <c r="S121" s="8">
        <v>82.148523622299123</v>
      </c>
      <c r="T121" s="8">
        <v>75.783811549974203</v>
      </c>
      <c r="U121" s="8">
        <v>59.381894700501256</v>
      </c>
      <c r="V121" s="8">
        <v>57.607929657938023</v>
      </c>
      <c r="W121" s="8">
        <v>55.016208949616718</v>
      </c>
      <c r="Y121" s="8">
        <f t="shared" si="12"/>
        <v>1238.2791072806788</v>
      </c>
      <c r="Z121">
        <f t="shared" si="13"/>
        <v>16.167574832987505</v>
      </c>
    </row>
    <row r="122" spans="1:26" x14ac:dyDescent="0.25">
      <c r="A122" t="s">
        <v>61</v>
      </c>
      <c r="D122" s="8">
        <v>73.742338813042892</v>
      </c>
      <c r="E122" s="8">
        <v>80.40092355570404</v>
      </c>
      <c r="F122" s="8">
        <v>68.072307578743107</v>
      </c>
      <c r="G122" s="8">
        <v>58.561814607156215</v>
      </c>
      <c r="H122" s="8">
        <v>57.179082691978913</v>
      </c>
      <c r="I122" s="8">
        <v>59.439150712010935</v>
      </c>
      <c r="J122" s="8">
        <v>54.664577365312304</v>
      </c>
      <c r="K122" s="8">
        <v>66.256640768773792</v>
      </c>
      <c r="L122" s="8">
        <v>64.500751713022225</v>
      </c>
      <c r="M122" s="8">
        <v>56.740929963433025</v>
      </c>
      <c r="N122" s="8">
        <v>55.831049365006514</v>
      </c>
      <c r="O122" s="8">
        <v>67.252819325552437</v>
      </c>
      <c r="P122" s="8">
        <v>62.069107124749117</v>
      </c>
      <c r="Q122" s="8">
        <v>61.382909339522072</v>
      </c>
      <c r="R122" s="8">
        <v>66.131112532818591</v>
      </c>
      <c r="S122" s="8">
        <v>82.119666292791891</v>
      </c>
      <c r="T122" s="8">
        <v>76.712533886938601</v>
      </c>
      <c r="U122" s="8">
        <v>44.518457613828502</v>
      </c>
      <c r="V122" s="8">
        <v>58.062303966031209</v>
      </c>
      <c r="W122" s="8">
        <v>48.831550451923377</v>
      </c>
      <c r="Y122" s="8">
        <f t="shared" si="12"/>
        <v>1262.47002766834</v>
      </c>
      <c r="Z122">
        <f t="shared" si="13"/>
        <v>18.158549147531687</v>
      </c>
    </row>
    <row r="123" spans="1:26" x14ac:dyDescent="0.25">
      <c r="A123" t="s">
        <v>62</v>
      </c>
      <c r="D123" s="8">
        <v>54.571984745855275</v>
      </c>
      <c r="E123" s="8">
        <v>57.257980053963813</v>
      </c>
      <c r="F123" s="8">
        <v>47.867264634432317</v>
      </c>
      <c r="G123" s="8">
        <v>48.45954274958239</v>
      </c>
      <c r="H123" s="8">
        <v>47.71774740049807</v>
      </c>
      <c r="I123" s="8">
        <v>66.728536187334399</v>
      </c>
      <c r="J123" s="8">
        <v>59.143323583499964</v>
      </c>
      <c r="K123" s="8">
        <v>55.722957986677116</v>
      </c>
      <c r="L123" s="8">
        <v>61.575210902796542</v>
      </c>
      <c r="M123" s="8">
        <v>50.775163773947327</v>
      </c>
      <c r="N123" s="8">
        <v>56.913575152582659</v>
      </c>
      <c r="O123" s="8">
        <v>57.100735125482132</v>
      </c>
      <c r="P123" s="8">
        <v>59.985476868204458</v>
      </c>
      <c r="Q123" s="8">
        <v>57.550750150782378</v>
      </c>
      <c r="R123" s="8">
        <v>60.059752932083519</v>
      </c>
      <c r="S123" s="8">
        <v>58.860637714005591</v>
      </c>
      <c r="T123" s="8">
        <v>59.398690523630172</v>
      </c>
      <c r="U123" s="8">
        <v>61.613982924674765</v>
      </c>
      <c r="V123" s="8">
        <v>56.45135821863461</v>
      </c>
      <c r="W123" s="8">
        <v>60.182105888292085</v>
      </c>
      <c r="Y123" s="8">
        <f t="shared" si="12"/>
        <v>1137.9367775169599</v>
      </c>
      <c r="Z123">
        <f t="shared" si="13"/>
        <v>11.070029186042866</v>
      </c>
    </row>
    <row r="124" spans="1:26" x14ac:dyDescent="0.25">
      <c r="A124" t="s">
        <v>63</v>
      </c>
      <c r="D124" s="8">
        <v>61.325358369036834</v>
      </c>
      <c r="E124" s="8">
        <v>49.31336235276018</v>
      </c>
      <c r="F124" s="8">
        <v>53.659550330117291</v>
      </c>
      <c r="G124" s="8">
        <v>57.965708529280001</v>
      </c>
      <c r="H124" s="8">
        <v>57.621571587500675</v>
      </c>
      <c r="I124" s="8">
        <v>61.362776047991488</v>
      </c>
      <c r="J124" s="8">
        <v>60.734679525338493</v>
      </c>
      <c r="K124" s="8">
        <v>69.097022912125183</v>
      </c>
      <c r="L124" s="8">
        <v>72.648921251516157</v>
      </c>
      <c r="M124" s="8">
        <v>50.852268635118797</v>
      </c>
      <c r="N124" s="8">
        <v>55.179633131703511</v>
      </c>
      <c r="O124" s="8">
        <v>54.693343218961559</v>
      </c>
      <c r="P124" s="8">
        <v>56.650303990701033</v>
      </c>
      <c r="Q124" s="8">
        <v>51.880293753201933</v>
      </c>
      <c r="R124" s="8">
        <v>54.965830007632441</v>
      </c>
      <c r="S124" s="8">
        <v>60.003138253908055</v>
      </c>
      <c r="T124" s="8">
        <v>58.811611933537847</v>
      </c>
      <c r="U124" s="8">
        <v>56.860758361308356</v>
      </c>
      <c r="V124" s="8">
        <v>56.021388238211742</v>
      </c>
      <c r="W124" s="8">
        <v>52.243771315290886</v>
      </c>
      <c r="Y124" s="8">
        <f t="shared" si="12"/>
        <v>1151.8912917452424</v>
      </c>
      <c r="Z124">
        <f t="shared" si="13"/>
        <v>16.095100705848289</v>
      </c>
    </row>
    <row r="125" spans="1:26" x14ac:dyDescent="0.25">
      <c r="A125" t="s">
        <v>64</v>
      </c>
      <c r="D125" s="8">
        <v>57.948772035686623</v>
      </c>
      <c r="E125" s="8">
        <v>64.189656444780468</v>
      </c>
      <c r="F125" s="8">
        <v>53.12921321905452</v>
      </c>
      <c r="G125" s="8">
        <v>64.793078823946288</v>
      </c>
      <c r="H125" s="8">
        <v>52.720102806315211</v>
      </c>
      <c r="I125" s="8">
        <v>63.972362399333811</v>
      </c>
      <c r="J125" s="8">
        <v>57.843436701931019</v>
      </c>
      <c r="K125" s="8">
        <v>60.843791091834554</v>
      </c>
      <c r="L125" s="8">
        <v>59.606973394991705</v>
      </c>
      <c r="M125" s="8">
        <v>58.247698680283023</v>
      </c>
      <c r="N125" s="8">
        <v>60.277147347711981</v>
      </c>
      <c r="O125" s="8">
        <v>59.92552828686263</v>
      </c>
      <c r="P125" s="8">
        <v>55.915233784082957</v>
      </c>
      <c r="Q125" s="8">
        <v>54.4943245670121</v>
      </c>
      <c r="R125" s="8">
        <v>54.090289731045459</v>
      </c>
      <c r="S125" s="8">
        <v>52.444929791288054</v>
      </c>
      <c r="T125" s="8">
        <v>56.536213104008844</v>
      </c>
      <c r="U125" s="8">
        <v>53.837845823515337</v>
      </c>
      <c r="V125" s="8">
        <v>57.641377967760242</v>
      </c>
      <c r="W125" s="8">
        <v>50.870256283395747</v>
      </c>
      <c r="Y125" s="8">
        <f t="shared" si="12"/>
        <v>1149.3282322848406</v>
      </c>
      <c r="Z125">
        <f t="shared" si="13"/>
        <v>6.4152255634760849</v>
      </c>
    </row>
    <row r="126" spans="1:26" x14ac:dyDescent="0.25">
      <c r="A126" t="s">
        <v>65</v>
      </c>
      <c r="D126" s="8">
        <v>63.135414915468353</v>
      </c>
      <c r="E126" s="8">
        <v>76.002199397288976</v>
      </c>
      <c r="F126" s="8">
        <v>61.408550557306455</v>
      </c>
      <c r="G126" s="8">
        <v>59.714878145272657</v>
      </c>
      <c r="H126" s="8">
        <v>63.211173394016264</v>
      </c>
      <c r="I126" s="8">
        <v>72.163870757796204</v>
      </c>
      <c r="J126" s="8">
        <v>59.229366359192895</v>
      </c>
      <c r="K126" s="8">
        <v>56.477061337727797</v>
      </c>
      <c r="L126" s="8">
        <v>59.173922313207832</v>
      </c>
      <c r="M126" s="8">
        <v>55.638442462409117</v>
      </c>
      <c r="N126" s="8">
        <v>56.88577309708942</v>
      </c>
      <c r="O126" s="8">
        <v>53.870259309913983</v>
      </c>
      <c r="P126" s="8">
        <v>49.868980194061336</v>
      </c>
      <c r="Q126" s="8">
        <v>48.918307157754825</v>
      </c>
      <c r="R126" s="8">
        <v>56.451072921177065</v>
      </c>
      <c r="S126" s="8">
        <v>48.757233118106022</v>
      </c>
      <c r="T126" s="8">
        <v>50.039537475360589</v>
      </c>
      <c r="U126" s="8">
        <v>55.255507836639531</v>
      </c>
      <c r="V126" s="8">
        <v>62.456168879667636</v>
      </c>
      <c r="W126" s="8">
        <v>59.928300071361306</v>
      </c>
      <c r="Y126" s="8">
        <f t="shared" si="12"/>
        <v>1168.5860197008183</v>
      </c>
      <c r="Z126">
        <f t="shared" si="13"/>
        <v>-2.1039927193744372</v>
      </c>
    </row>
    <row r="127" spans="1:26" x14ac:dyDescent="0.25">
      <c r="A127" t="s">
        <v>66</v>
      </c>
      <c r="D127" s="8">
        <v>50.421849545933526</v>
      </c>
      <c r="E127" s="8">
        <v>58.6630502704311</v>
      </c>
      <c r="F127" s="8">
        <v>58.398213085474467</v>
      </c>
      <c r="G127" s="8">
        <v>55.655555459537176</v>
      </c>
      <c r="H127" s="8">
        <v>56.940478195680491</v>
      </c>
      <c r="I127" s="8">
        <v>45.478049474146012</v>
      </c>
      <c r="J127" s="8">
        <v>47.374012130130907</v>
      </c>
      <c r="K127" s="8">
        <v>46.443675372798609</v>
      </c>
      <c r="L127" s="8">
        <v>48.811540297687586</v>
      </c>
      <c r="M127" s="8">
        <v>49.795672039602827</v>
      </c>
      <c r="N127" s="8">
        <v>48.813304847159081</v>
      </c>
      <c r="O127" s="8">
        <v>56.744832866758891</v>
      </c>
      <c r="P127" s="8">
        <v>56.090019958248149</v>
      </c>
      <c r="Q127" s="8">
        <v>45.999138027889337</v>
      </c>
      <c r="R127" s="8">
        <v>49.817837043275041</v>
      </c>
      <c r="S127" s="8">
        <v>52.534361987980112</v>
      </c>
      <c r="T127" s="8">
        <v>58.882537138523652</v>
      </c>
      <c r="U127" s="8">
        <v>52.301026493452291</v>
      </c>
      <c r="V127" s="8">
        <v>50.703356566734932</v>
      </c>
      <c r="W127" s="8">
        <v>50.38504633244213</v>
      </c>
      <c r="Y127" s="8">
        <f t="shared" si="12"/>
        <v>1040.2535571338863</v>
      </c>
      <c r="Z127">
        <f t="shared" si="13"/>
        <v>6.7807203780761309</v>
      </c>
    </row>
    <row r="128" spans="1:26" ht="14.25" customHeight="1" x14ac:dyDescent="0.25">
      <c r="A128" t="s">
        <v>67</v>
      </c>
      <c r="D128" s="8">
        <v>47.473402670679086</v>
      </c>
      <c r="E128" s="8">
        <v>54.154392327531205</v>
      </c>
      <c r="F128" s="8">
        <v>57.183352312637517</v>
      </c>
      <c r="G128" s="8">
        <v>53.135348222972915</v>
      </c>
      <c r="H128" s="8">
        <v>53.291659282908576</v>
      </c>
      <c r="I128" s="8">
        <v>48.175684505944155</v>
      </c>
      <c r="J128" s="8">
        <v>49.068219702114448</v>
      </c>
      <c r="K128" s="8">
        <v>49.043526468948706</v>
      </c>
      <c r="L128" s="8">
        <v>48.313987378152618</v>
      </c>
      <c r="M128" s="8">
        <v>53.170936647703911</v>
      </c>
      <c r="N128" s="8">
        <v>51.140022082475703</v>
      </c>
      <c r="O128" s="8">
        <v>58.325922553789198</v>
      </c>
      <c r="P128" s="8">
        <v>51.089532230218289</v>
      </c>
      <c r="Q128" s="8">
        <v>50.234881859008134</v>
      </c>
      <c r="R128" s="8">
        <v>49.598302952176397</v>
      </c>
      <c r="S128" s="8">
        <v>50.768581378111534</v>
      </c>
      <c r="T128" s="8">
        <v>52.822258297244893</v>
      </c>
      <c r="U128" s="8">
        <v>53.63679845414493</v>
      </c>
      <c r="V128" s="8">
        <v>62.373928076618938</v>
      </c>
      <c r="W128" s="8">
        <v>56.487773806918149</v>
      </c>
      <c r="Y128" s="8">
        <f t="shared" si="12"/>
        <v>1049.4885112102993</v>
      </c>
      <c r="Z128">
        <f t="shared" si="13"/>
        <v>2.2186917019728973</v>
      </c>
    </row>
    <row r="129" spans="1:26" ht="14.25" customHeight="1" x14ac:dyDescent="0.2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Y129" s="8"/>
    </row>
    <row r="130" spans="1:26" x14ac:dyDescent="0.25">
      <c r="A130" t="s">
        <v>68</v>
      </c>
      <c r="D130" s="8">
        <v>58.386999324648741</v>
      </c>
      <c r="E130" s="8">
        <v>54.338162957678051</v>
      </c>
      <c r="F130" s="8">
        <v>52.464250917743051</v>
      </c>
      <c r="G130" s="8">
        <v>55.248637421714065</v>
      </c>
      <c r="H130" s="8">
        <v>55.8078244244739</v>
      </c>
      <c r="I130" s="8">
        <v>47.056072158431498</v>
      </c>
      <c r="J130" s="8">
        <v>43.797073651889697</v>
      </c>
      <c r="K130" s="8">
        <v>42.276654092130002</v>
      </c>
      <c r="L130" s="8">
        <v>45.062272289915697</v>
      </c>
      <c r="M130" s="8">
        <v>54.488686039390046</v>
      </c>
      <c r="N130" s="8">
        <v>55.209956801538887</v>
      </c>
      <c r="O130" s="8">
        <v>57.10649647122419</v>
      </c>
      <c r="P130" s="8">
        <v>54.355199747875204</v>
      </c>
      <c r="Q130" s="8">
        <v>53.840815416888745</v>
      </c>
      <c r="R130" s="8">
        <v>56.948574043902802</v>
      </c>
      <c r="S130" s="8">
        <v>59.646640540141227</v>
      </c>
      <c r="T130" s="8">
        <v>67.886809478165205</v>
      </c>
      <c r="U130" s="8">
        <v>54.728015692511804</v>
      </c>
      <c r="V130" s="8">
        <v>55.180375466707261</v>
      </c>
      <c r="W130" s="8">
        <v>46.017615195977903</v>
      </c>
      <c r="Y130" s="8">
        <f t="shared" si="12"/>
        <v>1069.847132132948</v>
      </c>
      <c r="Z130">
        <f>SUMPRODUCT($D$134:$W$134,D130:W130)</f>
        <v>8.8947099656582846</v>
      </c>
    </row>
    <row r="131" spans="1:26" x14ac:dyDescent="0.25">
      <c r="A131" t="s">
        <v>312</v>
      </c>
      <c r="D131" s="8">
        <v>78.900942711273473</v>
      </c>
      <c r="E131" s="8">
        <v>82.543536711199849</v>
      </c>
      <c r="F131" s="8">
        <v>70.021634350683868</v>
      </c>
      <c r="G131" s="8">
        <v>79.711977224957764</v>
      </c>
      <c r="H131" s="8">
        <v>86.207022470541219</v>
      </c>
      <c r="I131" s="8">
        <v>89.436744233736036</v>
      </c>
      <c r="J131" s="8">
        <v>92.055102211343495</v>
      </c>
      <c r="K131" s="8">
        <v>95.56068752095851</v>
      </c>
      <c r="L131" s="8">
        <v>70.139474028271067</v>
      </c>
      <c r="M131" s="8">
        <v>69.994946050586663</v>
      </c>
      <c r="N131" s="8">
        <v>70.730138764546794</v>
      </c>
      <c r="O131" s="8">
        <v>78.290481063294536</v>
      </c>
      <c r="P131" s="8">
        <v>88</v>
      </c>
      <c r="Q131" s="8">
        <v>84.9</v>
      </c>
      <c r="R131" s="8">
        <v>87.1</v>
      </c>
      <c r="S131" s="8">
        <v>46.7</v>
      </c>
      <c r="T131" s="8">
        <v>78.099999999999994</v>
      </c>
      <c r="U131" s="8">
        <v>56</v>
      </c>
      <c r="V131" s="8">
        <v>56.1</v>
      </c>
      <c r="W131" s="8">
        <v>44.5</v>
      </c>
      <c r="Y131" s="8">
        <f t="shared" si="12"/>
        <v>1504.9926873413931</v>
      </c>
      <c r="Z131">
        <f>SUMPRODUCT($D$134:$W$134,D131:W131)</f>
        <v>18.99497535589785</v>
      </c>
    </row>
    <row r="132" spans="1:26" x14ac:dyDescent="0.25">
      <c r="A132" t="s">
        <v>313</v>
      </c>
      <c r="D132" s="8">
        <v>65.2</v>
      </c>
      <c r="E132" s="8">
        <v>80.3</v>
      </c>
      <c r="F132" s="8">
        <v>71.3</v>
      </c>
      <c r="G132" s="8">
        <v>74.3</v>
      </c>
      <c r="H132" s="8">
        <v>82.7</v>
      </c>
      <c r="I132" s="8">
        <v>80.599999999999994</v>
      </c>
      <c r="J132" s="8">
        <v>90.3</v>
      </c>
      <c r="K132" s="8">
        <v>92.1</v>
      </c>
      <c r="L132" s="8">
        <v>75.2</v>
      </c>
      <c r="M132" s="8">
        <v>69.400000000000006</v>
      </c>
      <c r="N132" s="8">
        <v>70.3</v>
      </c>
      <c r="O132" s="8">
        <v>77.400000000000006</v>
      </c>
      <c r="P132" s="8">
        <v>55.604998709262446</v>
      </c>
      <c r="Q132" s="8">
        <v>53.210918907187818</v>
      </c>
      <c r="R132" s="8">
        <v>56.391736397984616</v>
      </c>
      <c r="S132" s="8">
        <v>55.016484719326932</v>
      </c>
      <c r="T132" s="8">
        <v>56.196513259134363</v>
      </c>
      <c r="U132" s="8">
        <v>56.892023736534497</v>
      </c>
      <c r="V132" s="8">
        <v>58.142573326068558</v>
      </c>
      <c r="W132" s="8">
        <v>55.806108389585006</v>
      </c>
      <c r="Y132" s="8">
        <f t="shared" si="12"/>
        <v>1376.3613574450842</v>
      </c>
      <c r="Z132">
        <f>SUMPRODUCT($D$134:$W$134,D132:W132)</f>
        <v>9.7897170219643641</v>
      </c>
    </row>
    <row r="133" spans="1:26" x14ac:dyDescent="0.25">
      <c r="A133" t="s">
        <v>676</v>
      </c>
      <c r="D133" s="8">
        <v>59.280895115419916</v>
      </c>
      <c r="E133" s="8">
        <v>52.803212541508302</v>
      </c>
      <c r="F133" s="8">
        <v>53.419745591224164</v>
      </c>
      <c r="G133" s="8">
        <v>55.237525158392778</v>
      </c>
      <c r="H133" s="8">
        <v>55.8078244244739</v>
      </c>
      <c r="I133" s="8">
        <v>58.600425024630908</v>
      </c>
      <c r="J133" s="8">
        <v>54.837658335782727</v>
      </c>
      <c r="K133" s="8">
        <v>59.050928662232401</v>
      </c>
      <c r="L133" s="8">
        <v>59.234315713441582</v>
      </c>
      <c r="M133" s="8">
        <v>53.638993782233833</v>
      </c>
      <c r="N133" s="8">
        <v>54.69466596066637</v>
      </c>
      <c r="O133" s="8">
        <v>56.278322879945527</v>
      </c>
      <c r="P133" s="8">
        <v>56.818690621095357</v>
      </c>
      <c r="Q133" s="8">
        <v>57.851792711152868</v>
      </c>
      <c r="R133" s="8">
        <v>58.3</v>
      </c>
      <c r="S133" s="8">
        <v>59.2</v>
      </c>
      <c r="T133" s="8">
        <v>60.533147552763559</v>
      </c>
      <c r="U133" s="8">
        <v>53.29263804421096</v>
      </c>
      <c r="V133" s="8">
        <v>54.033829225713617</v>
      </c>
      <c r="W133" s="8">
        <v>54.83083421789788</v>
      </c>
      <c r="Y133" s="8">
        <f t="shared" ref="Y133" si="14">SUM(D133:W133)</f>
        <v>1127.7454455627869</v>
      </c>
      <c r="Z133">
        <f>SUMPRODUCT($D$134:$W$134,D133:W133)</f>
        <v>10.89003754996337</v>
      </c>
    </row>
    <row r="134" spans="1:26" x14ac:dyDescent="0.25">
      <c r="A134" s="2" t="s">
        <v>69</v>
      </c>
      <c r="D134" s="3">
        <f>CORREL($B$2:$B$26,D104:D128)</f>
        <v>-0.15428192167988217</v>
      </c>
      <c r="E134" s="3">
        <f t="shared" ref="E134:W134" si="15">CORREL($B$2:$B$26,E104:E128)</f>
        <v>-0.14267396245728017</v>
      </c>
      <c r="F134" s="3">
        <f t="shared" si="15"/>
        <v>-7.2569683111141162E-2</v>
      </c>
      <c r="G134" s="3">
        <f t="shared" si="15"/>
        <v>-0.21373249346989129</v>
      </c>
      <c r="H134" s="3">
        <f t="shared" si="15"/>
        <v>5.3904193327291301E-2</v>
      </c>
      <c r="I134" s="3">
        <f t="shared" si="15"/>
        <v>0.12983074036127304</v>
      </c>
      <c r="J134" s="3">
        <f t="shared" si="15"/>
        <v>3.0401497711748798E-2</v>
      </c>
      <c r="K134" s="3">
        <f t="shared" si="15"/>
        <v>9.1907051203991577E-2</v>
      </c>
      <c r="L134" s="3">
        <f t="shared" si="15"/>
        <v>0.30355660922476851</v>
      </c>
      <c r="M134" s="3">
        <f t="shared" si="15"/>
        <v>-1.680260629240719E-2</v>
      </c>
      <c r="N134" s="3">
        <f t="shared" si="15"/>
        <v>-0.13457948909329834</v>
      </c>
      <c r="O134" s="3">
        <f t="shared" si="15"/>
        <v>6.9576579694573662E-2</v>
      </c>
      <c r="P134" s="3">
        <f t="shared" si="15"/>
        <v>0.13919878813211731</v>
      </c>
      <c r="Q134" s="3">
        <f t="shared" si="15"/>
        <v>2.8205486540132526E-4</v>
      </c>
      <c r="R134" s="3">
        <f t="shared" si="15"/>
        <v>-0.15150214950133536</v>
      </c>
      <c r="S134" s="3">
        <f t="shared" si="15"/>
        <v>0.12776692465814019</v>
      </c>
      <c r="T134" s="3">
        <f t="shared" si="15"/>
        <v>0.46983160553132219</v>
      </c>
      <c r="U134" s="3">
        <f t="shared" si="15"/>
        <v>-7.6120406337951127E-2</v>
      </c>
      <c r="V134" s="3">
        <f t="shared" si="15"/>
        <v>-6.2647122952786002E-2</v>
      </c>
      <c r="W134" s="3">
        <f t="shared" si="15"/>
        <v>-0.28721547680083498</v>
      </c>
      <c r="X134" s="3"/>
    </row>
    <row r="135" spans="1:26" x14ac:dyDescent="0.25">
      <c r="P135" s="8"/>
      <c r="Q135" s="8"/>
      <c r="R135" s="8"/>
      <c r="S135" s="8"/>
      <c r="T135" s="8"/>
      <c r="U135" s="8"/>
      <c r="V135" s="8"/>
      <c r="W135" s="8"/>
    </row>
    <row r="136" spans="1:26" x14ac:dyDescent="0.25">
      <c r="P136" s="8"/>
      <c r="Q136" s="8"/>
      <c r="R136" s="8"/>
      <c r="S136" s="8"/>
      <c r="T136" s="8"/>
      <c r="U136" s="8"/>
      <c r="V136" s="8"/>
      <c r="W136" s="8"/>
    </row>
    <row r="137" spans="1:26" x14ac:dyDescent="0.25">
      <c r="D137" t="s">
        <v>24</v>
      </c>
      <c r="E137" t="s">
        <v>25</v>
      </c>
      <c r="F137" t="s">
        <v>26</v>
      </c>
      <c r="G137" t="s">
        <v>27</v>
      </c>
      <c r="H137" t="s">
        <v>28</v>
      </c>
      <c r="I137" t="s">
        <v>29</v>
      </c>
      <c r="J137" t="s">
        <v>30</v>
      </c>
      <c r="K137" t="s">
        <v>31</v>
      </c>
      <c r="L137" t="s">
        <v>319</v>
      </c>
      <c r="M137" t="s">
        <v>355</v>
      </c>
      <c r="N137" t="s">
        <v>356</v>
      </c>
      <c r="O137" t="s">
        <v>357</v>
      </c>
      <c r="P137" s="8" t="s">
        <v>468</v>
      </c>
      <c r="Q137" s="8" t="s">
        <v>469</v>
      </c>
      <c r="R137" s="8" t="s">
        <v>470</v>
      </c>
      <c r="S137" s="8" t="s">
        <v>471</v>
      </c>
      <c r="T137" s="8" t="s">
        <v>580</v>
      </c>
      <c r="U137" s="8" t="s">
        <v>581</v>
      </c>
      <c r="V137" s="8" t="s">
        <v>582</v>
      </c>
      <c r="W137" s="8" t="s">
        <v>583</v>
      </c>
      <c r="Y137" t="s">
        <v>92</v>
      </c>
      <c r="Z137" t="s">
        <v>93</v>
      </c>
    </row>
    <row r="138" spans="1:26" x14ac:dyDescent="0.25">
      <c r="A138" t="s">
        <v>43</v>
      </c>
      <c r="D138" s="8">
        <v>50.189813771787485</v>
      </c>
      <c r="E138" s="8">
        <v>45.878523525469085</v>
      </c>
      <c r="F138" s="8">
        <v>54.054173405725983</v>
      </c>
      <c r="G138" s="8">
        <v>74.126619077102447</v>
      </c>
      <c r="H138" s="8">
        <v>68.650213542706979</v>
      </c>
      <c r="I138" s="8">
        <v>38.272850875722291</v>
      </c>
      <c r="J138" s="8">
        <v>56.68038947493126</v>
      </c>
      <c r="K138" s="8">
        <v>44.696413731636156</v>
      </c>
      <c r="L138" s="8">
        <v>42.496617789438972</v>
      </c>
      <c r="M138" s="8">
        <v>37.562312883634263</v>
      </c>
      <c r="N138" s="8">
        <v>44.290289303930123</v>
      </c>
      <c r="O138" s="8">
        <v>55.794869859054323</v>
      </c>
      <c r="P138" s="8">
        <v>50.780640155611614</v>
      </c>
      <c r="Q138" s="8">
        <v>41.918553747470312</v>
      </c>
      <c r="R138" s="8">
        <v>50.560243737863281</v>
      </c>
      <c r="S138" s="8">
        <v>56.371146396019022</v>
      </c>
      <c r="T138" s="8">
        <v>44.045617885559963</v>
      </c>
      <c r="U138" s="8">
        <v>46.986793632150217</v>
      </c>
      <c r="V138" s="8">
        <v>60.171371014312328</v>
      </c>
      <c r="W138" s="8">
        <v>64.559241722526934</v>
      </c>
      <c r="Y138" s="8">
        <f t="shared" ref="Y138:Y166" si="16">SUM(D138:W138)</f>
        <v>1028.086695532653</v>
      </c>
      <c r="Z138">
        <f t="shared" ref="Z138:Z162" si="17">SUMPRODUCT($D$168:$W$168,D138:W138)</f>
        <v>-19.740951371667286</v>
      </c>
    </row>
    <row r="139" spans="1:26" x14ac:dyDescent="0.25">
      <c r="A139" t="s">
        <v>44</v>
      </c>
      <c r="D139" s="8">
        <v>43.258080192363764</v>
      </c>
      <c r="E139" s="8">
        <v>38.936367235374014</v>
      </c>
      <c r="F139" s="8">
        <v>36.201126196105989</v>
      </c>
      <c r="G139" s="8">
        <v>42.22922889818151</v>
      </c>
      <c r="H139" s="8">
        <v>45.710790537058195</v>
      </c>
      <c r="I139" s="8">
        <v>31.789461910466901</v>
      </c>
      <c r="J139" s="8">
        <v>35.242230394043354</v>
      </c>
      <c r="K139" s="8">
        <v>48.829593047485837</v>
      </c>
      <c r="L139" s="8">
        <v>34.214257007177153</v>
      </c>
      <c r="M139" s="8">
        <v>52.903283320064602</v>
      </c>
      <c r="N139" s="8">
        <v>32.523282841843454</v>
      </c>
      <c r="O139" s="8">
        <v>59.715347618356716</v>
      </c>
      <c r="P139" s="8">
        <v>29.52064450137053</v>
      </c>
      <c r="Q139" s="8">
        <v>36.380488680973635</v>
      </c>
      <c r="R139" s="8">
        <v>51.18292444630606</v>
      </c>
      <c r="S139" s="8">
        <v>39.374717057333157</v>
      </c>
      <c r="T139" s="8">
        <v>33.646988263693771</v>
      </c>
      <c r="U139" s="8">
        <v>26.736226115242882</v>
      </c>
      <c r="V139" s="8">
        <v>32.655486773518483</v>
      </c>
      <c r="W139" s="8">
        <v>48.376168047896229</v>
      </c>
      <c r="Y139" s="8">
        <f t="shared" si="16"/>
        <v>799.4266930848562</v>
      </c>
      <c r="Z139">
        <f t="shared" si="17"/>
        <v>-1.6332472626070746</v>
      </c>
    </row>
    <row r="140" spans="1:26" x14ac:dyDescent="0.25">
      <c r="A140" t="s">
        <v>45</v>
      </c>
      <c r="D140" s="8">
        <v>42.64201842681522</v>
      </c>
      <c r="E140" s="8">
        <v>42.952831698312806</v>
      </c>
      <c r="F140" s="8">
        <v>41.329219191263022</v>
      </c>
      <c r="G140" s="8">
        <v>35.127250481320729</v>
      </c>
      <c r="H140" s="8">
        <v>33.592461808517733</v>
      </c>
      <c r="I140" s="8">
        <v>31.498093306153862</v>
      </c>
      <c r="J140" s="8">
        <v>30.713797981528796</v>
      </c>
      <c r="K140" s="8">
        <v>30.425638446519905</v>
      </c>
      <c r="L140" s="8">
        <v>41.244593790838842</v>
      </c>
      <c r="M140" s="8">
        <v>49.442312416075751</v>
      </c>
      <c r="N140" s="8">
        <v>32.841970642062698</v>
      </c>
      <c r="O140" s="8">
        <v>39.941140106912393</v>
      </c>
      <c r="P140" s="8">
        <v>41.198270819318189</v>
      </c>
      <c r="Q140" s="8">
        <v>43.733730084277546</v>
      </c>
      <c r="R140" s="8">
        <v>37.756273049926449</v>
      </c>
      <c r="S140" s="8">
        <v>51.039098426249772</v>
      </c>
      <c r="T140" s="8">
        <v>49.556655657200075</v>
      </c>
      <c r="U140" s="8">
        <v>53.632943346504256</v>
      </c>
      <c r="V140" s="8">
        <v>45.509810885730317</v>
      </c>
      <c r="W140" s="8">
        <v>49.418660936269298</v>
      </c>
      <c r="Y140" s="8">
        <f t="shared" si="16"/>
        <v>823.59677150179755</v>
      </c>
      <c r="Z140">
        <f t="shared" si="17"/>
        <v>-12.607071133416447</v>
      </c>
    </row>
    <row r="141" spans="1:26" x14ac:dyDescent="0.25">
      <c r="A141" t="s">
        <v>46</v>
      </c>
      <c r="D141" s="8">
        <v>58.884306040972952</v>
      </c>
      <c r="E141" s="8">
        <v>41.964112730432404</v>
      </c>
      <c r="F141" s="8">
        <v>37.635873821712082</v>
      </c>
      <c r="G141" s="8">
        <v>44.305149006129469</v>
      </c>
      <c r="H141" s="8">
        <v>39.564636887387984</v>
      </c>
      <c r="I141" s="8">
        <v>32.369550921078925</v>
      </c>
      <c r="J141" s="8">
        <v>35.237052478678443</v>
      </c>
      <c r="K141" s="8">
        <v>49.273185897663026</v>
      </c>
      <c r="L141" s="8">
        <v>54.652772586505769</v>
      </c>
      <c r="M141" s="8">
        <v>38.755478411887381</v>
      </c>
      <c r="N141" s="8">
        <v>46.177403342180433</v>
      </c>
      <c r="O141" s="8">
        <v>46.493035617428824</v>
      </c>
      <c r="P141" s="8">
        <v>48.135306114727072</v>
      </c>
      <c r="Q141" s="8">
        <v>54.017222513332968</v>
      </c>
      <c r="R141" s="8">
        <v>41.340638845996772</v>
      </c>
      <c r="S141" s="8">
        <v>36.235636079978057</v>
      </c>
      <c r="T141" s="8">
        <v>32.237611440223766</v>
      </c>
      <c r="U141" s="8">
        <v>43.654369865620886</v>
      </c>
      <c r="V141" s="8">
        <v>49.034191091382503</v>
      </c>
      <c r="W141" s="8">
        <v>35.374931554446356</v>
      </c>
      <c r="Y141" s="8">
        <f t="shared" si="16"/>
        <v>865.34246524776597</v>
      </c>
      <c r="Z141">
        <f t="shared" si="17"/>
        <v>-13.369703815178784</v>
      </c>
    </row>
    <row r="142" spans="1:26" x14ac:dyDescent="0.25">
      <c r="A142" t="s">
        <v>47</v>
      </c>
      <c r="D142" s="8">
        <v>27.729969586334384</v>
      </c>
      <c r="E142" s="8">
        <v>22.79926461973476</v>
      </c>
      <c r="F142" s="8">
        <v>33.040101701656724</v>
      </c>
      <c r="G142" s="8">
        <v>37.723599114462516</v>
      </c>
      <c r="H142" s="8">
        <v>31.874409763095009</v>
      </c>
      <c r="I142" s="8">
        <v>16.183518867135984</v>
      </c>
      <c r="J142" s="8">
        <v>19.905712172759756</v>
      </c>
      <c r="K142" s="8">
        <v>24.919837059735841</v>
      </c>
      <c r="L142" s="8">
        <v>13.082405775931862</v>
      </c>
      <c r="M142" s="8">
        <v>11.731577512714518</v>
      </c>
      <c r="N142" s="8">
        <v>11.669181570674956</v>
      </c>
      <c r="O142" s="8">
        <v>12.488927591800476</v>
      </c>
      <c r="P142" s="8">
        <v>14.855687826350122</v>
      </c>
      <c r="Q142" s="8">
        <v>17.217137089080072</v>
      </c>
      <c r="R142" s="8">
        <v>33.32582485061701</v>
      </c>
      <c r="S142" s="8">
        <v>12.792675598742379</v>
      </c>
      <c r="T142" s="8">
        <v>19.498738096812904</v>
      </c>
      <c r="U142" s="8">
        <v>20.150039154087615</v>
      </c>
      <c r="V142" s="8">
        <v>15.574737550182794</v>
      </c>
      <c r="W142" s="8">
        <v>32.417319948484817</v>
      </c>
      <c r="Y142" s="8">
        <f t="shared" si="16"/>
        <v>428.98066545039461</v>
      </c>
      <c r="Z142">
        <f t="shared" si="17"/>
        <v>-7.5794910953974792</v>
      </c>
    </row>
    <row r="143" spans="1:26" x14ac:dyDescent="0.25">
      <c r="A143" t="s">
        <v>48</v>
      </c>
      <c r="D143" s="8">
        <v>38.580087484151669</v>
      </c>
      <c r="E143" s="8">
        <v>32.99496076482329</v>
      </c>
      <c r="F143" s="8">
        <v>33.969994433158618</v>
      </c>
      <c r="G143" s="8">
        <v>46.95446346168098</v>
      </c>
      <c r="H143" s="8">
        <v>29.4889443402542</v>
      </c>
      <c r="I143" s="8">
        <v>28.082091551418102</v>
      </c>
      <c r="J143" s="8">
        <v>23.165253065707397</v>
      </c>
      <c r="K143" s="8">
        <v>21.072187272747026</v>
      </c>
      <c r="L143" s="8">
        <v>12.684742027262326</v>
      </c>
      <c r="M143" s="8">
        <v>14.623625431942623</v>
      </c>
      <c r="N143" s="8">
        <v>10.547530779707651</v>
      </c>
      <c r="O143" s="8">
        <v>11.822138416673813</v>
      </c>
      <c r="P143" s="8">
        <v>15.911946698534734</v>
      </c>
      <c r="Q143" s="8">
        <v>17.088451259162678</v>
      </c>
      <c r="R143" s="8">
        <v>20.234260924022156</v>
      </c>
      <c r="S143" s="8">
        <v>18.557314943424092</v>
      </c>
      <c r="T143" s="8">
        <v>25.434590142930251</v>
      </c>
      <c r="U143" s="8">
        <v>18.157192920367066</v>
      </c>
      <c r="V143" s="8">
        <v>25.347846771051213</v>
      </c>
      <c r="W143" s="8">
        <v>30.973838742382611</v>
      </c>
      <c r="Y143" s="8">
        <f t="shared" si="16"/>
        <v>475.6914614314025</v>
      </c>
      <c r="Z143">
        <f t="shared" si="17"/>
        <v>-18.59780048134245</v>
      </c>
    </row>
    <row r="144" spans="1:26" x14ac:dyDescent="0.25">
      <c r="A144" t="s">
        <v>49</v>
      </c>
      <c r="D144" s="8">
        <v>37.850565022641447</v>
      </c>
      <c r="E144" s="8">
        <v>35.169625180387648</v>
      </c>
      <c r="F144" s="8">
        <v>45.220013493441343</v>
      </c>
      <c r="G144" s="8">
        <v>31.929749705894</v>
      </c>
      <c r="H144" s="8">
        <v>17.118512930286354</v>
      </c>
      <c r="I144" s="8">
        <v>27.150729638616703</v>
      </c>
      <c r="J144" s="8">
        <v>21.266653272506289</v>
      </c>
      <c r="K144" s="8">
        <v>18.783669874186774</v>
      </c>
      <c r="L144" s="8">
        <v>15.814937974386407</v>
      </c>
      <c r="M144" s="8">
        <v>16.521672912619049</v>
      </c>
      <c r="N144" s="8">
        <v>14.930866414482722</v>
      </c>
      <c r="O144" s="8">
        <v>6.9166164039556985</v>
      </c>
      <c r="P144" s="8">
        <v>16.612072546495458</v>
      </c>
      <c r="Q144" s="8">
        <v>8.3754922575060213</v>
      </c>
      <c r="R144" s="8">
        <v>11.67986314081387</v>
      </c>
      <c r="S144" s="8">
        <v>19.080241511279421</v>
      </c>
      <c r="T144" s="8">
        <v>14.136222743108307</v>
      </c>
      <c r="U144" s="8">
        <v>17.853781289099427</v>
      </c>
      <c r="V144" s="8">
        <v>25.348926562513661</v>
      </c>
      <c r="W144" s="8">
        <v>24.777327081237029</v>
      </c>
      <c r="Y144" s="8">
        <f t="shared" si="16"/>
        <v>426.53753995545776</v>
      </c>
      <c r="Z144">
        <f t="shared" si="17"/>
        <v>-22.259944145758709</v>
      </c>
    </row>
    <row r="145" spans="1:26" x14ac:dyDescent="0.25">
      <c r="A145" t="s">
        <v>50</v>
      </c>
      <c r="D145" s="8">
        <v>38.603090484359001</v>
      </c>
      <c r="E145" s="8">
        <v>23.009950645439904</v>
      </c>
      <c r="F145" s="8">
        <v>25.08248962710519</v>
      </c>
      <c r="G145" s="8">
        <v>20.011275712026219</v>
      </c>
      <c r="H145" s="8">
        <v>12.972665823241366</v>
      </c>
      <c r="I145" s="8">
        <v>22.736560651698863</v>
      </c>
      <c r="J145" s="8">
        <v>21.613747430042299</v>
      </c>
      <c r="K145" s="8">
        <v>23.197060966212092</v>
      </c>
      <c r="L145" s="8">
        <v>28.220485676002042</v>
      </c>
      <c r="M145" s="8">
        <v>20.872236110186016</v>
      </c>
      <c r="N145" s="8">
        <v>18.190158671252082</v>
      </c>
      <c r="O145" s="8">
        <v>27.054508674883866</v>
      </c>
      <c r="P145" s="8">
        <v>21.526008057673984</v>
      </c>
      <c r="Q145" s="8">
        <v>30.189011954946192</v>
      </c>
      <c r="R145" s="8">
        <v>32.987659481971534</v>
      </c>
      <c r="S145" s="8">
        <v>27.4196871202811</v>
      </c>
      <c r="T145" s="8">
        <v>25.887627142590937</v>
      </c>
      <c r="U145" s="8">
        <v>28.495143720352875</v>
      </c>
      <c r="V145" s="8">
        <v>25.37979231467105</v>
      </c>
      <c r="W145" s="8">
        <v>31.981273135461095</v>
      </c>
      <c r="Y145" s="8">
        <f t="shared" si="16"/>
        <v>505.4304334003977</v>
      </c>
      <c r="Z145">
        <f t="shared" si="17"/>
        <v>-5.5413256694047686</v>
      </c>
    </row>
    <row r="146" spans="1:26" x14ac:dyDescent="0.25">
      <c r="A146" t="s">
        <v>51</v>
      </c>
      <c r="D146" s="8">
        <v>42.139301943551921</v>
      </c>
      <c r="E146" s="8">
        <v>19.058502972146531</v>
      </c>
      <c r="F146" s="8">
        <v>18.625395105329137</v>
      </c>
      <c r="G146" s="8">
        <v>18.839038853595778</v>
      </c>
      <c r="H146" s="8">
        <v>17.806930936834632</v>
      </c>
      <c r="I146" s="8">
        <v>15.952149111075737</v>
      </c>
      <c r="J146" s="8">
        <v>17.094060139909679</v>
      </c>
      <c r="K146" s="8">
        <v>20.181454373611238</v>
      </c>
      <c r="L146" s="8">
        <v>15.535238966006052</v>
      </c>
      <c r="M146" s="8">
        <v>23.407435752382955</v>
      </c>
      <c r="N146" s="8">
        <v>14.793933341309652</v>
      </c>
      <c r="O146" s="8">
        <v>17.603440496480257</v>
      </c>
      <c r="P146" s="8">
        <v>18.061009389634798</v>
      </c>
      <c r="Q146" s="8">
        <v>19.608927203369166</v>
      </c>
      <c r="R146" s="8">
        <v>29.754575084032325</v>
      </c>
      <c r="S146" s="8">
        <v>31.293546851297808</v>
      </c>
      <c r="T146" s="8">
        <v>33.60660748909509</v>
      </c>
      <c r="U146" s="8">
        <v>32.175156279713782</v>
      </c>
      <c r="V146" s="8">
        <v>32.743122176089102</v>
      </c>
      <c r="W146" s="8">
        <v>33.071582548906846</v>
      </c>
      <c r="Y146" s="8">
        <f t="shared" si="16"/>
        <v>471.35140901437262</v>
      </c>
      <c r="Z146">
        <f t="shared" si="17"/>
        <v>-9.7534838433278157</v>
      </c>
    </row>
    <row r="147" spans="1:26" x14ac:dyDescent="0.25">
      <c r="A147" t="s">
        <v>52</v>
      </c>
      <c r="D147" s="8">
        <v>33.967904678856499</v>
      </c>
      <c r="E147" s="8">
        <v>32.438401058674252</v>
      </c>
      <c r="F147" s="8">
        <v>39.698033011609652</v>
      </c>
      <c r="G147" s="8">
        <v>28.486681249726843</v>
      </c>
      <c r="H147" s="8">
        <v>26.099233633455668</v>
      </c>
      <c r="I147" s="8">
        <v>19.680893322126401</v>
      </c>
      <c r="J147" s="8">
        <v>16.691730070070168</v>
      </c>
      <c r="K147" s="8">
        <v>26.943862953561876</v>
      </c>
      <c r="L147" s="8">
        <v>23.673098867705601</v>
      </c>
      <c r="M147" s="8">
        <v>18.336544441921735</v>
      </c>
      <c r="N147" s="8">
        <v>19.053584134995539</v>
      </c>
      <c r="O147" s="8">
        <v>11.046539992985871</v>
      </c>
      <c r="P147" s="8">
        <v>9.7624413603468998</v>
      </c>
      <c r="Q147" s="8">
        <v>19.936876021573902</v>
      </c>
      <c r="R147" s="8">
        <v>13.3670601468662</v>
      </c>
      <c r="S147" s="8">
        <v>21.188571934319572</v>
      </c>
      <c r="T147" s="8">
        <v>17.206061235846118</v>
      </c>
      <c r="U147" s="8">
        <v>22.259666768601182</v>
      </c>
      <c r="V147" s="8">
        <v>23.504523832853003</v>
      </c>
      <c r="W147" s="8">
        <v>29.124561936971354</v>
      </c>
      <c r="Y147" s="8">
        <f t="shared" si="16"/>
        <v>452.46627065306825</v>
      </c>
      <c r="Z147">
        <f t="shared" si="17"/>
        <v>-17.498849540693211</v>
      </c>
    </row>
    <row r="148" spans="1:26" x14ac:dyDescent="0.25">
      <c r="A148" t="s">
        <v>53</v>
      </c>
      <c r="D148" s="8">
        <v>36.179773855749204</v>
      </c>
      <c r="E148" s="8">
        <v>36.682615241163475</v>
      </c>
      <c r="F148" s="8">
        <v>33.384574185366425</v>
      </c>
      <c r="G148" s="8">
        <v>25.437377449737841</v>
      </c>
      <c r="H148" s="8">
        <v>31.101379684798946</v>
      </c>
      <c r="I148" s="8">
        <v>20.97446994244952</v>
      </c>
      <c r="J148" s="8">
        <v>17.697175463204825</v>
      </c>
      <c r="K148" s="8">
        <v>19.767363428303664</v>
      </c>
      <c r="L148" s="8">
        <v>20.142411175945298</v>
      </c>
      <c r="M148" s="8">
        <v>22.623428434785843</v>
      </c>
      <c r="N148" s="8">
        <v>24.714886785324577</v>
      </c>
      <c r="O148" s="8">
        <v>16.974342554678248</v>
      </c>
      <c r="P148" s="8">
        <v>18.005025366463205</v>
      </c>
      <c r="Q148" s="8">
        <v>26.463580708672136</v>
      </c>
      <c r="R148" s="8">
        <v>21.51156388842978</v>
      </c>
      <c r="S148" s="8">
        <v>22.398148399633186</v>
      </c>
      <c r="T148" s="8">
        <v>29.881095772853911</v>
      </c>
      <c r="U148" s="8">
        <v>22.657617556773022</v>
      </c>
      <c r="V148" s="8">
        <v>27.383738670596866</v>
      </c>
      <c r="W148" s="8">
        <v>24.794219081555752</v>
      </c>
      <c r="Y148" s="8">
        <f t="shared" si="16"/>
        <v>498.77478764648572</v>
      </c>
      <c r="Z148">
        <f t="shared" si="17"/>
        <v>-15.15317333603169</v>
      </c>
    </row>
    <row r="149" spans="1:26" x14ac:dyDescent="0.25">
      <c r="A149" t="s">
        <v>54</v>
      </c>
      <c r="D149" s="8">
        <v>59.018762525722217</v>
      </c>
      <c r="E149" s="8">
        <v>33.75516078052452</v>
      </c>
      <c r="F149" s="8">
        <v>32.156287447057636</v>
      </c>
      <c r="G149" s="8">
        <v>40.132440693277694</v>
      </c>
      <c r="H149" s="8">
        <v>17.925709228735986</v>
      </c>
      <c r="I149" s="8">
        <v>33.243029967071024</v>
      </c>
      <c r="J149" s="8">
        <v>22.974427853861073</v>
      </c>
      <c r="K149" s="8">
        <v>19.732320722450453</v>
      </c>
      <c r="L149" s="8">
        <v>11.103301717614489</v>
      </c>
      <c r="M149" s="8">
        <v>44.969450698859887</v>
      </c>
      <c r="N149" s="8">
        <v>15.247605603640094</v>
      </c>
      <c r="O149" s="8">
        <v>14.623625431942623</v>
      </c>
      <c r="P149" s="8">
        <v>46.909742554347282</v>
      </c>
      <c r="Q149" s="8">
        <v>22.040329792139005</v>
      </c>
      <c r="R149" s="8">
        <v>36.856756116350432</v>
      </c>
      <c r="S149" s="8">
        <v>41.340638845996772</v>
      </c>
      <c r="T149" s="8">
        <v>43.654369865620886</v>
      </c>
      <c r="U149" s="8">
        <v>37.868672434945161</v>
      </c>
      <c r="V149" s="8">
        <v>33.725245494120443</v>
      </c>
      <c r="W149" s="8">
        <v>27.08673701215314</v>
      </c>
      <c r="Y149" s="8">
        <f t="shared" si="16"/>
        <v>634.36461478643082</v>
      </c>
      <c r="Z149">
        <f t="shared" si="17"/>
        <v>-14.946402857212252</v>
      </c>
    </row>
    <row r="150" spans="1:26" x14ac:dyDescent="0.25">
      <c r="A150" t="s">
        <v>55</v>
      </c>
      <c r="D150" s="8">
        <v>45.923342169770024</v>
      </c>
      <c r="E150" s="8">
        <v>41.481690674520564</v>
      </c>
      <c r="F150" s="8">
        <v>31.464710875822458</v>
      </c>
      <c r="G150" s="8">
        <v>39.266039913409124</v>
      </c>
      <c r="H150" s="8">
        <v>24.841395491562192</v>
      </c>
      <c r="I150" s="8">
        <v>32.105888411699041</v>
      </c>
      <c r="J150" s="8">
        <v>29.174528344122059</v>
      </c>
      <c r="K150" s="8">
        <v>29.185629660546631</v>
      </c>
      <c r="L150" s="8">
        <v>37.002520859901068</v>
      </c>
      <c r="M150" s="8">
        <v>36.565811785845504</v>
      </c>
      <c r="N150" s="8">
        <v>41.314739959259221</v>
      </c>
      <c r="O150" s="8">
        <v>38.459396346798336</v>
      </c>
      <c r="P150" s="8">
        <v>43.944889410504899</v>
      </c>
      <c r="Q150" s="8">
        <v>47.072147333200043</v>
      </c>
      <c r="R150" s="8">
        <v>38.758910172966857</v>
      </c>
      <c r="S150" s="8">
        <v>39.759421773410729</v>
      </c>
      <c r="T150" s="8">
        <v>36.97214245317884</v>
      </c>
      <c r="U150" s="8">
        <v>36.132273668724544</v>
      </c>
      <c r="V150" s="8">
        <v>43.89501155847865</v>
      </c>
      <c r="W150" s="8">
        <v>45.250463770055035</v>
      </c>
      <c r="Y150" s="8">
        <f t="shared" si="16"/>
        <v>758.57095463377584</v>
      </c>
      <c r="Z150">
        <f t="shared" si="17"/>
        <v>-13.092379180000513</v>
      </c>
    </row>
    <row r="151" spans="1:26" x14ac:dyDescent="0.25">
      <c r="A151" t="s">
        <v>56</v>
      </c>
      <c r="D151" s="8">
        <v>36.978250606376477</v>
      </c>
      <c r="E151" s="8">
        <v>41.083835998865901</v>
      </c>
      <c r="F151" s="8">
        <v>35.367360137608166</v>
      </c>
      <c r="G151" s="8">
        <v>41.189577533556744</v>
      </c>
      <c r="H151" s="8">
        <v>52.445230725298252</v>
      </c>
      <c r="I151" s="8">
        <v>41.026546640161364</v>
      </c>
      <c r="J151" s="8">
        <v>44.354575070910869</v>
      </c>
      <c r="K151" s="8">
        <v>50.756684576137971</v>
      </c>
      <c r="L151" s="8">
        <v>45.197889859792539</v>
      </c>
      <c r="M151" s="8">
        <v>37.39591647439169</v>
      </c>
      <c r="N151" s="8">
        <v>62.712882039114625</v>
      </c>
      <c r="O151" s="8">
        <v>40.36345079377903</v>
      </c>
      <c r="P151" s="8">
        <v>34.714665306837503</v>
      </c>
      <c r="Q151" s="8">
        <v>35.526000903819629</v>
      </c>
      <c r="R151" s="8">
        <v>43.489170945582202</v>
      </c>
      <c r="S151" s="8">
        <v>43.435146348015586</v>
      </c>
      <c r="T151" s="8">
        <v>44.50604820159645</v>
      </c>
      <c r="U151" s="8">
        <v>46.769463716931639</v>
      </c>
      <c r="V151" s="8">
        <v>50.302693074764726</v>
      </c>
      <c r="W151" s="8">
        <v>40.614213078132693</v>
      </c>
      <c r="Y151" s="8">
        <f t="shared" si="16"/>
        <v>868.22960203167418</v>
      </c>
      <c r="Z151">
        <f t="shared" si="17"/>
        <v>-13.290349217702683</v>
      </c>
    </row>
    <row r="152" spans="1:26" x14ac:dyDescent="0.25">
      <c r="A152" t="s">
        <v>57</v>
      </c>
      <c r="D152" s="8">
        <v>40.767777824837147</v>
      </c>
      <c r="E152" s="8">
        <v>28.697518237899697</v>
      </c>
      <c r="F152" s="8">
        <v>29.749250351146802</v>
      </c>
      <c r="G152" s="8">
        <v>29.019987875026136</v>
      </c>
      <c r="H152" s="8">
        <v>31.435928867756264</v>
      </c>
      <c r="I152" s="8">
        <v>25.799290708688442</v>
      </c>
      <c r="J152" s="8">
        <v>35.202114515684428</v>
      </c>
      <c r="K152" s="8">
        <v>23.132991791205534</v>
      </c>
      <c r="L152" s="8">
        <v>35.224644620641094</v>
      </c>
      <c r="M152" s="8">
        <v>37.547771023411606</v>
      </c>
      <c r="N152" s="8">
        <v>39.724015347891701</v>
      </c>
      <c r="O152" s="8">
        <v>44.442341829373895</v>
      </c>
      <c r="P152" s="8">
        <v>19.182056887508526</v>
      </c>
      <c r="Q152" s="8">
        <v>22.893848947864871</v>
      </c>
      <c r="R152" s="8">
        <v>24.543989233998484</v>
      </c>
      <c r="S152" s="8">
        <v>19.639353806411002</v>
      </c>
      <c r="T152" s="8">
        <v>29.419927405474304</v>
      </c>
      <c r="U152" s="8">
        <v>27.363243532307145</v>
      </c>
      <c r="V152" s="8">
        <v>17.923845073643847</v>
      </c>
      <c r="W152" s="8">
        <v>33.380727775060542</v>
      </c>
      <c r="Y152" s="8">
        <f t="shared" si="16"/>
        <v>595.09062565583145</v>
      </c>
      <c r="Z152">
        <f t="shared" si="17"/>
        <v>-12.673030253857087</v>
      </c>
    </row>
    <row r="153" spans="1:26" x14ac:dyDescent="0.25">
      <c r="A153" t="s">
        <v>58</v>
      </c>
      <c r="D153" s="8">
        <v>43.722429403464773</v>
      </c>
      <c r="E153" s="8">
        <v>33.309229629849241</v>
      </c>
      <c r="F153" s="8">
        <v>34.304122450990306</v>
      </c>
      <c r="G153" s="8">
        <v>29.889056874575317</v>
      </c>
      <c r="H153" s="8">
        <v>32.444941008416535</v>
      </c>
      <c r="I153" s="8">
        <v>37.201365176000834</v>
      </c>
      <c r="J153" s="8">
        <v>38.235759554930326</v>
      </c>
      <c r="K153" s="8">
        <v>32.38385555682364</v>
      </c>
      <c r="L153" s="8">
        <v>26.863264057386179</v>
      </c>
      <c r="M153" s="8">
        <v>33.169375680699396</v>
      </c>
      <c r="N153" s="8">
        <v>30.773630584833658</v>
      </c>
      <c r="O153" s="8">
        <v>30.63384463568724</v>
      </c>
      <c r="P153" s="8">
        <v>21.271006912853604</v>
      </c>
      <c r="Q153" s="8">
        <v>36.183363748689764</v>
      </c>
      <c r="R153" s="8">
        <v>35.35192716628022</v>
      </c>
      <c r="S153" s="8">
        <v>50.317237094989245</v>
      </c>
      <c r="T153" s="8">
        <v>44.108442954330521</v>
      </c>
      <c r="U153" s="8">
        <v>42.190061822909072</v>
      </c>
      <c r="V153" s="8">
        <v>27.883137406967332</v>
      </c>
      <c r="W153" s="8">
        <v>42.495603402665203</v>
      </c>
      <c r="Y153" s="8">
        <f t="shared" si="16"/>
        <v>702.73165512334231</v>
      </c>
      <c r="Z153">
        <f t="shared" si="17"/>
        <v>-10.365324052132634</v>
      </c>
    </row>
    <row r="154" spans="1:26" x14ac:dyDescent="0.25">
      <c r="A154" t="s">
        <v>59</v>
      </c>
      <c r="D154" s="8">
        <v>39.459110492678448</v>
      </c>
      <c r="E154" s="8">
        <v>43.571141417634813</v>
      </c>
      <c r="F154" s="8">
        <v>37.846304951359144</v>
      </c>
      <c r="G154" s="8">
        <v>37.380809480834756</v>
      </c>
      <c r="H154" s="8">
        <v>35.699051947067723</v>
      </c>
      <c r="I154" s="8">
        <v>35.659688220069796</v>
      </c>
      <c r="J154" s="8">
        <v>34.281269913345376</v>
      </c>
      <c r="K154" s="8">
        <v>34.200571354007884</v>
      </c>
      <c r="L154" s="8">
        <v>36.784010057111615</v>
      </c>
      <c r="M154" s="8">
        <v>33.27629164468253</v>
      </c>
      <c r="N154" s="8">
        <v>32.926506246175499</v>
      </c>
      <c r="O154" s="8">
        <v>34.785534873082057</v>
      </c>
      <c r="P154" s="8">
        <v>35.427994231420328</v>
      </c>
      <c r="Q154" s="8">
        <v>35.713705061109664</v>
      </c>
      <c r="R154" s="8">
        <v>36.292670314614512</v>
      </c>
      <c r="S154" s="8">
        <v>36.432371585165299</v>
      </c>
      <c r="T154" s="8">
        <v>33.957070920322614</v>
      </c>
      <c r="U154" s="8">
        <v>33.535991443454989</v>
      </c>
      <c r="V154" s="8">
        <v>34.284802323161927</v>
      </c>
      <c r="W154" s="8">
        <v>35.847595818883562</v>
      </c>
      <c r="Y154" s="8">
        <f t="shared" si="16"/>
        <v>717.3624922961825</v>
      </c>
      <c r="Z154">
        <f t="shared" si="17"/>
        <v>-11.077666359362524</v>
      </c>
    </row>
    <row r="155" spans="1:26" x14ac:dyDescent="0.25">
      <c r="A155" t="s">
        <v>60</v>
      </c>
      <c r="D155" s="8">
        <v>36.357831470055643</v>
      </c>
      <c r="E155" s="8">
        <v>41.676675458409491</v>
      </c>
      <c r="F155" s="8">
        <v>37.820823760607965</v>
      </c>
      <c r="G155" s="8">
        <v>35.729896003316469</v>
      </c>
      <c r="H155" s="8">
        <v>36.124301050196344</v>
      </c>
      <c r="I155" s="8">
        <v>35.030112258679253</v>
      </c>
      <c r="J155" s="8">
        <v>34.2792480356092</v>
      </c>
      <c r="K155" s="8">
        <v>32.852840632427672</v>
      </c>
      <c r="L155" s="8">
        <v>34.061000578971459</v>
      </c>
      <c r="M155" s="8">
        <v>36.192973500922854</v>
      </c>
      <c r="N155" s="8">
        <v>32.019421795260612</v>
      </c>
      <c r="O155" s="8">
        <v>34.662576354937435</v>
      </c>
      <c r="P155" s="8">
        <v>39.099956377801512</v>
      </c>
      <c r="Q155" s="8">
        <v>47.873355748912658</v>
      </c>
      <c r="R155" s="8">
        <v>46.682777106583842</v>
      </c>
      <c r="S155" s="8">
        <v>40.689349620508374</v>
      </c>
      <c r="T155" s="8">
        <v>35.41560954058528</v>
      </c>
      <c r="U155" s="8">
        <v>36.176151532530362</v>
      </c>
      <c r="V155" s="8">
        <v>34.606554365544817</v>
      </c>
      <c r="W155" s="8">
        <v>36.138457391886661</v>
      </c>
      <c r="Y155" s="8">
        <f t="shared" si="16"/>
        <v>743.48991258374781</v>
      </c>
      <c r="Z155">
        <f t="shared" si="17"/>
        <v>-4.7284124189694143</v>
      </c>
    </row>
    <row r="156" spans="1:26" x14ac:dyDescent="0.25">
      <c r="A156" t="s">
        <v>61</v>
      </c>
      <c r="D156" s="8">
        <v>44.743747485054648</v>
      </c>
      <c r="E156" s="8">
        <v>39.88103583628633</v>
      </c>
      <c r="F156" s="8">
        <v>31.772984095274136</v>
      </c>
      <c r="G156" s="8">
        <v>39.889359866601907</v>
      </c>
      <c r="H156" s="8">
        <v>29.035324621199983</v>
      </c>
      <c r="I156" s="8">
        <v>38.046641908718755</v>
      </c>
      <c r="J156" s="8">
        <v>33.509255637244749</v>
      </c>
      <c r="K156" s="8">
        <v>41.507811149168781</v>
      </c>
      <c r="L156" s="8">
        <v>47.526190333522877</v>
      </c>
      <c r="M156" s="8">
        <v>37.772648466550791</v>
      </c>
      <c r="N156" s="8">
        <v>28.294046252499928</v>
      </c>
      <c r="O156" s="8">
        <v>33.876702952647115</v>
      </c>
      <c r="P156" s="8">
        <v>38.466684765133195</v>
      </c>
      <c r="Q156" s="8">
        <v>47.95008547561828</v>
      </c>
      <c r="R156" s="8">
        <v>46.19292627074185</v>
      </c>
      <c r="S156" s="8">
        <v>48.043072185374868</v>
      </c>
      <c r="T156" s="8">
        <v>34.425755696763858</v>
      </c>
      <c r="U156" s="8">
        <v>30.758729964214051</v>
      </c>
      <c r="V156" s="8">
        <v>35.288138950597961</v>
      </c>
      <c r="W156" s="8">
        <v>43.545294525478766</v>
      </c>
      <c r="Y156" s="8">
        <f t="shared" si="16"/>
        <v>770.52643643869283</v>
      </c>
      <c r="Z156">
        <f t="shared" si="17"/>
        <v>-4.5474731688517682</v>
      </c>
    </row>
    <row r="157" spans="1:26" x14ac:dyDescent="0.25">
      <c r="A157" t="s">
        <v>62</v>
      </c>
      <c r="D157" s="8">
        <v>36.137471404616385</v>
      </c>
      <c r="E157" s="8">
        <v>31.970602206214153</v>
      </c>
      <c r="F157" s="8">
        <v>36.932373368396576</v>
      </c>
      <c r="G157" s="8">
        <v>36.157308054841778</v>
      </c>
      <c r="H157" s="8">
        <v>35.773048503787905</v>
      </c>
      <c r="I157" s="8">
        <v>28.712465711971195</v>
      </c>
      <c r="J157" s="8">
        <v>33.086966378497337</v>
      </c>
      <c r="K157" s="8">
        <v>33.041888848227174</v>
      </c>
      <c r="L157" s="8">
        <v>32.435274313180599</v>
      </c>
      <c r="M157" s="8">
        <v>36.795135438825731</v>
      </c>
      <c r="N157" s="8">
        <v>35.192062599129763</v>
      </c>
      <c r="O157" s="8">
        <v>34.453532349444998</v>
      </c>
      <c r="P157" s="8">
        <v>33.504464792420094</v>
      </c>
      <c r="Q157" s="8">
        <v>35.644680783765388</v>
      </c>
      <c r="R157" s="8">
        <v>35.599233159128758</v>
      </c>
      <c r="S157" s="8">
        <v>34.750402927578229</v>
      </c>
      <c r="T157" s="8">
        <v>31.857776689490549</v>
      </c>
      <c r="U157" s="8">
        <v>33.10809993922458</v>
      </c>
      <c r="V157" s="8">
        <v>37.402338443795443</v>
      </c>
      <c r="W157" s="8">
        <v>33.782774039776633</v>
      </c>
      <c r="Y157" s="8">
        <f t="shared" si="16"/>
        <v>686.33789995231336</v>
      </c>
      <c r="Z157">
        <f t="shared" si="17"/>
        <v>-9.4800883081334781</v>
      </c>
    </row>
    <row r="158" spans="1:26" x14ac:dyDescent="0.25">
      <c r="A158" t="s">
        <v>63</v>
      </c>
      <c r="D158" s="8">
        <v>32.984584956994659</v>
      </c>
      <c r="E158" s="8">
        <v>36.592532987290376</v>
      </c>
      <c r="F158" s="8">
        <v>38.660987138967172</v>
      </c>
      <c r="G158" s="8">
        <v>34.573018801348049</v>
      </c>
      <c r="H158" s="8">
        <v>35.060327061612327</v>
      </c>
      <c r="I158" s="8">
        <v>34.37562296414513</v>
      </c>
      <c r="J158" s="8">
        <v>32.438433573635002</v>
      </c>
      <c r="K158" s="8">
        <v>29.074439647542199</v>
      </c>
      <c r="L158" s="8">
        <v>34.922511143739385</v>
      </c>
      <c r="M158" s="8">
        <v>27.444272433286677</v>
      </c>
      <c r="N158" s="8">
        <v>32.29353153205971</v>
      </c>
      <c r="O158" s="8">
        <v>36.334127398160582</v>
      </c>
      <c r="P158" s="8">
        <v>37.16215666761736</v>
      </c>
      <c r="Q158" s="8">
        <v>34.477259207553296</v>
      </c>
      <c r="R158" s="8">
        <v>32.904551360717463</v>
      </c>
      <c r="S158" s="8">
        <v>33.404449902672219</v>
      </c>
      <c r="T158" s="8">
        <v>33.301299800113391</v>
      </c>
      <c r="U158" s="8">
        <v>34.775028100673111</v>
      </c>
      <c r="V158" s="8">
        <v>29.425210259160938</v>
      </c>
      <c r="W158" s="8">
        <v>31.291956082447829</v>
      </c>
      <c r="Y158" s="8">
        <f t="shared" si="16"/>
        <v>671.49630101973696</v>
      </c>
      <c r="Z158">
        <f t="shared" si="17"/>
        <v>-9.2436963503581566</v>
      </c>
    </row>
    <row r="159" spans="1:26" x14ac:dyDescent="0.25">
      <c r="A159" t="s">
        <v>64</v>
      </c>
      <c r="D159" s="8">
        <v>34.999282559992785</v>
      </c>
      <c r="E159" s="8">
        <v>43.862025633285157</v>
      </c>
      <c r="F159" s="8">
        <v>30.431077997659763</v>
      </c>
      <c r="G159" s="8">
        <v>33.142681510507735</v>
      </c>
      <c r="H159" s="8">
        <v>34.567747711700022</v>
      </c>
      <c r="I159" s="8">
        <v>32.673226312367127</v>
      </c>
      <c r="J159" s="8">
        <v>30.525670255438602</v>
      </c>
      <c r="K159" s="8">
        <v>29.91067059347645</v>
      </c>
      <c r="L159" s="8">
        <v>31.553576792863208</v>
      </c>
      <c r="M159" s="8">
        <v>33.070586771186051</v>
      </c>
      <c r="N159" s="8">
        <v>32.895573327102916</v>
      </c>
      <c r="O159" s="8">
        <v>33.080645676945338</v>
      </c>
      <c r="P159" s="8">
        <v>30.350777655065293</v>
      </c>
      <c r="Q159" s="8">
        <v>28.249355553711915</v>
      </c>
      <c r="R159" s="8">
        <v>32.116581426687553</v>
      </c>
      <c r="S159" s="8">
        <v>29.998401661566685</v>
      </c>
      <c r="T159" s="8">
        <v>32.730382906081296</v>
      </c>
      <c r="U159" s="8">
        <v>31.529781832351397</v>
      </c>
      <c r="V159" s="8">
        <v>32.803835462803079</v>
      </c>
      <c r="W159" s="8">
        <v>35.553387645166858</v>
      </c>
      <c r="Y159" s="8">
        <f t="shared" si="16"/>
        <v>654.04526928595919</v>
      </c>
      <c r="Z159">
        <f t="shared" si="17"/>
        <v>-11.872715704110103</v>
      </c>
    </row>
    <row r="160" spans="1:26" x14ac:dyDescent="0.25">
      <c r="A160" t="s">
        <v>65</v>
      </c>
      <c r="D160" s="8">
        <v>51.531745079356575</v>
      </c>
      <c r="E160" s="8">
        <v>67.443976384323378</v>
      </c>
      <c r="F160" s="8">
        <v>51.45958334724925</v>
      </c>
      <c r="G160" s="8">
        <v>44.792592648392592</v>
      </c>
      <c r="H160" s="8">
        <v>43.633562733909812</v>
      </c>
      <c r="I160" s="8">
        <v>45.12006016453735</v>
      </c>
      <c r="J160" s="8">
        <v>41.848045599647371</v>
      </c>
      <c r="K160" s="8">
        <v>38.81577725320502</v>
      </c>
      <c r="L160" s="8">
        <v>40.205507180392168</v>
      </c>
      <c r="M160" s="8">
        <v>31.298815113563425</v>
      </c>
      <c r="N160" s="8">
        <v>35.957317520085191</v>
      </c>
      <c r="O160" s="8">
        <v>36.182665988212257</v>
      </c>
      <c r="P160" s="8">
        <v>37.65588727686567</v>
      </c>
      <c r="Q160" s="8">
        <v>32.247144284899427</v>
      </c>
      <c r="R160" s="8">
        <v>34.650059355796927</v>
      </c>
      <c r="S160" s="8">
        <v>35.96553124863452</v>
      </c>
      <c r="T160" s="8">
        <v>37.470139509163964</v>
      </c>
      <c r="U160" s="8">
        <v>37.508317380811832</v>
      </c>
      <c r="V160" s="8">
        <v>36.504488499452201</v>
      </c>
      <c r="W160" s="8">
        <v>35.064566801547748</v>
      </c>
      <c r="Y160" s="8">
        <f t="shared" si="16"/>
        <v>815.35578337004654</v>
      </c>
      <c r="Z160">
        <f t="shared" si="17"/>
        <v>-21.271696599861212</v>
      </c>
    </row>
    <row r="161" spans="1:26" x14ac:dyDescent="0.25">
      <c r="A161" t="s">
        <v>66</v>
      </c>
      <c r="D161" s="8">
        <v>26.136073349317819</v>
      </c>
      <c r="E161" s="8">
        <v>28.514240080934378</v>
      </c>
      <c r="F161" s="8">
        <v>31.620096950767081</v>
      </c>
      <c r="G161" s="8">
        <v>29.983879001492181</v>
      </c>
      <c r="H161" s="8">
        <v>31.586819239971657</v>
      </c>
      <c r="I161" s="8">
        <v>34.269186140375432</v>
      </c>
      <c r="J161" s="8">
        <v>33.497124370827692</v>
      </c>
      <c r="K161" s="8">
        <v>33.421426819687518</v>
      </c>
      <c r="L161" s="8">
        <v>31.188133464681918</v>
      </c>
      <c r="M161" s="8">
        <v>32.424557888425959</v>
      </c>
      <c r="N161" s="8">
        <v>32.090440691721128</v>
      </c>
      <c r="O161" s="8">
        <v>33.915801612102356</v>
      </c>
      <c r="P161" s="8">
        <v>30.367674408072485</v>
      </c>
      <c r="Q161" s="8">
        <v>32.384559485396927</v>
      </c>
      <c r="R161" s="8">
        <v>35.053734907519093</v>
      </c>
      <c r="S161" s="8">
        <v>36.860761566193609</v>
      </c>
      <c r="T161" s="8">
        <v>39.831159150611448</v>
      </c>
      <c r="U161" s="8">
        <v>37.950017473572018</v>
      </c>
      <c r="V161" s="8">
        <v>36.215314577459274</v>
      </c>
      <c r="W161" s="8">
        <v>37.592765256902148</v>
      </c>
      <c r="Y161" s="8">
        <f t="shared" si="16"/>
        <v>664.90376643603224</v>
      </c>
      <c r="Z161">
        <f t="shared" si="17"/>
        <v>-5.8856007926648495</v>
      </c>
    </row>
    <row r="162" spans="1:26" x14ac:dyDescent="0.25">
      <c r="A162" t="s">
        <v>67</v>
      </c>
      <c r="D162" s="8">
        <v>29.266527687299149</v>
      </c>
      <c r="E162" s="8">
        <v>32.840442934690394</v>
      </c>
      <c r="F162" s="8">
        <v>31.221163639962221</v>
      </c>
      <c r="G162" s="8">
        <v>32.891265526469788</v>
      </c>
      <c r="H162" s="8">
        <v>33.808951035849915</v>
      </c>
      <c r="I162" s="8">
        <v>34.033084412701854</v>
      </c>
      <c r="J162" s="8">
        <v>31.256771348367057</v>
      </c>
      <c r="K162" s="8">
        <v>35.722392662644893</v>
      </c>
      <c r="L162" s="8">
        <v>34.648552220609538</v>
      </c>
      <c r="M162" s="8">
        <v>41.98019450250554</v>
      </c>
      <c r="N162" s="8">
        <v>37.359055631598054</v>
      </c>
      <c r="O162" s="8">
        <v>34.76764293354082</v>
      </c>
      <c r="P162" s="8">
        <v>37.215539277057765</v>
      </c>
      <c r="Q162" s="8">
        <v>34.670731311234846</v>
      </c>
      <c r="R162" s="8">
        <v>31.682150747907517</v>
      </c>
      <c r="S162" s="8">
        <v>31.929900790398655</v>
      </c>
      <c r="T162" s="8">
        <v>32.156252378827212</v>
      </c>
      <c r="U162" s="8">
        <v>32.772772793521945</v>
      </c>
      <c r="V162" s="8">
        <v>32.962315727312472</v>
      </c>
      <c r="W162" s="8">
        <v>31.150110562117394</v>
      </c>
      <c r="Y162" s="8">
        <f t="shared" si="16"/>
        <v>674.33581812461694</v>
      </c>
      <c r="Z162">
        <f t="shared" si="17"/>
        <v>-6.683601398407589</v>
      </c>
    </row>
    <row r="163" spans="1:26" x14ac:dyDescent="0.2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Y163" s="8"/>
    </row>
    <row r="164" spans="1:26" x14ac:dyDescent="0.25">
      <c r="A164" t="s">
        <v>68</v>
      </c>
      <c r="D164" s="8">
        <v>46.866903239375439</v>
      </c>
      <c r="E164" s="8">
        <v>40.587540704008454</v>
      </c>
      <c r="F164" s="8">
        <v>41.249990971732601</v>
      </c>
      <c r="G164" s="8">
        <v>39.732696258896517</v>
      </c>
      <c r="H164" s="8">
        <v>37.981191141417909</v>
      </c>
      <c r="I164" s="8">
        <v>21.380083180879424</v>
      </c>
      <c r="J164" s="8">
        <v>19.166547728132109</v>
      </c>
      <c r="K164" s="8">
        <v>22.276512041892992</v>
      </c>
      <c r="L164" s="8">
        <v>20.810940371025026</v>
      </c>
      <c r="M164" s="8">
        <v>35.224892840050167</v>
      </c>
      <c r="N164" s="8">
        <v>34.72629026913647</v>
      </c>
      <c r="O164" s="8">
        <v>34.293403557162563</v>
      </c>
      <c r="P164" s="8">
        <v>34.46599671126522</v>
      </c>
      <c r="Q164" s="8">
        <v>35.25044894820622</v>
      </c>
      <c r="R164" s="8">
        <v>36.807175964382161</v>
      </c>
      <c r="S164" s="8">
        <v>37.741241428193625</v>
      </c>
      <c r="T164" s="8">
        <v>36.742317314871798</v>
      </c>
      <c r="U164" s="8">
        <v>35.820448680203839</v>
      </c>
      <c r="V164" s="8">
        <v>34.63543196076543</v>
      </c>
      <c r="W164" s="8">
        <v>36.741887892319802</v>
      </c>
      <c r="Y164" s="8">
        <f t="shared" si="16"/>
        <v>682.50194120391791</v>
      </c>
      <c r="Z164">
        <f>SUMPRODUCT($D$168:$W$168,D164:W164)</f>
        <v>-15.351923305263643</v>
      </c>
    </row>
    <row r="165" spans="1:26" x14ac:dyDescent="0.25">
      <c r="A165" t="s">
        <v>312</v>
      </c>
      <c r="D165" s="8">
        <v>31.740550692484074</v>
      </c>
      <c r="E165" s="8">
        <v>36.297647789872499</v>
      </c>
      <c r="F165" s="8">
        <v>33.297606906725022</v>
      </c>
      <c r="G165" s="8">
        <v>32.459570447690218</v>
      </c>
      <c r="H165" s="8">
        <v>36.522057355546039</v>
      </c>
      <c r="I165" s="8">
        <v>33.735336550856552</v>
      </c>
      <c r="J165" s="8">
        <v>31.249357453454156</v>
      </c>
      <c r="K165" s="8">
        <v>61.67311297901184</v>
      </c>
      <c r="L165" s="8">
        <v>32.487592036270129</v>
      </c>
      <c r="M165" s="8">
        <v>30.849982737094518</v>
      </c>
      <c r="N165" s="8">
        <v>31.467427119980222</v>
      </c>
      <c r="O165" s="8">
        <v>29.068174914381274</v>
      </c>
      <c r="P165" s="8">
        <v>53.9</v>
      </c>
      <c r="Q165" s="8">
        <v>56</v>
      </c>
      <c r="R165" s="8">
        <v>59.4</v>
      </c>
      <c r="S165" s="8">
        <v>29.1</v>
      </c>
      <c r="T165" s="8">
        <v>33.200000000000003</v>
      </c>
      <c r="U165" s="8">
        <v>34.799999999999997</v>
      </c>
      <c r="V165" s="8">
        <v>33.1</v>
      </c>
      <c r="W165" s="8">
        <v>36.1</v>
      </c>
      <c r="Y165" s="8">
        <f t="shared" si="16"/>
        <v>756.44841698336666</v>
      </c>
      <c r="Z165">
        <f>SUMPRODUCT($D$168:$W$168,D165:W165)</f>
        <v>7.0827692292075035</v>
      </c>
    </row>
    <row r="166" spans="1:26" x14ac:dyDescent="0.25">
      <c r="A166" t="s">
        <v>313</v>
      </c>
      <c r="D166" s="8">
        <v>33.200000000000003</v>
      </c>
      <c r="E166" s="8">
        <v>36.299999999999997</v>
      </c>
      <c r="F166" s="8">
        <v>38.4</v>
      </c>
      <c r="G166" s="8">
        <v>33.6</v>
      </c>
      <c r="H166" s="8">
        <v>37.4</v>
      </c>
      <c r="I166" s="8">
        <v>33.4</v>
      </c>
      <c r="J166" s="8">
        <v>30.6</v>
      </c>
      <c r="K166" s="8">
        <v>55.9</v>
      </c>
      <c r="L166" s="8">
        <v>33.700000000000003</v>
      </c>
      <c r="M166" s="8">
        <v>33.299999999999997</v>
      </c>
      <c r="N166" s="8">
        <v>33.4</v>
      </c>
      <c r="O166" s="8">
        <v>31.6</v>
      </c>
      <c r="P166" s="8">
        <v>35.427994231420328</v>
      </c>
      <c r="Q166" s="8">
        <v>35.713705061109664</v>
      </c>
      <c r="R166" s="8">
        <v>36.292670314614512</v>
      </c>
      <c r="S166" s="8">
        <v>36.432371585165299</v>
      </c>
      <c r="T166" s="8">
        <v>33.957070920322614</v>
      </c>
      <c r="U166" s="8">
        <v>33.535991443454989</v>
      </c>
      <c r="V166" s="8">
        <v>34.284802323161927</v>
      </c>
      <c r="W166" s="8">
        <v>35.847595818883562</v>
      </c>
      <c r="Y166" s="8">
        <f t="shared" si="16"/>
        <v>712.29220169813277</v>
      </c>
      <c r="Z166">
        <f>SUMPRODUCT($D$168:$W$168,D166:W166)</f>
        <v>-5.3705419093311928</v>
      </c>
    </row>
    <row r="167" spans="1:26" x14ac:dyDescent="0.25">
      <c r="A167" t="s">
        <v>676</v>
      </c>
      <c r="D167" s="8">
        <v>48.316949766647966</v>
      </c>
      <c r="E167" s="8">
        <v>43.542453574747746</v>
      </c>
      <c r="F167" s="8">
        <v>40.587540704008454</v>
      </c>
      <c r="G167" s="8">
        <v>39.982715569100073</v>
      </c>
      <c r="H167" s="8">
        <v>37.981191141417909</v>
      </c>
      <c r="I167" s="8">
        <v>35.676485428540538</v>
      </c>
      <c r="J167" s="8">
        <v>34.633530368797295</v>
      </c>
      <c r="K167" s="8">
        <v>33.912142428285144</v>
      </c>
      <c r="L167" s="8">
        <v>35.059940880205488</v>
      </c>
      <c r="M167" s="8">
        <v>33.493850770904821</v>
      </c>
      <c r="N167" s="8">
        <v>32.493614505429825</v>
      </c>
      <c r="O167" s="8">
        <v>34.213936871246602</v>
      </c>
      <c r="P167" s="8">
        <v>34.155377291207685</v>
      </c>
      <c r="Q167" s="8">
        <v>39.640408337608172</v>
      </c>
      <c r="R167" s="8">
        <v>38.4</v>
      </c>
      <c r="S167" s="8">
        <v>39.700000000000003</v>
      </c>
      <c r="T167" s="8">
        <v>35.976927824275066</v>
      </c>
      <c r="U167" s="8">
        <v>34.644110225065454</v>
      </c>
      <c r="V167" s="8">
        <v>33.956079967929867</v>
      </c>
      <c r="W167" s="8">
        <v>35.757384340370038</v>
      </c>
      <c r="Y167" s="8">
        <f t="shared" ref="Y167" si="18">SUM(D167:W167)</f>
        <v>742.12463999578836</v>
      </c>
      <c r="Z167">
        <f>SUMPRODUCT($D$168:$W$168,D167:W167)</f>
        <v>-12.773288807631751</v>
      </c>
    </row>
    <row r="168" spans="1:26" x14ac:dyDescent="0.25">
      <c r="A168" s="2" t="s">
        <v>69</v>
      </c>
      <c r="D168" s="3">
        <f>CORREL($B$2:$B$26,D138:D162)</f>
        <v>-0.24918898655126084</v>
      </c>
      <c r="E168" s="3">
        <f t="shared" ref="E168:W168" si="19">CORREL($B$2:$B$26,E138:E162)</f>
        <v>-0.1470176609869176</v>
      </c>
      <c r="F168" s="3">
        <f t="shared" si="19"/>
        <v>-0.10344606496701032</v>
      </c>
      <c r="G168" s="3">
        <f t="shared" si="19"/>
        <v>-0.13733768147430317</v>
      </c>
      <c r="H168" s="3">
        <f t="shared" si="19"/>
        <v>-4.4416772175727218E-3</v>
      </c>
      <c r="I168" s="3">
        <f t="shared" si="19"/>
        <v>2.3519980767016141E-2</v>
      </c>
      <c r="J168" s="3">
        <f t="shared" si="19"/>
        <v>-3.1837397252221233E-2</v>
      </c>
      <c r="K168" s="3">
        <f t="shared" si="19"/>
        <v>0.1387933078602443</v>
      </c>
      <c r="L168" s="3">
        <f t="shared" si="19"/>
        <v>1.8239630654059636E-2</v>
      </c>
      <c r="M168" s="3">
        <f t="shared" si="19"/>
        <v>6.5302415635312999E-2</v>
      </c>
      <c r="N168" s="3">
        <f t="shared" si="19"/>
        <v>-0.16195163935610002</v>
      </c>
      <c r="O168" s="3">
        <f t="shared" si="19"/>
        <v>0.10057392792460816</v>
      </c>
      <c r="P168" s="3">
        <f t="shared" si="19"/>
        <v>4.7452436641425254E-2</v>
      </c>
      <c r="Q168" s="3">
        <f t="shared" si="19"/>
        <v>0.11549957999714683</v>
      </c>
      <c r="R168" s="3">
        <f t="shared" si="19"/>
        <v>0.33543769434870485</v>
      </c>
      <c r="S168" s="3">
        <f t="shared" si="19"/>
        <v>4.3738595287444122E-2</v>
      </c>
      <c r="T168" s="3">
        <f t="shared" si="19"/>
        <v>-8.385966362857664E-3</v>
      </c>
      <c r="U168" s="3">
        <f t="shared" si="19"/>
        <v>-6.3221034054341235E-2</v>
      </c>
      <c r="V168" s="3">
        <f t="shared" si="19"/>
        <v>-0.15305581689561926</v>
      </c>
      <c r="W168" s="3">
        <f t="shared" si="19"/>
        <v>-8.5274356645282684E-2</v>
      </c>
      <c r="X168" s="3"/>
    </row>
    <row r="169" spans="1:26" x14ac:dyDescent="0.25">
      <c r="P169" s="8"/>
      <c r="Q169" s="8"/>
      <c r="R169" s="8"/>
      <c r="S169" s="8"/>
      <c r="T169" s="8"/>
      <c r="U169" s="8"/>
      <c r="V169" s="8"/>
      <c r="W169" s="8"/>
    </row>
    <row r="170" spans="1:26" x14ac:dyDescent="0.25">
      <c r="P170" s="8"/>
      <c r="Q170" s="8"/>
      <c r="R170" s="8"/>
      <c r="S170" s="8"/>
      <c r="T170" s="8"/>
      <c r="U170" s="8"/>
      <c r="V170" s="8"/>
      <c r="W170" s="8"/>
    </row>
    <row r="171" spans="1:26" x14ac:dyDescent="0.25">
      <c r="D171" t="s">
        <v>0</v>
      </c>
      <c r="E171" t="s">
        <v>1</v>
      </c>
      <c r="F171" t="s">
        <v>2</v>
      </c>
      <c r="G171" t="s">
        <v>3</v>
      </c>
      <c r="H171" t="s">
        <v>4</v>
      </c>
      <c r="I171" t="s">
        <v>5</v>
      </c>
      <c r="J171" t="s">
        <v>6</v>
      </c>
      <c r="K171" t="s">
        <v>7</v>
      </c>
      <c r="L171" t="s">
        <v>320</v>
      </c>
      <c r="M171" t="s">
        <v>358</v>
      </c>
      <c r="N171" t="s">
        <v>359</v>
      </c>
      <c r="O171" t="s">
        <v>360</v>
      </c>
      <c r="P171" s="8" t="s">
        <v>472</v>
      </c>
      <c r="Q171" s="8" t="s">
        <v>473</v>
      </c>
      <c r="R171" s="8" t="s">
        <v>474</v>
      </c>
      <c r="S171" s="8" t="s">
        <v>475</v>
      </c>
      <c r="T171" s="8" t="s">
        <v>584</v>
      </c>
      <c r="U171" s="8" t="s">
        <v>585</v>
      </c>
      <c r="V171" s="8" t="s">
        <v>586</v>
      </c>
      <c r="W171" s="8" t="s">
        <v>587</v>
      </c>
      <c r="Y171" t="s">
        <v>94</v>
      </c>
      <c r="Z171" t="s">
        <v>95</v>
      </c>
    </row>
    <row r="172" spans="1:26" x14ac:dyDescent="0.25">
      <c r="A172" t="s">
        <v>43</v>
      </c>
      <c r="D172" s="8">
        <v>13.85464013718356</v>
      </c>
      <c r="E172" s="8">
        <v>9.541377633887393</v>
      </c>
      <c r="F172" s="8">
        <v>10.785819034610382</v>
      </c>
      <c r="G172" s="8">
        <v>16.62242195584313</v>
      </c>
      <c r="H172" s="8">
        <v>13.792110683511082</v>
      </c>
      <c r="I172" s="8">
        <v>11.886427844463981</v>
      </c>
      <c r="J172" s="8">
        <v>12.348992816027847</v>
      </c>
      <c r="K172" s="8">
        <v>9.1764277176938709</v>
      </c>
      <c r="L172" s="8">
        <v>8.2751257938418128</v>
      </c>
      <c r="M172" s="8">
        <v>7.7031544676158843</v>
      </c>
      <c r="N172" s="8">
        <v>8.343771075446142</v>
      </c>
      <c r="O172" s="8">
        <v>9.9220730650613138</v>
      </c>
      <c r="P172" s="8">
        <v>6.3971320043978031</v>
      </c>
      <c r="Q172" s="8">
        <v>10.193674446052231</v>
      </c>
      <c r="R172" s="8">
        <v>14.255501795638267</v>
      </c>
      <c r="S172" s="8">
        <v>12.0886465624243</v>
      </c>
      <c r="T172" s="8">
        <v>9.8592561711615456</v>
      </c>
      <c r="U172" s="8">
        <v>7.9328364981523878</v>
      </c>
      <c r="V172" s="8">
        <v>12.394319134049889</v>
      </c>
      <c r="W172" s="8">
        <v>11.656663264452982</v>
      </c>
      <c r="Y172" s="8">
        <f t="shared" ref="Y172:Y200" si="20">SUM(D172:W172)</f>
        <v>217.03037210151581</v>
      </c>
      <c r="Z172">
        <f t="shared" ref="Z172:Z196" si="21">SUMPRODUCT($D$202:$W$202,D172:W172)</f>
        <v>-10.417383068935344</v>
      </c>
    </row>
    <row r="173" spans="1:26" x14ac:dyDescent="0.25">
      <c r="A173" t="s">
        <v>44</v>
      </c>
      <c r="D173" s="8">
        <v>11.964212751446555</v>
      </c>
      <c r="E173" s="8">
        <v>12.755892596369288</v>
      </c>
      <c r="F173" s="8">
        <v>11.247695681851853</v>
      </c>
      <c r="G173" s="8">
        <v>10.421723352573746</v>
      </c>
      <c r="H173" s="8">
        <v>10.236506491217606</v>
      </c>
      <c r="I173" s="8">
        <v>9.7292045087017183</v>
      </c>
      <c r="J173" s="8">
        <v>10.11010208257567</v>
      </c>
      <c r="K173" s="8">
        <v>11.027471847235699</v>
      </c>
      <c r="L173" s="8">
        <v>10.151064306576147</v>
      </c>
      <c r="M173" s="8">
        <v>9.1381530932845383</v>
      </c>
      <c r="N173" s="8">
        <v>7.7350104011693714</v>
      </c>
      <c r="O173" s="8">
        <v>8.2959782511919933</v>
      </c>
      <c r="P173" s="8">
        <v>8.3667928250894246</v>
      </c>
      <c r="Q173" s="8">
        <v>9.4920608271239377</v>
      </c>
      <c r="R173" s="8">
        <v>7.8003241062299491</v>
      </c>
      <c r="S173" s="8">
        <v>10.267094562667552</v>
      </c>
      <c r="T173" s="8">
        <v>9.4824127469219714</v>
      </c>
      <c r="U173" s="8">
        <v>10.010877105934032</v>
      </c>
      <c r="V173" s="8">
        <v>12.286603775121678</v>
      </c>
      <c r="W173" s="8">
        <v>14.321780545888103</v>
      </c>
      <c r="Y173" s="8">
        <f t="shared" si="20"/>
        <v>204.84096185917082</v>
      </c>
      <c r="Z173">
        <f t="shared" si="21"/>
        <v>-10.511755342970218</v>
      </c>
    </row>
    <row r="174" spans="1:26" x14ac:dyDescent="0.25">
      <c r="A174" t="s">
        <v>45</v>
      </c>
      <c r="D174" s="8">
        <v>12.191039116712917</v>
      </c>
      <c r="E174" s="8">
        <v>11.501611163893873</v>
      </c>
      <c r="F174" s="8">
        <v>11.614686412639063</v>
      </c>
      <c r="G174" s="8">
        <v>11.670187338703595</v>
      </c>
      <c r="H174" s="8">
        <v>12.610415523267379</v>
      </c>
      <c r="I174" s="8">
        <v>9.646148372425019</v>
      </c>
      <c r="J174" s="8">
        <v>9.5987454636483438</v>
      </c>
      <c r="K174" s="8">
        <v>9.9861798171768985</v>
      </c>
      <c r="L174" s="8">
        <v>10.186879595548209</v>
      </c>
      <c r="M174" s="8">
        <v>8.3692823116133486</v>
      </c>
      <c r="N174" s="8">
        <v>6.9985505508318173</v>
      </c>
      <c r="O174" s="8">
        <v>8.2438111870719002</v>
      </c>
      <c r="P174" s="8">
        <v>11.416981674812826</v>
      </c>
      <c r="Q174" s="8">
        <v>9.4471273076497688</v>
      </c>
      <c r="R174" s="8">
        <v>11.719048159396985</v>
      </c>
      <c r="S174" s="8">
        <v>11.54323753718573</v>
      </c>
      <c r="T174" s="8">
        <v>9.2437537780880259</v>
      </c>
      <c r="U174" s="8">
        <v>10.613620370717692</v>
      </c>
      <c r="V174" s="8">
        <v>9.5877585745859157</v>
      </c>
      <c r="W174" s="8">
        <v>12.710599258957789</v>
      </c>
      <c r="Y174" s="8">
        <f t="shared" si="20"/>
        <v>208.89966351492706</v>
      </c>
      <c r="Z174">
        <f t="shared" si="21"/>
        <v>-8.9292216563295685</v>
      </c>
    </row>
    <row r="175" spans="1:26" x14ac:dyDescent="0.25">
      <c r="A175" t="s">
        <v>46</v>
      </c>
      <c r="D175" s="8">
        <v>16.300008725194921</v>
      </c>
      <c r="E175" s="8">
        <v>12.878344505216726</v>
      </c>
      <c r="F175" s="8">
        <v>13.774226598352964</v>
      </c>
      <c r="G175" s="8">
        <v>14.026272630256894</v>
      </c>
      <c r="H175" s="8">
        <v>11.102886793866457</v>
      </c>
      <c r="I175" s="8">
        <v>13.622736475221314</v>
      </c>
      <c r="J175" s="8">
        <v>10.543851549285293</v>
      </c>
      <c r="K175" s="8">
        <v>10.017412132566772</v>
      </c>
      <c r="L175" s="8">
        <v>11.14631755181718</v>
      </c>
      <c r="M175" s="8">
        <v>5.5345016012928943</v>
      </c>
      <c r="N175" s="8">
        <v>6.8950771645237809</v>
      </c>
      <c r="O175" s="8">
        <v>7.0073102339360842</v>
      </c>
      <c r="P175" s="8">
        <v>9.6859272215670718</v>
      </c>
      <c r="Q175" s="8">
        <v>8.212651631266624</v>
      </c>
      <c r="R175" s="8">
        <v>8.4914396814315616</v>
      </c>
      <c r="S175" s="8">
        <v>6.2292396693995782</v>
      </c>
      <c r="T175" s="8">
        <v>9.0783192928931271</v>
      </c>
      <c r="U175" s="8">
        <v>10.251034688967684</v>
      </c>
      <c r="V175" s="8">
        <v>10.175938846772057</v>
      </c>
      <c r="W175" s="8">
        <v>10.493039447011117</v>
      </c>
      <c r="Y175" s="8">
        <f t="shared" si="20"/>
        <v>205.46653644084012</v>
      </c>
      <c r="Z175">
        <f t="shared" si="21"/>
        <v>-11.529500422344245</v>
      </c>
    </row>
    <row r="176" spans="1:26" x14ac:dyDescent="0.25">
      <c r="A176" t="s">
        <v>47</v>
      </c>
      <c r="D176" s="8">
        <v>12.15301466553259</v>
      </c>
      <c r="E176" s="8">
        <v>13.076473934436107</v>
      </c>
      <c r="F176" s="8">
        <v>16.056608815864372</v>
      </c>
      <c r="G176" s="8">
        <v>15.337830302732888</v>
      </c>
      <c r="H176" s="8">
        <v>13.213371738840944</v>
      </c>
      <c r="I176" s="8">
        <v>9.9956035181752139</v>
      </c>
      <c r="J176" s="8">
        <v>13.60087976172081</v>
      </c>
      <c r="K176" s="8">
        <v>11.382180938324501</v>
      </c>
      <c r="L176" s="8">
        <v>7.8074737711823632</v>
      </c>
      <c r="M176" s="8">
        <v>9.2680231312972072</v>
      </c>
      <c r="N176" s="8">
        <v>8.0321040232170731</v>
      </c>
      <c r="O176" s="8">
        <v>8.2577017018300296</v>
      </c>
      <c r="P176" s="8">
        <v>11.258841417129753</v>
      </c>
      <c r="Q176" s="8">
        <v>10.893611130967853</v>
      </c>
      <c r="R176" s="8">
        <v>12.35695247853721</v>
      </c>
      <c r="S176" s="8">
        <v>7.6606582089172681</v>
      </c>
      <c r="T176" s="8">
        <v>10.282633632389961</v>
      </c>
      <c r="U176" s="8">
        <v>12.319248748718449</v>
      </c>
      <c r="V176" s="8">
        <v>10.602600140926096</v>
      </c>
      <c r="W176" s="8">
        <v>10.465767375826246</v>
      </c>
      <c r="Y176" s="8">
        <f t="shared" si="20"/>
        <v>224.02157943656692</v>
      </c>
      <c r="Z176">
        <f t="shared" si="21"/>
        <v>-11.172900720276624</v>
      </c>
    </row>
    <row r="177" spans="1:26" x14ac:dyDescent="0.25">
      <c r="A177" t="s">
        <v>48</v>
      </c>
      <c r="D177" s="8">
        <v>15.157760147856617</v>
      </c>
      <c r="E177" s="8">
        <v>11.27944593504329</v>
      </c>
      <c r="F177" s="8">
        <v>11.351564459053789</v>
      </c>
      <c r="G177" s="8">
        <v>17.977026683530852</v>
      </c>
      <c r="H177" s="8">
        <v>11.014068430056694</v>
      </c>
      <c r="I177" s="8">
        <v>11.848927478566198</v>
      </c>
      <c r="J177" s="8">
        <v>11.614733685600132</v>
      </c>
      <c r="K177" s="8">
        <v>10.248267318574538</v>
      </c>
      <c r="L177" s="8">
        <v>8.9891803674724979</v>
      </c>
      <c r="M177" s="8">
        <v>9.7833867330447521</v>
      </c>
      <c r="N177" s="8">
        <v>9.4539910184676437</v>
      </c>
      <c r="O177" s="8">
        <v>8.0980283404155937</v>
      </c>
      <c r="P177" s="8">
        <v>8.9214209432291884</v>
      </c>
      <c r="Q177" s="8">
        <v>7.0516480128197747</v>
      </c>
      <c r="R177" s="8">
        <v>7.994210646349897</v>
      </c>
      <c r="S177" s="8">
        <v>11.15165939991193</v>
      </c>
      <c r="T177" s="8">
        <v>8.6123127808677449</v>
      </c>
      <c r="U177" s="8">
        <v>8.2373648992472557</v>
      </c>
      <c r="V177" s="8">
        <v>11.512952713291027</v>
      </c>
      <c r="W177" s="8">
        <v>12.34885777368738</v>
      </c>
      <c r="Y177" s="8">
        <f t="shared" si="20"/>
        <v>212.64680776708676</v>
      </c>
      <c r="Z177">
        <f t="shared" si="21"/>
        <v>-13.607941316277174</v>
      </c>
    </row>
    <row r="178" spans="1:26" x14ac:dyDescent="0.25">
      <c r="A178" t="s">
        <v>49</v>
      </c>
      <c r="D178" s="8">
        <v>15.258285362109561</v>
      </c>
      <c r="E178" s="8">
        <v>14.301615714407111</v>
      </c>
      <c r="F178" s="8">
        <v>18.452892245757567</v>
      </c>
      <c r="G178" s="8">
        <v>18.415983975067444</v>
      </c>
      <c r="H178" s="8">
        <v>14.306169964094787</v>
      </c>
      <c r="I178" s="8">
        <v>16.212113105647301</v>
      </c>
      <c r="J178" s="8">
        <v>14.215370047002574</v>
      </c>
      <c r="K178" s="8">
        <v>11.281886414548117</v>
      </c>
      <c r="L178" s="8">
        <v>11.015469887337577</v>
      </c>
      <c r="M178" s="8">
        <v>10.962197409381323</v>
      </c>
      <c r="N178" s="8">
        <v>11.354998623103986</v>
      </c>
      <c r="O178" s="8">
        <v>8.6787759630144432</v>
      </c>
      <c r="P178" s="8">
        <v>11.897831138580321</v>
      </c>
      <c r="Q178" s="8">
        <v>10.225717471628352</v>
      </c>
      <c r="R178" s="8">
        <v>11.890054650969736</v>
      </c>
      <c r="S178" s="8">
        <v>13.675546447772714</v>
      </c>
      <c r="T178" s="8">
        <v>8.9288527383981968</v>
      </c>
      <c r="U178" s="8">
        <v>10.593047747093211</v>
      </c>
      <c r="V178" s="8">
        <v>10.505592232422709</v>
      </c>
      <c r="W178" s="8">
        <v>15.609403797575736</v>
      </c>
      <c r="Y178" s="8">
        <f t="shared" si="20"/>
        <v>257.78180493591282</v>
      </c>
      <c r="Z178">
        <f t="shared" si="21"/>
        <v>-14.932236594585854</v>
      </c>
    </row>
    <row r="179" spans="1:26" x14ac:dyDescent="0.25">
      <c r="A179" t="s">
        <v>50</v>
      </c>
      <c r="D179" s="8">
        <v>6.8592892446786395</v>
      </c>
      <c r="E179" s="8">
        <v>18.055211472178431</v>
      </c>
      <c r="F179" s="8">
        <v>16.612537916855647</v>
      </c>
      <c r="G179" s="8">
        <v>12.670394067572289</v>
      </c>
      <c r="H179" s="8">
        <v>12.294900376824899</v>
      </c>
      <c r="I179" s="8">
        <v>12.866322729004466</v>
      </c>
      <c r="J179" s="8">
        <v>9.2180273141807536</v>
      </c>
      <c r="K179" s="8">
        <v>9.5186015410469995</v>
      </c>
      <c r="L179" s="8">
        <v>11.319130184312279</v>
      </c>
      <c r="M179" s="8">
        <v>9.0482534741738299</v>
      </c>
      <c r="N179" s="8">
        <v>7.8623382070976282</v>
      </c>
      <c r="O179" s="8">
        <v>9.639396114516817</v>
      </c>
      <c r="P179" s="8">
        <v>9.3533306194710253</v>
      </c>
      <c r="Q179" s="8">
        <v>10.861201056211382</v>
      </c>
      <c r="R179" s="8">
        <v>12.566503464484944</v>
      </c>
      <c r="S179" s="8">
        <v>11.996316605326303</v>
      </c>
      <c r="T179" s="8">
        <v>11.201952140140792</v>
      </c>
      <c r="U179" s="8">
        <v>11.870854433046171</v>
      </c>
      <c r="V179" s="8">
        <v>14.907428398367882</v>
      </c>
      <c r="W179" s="8">
        <v>14.513950933495128</v>
      </c>
      <c r="Y179" s="8">
        <f t="shared" si="20"/>
        <v>233.2359402929863</v>
      </c>
      <c r="Z179">
        <f t="shared" si="21"/>
        <v>-7.9563177268298082</v>
      </c>
    </row>
    <row r="180" spans="1:26" x14ac:dyDescent="0.25">
      <c r="A180" t="s">
        <v>51</v>
      </c>
      <c r="D180" s="8">
        <v>4.2577534761807661</v>
      </c>
      <c r="E180" s="8">
        <v>15.416953547109175</v>
      </c>
      <c r="F180" s="8">
        <v>15.313921458425725</v>
      </c>
      <c r="G180" s="8">
        <v>16.914392224700883</v>
      </c>
      <c r="H180" s="8">
        <v>14.556915050851615</v>
      </c>
      <c r="I180" s="8">
        <v>13.420585330935294</v>
      </c>
      <c r="J180" s="8">
        <v>14.341943900627786</v>
      </c>
      <c r="K180" s="8">
        <v>13.893048154337178</v>
      </c>
      <c r="L180" s="8">
        <v>12.276158271971511</v>
      </c>
      <c r="M180" s="8">
        <v>13.373798788485386</v>
      </c>
      <c r="N180" s="8">
        <v>11.376765030552804</v>
      </c>
      <c r="O180" s="8">
        <v>11.622746269549854</v>
      </c>
      <c r="P180" s="8">
        <v>14.551895527507522</v>
      </c>
      <c r="Q180" s="8">
        <v>14.619214125276873</v>
      </c>
      <c r="R180" s="8">
        <v>4.2577534761807661</v>
      </c>
      <c r="S180" s="8">
        <v>4.2577534761807661</v>
      </c>
      <c r="T180" s="8">
        <v>4.2577534761807661</v>
      </c>
      <c r="U180" s="8">
        <v>4.2577534761807661</v>
      </c>
      <c r="V180" s="8">
        <v>17.367969741852196</v>
      </c>
      <c r="W180" s="8">
        <v>20.460339618254096</v>
      </c>
      <c r="Y180" s="8">
        <f t="shared" si="20"/>
        <v>240.79541442134172</v>
      </c>
      <c r="Z180">
        <f t="shared" si="21"/>
        <v>-17.886577016193858</v>
      </c>
    </row>
    <row r="181" spans="1:26" x14ac:dyDescent="0.25">
      <c r="A181" t="s">
        <v>52</v>
      </c>
      <c r="D181" s="8">
        <v>16.810404224834581</v>
      </c>
      <c r="E181" s="8">
        <v>15.331563447557773</v>
      </c>
      <c r="F181" s="8">
        <v>16.86411286370312</v>
      </c>
      <c r="G181" s="8">
        <v>14.532482269853306</v>
      </c>
      <c r="H181" s="8">
        <v>11.924459839362893</v>
      </c>
      <c r="I181" s="8">
        <v>10.867374128266336</v>
      </c>
      <c r="J181" s="8">
        <v>10.460510244456811</v>
      </c>
      <c r="K181" s="8">
        <v>13.697663874598137</v>
      </c>
      <c r="L181" s="8">
        <v>11.773394053181196</v>
      </c>
      <c r="M181" s="8">
        <v>11.786238686183109</v>
      </c>
      <c r="N181" s="8">
        <v>11.880742250777136</v>
      </c>
      <c r="O181" s="8">
        <v>9.5129157353258353</v>
      </c>
      <c r="P181" s="8">
        <v>9.9736920919652281</v>
      </c>
      <c r="Q181" s="8">
        <v>11.639751430922791</v>
      </c>
      <c r="R181" s="8">
        <v>10.819179033703932</v>
      </c>
      <c r="S181" s="8">
        <v>12.870231708749431</v>
      </c>
      <c r="T181" s="8">
        <v>11.303995148091461</v>
      </c>
      <c r="U181" s="8">
        <v>16.585010582604689</v>
      </c>
      <c r="V181" s="8">
        <v>14.31980926942887</v>
      </c>
      <c r="W181" s="8">
        <v>15.767322892538115</v>
      </c>
      <c r="Y181" s="8">
        <f t="shared" si="20"/>
        <v>258.72085377610472</v>
      </c>
      <c r="Z181">
        <f t="shared" si="21"/>
        <v>-13.398737373833061</v>
      </c>
    </row>
    <row r="182" spans="1:26" x14ac:dyDescent="0.25">
      <c r="A182" t="s">
        <v>53</v>
      </c>
      <c r="D182" s="8">
        <v>19.832970675577901</v>
      </c>
      <c r="E182" s="8">
        <v>17.975877271666604</v>
      </c>
      <c r="F182" s="8">
        <v>17.801654178157477</v>
      </c>
      <c r="G182" s="8">
        <v>12.718439837210706</v>
      </c>
      <c r="H182" s="8">
        <v>14.572395551389652</v>
      </c>
      <c r="I182" s="8">
        <v>14.110618163642084</v>
      </c>
      <c r="J182" s="8">
        <v>12.871675396374103</v>
      </c>
      <c r="K182" s="8">
        <v>11.877663882751191</v>
      </c>
      <c r="L182" s="8">
        <v>11.539519558710966</v>
      </c>
      <c r="M182" s="8">
        <v>13.450638611928454</v>
      </c>
      <c r="N182" s="8">
        <v>12.668714683292762</v>
      </c>
      <c r="O182" s="8">
        <v>10.136771707277138</v>
      </c>
      <c r="P182" s="8">
        <v>10.565578807431185</v>
      </c>
      <c r="Q182" s="8">
        <v>12.208212280239776</v>
      </c>
      <c r="R182" s="8">
        <v>12.835291877949905</v>
      </c>
      <c r="S182" s="8">
        <v>12.114711853051952</v>
      </c>
      <c r="T182" s="8">
        <v>12.681851053001648</v>
      </c>
      <c r="U182" s="8">
        <v>13.384092654911186</v>
      </c>
      <c r="V182" s="8">
        <v>15.358308743454611</v>
      </c>
      <c r="W182" s="8">
        <v>14.341762812260459</v>
      </c>
      <c r="Y182" s="8">
        <f t="shared" si="20"/>
        <v>273.04674960027978</v>
      </c>
      <c r="Z182">
        <f t="shared" si="21"/>
        <v>-14.468864406307882</v>
      </c>
    </row>
    <row r="183" spans="1:26" x14ac:dyDescent="0.25">
      <c r="A183" t="s">
        <v>54</v>
      </c>
      <c r="D183" s="8">
        <v>22.075811573179372</v>
      </c>
      <c r="E183" s="8">
        <v>11.355354099335525</v>
      </c>
      <c r="F183" s="8">
        <v>11.284011730290358</v>
      </c>
      <c r="G183" s="8">
        <v>15.980379623367952</v>
      </c>
      <c r="H183" s="8">
        <v>14.556915050851615</v>
      </c>
      <c r="I183" s="8">
        <v>10.888768315069303</v>
      </c>
      <c r="J183" s="8">
        <v>11.280428234936895</v>
      </c>
      <c r="K183" s="8">
        <v>9.7188128801975608</v>
      </c>
      <c r="L183" s="8">
        <v>8.9028677919078838</v>
      </c>
      <c r="M183" s="8">
        <v>7.2395987501752241</v>
      </c>
      <c r="N183" s="8">
        <v>7.4811390135901386</v>
      </c>
      <c r="O183" s="8">
        <v>9.7833867330447521</v>
      </c>
      <c r="P183" s="8">
        <v>9.3945630373207205</v>
      </c>
      <c r="Q183" s="8">
        <v>10.850975916040682</v>
      </c>
      <c r="R183" s="8">
        <v>6.2292396693995782</v>
      </c>
      <c r="S183" s="8">
        <v>8.4914396814315616</v>
      </c>
      <c r="T183" s="8">
        <v>10.225210651092429</v>
      </c>
      <c r="U183" s="8">
        <v>10.264224069187188</v>
      </c>
      <c r="V183" s="8">
        <v>12.674868287887259</v>
      </c>
      <c r="W183" s="8">
        <v>10.771351555152624</v>
      </c>
      <c r="Y183" s="8">
        <f t="shared" si="20"/>
        <v>219.44934666345858</v>
      </c>
      <c r="Z183">
        <f t="shared" si="21"/>
        <v>-13.786628266152995</v>
      </c>
    </row>
    <row r="184" spans="1:26" x14ac:dyDescent="0.25">
      <c r="A184" t="s">
        <v>55</v>
      </c>
      <c r="D184" s="8">
        <v>15.216908368080144</v>
      </c>
      <c r="E184" s="8">
        <v>16.193438820276082</v>
      </c>
      <c r="F184" s="8">
        <v>14.963887823512094</v>
      </c>
      <c r="G184" s="8">
        <v>11.677586917016953</v>
      </c>
      <c r="H184" s="8">
        <v>9.8214229012810677</v>
      </c>
      <c r="I184" s="8">
        <v>7.7454308325568908</v>
      </c>
      <c r="J184" s="8">
        <v>8.648569532756321</v>
      </c>
      <c r="K184" s="8">
        <v>9.8873404640610492</v>
      </c>
      <c r="L184" s="8">
        <v>8.3347848087444678</v>
      </c>
      <c r="M184" s="8">
        <v>8.431269050953345</v>
      </c>
      <c r="N184" s="8">
        <v>7.3163539334089434</v>
      </c>
      <c r="O184" s="8">
        <v>7.087145273340675</v>
      </c>
      <c r="P184" s="8">
        <v>9.1627255884691863</v>
      </c>
      <c r="Q184" s="8">
        <v>8.7457104954924318</v>
      </c>
      <c r="R184" s="8">
        <v>6.2292396693995782</v>
      </c>
      <c r="S184" s="8">
        <v>8.4914396814315616</v>
      </c>
      <c r="T184" s="8">
        <v>9.6099072812957953</v>
      </c>
      <c r="U184" s="8">
        <v>4.2577534761807661</v>
      </c>
      <c r="V184" s="8">
        <v>8.9656943952072954</v>
      </c>
      <c r="W184" s="8">
        <v>12.965176646650132</v>
      </c>
      <c r="Y184" s="8">
        <f t="shared" si="20"/>
        <v>193.7517859601148</v>
      </c>
      <c r="Z184">
        <f t="shared" si="21"/>
        <v>-13.162696548630617</v>
      </c>
    </row>
    <row r="185" spans="1:26" x14ac:dyDescent="0.25">
      <c r="A185" t="s">
        <v>56</v>
      </c>
      <c r="D185" s="8">
        <v>13.010136426419141</v>
      </c>
      <c r="E185" s="8">
        <v>13.740331360468408</v>
      </c>
      <c r="F185" s="8">
        <v>13.676307578226583</v>
      </c>
      <c r="G185" s="8">
        <v>11.245725210044387</v>
      </c>
      <c r="H185" s="8">
        <v>13.035840573007507</v>
      </c>
      <c r="I185" s="8">
        <v>8.8423747792065885</v>
      </c>
      <c r="J185" s="8">
        <v>9.0383639262033082</v>
      </c>
      <c r="K185" s="8">
        <v>9.3766307165832057</v>
      </c>
      <c r="L185" s="8">
        <v>9.0317071515307461</v>
      </c>
      <c r="M185" s="8">
        <v>7.7312842044749743</v>
      </c>
      <c r="N185" s="8">
        <v>7.754609613815826</v>
      </c>
      <c r="O185" s="8">
        <v>9.192792929652196</v>
      </c>
      <c r="P185" s="8">
        <v>8.7932763875571016</v>
      </c>
      <c r="Q185" s="8">
        <v>7.0108123296204052</v>
      </c>
      <c r="R185" s="8">
        <v>8.3306041243239726</v>
      </c>
      <c r="S185" s="8">
        <v>10.336754488500075</v>
      </c>
      <c r="T185" s="8">
        <v>10.886351838172615</v>
      </c>
      <c r="U185" s="8">
        <v>10.687204462763891</v>
      </c>
      <c r="V185" s="8">
        <v>10.017221933439698</v>
      </c>
      <c r="W185" s="8">
        <v>11.620440634617811</v>
      </c>
      <c r="Y185" s="8">
        <f t="shared" si="20"/>
        <v>203.35877066862844</v>
      </c>
      <c r="Z185">
        <f t="shared" si="21"/>
        <v>-9.6910691410666026</v>
      </c>
    </row>
    <row r="186" spans="1:26" x14ac:dyDescent="0.25">
      <c r="A186" t="s">
        <v>57</v>
      </c>
      <c r="D186" s="8">
        <v>13.321020155565918</v>
      </c>
      <c r="E186" s="8">
        <v>11.167251778005705</v>
      </c>
      <c r="F186" s="8">
        <v>9.2925824053350272</v>
      </c>
      <c r="G186" s="8">
        <v>11.348969503130926</v>
      </c>
      <c r="H186" s="8">
        <v>8.5158324850784357</v>
      </c>
      <c r="I186" s="8">
        <v>6.1022243431933063</v>
      </c>
      <c r="J186" s="8">
        <v>9.3624156254835942</v>
      </c>
      <c r="K186" s="8">
        <v>9.2376828960650332</v>
      </c>
      <c r="L186" s="8">
        <v>7.0199032565185346</v>
      </c>
      <c r="M186" s="8">
        <v>8.1191635168901843</v>
      </c>
      <c r="N186" s="8">
        <v>10.267355298972392</v>
      </c>
      <c r="O186" s="8">
        <v>7.3702260479277255</v>
      </c>
      <c r="P186" s="8">
        <v>4.2573170212084124</v>
      </c>
      <c r="Q186" s="8">
        <v>4.7820020848975568</v>
      </c>
      <c r="R186" s="8">
        <v>5.1036497917443802</v>
      </c>
      <c r="S186" s="8">
        <v>7.8701298530890664</v>
      </c>
      <c r="T186" s="8">
        <v>9.3286121993627553</v>
      </c>
      <c r="U186" s="8">
        <v>7.8542006112787064</v>
      </c>
      <c r="V186" s="8">
        <v>9.8039931144897121</v>
      </c>
      <c r="W186" s="8">
        <v>11.082462238899433</v>
      </c>
      <c r="Y186" s="8">
        <f t="shared" si="20"/>
        <v>171.20699422713682</v>
      </c>
      <c r="Z186">
        <f t="shared" si="21"/>
        <v>-11.870207164272498</v>
      </c>
    </row>
    <row r="187" spans="1:26" x14ac:dyDescent="0.25">
      <c r="A187" t="s">
        <v>58</v>
      </c>
      <c r="D187" s="8">
        <v>12.234698232807469</v>
      </c>
      <c r="E187" s="8">
        <v>12.257291351897262</v>
      </c>
      <c r="F187" s="8">
        <v>9.8768463956374486</v>
      </c>
      <c r="G187" s="8">
        <v>9.4084787705706425</v>
      </c>
      <c r="H187" s="8">
        <v>7.5532252295015878</v>
      </c>
      <c r="I187" s="8">
        <v>8.9529781238478225</v>
      </c>
      <c r="J187" s="8">
        <v>7.8194353232964664</v>
      </c>
      <c r="K187" s="8">
        <v>9.2231087402598604</v>
      </c>
      <c r="L187" s="8">
        <v>9.6829988313799618</v>
      </c>
      <c r="M187" s="8">
        <v>7.4823219342616882</v>
      </c>
      <c r="N187" s="8">
        <v>6.6529744682806529</v>
      </c>
      <c r="O187" s="8">
        <v>6.4476305014751407</v>
      </c>
      <c r="P187" s="8">
        <v>6.9669032529182662</v>
      </c>
      <c r="Q187" s="8">
        <v>9.1040415819414982</v>
      </c>
      <c r="R187" s="8">
        <v>8.9933027020317606</v>
      </c>
      <c r="S187" s="8">
        <v>8.0474666787092186</v>
      </c>
      <c r="T187" s="8">
        <v>11.493903574561529</v>
      </c>
      <c r="U187" s="8">
        <v>10.673410830478572</v>
      </c>
      <c r="V187" s="8">
        <v>6.6561953247981807</v>
      </c>
      <c r="W187" s="8">
        <v>9.8998982135918059</v>
      </c>
      <c r="Y187" s="8">
        <f t="shared" si="20"/>
        <v>179.42711006224681</v>
      </c>
      <c r="Z187">
        <f t="shared" si="21"/>
        <v>-8.6344673225883888</v>
      </c>
    </row>
    <row r="188" spans="1:26" x14ac:dyDescent="0.25">
      <c r="A188" t="s">
        <v>59</v>
      </c>
      <c r="D188" s="8">
        <v>13.213689914160989</v>
      </c>
      <c r="E188" s="8">
        <v>12.917425077845351</v>
      </c>
      <c r="F188" s="8">
        <v>11.823966567797838</v>
      </c>
      <c r="G188" s="8">
        <v>11.645605876163021</v>
      </c>
      <c r="H188" s="8">
        <v>10.887279890529033</v>
      </c>
      <c r="I188" s="8">
        <v>9.4069275141390403</v>
      </c>
      <c r="J188" s="8">
        <v>9.5640943741027105</v>
      </c>
      <c r="K188" s="8">
        <v>9.8436587227663974</v>
      </c>
      <c r="L188" s="8">
        <v>10.425461370441274</v>
      </c>
      <c r="M188" s="8">
        <v>8.1832851845739736</v>
      </c>
      <c r="N188" s="8">
        <v>8.8288708515002199</v>
      </c>
      <c r="O188" s="8">
        <v>8.8243879317647824</v>
      </c>
      <c r="P188" s="8">
        <v>8.8522316876170883</v>
      </c>
      <c r="Q188" s="8">
        <v>8.4224533331716493</v>
      </c>
      <c r="R188" s="8">
        <v>10.23407473031072</v>
      </c>
      <c r="S188" s="8">
        <v>10.779437018731958</v>
      </c>
      <c r="T188" s="8">
        <v>10.697318966140745</v>
      </c>
      <c r="U188" s="8">
        <v>10.330598221666111</v>
      </c>
      <c r="V188" s="8">
        <v>12.558481592784847</v>
      </c>
      <c r="W188" s="8">
        <v>12.202617131460453</v>
      </c>
      <c r="Y188" s="8">
        <f t="shared" si="20"/>
        <v>209.64186595766822</v>
      </c>
      <c r="Z188">
        <f t="shared" si="21"/>
        <v>-9.7707860235006248</v>
      </c>
    </row>
    <row r="189" spans="1:26" x14ac:dyDescent="0.25">
      <c r="A189" t="s">
        <v>60</v>
      </c>
      <c r="D189" s="8">
        <v>12.765531917966017</v>
      </c>
      <c r="E189" s="8">
        <v>12.385889333552342</v>
      </c>
      <c r="F189" s="8">
        <v>11.363726120233213</v>
      </c>
      <c r="G189" s="8">
        <v>11.718193762330843</v>
      </c>
      <c r="H189" s="8">
        <v>11.079148174276344</v>
      </c>
      <c r="I189" s="8">
        <v>9.6570814156418407</v>
      </c>
      <c r="J189" s="8">
        <v>9.910537305397634</v>
      </c>
      <c r="K189" s="8">
        <v>10.189811151597258</v>
      </c>
      <c r="L189" s="8">
        <v>10.86860526392724</v>
      </c>
      <c r="M189" s="8">
        <v>7.7205715339164316</v>
      </c>
      <c r="N189" s="8">
        <v>7.5935301951643606</v>
      </c>
      <c r="O189" s="8">
        <v>7.6677787761148206</v>
      </c>
      <c r="P189" s="8">
        <v>8.1338251833091437</v>
      </c>
      <c r="Q189" s="8">
        <v>7.8833302070502809</v>
      </c>
      <c r="R189" s="8">
        <v>11.304576198262653</v>
      </c>
      <c r="S189" s="8">
        <v>11.049639247533971</v>
      </c>
      <c r="T189" s="8">
        <v>8.9453557941150734</v>
      </c>
      <c r="U189" s="8">
        <v>10.736307066433392</v>
      </c>
      <c r="V189" s="8">
        <v>12.327728025010765</v>
      </c>
      <c r="W189" s="8">
        <v>11.976779522143278</v>
      </c>
      <c r="Y189" s="8">
        <f t="shared" si="20"/>
        <v>205.2779461939769</v>
      </c>
      <c r="Z189">
        <f t="shared" si="21"/>
        <v>-8.9367438783283575</v>
      </c>
    </row>
    <row r="190" spans="1:26" x14ac:dyDescent="0.25">
      <c r="A190" t="s">
        <v>61</v>
      </c>
      <c r="D190" s="8">
        <v>15.902637891330809</v>
      </c>
      <c r="E190" s="8">
        <v>16.106639543603386</v>
      </c>
      <c r="F190" s="8">
        <v>14.585409253185563</v>
      </c>
      <c r="G190" s="8">
        <v>11.210078559156079</v>
      </c>
      <c r="H190" s="8">
        <v>9.7360701880451668</v>
      </c>
      <c r="I190" s="8">
        <v>7.9060041051222276</v>
      </c>
      <c r="J190" s="8">
        <v>7.4854367863331657</v>
      </c>
      <c r="K190" s="8">
        <v>7.7667441497812373</v>
      </c>
      <c r="L190" s="8">
        <v>7.766598009525489</v>
      </c>
      <c r="M190" s="8">
        <v>7.5702718758905245</v>
      </c>
      <c r="N190" s="8">
        <v>7.7663395512369737</v>
      </c>
      <c r="O190" s="8">
        <v>7.8164625270199393</v>
      </c>
      <c r="P190" s="8">
        <v>8.4068021478026402</v>
      </c>
      <c r="Q190" s="8">
        <v>7.8468345182618373</v>
      </c>
      <c r="R190" s="8">
        <v>9.2305384934043477</v>
      </c>
      <c r="S190" s="8">
        <v>11.276631985167421</v>
      </c>
      <c r="T190" s="8">
        <v>9.1611433913493272</v>
      </c>
      <c r="U190" s="8">
        <v>8.3322377477422744</v>
      </c>
      <c r="V190" s="8">
        <v>10.986500636268003</v>
      </c>
      <c r="W190" s="8">
        <v>10.200477379379347</v>
      </c>
      <c r="Y190" s="8">
        <f t="shared" si="20"/>
        <v>197.05985873960574</v>
      </c>
      <c r="Z190">
        <f t="shared" si="21"/>
        <v>-10.068747165220794</v>
      </c>
    </row>
    <row r="191" spans="1:26" x14ac:dyDescent="0.25">
      <c r="A191" t="s">
        <v>62</v>
      </c>
      <c r="D191" s="8">
        <v>13.212816002698395</v>
      </c>
      <c r="E191" s="8">
        <v>12.342973328298061</v>
      </c>
      <c r="F191" s="8">
        <v>10.350027281426605</v>
      </c>
      <c r="G191" s="8">
        <v>10.364023065263396</v>
      </c>
      <c r="H191" s="8">
        <v>9.3194457878957149</v>
      </c>
      <c r="I191" s="8">
        <v>8.0480247939040108</v>
      </c>
      <c r="J191" s="8">
        <v>8.2907558078840484</v>
      </c>
      <c r="K191" s="8">
        <v>7.6495657928831013</v>
      </c>
      <c r="L191" s="8">
        <v>8.8146140574429079</v>
      </c>
      <c r="M191" s="8">
        <v>7.24870656958218</v>
      </c>
      <c r="N191" s="8">
        <v>8.1017106008758919</v>
      </c>
      <c r="O191" s="8">
        <v>8.1747736149123273</v>
      </c>
      <c r="P191" s="8">
        <v>8.5468948674136449</v>
      </c>
      <c r="Q191" s="8">
        <v>8.1072514552857768</v>
      </c>
      <c r="R191" s="8">
        <v>14.730467939717983</v>
      </c>
      <c r="S191" s="8">
        <v>14.810089531820264</v>
      </c>
      <c r="T191" s="8">
        <v>15.965862985730052</v>
      </c>
      <c r="U191" s="8">
        <v>14.913682193082893</v>
      </c>
      <c r="V191" s="8">
        <v>14.243835252249635</v>
      </c>
      <c r="W191" s="8">
        <v>14.57339909001889</v>
      </c>
      <c r="Y191" s="8">
        <f t="shared" si="20"/>
        <v>217.80892001838578</v>
      </c>
      <c r="Z191">
        <f t="shared" si="21"/>
        <v>-4.9581730102590225</v>
      </c>
    </row>
    <row r="192" spans="1:26" x14ac:dyDescent="0.25">
      <c r="A192" t="s">
        <v>63</v>
      </c>
      <c r="D192" s="8">
        <v>11.445820454461499</v>
      </c>
      <c r="E192" s="8">
        <v>10.474850499494513</v>
      </c>
      <c r="F192" s="8">
        <v>11.153001738469031</v>
      </c>
      <c r="G192" s="8">
        <v>11.795563230048247</v>
      </c>
      <c r="H192" s="8">
        <v>12.007873833714438</v>
      </c>
      <c r="I192" s="8">
        <v>8.4842779791795859</v>
      </c>
      <c r="J192" s="8">
        <v>8.558097787681616</v>
      </c>
      <c r="K192" s="8">
        <v>9.4131824146313825</v>
      </c>
      <c r="L192" s="8">
        <v>9.6534025375627177</v>
      </c>
      <c r="M192" s="8">
        <v>6.7138900249178146</v>
      </c>
      <c r="N192" s="8">
        <v>7.1549898792019144</v>
      </c>
      <c r="O192" s="8">
        <v>7.23389346703574</v>
      </c>
      <c r="P192" s="8">
        <v>7.1431441792836372</v>
      </c>
      <c r="Q192" s="8">
        <v>6.6724239847763389</v>
      </c>
      <c r="R192" s="8">
        <v>7.4037558987003633</v>
      </c>
      <c r="S192" s="8">
        <v>9.5187402503801675</v>
      </c>
      <c r="T192" s="8">
        <v>9.4034108960685963</v>
      </c>
      <c r="U192" s="8">
        <v>8.346773967597402</v>
      </c>
      <c r="V192" s="8">
        <v>12.248504071004351</v>
      </c>
      <c r="W192" s="8">
        <v>11.674174290573021</v>
      </c>
      <c r="Y192" s="8">
        <f t="shared" si="20"/>
        <v>186.49977138478243</v>
      </c>
      <c r="Z192">
        <f t="shared" si="21"/>
        <v>-9.0484798186624698</v>
      </c>
    </row>
    <row r="193" spans="1:26" x14ac:dyDescent="0.25">
      <c r="A193" t="s">
        <v>64</v>
      </c>
      <c r="D193" s="8">
        <v>11.73699378557599</v>
      </c>
      <c r="E193" s="8">
        <v>13.138480057704486</v>
      </c>
      <c r="F193" s="8">
        <v>11.098521875805426</v>
      </c>
      <c r="G193" s="8">
        <v>13.276621796120002</v>
      </c>
      <c r="H193" s="8">
        <v>11.250451886491931</v>
      </c>
      <c r="I193" s="8">
        <v>8.5892813709822775</v>
      </c>
      <c r="J193" s="8">
        <v>8.1616056501799914</v>
      </c>
      <c r="K193" s="8">
        <v>8.5320519969710169</v>
      </c>
      <c r="L193" s="8">
        <v>8.7241441438887612</v>
      </c>
      <c r="M193" s="8">
        <v>8.2651169195652656</v>
      </c>
      <c r="N193" s="8">
        <v>8.6687984415283701</v>
      </c>
      <c r="O193" s="8">
        <v>8.5748907203241682</v>
      </c>
      <c r="P193" s="8">
        <v>8.1540913013089362</v>
      </c>
      <c r="Q193" s="8">
        <v>8.0997334734807573</v>
      </c>
      <c r="R193" s="8">
        <v>7.9981016919545471</v>
      </c>
      <c r="S193" s="8">
        <v>7.8981912708917914</v>
      </c>
      <c r="T193" s="8">
        <v>8.162979026816009</v>
      </c>
      <c r="U193" s="8">
        <v>7.9032114035744474</v>
      </c>
      <c r="V193" s="8">
        <v>12.340160181774957</v>
      </c>
      <c r="W193" s="8">
        <v>11.796132305821777</v>
      </c>
      <c r="Y193" s="8">
        <f t="shared" si="20"/>
        <v>192.36955930076095</v>
      </c>
      <c r="Z193">
        <f t="shared" si="21"/>
        <v>-10.833778877838435</v>
      </c>
    </row>
    <row r="194" spans="1:26" x14ac:dyDescent="0.25">
      <c r="A194" t="s">
        <v>65</v>
      </c>
      <c r="D194" s="8">
        <v>17.115556205370815</v>
      </c>
      <c r="E194" s="8">
        <v>15.015047062526373</v>
      </c>
      <c r="F194" s="8">
        <v>13.166212109928731</v>
      </c>
      <c r="G194" s="8">
        <v>12.984145620888466</v>
      </c>
      <c r="H194" s="8">
        <v>13.469511992480827</v>
      </c>
      <c r="I194" s="8">
        <v>13.880465460892315</v>
      </c>
      <c r="J194" s="8">
        <v>14.623583138669044</v>
      </c>
      <c r="K194" s="8">
        <v>15.5373086664661</v>
      </c>
      <c r="L194" s="8">
        <v>16.899895971695617</v>
      </c>
      <c r="M194" s="8">
        <v>11.118440532914088</v>
      </c>
      <c r="N194" s="8">
        <v>12.452515784657951</v>
      </c>
      <c r="O194" s="8">
        <v>12.321919329531738</v>
      </c>
      <c r="P194" s="8">
        <v>12.010225942276577</v>
      </c>
      <c r="Q194" s="8">
        <v>11.386023234053539</v>
      </c>
      <c r="R194" s="8">
        <v>11.807509627776357</v>
      </c>
      <c r="S194" s="8">
        <v>10.393532055400142</v>
      </c>
      <c r="T194" s="8">
        <v>10.793198530739744</v>
      </c>
      <c r="U194" s="8">
        <v>12.157085796333543</v>
      </c>
      <c r="V194" s="8">
        <v>12.973407822627296</v>
      </c>
      <c r="W194" s="8">
        <v>12.768902591509232</v>
      </c>
      <c r="Y194" s="8">
        <f t="shared" si="20"/>
        <v>262.87448747673852</v>
      </c>
      <c r="Z194">
        <f t="shared" si="21"/>
        <v>-15.176254043577895</v>
      </c>
    </row>
    <row r="195" spans="1:26" x14ac:dyDescent="0.25">
      <c r="A195" t="s">
        <v>66</v>
      </c>
      <c r="D195" s="8">
        <v>10.316473141723387</v>
      </c>
      <c r="E195" s="8">
        <v>10.95809571973828</v>
      </c>
      <c r="F195" s="8">
        <v>11.050867595536284</v>
      </c>
      <c r="G195" s="8">
        <v>10.170615099334109</v>
      </c>
      <c r="H195" s="8">
        <v>9.3484573707988083</v>
      </c>
      <c r="I195" s="8">
        <v>9.2833574732510122</v>
      </c>
      <c r="J195" s="8">
        <v>9.9186441425734735</v>
      </c>
      <c r="K195" s="8">
        <v>9.8169468870346908</v>
      </c>
      <c r="L195" s="8">
        <v>10.250969609046194</v>
      </c>
      <c r="M195" s="8">
        <v>10.137376798120453</v>
      </c>
      <c r="N195" s="8">
        <v>9.1323053794469722</v>
      </c>
      <c r="O195" s="8">
        <v>10.702778792413829</v>
      </c>
      <c r="P195" s="8">
        <v>10.709266328163764</v>
      </c>
      <c r="Q195" s="8">
        <v>9.8790605443199162</v>
      </c>
      <c r="R195" s="8">
        <v>12.856990455793058</v>
      </c>
      <c r="S195" s="8">
        <v>13.321960556215817</v>
      </c>
      <c r="T195" s="8">
        <v>14.495326102889367</v>
      </c>
      <c r="U195" s="8">
        <v>13.282558244630527</v>
      </c>
      <c r="V195" s="8">
        <v>9.8327327973975933</v>
      </c>
      <c r="W195" s="8">
        <v>9.0712893327934729</v>
      </c>
      <c r="Y195" s="8">
        <f t="shared" si="20"/>
        <v>214.53607237122102</v>
      </c>
      <c r="Z195">
        <f t="shared" si="21"/>
        <v>-7.3403880470185729</v>
      </c>
    </row>
    <row r="196" spans="1:26" x14ac:dyDescent="0.25">
      <c r="A196" t="s">
        <v>67</v>
      </c>
      <c r="D196" s="8">
        <v>9.1985348785878767</v>
      </c>
      <c r="E196" s="8">
        <v>10.01511997977175</v>
      </c>
      <c r="F196" s="8">
        <v>9.3883926702569074</v>
      </c>
      <c r="G196" s="8">
        <v>9.8534268181648823</v>
      </c>
      <c r="H196" s="8">
        <v>9.8412094905049656</v>
      </c>
      <c r="I196" s="8">
        <v>9.9898015090952619</v>
      </c>
      <c r="J196" s="8">
        <v>10.286798962608245</v>
      </c>
      <c r="K196" s="8">
        <v>10.238844324767181</v>
      </c>
      <c r="L196" s="8">
        <v>10.040057090450421</v>
      </c>
      <c r="M196" s="8">
        <v>9.9813535282373476</v>
      </c>
      <c r="N196" s="8">
        <v>9.4426582770323968</v>
      </c>
      <c r="O196" s="8">
        <v>10.041930828707661</v>
      </c>
      <c r="P196" s="8">
        <v>10.672295915113308</v>
      </c>
      <c r="Q196" s="8">
        <v>10.153471651107763</v>
      </c>
      <c r="R196" s="8">
        <v>7.2423594361660317</v>
      </c>
      <c r="S196" s="8">
        <v>6.6952220204372423</v>
      </c>
      <c r="T196" s="8">
        <v>6.6852247265399258</v>
      </c>
      <c r="U196" s="8">
        <v>6.7716086106505458</v>
      </c>
      <c r="V196" s="8">
        <v>12.735989198293922</v>
      </c>
      <c r="W196" s="8">
        <v>12.669931209535862</v>
      </c>
      <c r="Y196" s="8">
        <f t="shared" si="20"/>
        <v>191.94423112602945</v>
      </c>
      <c r="Z196">
        <f t="shared" si="21"/>
        <v>-11.549303474875042</v>
      </c>
    </row>
    <row r="197" spans="1:26" x14ac:dyDescent="0.2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Y197" s="8"/>
    </row>
    <row r="198" spans="1:26" x14ac:dyDescent="0.25">
      <c r="A198" t="s">
        <v>68</v>
      </c>
      <c r="D198" s="8">
        <v>12.948705362692928</v>
      </c>
      <c r="E198" s="8">
        <v>11.075038857320155</v>
      </c>
      <c r="F198" s="8">
        <v>10.88593961133809</v>
      </c>
      <c r="G198" s="8">
        <v>11.415010081700943</v>
      </c>
      <c r="H198" s="8">
        <v>11.588895184339135</v>
      </c>
      <c r="I198" s="8">
        <v>13.341598823463348</v>
      </c>
      <c r="J198" s="8">
        <v>12.058962876566982</v>
      </c>
      <c r="K198" s="8">
        <v>12.097799996132608</v>
      </c>
      <c r="L198" s="8">
        <v>11.596038099200641</v>
      </c>
      <c r="M198" s="8">
        <v>8.1508689920181663</v>
      </c>
      <c r="N198" s="8">
        <v>8.3978071547446618</v>
      </c>
      <c r="O198" s="8">
        <v>8.5536974341967564</v>
      </c>
      <c r="P198" s="8">
        <v>8.5024051480499327</v>
      </c>
      <c r="Q198" s="8">
        <v>8.3685117814148207</v>
      </c>
      <c r="R198" s="8">
        <v>8.328209189134725</v>
      </c>
      <c r="S198" s="8">
        <v>8.7834836400039897</v>
      </c>
      <c r="T198" s="8">
        <v>10.705275479871849</v>
      </c>
      <c r="U198" s="8">
        <v>9.9799421608422847</v>
      </c>
      <c r="V198" s="8">
        <v>11.202255648841508</v>
      </c>
      <c r="W198" s="8">
        <v>11.584853917893176</v>
      </c>
      <c r="Y198" s="8">
        <f t="shared" si="20"/>
        <v>209.5652994397667</v>
      </c>
      <c r="Z198">
        <f>SUMPRODUCT($D$202:$W$202,D198:W198)</f>
        <v>-11.185148942952683</v>
      </c>
    </row>
    <row r="199" spans="1:26" x14ac:dyDescent="0.25">
      <c r="A199" t="s">
        <v>312</v>
      </c>
      <c r="D199" s="8">
        <v>14.196197827561193</v>
      </c>
      <c r="E199" s="8">
        <v>13.657312114434788</v>
      </c>
      <c r="F199" s="8">
        <v>9.6537131220151711</v>
      </c>
      <c r="G199" s="8">
        <v>10.040997232688451</v>
      </c>
      <c r="H199" s="8">
        <v>10.989790386498504</v>
      </c>
      <c r="I199" s="8">
        <v>9.9547739995124598</v>
      </c>
      <c r="J199" s="8">
        <v>9.75917078002667</v>
      </c>
      <c r="K199" s="8">
        <v>7.1646469652425226</v>
      </c>
      <c r="L199" s="8">
        <v>8.9319565843997655</v>
      </c>
      <c r="M199" s="8">
        <v>8.9758839642836321</v>
      </c>
      <c r="N199" s="8">
        <v>7.5566919730989497</v>
      </c>
      <c r="O199" s="8">
        <v>7.7685688353627862</v>
      </c>
      <c r="P199" s="8">
        <v>8.6999999999999993</v>
      </c>
      <c r="Q199" s="8">
        <v>9.1</v>
      </c>
      <c r="R199" s="8">
        <v>10.8</v>
      </c>
      <c r="S199" s="8">
        <v>5.7</v>
      </c>
      <c r="T199" s="8">
        <v>11</v>
      </c>
      <c r="U199" s="8">
        <v>9.9</v>
      </c>
      <c r="V199" s="8">
        <v>10.199999999999999</v>
      </c>
      <c r="W199" s="8">
        <v>12</v>
      </c>
      <c r="Y199" s="8">
        <f t="shared" si="20"/>
        <v>196.0497037851249</v>
      </c>
      <c r="Z199">
        <f>SUMPRODUCT($D$202:$W$202,D199:W199)</f>
        <v>-9.6869364526526347</v>
      </c>
    </row>
    <row r="200" spans="1:26" x14ac:dyDescent="0.25">
      <c r="A200" t="s">
        <v>313</v>
      </c>
      <c r="D200" s="8">
        <v>13.3</v>
      </c>
      <c r="E200" s="8">
        <v>12.3</v>
      </c>
      <c r="F200" s="8">
        <v>10.3</v>
      </c>
      <c r="G200" s="8">
        <v>10.199999999999999</v>
      </c>
      <c r="H200" s="8">
        <v>12.2</v>
      </c>
      <c r="I200" s="8">
        <v>9.6999999999999993</v>
      </c>
      <c r="J200" s="8">
        <v>9.3000000000000007</v>
      </c>
      <c r="K200" s="8">
        <v>10.3</v>
      </c>
      <c r="L200" s="8">
        <v>9.3000000000000007</v>
      </c>
      <c r="M200" s="8">
        <v>9.4</v>
      </c>
      <c r="N200" s="8">
        <v>8.5</v>
      </c>
      <c r="O200" s="8">
        <v>8.3000000000000007</v>
      </c>
      <c r="P200" s="8">
        <v>8.9635890725706986</v>
      </c>
      <c r="Q200" s="8">
        <v>8.5663580368991035</v>
      </c>
      <c r="R200" s="8">
        <v>10.484958789537313</v>
      </c>
      <c r="S200" s="8">
        <v>10.655138277123092</v>
      </c>
      <c r="T200" s="8">
        <v>11.081362859838601</v>
      </c>
      <c r="U200" s="8">
        <v>10.830188340147071</v>
      </c>
      <c r="V200" s="8">
        <v>12.951476831914059</v>
      </c>
      <c r="W200" s="8">
        <v>12.70315206948073</v>
      </c>
      <c r="Y200" s="8">
        <f t="shared" si="20"/>
        <v>209.33622427751064</v>
      </c>
      <c r="Z200">
        <f>SUMPRODUCT($D$202:$W$202,D200:W200)</f>
        <v>-9.2920067615185307</v>
      </c>
    </row>
    <row r="201" spans="1:26" x14ac:dyDescent="0.25">
      <c r="A201" t="s">
        <v>676</v>
      </c>
      <c r="D201" s="8">
        <v>13.10483905438112</v>
      </c>
      <c r="E201" s="8">
        <v>10.984384335973362</v>
      </c>
      <c r="F201" s="8">
        <v>10.988676856600469</v>
      </c>
      <c r="G201" s="8">
        <v>11.281693233656659</v>
      </c>
      <c r="H201" s="8">
        <v>11.616148233728234</v>
      </c>
      <c r="I201" s="8">
        <v>9.3564886929955708</v>
      </c>
      <c r="J201" s="8">
        <v>9.3702433684575723</v>
      </c>
      <c r="K201" s="8">
        <v>9.7747087247101163</v>
      </c>
      <c r="L201" s="8">
        <v>10.342965532767797</v>
      </c>
      <c r="M201" s="8">
        <v>8.2711090415269357</v>
      </c>
      <c r="N201" s="8">
        <v>8.4835594613214784</v>
      </c>
      <c r="O201" s="8">
        <v>8.6405017400658313</v>
      </c>
      <c r="P201" s="8">
        <v>7.5273290267115316</v>
      </c>
      <c r="Q201" s="8">
        <v>7.6909855301014334</v>
      </c>
      <c r="R201" s="8">
        <v>9.9662967529696154</v>
      </c>
      <c r="S201" s="8">
        <v>10.49658184479398</v>
      </c>
      <c r="T201" s="8">
        <v>10.577896645690133</v>
      </c>
      <c r="U201" s="8">
        <v>10.424163403363579</v>
      </c>
      <c r="V201" s="8">
        <v>11.791851613314755</v>
      </c>
      <c r="W201" s="8">
        <v>11.886547565562225</v>
      </c>
      <c r="Y201" s="8">
        <f t="shared" ref="Y201" si="22">SUM(D201:W201)</f>
        <v>202.5769706586924</v>
      </c>
      <c r="Z201">
        <f>SUMPRODUCT($D$202:$W$202,D201:W201)</f>
        <v>-9.4380598934715767</v>
      </c>
    </row>
    <row r="202" spans="1:26" x14ac:dyDescent="0.25">
      <c r="A202" s="2" t="s">
        <v>69</v>
      </c>
      <c r="D202" s="3">
        <f>CORREL($B$2:$B$26,D172:D196)</f>
        <v>-0.26101006004363908</v>
      </c>
      <c r="E202" s="3">
        <f t="shared" ref="E202:W202" si="23">CORREL($B$2:$B$26,E172:E196)</f>
        <v>-7.1970306566972439E-2</v>
      </c>
      <c r="F202" s="3">
        <f t="shared" si="23"/>
        <v>-6.147103818575092E-2</v>
      </c>
      <c r="G202" s="3">
        <f t="shared" si="23"/>
        <v>-0.22253012447113849</v>
      </c>
      <c r="H202" s="3">
        <f t="shared" si="23"/>
        <v>2.7685368910516175E-2</v>
      </c>
      <c r="I202" s="3">
        <f t="shared" si="23"/>
        <v>-3.3159486355679495E-2</v>
      </c>
      <c r="J202" s="3">
        <f t="shared" si="23"/>
        <v>-0.1260517404489849</v>
      </c>
      <c r="K202" s="3">
        <f t="shared" si="23"/>
        <v>-0.23890446501235094</v>
      </c>
      <c r="L202" s="3">
        <f t="shared" si="23"/>
        <v>-9.9311552324374795E-3</v>
      </c>
      <c r="M202" s="3">
        <f t="shared" si="23"/>
        <v>-0.21350342107822445</v>
      </c>
      <c r="N202" s="3">
        <f t="shared" si="23"/>
        <v>-0.33771561757050866</v>
      </c>
      <c r="O202" s="3">
        <f t="shared" si="23"/>
        <v>-0.10516068464563012</v>
      </c>
      <c r="P202" s="3">
        <f t="shared" si="23"/>
        <v>2.7281008068608802E-2</v>
      </c>
      <c r="Q202" s="3">
        <f t="shared" si="23"/>
        <v>-8.3157320029724993E-2</v>
      </c>
      <c r="R202" s="3">
        <f t="shared" si="23"/>
        <v>0.2232607327124046</v>
      </c>
      <c r="S202" s="3">
        <f t="shared" si="23"/>
        <v>0.15452834595929676</v>
      </c>
      <c r="T202" s="3">
        <f t="shared" si="23"/>
        <v>0.12438428160234831</v>
      </c>
      <c r="U202" s="3">
        <f t="shared" si="23"/>
        <v>0.20021479104851414</v>
      </c>
      <c r="V202" s="3">
        <f t="shared" si="23"/>
        <v>0.14402980834041562</v>
      </c>
      <c r="W202" s="3">
        <f t="shared" si="23"/>
        <v>-0.11843352100481185</v>
      </c>
      <c r="X202" s="3"/>
    </row>
    <row r="203" spans="1:26" x14ac:dyDescent="0.25">
      <c r="P203" s="8"/>
      <c r="Q203" s="8"/>
      <c r="R203" s="8"/>
      <c r="S203" s="8"/>
      <c r="T203" s="8"/>
      <c r="U203" s="8"/>
      <c r="V203" s="8"/>
      <c r="W203" s="8"/>
    </row>
    <row r="204" spans="1:26" x14ac:dyDescent="0.25">
      <c r="P204" s="8"/>
      <c r="Q204" s="8"/>
      <c r="R204" s="8"/>
      <c r="S204" s="8"/>
      <c r="T204" s="8"/>
      <c r="U204" s="8"/>
      <c r="V204" s="8"/>
      <c r="W204" s="8"/>
    </row>
    <row r="205" spans="1:26" x14ac:dyDescent="0.25">
      <c r="D205" t="s">
        <v>8</v>
      </c>
      <c r="E205" t="s">
        <v>9</v>
      </c>
      <c r="F205" t="s">
        <v>10</v>
      </c>
      <c r="G205" t="s">
        <v>11</v>
      </c>
      <c r="H205" t="s">
        <v>12</v>
      </c>
      <c r="I205" t="s">
        <v>13</v>
      </c>
      <c r="J205" t="s">
        <v>14</v>
      </c>
      <c r="K205" t="s">
        <v>15</v>
      </c>
      <c r="L205" t="s">
        <v>321</v>
      </c>
      <c r="M205" t="s">
        <v>361</v>
      </c>
      <c r="N205" t="s">
        <v>362</v>
      </c>
      <c r="O205" t="s">
        <v>363</v>
      </c>
      <c r="P205" s="8" t="s">
        <v>476</v>
      </c>
      <c r="Q205" s="8" t="s">
        <v>477</v>
      </c>
      <c r="R205" s="8" t="s">
        <v>478</v>
      </c>
      <c r="S205" s="8" t="s">
        <v>479</v>
      </c>
      <c r="T205" s="8" t="s">
        <v>588</v>
      </c>
      <c r="U205" s="8" t="s">
        <v>589</v>
      </c>
      <c r="V205" s="8" t="s">
        <v>590</v>
      </c>
      <c r="W205" s="8" t="s">
        <v>591</v>
      </c>
      <c r="Y205" t="s">
        <v>96</v>
      </c>
      <c r="Z205" t="s">
        <v>97</v>
      </c>
    </row>
    <row r="206" spans="1:26" x14ac:dyDescent="0.25">
      <c r="A206" t="s">
        <v>43</v>
      </c>
      <c r="D206" s="8">
        <v>14.245423573424601</v>
      </c>
      <c r="E206" s="8">
        <v>12.516800642579515</v>
      </c>
      <c r="F206" s="8">
        <v>14.323165135227098</v>
      </c>
      <c r="G206" s="8">
        <v>19.894513391143075</v>
      </c>
      <c r="H206" s="8">
        <v>19.762084872281143</v>
      </c>
      <c r="I206" s="8">
        <v>8.73437122327765</v>
      </c>
      <c r="J206" s="8">
        <v>12.348553434424337</v>
      </c>
      <c r="K206" s="8">
        <v>9.3338290015709067</v>
      </c>
      <c r="L206" s="8">
        <v>9.3913954480790522</v>
      </c>
      <c r="M206" s="8">
        <v>6.543156480035627</v>
      </c>
      <c r="N206" s="8">
        <v>9.4145967999009343</v>
      </c>
      <c r="O206" s="8">
        <v>13.126363670233099</v>
      </c>
      <c r="P206" s="8">
        <v>10.986628197185945</v>
      </c>
      <c r="Q206" s="8">
        <v>9.6274173507000693</v>
      </c>
      <c r="R206" s="8">
        <v>10.410457253011611</v>
      </c>
      <c r="S206" s="8">
        <v>12.972128166231695</v>
      </c>
      <c r="T206" s="8">
        <v>9.932063781543917</v>
      </c>
      <c r="U206" s="8">
        <v>10.224202065779277</v>
      </c>
      <c r="V206" s="8">
        <v>14.342552035238331</v>
      </c>
      <c r="W206" s="8">
        <v>16.14027575715583</v>
      </c>
      <c r="Y206" s="8">
        <f t="shared" ref="Y206:Y234" si="24">SUM(D206:W206)</f>
        <v>244.26997827902372</v>
      </c>
      <c r="Z206">
        <f t="shared" ref="Z206:Z230" si="25">SUMPRODUCT($D$236:$W$236,D206:W206)</f>
        <v>-8.0844174511294042</v>
      </c>
    </row>
    <row r="207" spans="1:26" x14ac:dyDescent="0.25">
      <c r="A207" t="s">
        <v>44</v>
      </c>
      <c r="D207" s="8">
        <v>15.483618834954346</v>
      </c>
      <c r="E207" s="8">
        <v>13.323637027736526</v>
      </c>
      <c r="F207" s="8">
        <v>11.764808580166525</v>
      </c>
      <c r="G207" s="8">
        <v>13.113152525326461</v>
      </c>
      <c r="H207" s="8">
        <v>13.104526053065026</v>
      </c>
      <c r="I207" s="8">
        <v>9.5629978309238961</v>
      </c>
      <c r="J207" s="8">
        <v>10.309756736179015</v>
      </c>
      <c r="K207" s="8">
        <v>13.200744801943488</v>
      </c>
      <c r="L207" s="8">
        <v>9.5658038646725174</v>
      </c>
      <c r="M207" s="8">
        <v>12.578964562234194</v>
      </c>
      <c r="N207" s="8">
        <v>8.4468878674475771</v>
      </c>
      <c r="O207" s="8">
        <v>16.8621515465816</v>
      </c>
      <c r="P207" s="8">
        <v>8.8372778655404698</v>
      </c>
      <c r="Q207" s="8">
        <v>11.315714060302218</v>
      </c>
      <c r="R207" s="8">
        <v>13.608356469285438</v>
      </c>
      <c r="S207" s="8">
        <v>10.86152366073213</v>
      </c>
      <c r="T207" s="8">
        <v>9.7201976859146448</v>
      </c>
      <c r="U207" s="8">
        <v>9.0423553503777079</v>
      </c>
      <c r="V207" s="8">
        <v>11.025474292380466</v>
      </c>
      <c r="W207" s="8">
        <v>15.66726279047592</v>
      </c>
      <c r="Y207" s="8">
        <f t="shared" si="24"/>
        <v>237.39521240624015</v>
      </c>
      <c r="Z207">
        <f t="shared" si="25"/>
        <v>-4.3891454873483804</v>
      </c>
    </row>
    <row r="208" spans="1:26" x14ac:dyDescent="0.25">
      <c r="A208" t="s">
        <v>45</v>
      </c>
      <c r="D208" s="8">
        <v>16.918609219121368</v>
      </c>
      <c r="E208" s="8">
        <v>16.137492215321419</v>
      </c>
      <c r="F208" s="8">
        <v>16.564143005404972</v>
      </c>
      <c r="G208" s="8">
        <v>13.680929111852148</v>
      </c>
      <c r="H208" s="8">
        <v>11.086594298491736</v>
      </c>
      <c r="I208" s="8">
        <v>10.127919036738936</v>
      </c>
      <c r="J208" s="8">
        <v>8.9431889711526935</v>
      </c>
      <c r="K208" s="8">
        <v>8.2070472369309169</v>
      </c>
      <c r="L208" s="8">
        <v>10.137153398877222</v>
      </c>
      <c r="M208" s="8">
        <v>15.449699806521979</v>
      </c>
      <c r="N208" s="8">
        <v>10.738539022567252</v>
      </c>
      <c r="O208" s="8">
        <v>13.357267765913415</v>
      </c>
      <c r="P208" s="8">
        <v>13.593683038892591</v>
      </c>
      <c r="Q208" s="8">
        <v>13.811471018537064</v>
      </c>
      <c r="R208" s="8">
        <v>12.337242184672894</v>
      </c>
      <c r="S208" s="8">
        <v>14.744362907573999</v>
      </c>
      <c r="T208" s="8">
        <v>13.373856026677656</v>
      </c>
      <c r="U208" s="8">
        <v>14.938891188354571</v>
      </c>
      <c r="V208" s="8">
        <v>14.996005513361146</v>
      </c>
      <c r="W208" s="8">
        <v>15.536612867598452</v>
      </c>
      <c r="Y208" s="8">
        <f t="shared" si="24"/>
        <v>264.68070783456244</v>
      </c>
      <c r="Z208">
        <f t="shared" si="25"/>
        <v>-4.8251156732334479</v>
      </c>
    </row>
    <row r="209" spans="1:26" x14ac:dyDescent="0.25">
      <c r="A209" t="s">
        <v>46</v>
      </c>
      <c r="D209" s="8">
        <v>19.429491649220068</v>
      </c>
      <c r="E209" s="8">
        <v>13.975019114292648</v>
      </c>
      <c r="F209" s="8">
        <v>13.12250927408933</v>
      </c>
      <c r="G209" s="8">
        <v>13.883350264120111</v>
      </c>
      <c r="H209" s="8">
        <v>13.488162691334486</v>
      </c>
      <c r="I209" s="8">
        <v>10.473659800279076</v>
      </c>
      <c r="J209" s="8">
        <v>10.342501696899403</v>
      </c>
      <c r="K209" s="8">
        <v>14.107375316072304</v>
      </c>
      <c r="L209" s="8">
        <v>13.987250710907189</v>
      </c>
      <c r="M209" s="8">
        <v>8.6500953294986296</v>
      </c>
      <c r="N209" s="8">
        <v>11.315531682677939</v>
      </c>
      <c r="O209" s="8">
        <v>13.545050972897652</v>
      </c>
      <c r="P209" s="8">
        <v>17.480280446499787</v>
      </c>
      <c r="Q209" s="8">
        <v>15.16123781199099</v>
      </c>
      <c r="R209" s="8">
        <v>13.871276644637117</v>
      </c>
      <c r="S209" s="8">
        <v>10.022857071475384</v>
      </c>
      <c r="T209" s="8">
        <v>10.373861156967584</v>
      </c>
      <c r="U209" s="8">
        <v>13.153832245784105</v>
      </c>
      <c r="V209" s="8">
        <v>15.751125304884292</v>
      </c>
      <c r="W209" s="8">
        <v>12.422704920780108</v>
      </c>
      <c r="Y209" s="8">
        <f t="shared" si="24"/>
        <v>264.55717410530821</v>
      </c>
      <c r="Z209">
        <f t="shared" si="25"/>
        <v>-5.4658005944137802</v>
      </c>
    </row>
    <row r="210" spans="1:26" x14ac:dyDescent="0.25">
      <c r="A210" t="s">
        <v>47</v>
      </c>
      <c r="D210" s="8">
        <v>11.382618620233627</v>
      </c>
      <c r="E210" s="8">
        <v>8.3020626907725106</v>
      </c>
      <c r="F210" s="8">
        <v>12.082479587107233</v>
      </c>
      <c r="G210" s="8">
        <v>13.568479162270295</v>
      </c>
      <c r="H210" s="8">
        <v>11.259347803008364</v>
      </c>
      <c r="I210" s="8">
        <v>5.7516979997997577</v>
      </c>
      <c r="J210" s="8">
        <v>6.7431925644217419</v>
      </c>
      <c r="K210" s="8">
        <v>6.8131714188404402</v>
      </c>
      <c r="L210" s="8">
        <v>3.297191999284661</v>
      </c>
      <c r="M210" s="8">
        <v>3.21444256324197</v>
      </c>
      <c r="N210" s="8">
        <v>3.2299935688806189</v>
      </c>
      <c r="O210" s="8">
        <v>3.8811200402750083</v>
      </c>
      <c r="P210" s="8">
        <v>5.2511300236621397</v>
      </c>
      <c r="Q210" s="8">
        <v>4.6249155749753399</v>
      </c>
      <c r="R210" s="8">
        <v>8.7372124775738307</v>
      </c>
      <c r="S210" s="8">
        <v>3.5989361759220273</v>
      </c>
      <c r="T210" s="8">
        <v>5.5342636684111692</v>
      </c>
      <c r="U210" s="8">
        <v>6.7797257915441191</v>
      </c>
      <c r="V210" s="8">
        <v>4.8229486192615685</v>
      </c>
      <c r="W210" s="8">
        <v>12.003371328209179</v>
      </c>
      <c r="Y210" s="8">
        <f t="shared" si="24"/>
        <v>140.87830167769562</v>
      </c>
      <c r="Z210">
        <f t="shared" si="25"/>
        <v>-6.1808696383061354</v>
      </c>
    </row>
    <row r="211" spans="1:26" x14ac:dyDescent="0.25">
      <c r="A211" t="s">
        <v>48</v>
      </c>
      <c r="D211" s="8">
        <v>15.44503172186098</v>
      </c>
      <c r="E211" s="8">
        <v>12.903259840528278</v>
      </c>
      <c r="F211" s="8">
        <v>13.221036900181847</v>
      </c>
      <c r="G211" s="8">
        <v>15.473503583077088</v>
      </c>
      <c r="H211" s="8">
        <v>10.967044987167194</v>
      </c>
      <c r="I211" s="8">
        <v>8.8401175744562277</v>
      </c>
      <c r="J211" s="8">
        <v>7.5755121225331559</v>
      </c>
      <c r="K211" s="8">
        <v>6.5938302310113261</v>
      </c>
      <c r="L211" s="8">
        <v>3.8953950127992103</v>
      </c>
      <c r="M211" s="8">
        <v>4.3712101213225747</v>
      </c>
      <c r="N211" s="8">
        <v>3.0969492827894634</v>
      </c>
      <c r="O211" s="8">
        <v>3.4152113195688116</v>
      </c>
      <c r="P211" s="8">
        <v>5.0639317200945824</v>
      </c>
      <c r="Q211" s="8">
        <v>5.9003735903096413</v>
      </c>
      <c r="R211" s="8">
        <v>6.2303335586145989</v>
      </c>
      <c r="S211" s="8">
        <v>5.5684967909295908</v>
      </c>
      <c r="T211" s="8">
        <v>8.0026449228304184</v>
      </c>
      <c r="U211" s="8">
        <v>5.8602170784629637</v>
      </c>
      <c r="V211" s="8">
        <v>8.6263987735965468</v>
      </c>
      <c r="W211" s="8">
        <v>9.9838361130761051</v>
      </c>
      <c r="Y211" s="8">
        <f t="shared" si="24"/>
        <v>161.03433524521066</v>
      </c>
      <c r="Z211">
        <f t="shared" si="25"/>
        <v>-9.9481737472838745</v>
      </c>
    </row>
    <row r="212" spans="1:26" x14ac:dyDescent="0.25">
      <c r="A212" t="s">
        <v>49</v>
      </c>
      <c r="D212" s="8">
        <v>13.344859014532915</v>
      </c>
      <c r="E212" s="8">
        <v>11.994701128868302</v>
      </c>
      <c r="F212" s="8">
        <v>14.590142257304178</v>
      </c>
      <c r="G212" s="8">
        <v>10.897574547729587</v>
      </c>
      <c r="H212" s="8">
        <v>5.6993906647997408</v>
      </c>
      <c r="I212" s="8">
        <v>8.1270451084314086</v>
      </c>
      <c r="J212" s="8">
        <v>6.3576059198872921</v>
      </c>
      <c r="K212" s="8">
        <v>5.3434386090849619</v>
      </c>
      <c r="L212" s="8">
        <v>4.4245219299946807</v>
      </c>
      <c r="M212" s="8">
        <v>5.0829593312692447</v>
      </c>
      <c r="N212" s="8">
        <v>4.2913936210501102</v>
      </c>
      <c r="O212" s="8">
        <v>1.7664752262409773</v>
      </c>
      <c r="P212" s="8">
        <v>5.4109860653686042</v>
      </c>
      <c r="Q212" s="8">
        <v>2.4167456438101493</v>
      </c>
      <c r="R212" s="8">
        <v>3.3802123828489976</v>
      </c>
      <c r="S212" s="8">
        <v>5.8192742272154758</v>
      </c>
      <c r="T212" s="8">
        <v>4.1405245092589942</v>
      </c>
      <c r="U212" s="8">
        <v>5.8770358662238964</v>
      </c>
      <c r="V212" s="8">
        <v>9.7098220648046638</v>
      </c>
      <c r="W212" s="8">
        <v>9.8550616085340685</v>
      </c>
      <c r="Y212" s="8">
        <f t="shared" si="24"/>
        <v>138.52976972725824</v>
      </c>
      <c r="Z212">
        <f t="shared" si="25"/>
        <v>-10.690757934132549</v>
      </c>
    </row>
    <row r="213" spans="1:26" x14ac:dyDescent="0.25">
      <c r="A213" t="s">
        <v>50</v>
      </c>
      <c r="D213" s="8">
        <v>4.6196587717624622</v>
      </c>
      <c r="E213" s="8">
        <v>8.1603753684035532</v>
      </c>
      <c r="F213" s="8">
        <v>8.3670030302449003</v>
      </c>
      <c r="G213" s="8">
        <v>5.9995891133749462</v>
      </c>
      <c r="H213" s="8">
        <v>3.7255832628581191</v>
      </c>
      <c r="I213" s="8">
        <v>6.9360551555026131</v>
      </c>
      <c r="J213" s="8">
        <v>6.0658767404510314</v>
      </c>
      <c r="K213" s="8">
        <v>6.4418204384593762</v>
      </c>
      <c r="L213" s="8">
        <v>7.527204205025372</v>
      </c>
      <c r="M213" s="8">
        <v>5.0799675270111848</v>
      </c>
      <c r="N213" s="8">
        <v>4.1330202776900871</v>
      </c>
      <c r="O213" s="8">
        <v>6.1763344105673994</v>
      </c>
      <c r="P213" s="8">
        <v>5.494954433037587</v>
      </c>
      <c r="Q213" s="8">
        <v>7.9090154567580209</v>
      </c>
      <c r="R213" s="8">
        <v>9.7607855793184921</v>
      </c>
      <c r="S213" s="8">
        <v>8.0311105895361514</v>
      </c>
      <c r="T213" s="8">
        <v>7.5875228806722452</v>
      </c>
      <c r="U213" s="8">
        <v>8.1132349115466429</v>
      </c>
      <c r="V213" s="8">
        <v>9.5291326363782911</v>
      </c>
      <c r="W213" s="8">
        <v>10.731736738237554</v>
      </c>
      <c r="Y213" s="8">
        <f t="shared" si="24"/>
        <v>140.38998152683604</v>
      </c>
      <c r="Z213">
        <f t="shared" si="25"/>
        <v>0.7027908776929549</v>
      </c>
    </row>
    <row r="214" spans="1:26" x14ac:dyDescent="0.25">
      <c r="A214" t="s">
        <v>51</v>
      </c>
      <c r="D214" s="8">
        <v>4.2577534761807661</v>
      </c>
      <c r="E214" s="8">
        <v>6.9600975020598979</v>
      </c>
      <c r="F214" s="8">
        <v>6.7543078747124303</v>
      </c>
      <c r="G214" s="8">
        <v>6.7977248449007073</v>
      </c>
      <c r="H214" s="8">
        <v>6.1497954540883413</v>
      </c>
      <c r="I214" s="8">
        <v>5.0512672935545755</v>
      </c>
      <c r="J214" s="8">
        <v>5.5869141365807957</v>
      </c>
      <c r="K214" s="8">
        <v>6.3923929848506988</v>
      </c>
      <c r="L214" s="8">
        <v>4.4177425824633039</v>
      </c>
      <c r="M214" s="8">
        <v>6.2745306491870538</v>
      </c>
      <c r="N214" s="8">
        <v>3.97554966847472</v>
      </c>
      <c r="O214" s="8">
        <v>4.1269043957378901</v>
      </c>
      <c r="P214" s="8">
        <v>5.5681103413442044</v>
      </c>
      <c r="Q214" s="8">
        <v>5.4231545688484202</v>
      </c>
      <c r="R214" s="8">
        <v>8.1768168932795735</v>
      </c>
      <c r="S214" s="8">
        <v>9.1758781599847374</v>
      </c>
      <c r="T214" s="8">
        <v>10.090122994678255</v>
      </c>
      <c r="U214" s="8">
        <v>10.026790318475571</v>
      </c>
      <c r="V214" s="8">
        <v>7.8147068796189743</v>
      </c>
      <c r="W214" s="8">
        <v>13.890937017453108</v>
      </c>
      <c r="Y214" s="8">
        <f t="shared" si="24"/>
        <v>136.91149803647403</v>
      </c>
      <c r="Z214">
        <f t="shared" si="25"/>
        <v>1.4015645852143912</v>
      </c>
    </row>
    <row r="215" spans="1:26" x14ac:dyDescent="0.25">
      <c r="A215" t="s">
        <v>52</v>
      </c>
      <c r="D215" s="8">
        <v>11.199470117333833</v>
      </c>
      <c r="E215" s="8">
        <v>11.026975223997908</v>
      </c>
      <c r="F215" s="8">
        <v>12.932484612476395</v>
      </c>
      <c r="G215" s="8">
        <v>9.1648898887668206</v>
      </c>
      <c r="H215" s="8">
        <v>8.1592631574716687</v>
      </c>
      <c r="I215" s="8">
        <v>6.206133320004299</v>
      </c>
      <c r="J215" s="8">
        <v>5.255695904896192</v>
      </c>
      <c r="K215" s="8">
        <v>8.8278049795503613</v>
      </c>
      <c r="L215" s="8">
        <v>7.3560328663882597</v>
      </c>
      <c r="M215" s="8">
        <v>5.7510986263009078</v>
      </c>
      <c r="N215" s="8">
        <v>5.7395148290056826</v>
      </c>
      <c r="O215" s="8">
        <v>2.9620704309932555</v>
      </c>
      <c r="P215" s="8">
        <v>2.6766932684173055</v>
      </c>
      <c r="Q215" s="8">
        <v>6.1704668940990999</v>
      </c>
      <c r="R215" s="8">
        <v>4.1281701693224182</v>
      </c>
      <c r="S215" s="8">
        <v>6.9054603053188641</v>
      </c>
      <c r="T215" s="8">
        <v>5.6916020386934472</v>
      </c>
      <c r="U215" s="8">
        <v>7.9077975505888949</v>
      </c>
      <c r="V215" s="8">
        <v>8.6018110755958954</v>
      </c>
      <c r="W215" s="8">
        <v>10.588518250968418</v>
      </c>
      <c r="Y215" s="8">
        <f t="shared" si="24"/>
        <v>147.25195351018991</v>
      </c>
      <c r="Z215">
        <f t="shared" si="25"/>
        <v>-8.3391855382601499</v>
      </c>
    </row>
    <row r="216" spans="1:26" x14ac:dyDescent="0.25">
      <c r="A216" t="s">
        <v>53</v>
      </c>
      <c r="D216" s="8">
        <v>14.415842989113633</v>
      </c>
      <c r="E216" s="8">
        <v>13.972584702827756</v>
      </c>
      <c r="F216" s="8">
        <v>12.448359042728217</v>
      </c>
      <c r="G216" s="8">
        <v>8.5019071425966679</v>
      </c>
      <c r="H216" s="8">
        <v>9.9645252917043372</v>
      </c>
      <c r="I216" s="8">
        <v>6.6090594040652411</v>
      </c>
      <c r="J216" s="8">
        <v>5.2999461669485681</v>
      </c>
      <c r="K216" s="8">
        <v>5.5987915452913724</v>
      </c>
      <c r="L216" s="8">
        <v>5.9984393900684569</v>
      </c>
      <c r="M216" s="8">
        <v>6.9684842193907235</v>
      </c>
      <c r="N216" s="8">
        <v>7.8682391523519097</v>
      </c>
      <c r="O216" s="8">
        <v>4.4047838649585831</v>
      </c>
      <c r="P216" s="8">
        <v>5.0816901566547914</v>
      </c>
      <c r="Q216" s="8">
        <v>8.6557105581043654</v>
      </c>
      <c r="R216" s="8">
        <v>7.3535004189294613</v>
      </c>
      <c r="S216" s="8">
        <v>6.9567229131981438</v>
      </c>
      <c r="T216" s="8">
        <v>8.7052513750105671</v>
      </c>
      <c r="U216" s="8">
        <v>7.8558135551819026</v>
      </c>
      <c r="V216" s="8">
        <v>9.3239193512243723</v>
      </c>
      <c r="W216" s="8">
        <v>8.4323663374402553</v>
      </c>
      <c r="Y216" s="8">
        <f t="shared" si="24"/>
        <v>164.41593757778926</v>
      </c>
      <c r="Z216">
        <f t="shared" si="25"/>
        <v>-7.4239384530200301</v>
      </c>
    </row>
    <row r="217" spans="1:26" x14ac:dyDescent="0.25">
      <c r="A217" t="s">
        <v>54</v>
      </c>
      <c r="D217" s="8">
        <v>20.739563028065216</v>
      </c>
      <c r="E217" s="8">
        <v>13.257011715366625</v>
      </c>
      <c r="F217" s="8">
        <v>12.171384732375824</v>
      </c>
      <c r="G217" s="8">
        <v>15.848086983330678</v>
      </c>
      <c r="H217" s="8">
        <v>6.1757694800623666</v>
      </c>
      <c r="I217" s="8">
        <v>10.933864037805119</v>
      </c>
      <c r="J217" s="8">
        <v>7.3102376036109904</v>
      </c>
      <c r="K217" s="8">
        <v>6.1688182048841034</v>
      </c>
      <c r="L217" s="8">
        <v>3.4152094506705803</v>
      </c>
      <c r="M217" s="8">
        <v>11.044083000526644</v>
      </c>
      <c r="N217" s="8">
        <v>4.1938886414744854</v>
      </c>
      <c r="O217" s="8">
        <v>4.3712101213225747</v>
      </c>
      <c r="P217" s="8">
        <v>16.968911442632674</v>
      </c>
      <c r="Q217" s="8">
        <v>7.7135550326547646</v>
      </c>
      <c r="R217" s="8">
        <v>10.109656348148079</v>
      </c>
      <c r="S217" s="8">
        <v>13.871276644637117</v>
      </c>
      <c r="T217" s="8">
        <v>13.153832245784105</v>
      </c>
      <c r="U217" s="8">
        <v>13.242403692945004</v>
      </c>
      <c r="V217" s="8">
        <v>13.072007715704711</v>
      </c>
      <c r="W217" s="8">
        <v>12.348377747082534</v>
      </c>
      <c r="Y217" s="8">
        <f t="shared" si="24"/>
        <v>216.10914786908415</v>
      </c>
      <c r="Z217">
        <f t="shared" si="25"/>
        <v>-3.849255542621465</v>
      </c>
    </row>
    <row r="218" spans="1:26" x14ac:dyDescent="0.25">
      <c r="A218" t="s">
        <v>55</v>
      </c>
      <c r="D218" s="8">
        <v>16.205708323591903</v>
      </c>
      <c r="E218" s="8">
        <v>14.737736897870077</v>
      </c>
      <c r="F218" s="8">
        <v>12.129825559393399</v>
      </c>
      <c r="G218" s="8">
        <v>12.950069548916108</v>
      </c>
      <c r="H218" s="8">
        <v>8.8151738431896458</v>
      </c>
      <c r="I218" s="8">
        <v>9.7455994098555312</v>
      </c>
      <c r="J218" s="8">
        <v>8.4450218336848106</v>
      </c>
      <c r="K218" s="8">
        <v>8.8222123817894698</v>
      </c>
      <c r="L218" s="8">
        <v>11.063376862275499</v>
      </c>
      <c r="M218" s="8">
        <v>10.429554899450354</v>
      </c>
      <c r="N218" s="8">
        <v>11.262792676728521</v>
      </c>
      <c r="O218" s="8">
        <v>10.839005698406966</v>
      </c>
      <c r="P218" s="8">
        <v>11.475058424843013</v>
      </c>
      <c r="Q218" s="8">
        <v>12.631975870755184</v>
      </c>
      <c r="R218" s="8">
        <v>4.2577534761807661</v>
      </c>
      <c r="S218" s="8">
        <v>4.2577534761807661</v>
      </c>
      <c r="T218" s="8">
        <v>4.2577534761807661</v>
      </c>
      <c r="U218" s="8">
        <v>4.2577534761807661</v>
      </c>
      <c r="V218" s="8">
        <v>9.0394465544336065</v>
      </c>
      <c r="W218" s="8">
        <v>13.380825918772757</v>
      </c>
      <c r="Y218" s="8">
        <f t="shared" si="24"/>
        <v>199.00439860867991</v>
      </c>
      <c r="Z218">
        <f t="shared" si="25"/>
        <v>-13.477448673557555</v>
      </c>
    </row>
    <row r="219" spans="1:26" x14ac:dyDescent="0.25">
      <c r="A219" t="s">
        <v>56</v>
      </c>
      <c r="D219" s="8">
        <v>14.767918608509563</v>
      </c>
      <c r="E219" s="8">
        <v>15.81719644590069</v>
      </c>
      <c r="F219" s="8">
        <v>12.888711919876576</v>
      </c>
      <c r="G219" s="8">
        <v>14.000391973687011</v>
      </c>
      <c r="H219" s="8">
        <v>17.43409072578315</v>
      </c>
      <c r="I219" s="8">
        <v>13.599450422809033</v>
      </c>
      <c r="J219" s="8">
        <v>14.409862483581552</v>
      </c>
      <c r="K219" s="8">
        <v>16.683691489288538</v>
      </c>
      <c r="L219" s="8">
        <v>13.978080633689736</v>
      </c>
      <c r="M219" s="8">
        <v>10.032835503985865</v>
      </c>
      <c r="N219" s="8">
        <v>17.47316757031772</v>
      </c>
      <c r="O219" s="8">
        <v>12.09039878944748</v>
      </c>
      <c r="P219" s="8">
        <v>10.96509549925881</v>
      </c>
      <c r="Q219" s="8">
        <v>10.656906455448297</v>
      </c>
      <c r="R219" s="8">
        <v>12.962383122496902</v>
      </c>
      <c r="S219" s="8">
        <v>13.541190249170691</v>
      </c>
      <c r="T219" s="8">
        <v>14.285862412230442</v>
      </c>
      <c r="U219" s="8">
        <v>15.207212530690692</v>
      </c>
      <c r="V219" s="8">
        <v>16.92812711767062</v>
      </c>
      <c r="W219" s="8">
        <v>12.332602576313317</v>
      </c>
      <c r="Y219" s="8">
        <f t="shared" si="24"/>
        <v>280.0551765301567</v>
      </c>
      <c r="Z219">
        <f t="shared" si="25"/>
        <v>-6.9256182101376247</v>
      </c>
    </row>
    <row r="220" spans="1:26" x14ac:dyDescent="0.25">
      <c r="A220" t="s">
        <v>57</v>
      </c>
      <c r="D220" s="8">
        <v>15.221842345285125</v>
      </c>
      <c r="E220" s="8">
        <v>10.694762415527213</v>
      </c>
      <c r="F220" s="8">
        <v>10.520723380738954</v>
      </c>
      <c r="G220" s="8">
        <v>10.632853470485523</v>
      </c>
      <c r="H220" s="8">
        <v>10.145576784531565</v>
      </c>
      <c r="I220" s="8">
        <v>8.2428188727678755</v>
      </c>
      <c r="J220" s="8">
        <v>11.342064244787943</v>
      </c>
      <c r="K220" s="8">
        <v>7.3183699362373398</v>
      </c>
      <c r="L220" s="8">
        <v>10.601234270111386</v>
      </c>
      <c r="M220" s="8">
        <v>10.344946353722841</v>
      </c>
      <c r="N220" s="8">
        <v>12.221094426372989</v>
      </c>
      <c r="O220" s="8">
        <v>11.073621794410334</v>
      </c>
      <c r="P220" s="8">
        <v>5.1367967987648342</v>
      </c>
      <c r="Q220" s="8">
        <v>6.8068619387194689</v>
      </c>
      <c r="R220" s="8">
        <v>6.2007911006426593</v>
      </c>
      <c r="S220" s="8">
        <v>7.2524475167369697</v>
      </c>
      <c r="T220" s="8">
        <v>10.047915464185394</v>
      </c>
      <c r="U220" s="8">
        <v>9.5707683373794943</v>
      </c>
      <c r="V220" s="8">
        <v>7.5572955923734568</v>
      </c>
      <c r="W220" s="8">
        <v>11.370585190812452</v>
      </c>
      <c r="Y220" s="8">
        <f t="shared" si="24"/>
        <v>192.30337023459381</v>
      </c>
      <c r="Z220">
        <f t="shared" si="25"/>
        <v>-8.813220494079248</v>
      </c>
    </row>
    <row r="221" spans="1:26" x14ac:dyDescent="0.25">
      <c r="A221" t="s">
        <v>58</v>
      </c>
      <c r="D221" s="8">
        <v>16.408583917203512</v>
      </c>
      <c r="E221" s="8">
        <v>12.828289586984763</v>
      </c>
      <c r="F221" s="8">
        <v>10.983982507724493</v>
      </c>
      <c r="G221" s="8">
        <v>10.19032235028209</v>
      </c>
      <c r="H221" s="8">
        <v>10.881969214918447</v>
      </c>
      <c r="I221" s="8">
        <v>12.111476182137761</v>
      </c>
      <c r="J221" s="8">
        <v>12.58755419026909</v>
      </c>
      <c r="K221" s="8">
        <v>10.306368299268522</v>
      </c>
      <c r="L221" s="8">
        <v>7.6158336542256935</v>
      </c>
      <c r="M221" s="8">
        <v>9.2268757856740837</v>
      </c>
      <c r="N221" s="8">
        <v>9.7109392790662561</v>
      </c>
      <c r="O221" s="8">
        <v>9.4098986133608893</v>
      </c>
      <c r="P221" s="8">
        <v>7.3180552054819472</v>
      </c>
      <c r="Q221" s="8">
        <v>10.756231495247317</v>
      </c>
      <c r="R221" s="8">
        <v>10.953625249546576</v>
      </c>
      <c r="S221" s="8">
        <v>14.879087421928572</v>
      </c>
      <c r="T221" s="8">
        <v>13.846603803048355</v>
      </c>
      <c r="U221" s="8">
        <v>13.639807941244694</v>
      </c>
      <c r="V221" s="8">
        <v>9.4837476365913993</v>
      </c>
      <c r="W221" s="8">
        <v>14.843676887371938</v>
      </c>
      <c r="Y221" s="8">
        <f t="shared" si="24"/>
        <v>227.98292922157643</v>
      </c>
      <c r="Z221">
        <f t="shared" si="25"/>
        <v>-3.4707943748953261</v>
      </c>
    </row>
    <row r="222" spans="1:26" x14ac:dyDescent="0.25">
      <c r="A222" t="s">
        <v>59</v>
      </c>
      <c r="D222" s="8">
        <v>11.332652381729336</v>
      </c>
      <c r="E222" s="8">
        <v>11.393114256911591</v>
      </c>
      <c r="F222" s="8">
        <v>10.335259000565699</v>
      </c>
      <c r="G222" s="8">
        <v>10.380898545934249</v>
      </c>
      <c r="H222" s="8">
        <v>9.5896903117410321</v>
      </c>
      <c r="I222" s="8">
        <v>8.6889458493013585</v>
      </c>
      <c r="J222" s="8">
        <v>8.6589955108270154</v>
      </c>
      <c r="K222" s="8">
        <v>8.6597323259813521</v>
      </c>
      <c r="L222" s="8">
        <v>9.0561936275696873</v>
      </c>
      <c r="M222" s="8">
        <v>8.3000553821788703</v>
      </c>
      <c r="N222" s="8">
        <v>8.4605151088553789</v>
      </c>
      <c r="O222" s="8">
        <v>8.9299539472498815</v>
      </c>
      <c r="P222" s="8">
        <v>9.4634322519384995</v>
      </c>
      <c r="Q222" s="8">
        <v>9.3438711192332242</v>
      </c>
      <c r="R222" s="8">
        <v>10.336050614810686</v>
      </c>
      <c r="S222" s="8">
        <v>10.65823361166234</v>
      </c>
      <c r="T222" s="8">
        <v>9.8159416564452933</v>
      </c>
      <c r="U222" s="8">
        <v>10.105381935792868</v>
      </c>
      <c r="V222" s="8">
        <v>10.395839040112731</v>
      </c>
      <c r="W222" s="8">
        <v>11.422982521672497</v>
      </c>
      <c r="Y222" s="8">
        <f t="shared" si="24"/>
        <v>195.32773900051356</v>
      </c>
      <c r="Z222">
        <f t="shared" si="25"/>
        <v>-3.1903058828472997</v>
      </c>
    </row>
    <row r="223" spans="1:26" x14ac:dyDescent="0.25">
      <c r="A223" t="s">
        <v>60</v>
      </c>
      <c r="D223" s="8">
        <v>10.395422625886665</v>
      </c>
      <c r="E223" s="8">
        <v>11.17500492029485</v>
      </c>
      <c r="F223" s="8">
        <v>10.374789782072245</v>
      </c>
      <c r="G223" s="8">
        <v>9.9443887015354306</v>
      </c>
      <c r="H223" s="8">
        <v>9.9849650430746753</v>
      </c>
      <c r="I223" s="8">
        <v>9.1797432972639008</v>
      </c>
      <c r="J223" s="8">
        <v>9.1167999995604951</v>
      </c>
      <c r="K223" s="8">
        <v>8.9172714349547277</v>
      </c>
      <c r="L223" s="8">
        <v>9.1593363309525166</v>
      </c>
      <c r="M223" s="8">
        <v>9.8532478292545953</v>
      </c>
      <c r="N223" s="8">
        <v>9.0937015355135458</v>
      </c>
      <c r="O223" s="8">
        <v>9.5907061649174512</v>
      </c>
      <c r="P223" s="8">
        <v>11.522959458224637</v>
      </c>
      <c r="Q223" s="8">
        <v>12.63731155017075</v>
      </c>
      <c r="R223" s="8">
        <v>13.447349811243567</v>
      </c>
      <c r="S223" s="8">
        <v>11.397594713671966</v>
      </c>
      <c r="T223" s="8">
        <v>10.111163922275962</v>
      </c>
      <c r="U223" s="8">
        <v>12.52177020001028</v>
      </c>
      <c r="V223" s="8">
        <v>10.395839040112731</v>
      </c>
      <c r="W223" s="8">
        <v>11.422982521672497</v>
      </c>
      <c r="Y223" s="8">
        <f t="shared" si="24"/>
        <v>210.24234888266346</v>
      </c>
      <c r="Z223">
        <f t="shared" si="25"/>
        <v>-0.35816287427907911</v>
      </c>
    </row>
    <row r="224" spans="1:26" x14ac:dyDescent="0.25">
      <c r="A224" t="s">
        <v>61</v>
      </c>
      <c r="D224" s="8">
        <v>15.80794842025009</v>
      </c>
      <c r="E224" s="8">
        <v>14.476678159653977</v>
      </c>
      <c r="F224" s="8">
        <v>12.050591091456216</v>
      </c>
      <c r="G224" s="8">
        <v>12.896887789913611</v>
      </c>
      <c r="H224" s="8">
        <v>9.1589183996665291</v>
      </c>
      <c r="I224" s="8">
        <v>9.9477919294346524</v>
      </c>
      <c r="J224" s="8">
        <v>9.4256139848289866</v>
      </c>
      <c r="K224" s="8">
        <v>10.32947348996383</v>
      </c>
      <c r="L224" s="8">
        <v>10.620726112684421</v>
      </c>
      <c r="M224" s="8">
        <v>9.956219629217312</v>
      </c>
      <c r="N224" s="8">
        <v>7.8231932930902035</v>
      </c>
      <c r="O224" s="8">
        <v>9.3074418682666327</v>
      </c>
      <c r="P224" s="8">
        <v>11.208281335322249</v>
      </c>
      <c r="Q224" s="8">
        <v>12.35263725285308</v>
      </c>
      <c r="R224" s="8">
        <v>13.187359615102881</v>
      </c>
      <c r="S224" s="8">
        <v>15.227391780702089</v>
      </c>
      <c r="T224" s="8">
        <v>10.295347344686832</v>
      </c>
      <c r="U224" s="8">
        <v>9.5684450755300805</v>
      </c>
      <c r="V224" s="8">
        <v>10.313398124476061</v>
      </c>
      <c r="W224" s="8">
        <v>12.876765372674582</v>
      </c>
      <c r="Y224" s="8">
        <f t="shared" si="24"/>
        <v>226.83111006977433</v>
      </c>
      <c r="Z224">
        <f t="shared" si="25"/>
        <v>-3.3722087121104014</v>
      </c>
    </row>
    <row r="225" spans="1:27" x14ac:dyDescent="0.25">
      <c r="A225" t="s">
        <v>62</v>
      </c>
      <c r="D225" s="8">
        <v>10.596779752388999</v>
      </c>
      <c r="E225" s="8">
        <v>8.9036804961530915</v>
      </c>
      <c r="F225" s="8">
        <v>9.7029161278698179</v>
      </c>
      <c r="G225" s="8">
        <v>9.2087071027973035</v>
      </c>
      <c r="H225" s="8">
        <v>9.2233588570355458</v>
      </c>
      <c r="I225" s="8">
        <v>7.6159693801426664</v>
      </c>
      <c r="J225" s="8">
        <v>8.1071451917692254</v>
      </c>
      <c r="K225" s="8">
        <v>8.3303202834407148</v>
      </c>
      <c r="L225" s="8">
        <v>8.5012012432753874</v>
      </c>
      <c r="M225" s="8">
        <v>8.7800792382199369</v>
      </c>
      <c r="N225" s="8">
        <v>8.7222735285217521</v>
      </c>
      <c r="O225" s="8">
        <v>8.3505242455889626</v>
      </c>
      <c r="P225" s="8">
        <v>8.6319124049291407</v>
      </c>
      <c r="Q225" s="8">
        <v>8.5934634318915446</v>
      </c>
      <c r="R225" s="8">
        <v>11.621852147024109</v>
      </c>
      <c r="S225" s="8">
        <v>11.828766804315052</v>
      </c>
      <c r="T225" s="8">
        <v>11.170770489106363</v>
      </c>
      <c r="U225" s="8">
        <v>12.500857827804733</v>
      </c>
      <c r="V225" s="8">
        <v>12.219737733813201</v>
      </c>
      <c r="W225" s="8">
        <v>12.529505048717084</v>
      </c>
      <c r="Y225" s="8">
        <f t="shared" si="24"/>
        <v>195.13982133480462</v>
      </c>
      <c r="Z225">
        <f t="shared" si="25"/>
        <v>-0.3901068631120681</v>
      </c>
    </row>
    <row r="226" spans="1:27" x14ac:dyDescent="0.25">
      <c r="A226" t="s">
        <v>63</v>
      </c>
      <c r="D226" s="8">
        <v>9.5678461545165483</v>
      </c>
      <c r="E226" s="8">
        <v>9.6065385479051884</v>
      </c>
      <c r="F226" s="8">
        <v>10.317617632798362</v>
      </c>
      <c r="G226" s="8">
        <v>9.6196208534475414</v>
      </c>
      <c r="H226" s="8">
        <v>9.5543240294672653</v>
      </c>
      <c r="I226" s="8">
        <v>8.4259864410720695</v>
      </c>
      <c r="J226" s="8">
        <v>8.3923416970635039</v>
      </c>
      <c r="K226" s="8">
        <v>7.6390537367701388</v>
      </c>
      <c r="L226" s="8">
        <v>8.8019727613378453</v>
      </c>
      <c r="M226" s="8">
        <v>5.7573833961386445</v>
      </c>
      <c r="N226" s="8">
        <v>7.3074197659262907</v>
      </c>
      <c r="O226" s="8">
        <v>7.9861348347449646</v>
      </c>
      <c r="P226" s="8">
        <v>9.1318084936327022</v>
      </c>
      <c r="Q226" s="8">
        <v>8.4132517217449649</v>
      </c>
      <c r="R226" s="8">
        <v>7.5356875086002022</v>
      </c>
      <c r="S226" s="8">
        <v>7.5392677486921587</v>
      </c>
      <c r="T226" s="8">
        <v>8.1217840762017648</v>
      </c>
      <c r="U226" s="8">
        <v>8.4725697324848621</v>
      </c>
      <c r="V226" s="8">
        <v>9.0160370760973638</v>
      </c>
      <c r="W226" s="8">
        <v>9.9959445838808811</v>
      </c>
      <c r="Y226" s="8">
        <f t="shared" si="24"/>
        <v>171.2025907925233</v>
      </c>
      <c r="Z226">
        <f t="shared" si="25"/>
        <v>-4.6017305083641631</v>
      </c>
      <c r="AA226" s="8"/>
    </row>
    <row r="227" spans="1:27" x14ac:dyDescent="0.25">
      <c r="A227" t="s">
        <v>64</v>
      </c>
      <c r="D227" s="8">
        <v>10.29526495560437</v>
      </c>
      <c r="E227" s="8">
        <v>12.803669160550855</v>
      </c>
      <c r="F227" s="8">
        <v>9.2303803686318577</v>
      </c>
      <c r="G227" s="8">
        <v>10.234888281977359</v>
      </c>
      <c r="H227" s="8">
        <v>10.02688522946114</v>
      </c>
      <c r="I227" s="8">
        <v>8.2752381985935024</v>
      </c>
      <c r="J227" s="8">
        <v>8.2530766809128586</v>
      </c>
      <c r="K227" s="8">
        <v>8.0825426847773496</v>
      </c>
      <c r="L227" s="8">
        <v>8.1977316895982728</v>
      </c>
      <c r="M227" s="8">
        <v>8.4392370610310881</v>
      </c>
      <c r="N227" s="8">
        <v>8.4286150316814918</v>
      </c>
      <c r="O227" s="8">
        <v>8.6790346244675884</v>
      </c>
      <c r="P227" s="8">
        <v>7.7895975044300245</v>
      </c>
      <c r="Q227" s="8">
        <v>7.6107692891314098</v>
      </c>
      <c r="R227" s="8">
        <v>9.4313867102485052</v>
      </c>
      <c r="S227" s="8">
        <v>9.5938188688792696</v>
      </c>
      <c r="T227" s="8">
        <v>9.8949556347525718</v>
      </c>
      <c r="U227" s="8">
        <v>9.5824719169762478</v>
      </c>
      <c r="V227" s="8">
        <v>10.271647998528453</v>
      </c>
      <c r="W227" s="8">
        <v>11.489875019069652</v>
      </c>
      <c r="Y227" s="8">
        <f t="shared" si="24"/>
        <v>186.61108690930388</v>
      </c>
      <c r="Z227">
        <f t="shared" si="25"/>
        <v>-3.9858732670366757</v>
      </c>
    </row>
    <row r="228" spans="1:27" x14ac:dyDescent="0.25">
      <c r="A228" t="s">
        <v>65</v>
      </c>
      <c r="D228" s="8">
        <v>14.04771768126812</v>
      </c>
      <c r="E228" s="8">
        <v>16.990197282123123</v>
      </c>
      <c r="F228" s="8">
        <v>14.436125135340816</v>
      </c>
      <c r="G228" s="8">
        <v>12.887702237933512</v>
      </c>
      <c r="H228" s="8">
        <v>12.951187341882241</v>
      </c>
      <c r="I228" s="8">
        <v>13.158364999316088</v>
      </c>
      <c r="J228" s="8">
        <v>12.621703303139805</v>
      </c>
      <c r="K228" s="8">
        <v>12.141104530822869</v>
      </c>
      <c r="L228" s="8">
        <v>12.409145443942435</v>
      </c>
      <c r="M228" s="8">
        <v>8.5673575862873701</v>
      </c>
      <c r="N228" s="8">
        <v>10.021073925057152</v>
      </c>
      <c r="O228" s="8">
        <v>10.326634163181259</v>
      </c>
      <c r="P228" s="8">
        <v>10.555561521378383</v>
      </c>
      <c r="Q228" s="8">
        <v>9.7492339005451232</v>
      </c>
      <c r="R228" s="8">
        <v>9.9039670930777302</v>
      </c>
      <c r="S228" s="8">
        <v>9.1019228557231315</v>
      </c>
      <c r="T228" s="8">
        <v>9.5968507374789365</v>
      </c>
      <c r="U228" s="8">
        <v>10.402565126168421</v>
      </c>
      <c r="V228" s="8">
        <v>10.158374267648583</v>
      </c>
      <c r="W228" s="8">
        <v>10.222822584020276</v>
      </c>
      <c r="Y228" s="8">
        <f t="shared" si="24"/>
        <v>230.24961171633541</v>
      </c>
      <c r="Z228">
        <f t="shared" si="25"/>
        <v>-8.9908990945568412</v>
      </c>
    </row>
    <row r="229" spans="1:27" x14ac:dyDescent="0.25">
      <c r="A229" t="s">
        <v>66</v>
      </c>
      <c r="D229" s="8">
        <v>7.4695045856552884</v>
      </c>
      <c r="E229" s="8">
        <v>7.5709391147419911</v>
      </c>
      <c r="F229" s="8">
        <v>8.1869096457203785</v>
      </c>
      <c r="G229" s="8">
        <v>7.7710250315214413</v>
      </c>
      <c r="H229" s="8">
        <v>8.1690697575271862</v>
      </c>
      <c r="I229" s="8">
        <v>8.423157467195173</v>
      </c>
      <c r="J229" s="8">
        <v>8.2097331249170828</v>
      </c>
      <c r="K229" s="8">
        <v>8.393335938962565</v>
      </c>
      <c r="L229" s="8">
        <v>7.8866305166086397</v>
      </c>
      <c r="M229" s="8">
        <v>8.1639756743826872</v>
      </c>
      <c r="N229" s="8">
        <v>6.9155068971446623</v>
      </c>
      <c r="O229" s="8">
        <v>8.2557539160442506</v>
      </c>
      <c r="P229" s="8">
        <v>7.9703209820909304</v>
      </c>
      <c r="Q229" s="8">
        <v>8.1697112726663139</v>
      </c>
      <c r="R229" s="8">
        <v>9.2654944349239123</v>
      </c>
      <c r="S229" s="8">
        <v>9.9635272714203875</v>
      </c>
      <c r="T229" s="8">
        <v>10.384744405209855</v>
      </c>
      <c r="U229" s="8">
        <v>9.6763771496719659</v>
      </c>
      <c r="V229" s="8">
        <v>9.0426221382420557</v>
      </c>
      <c r="W229" s="8">
        <v>9.1796093861695791</v>
      </c>
      <c r="Y229" s="8">
        <f t="shared" si="24"/>
        <v>169.06794871081632</v>
      </c>
      <c r="Z229">
        <f t="shared" si="25"/>
        <v>-0.27850230728529646</v>
      </c>
    </row>
    <row r="230" spans="1:27" x14ac:dyDescent="0.25">
      <c r="A230" t="s">
        <v>67</v>
      </c>
      <c r="D230" s="8">
        <v>7.9025431550139134</v>
      </c>
      <c r="E230" s="8">
        <v>8.2477692273109504</v>
      </c>
      <c r="F230" s="8">
        <v>8.1172090168938453</v>
      </c>
      <c r="G230" s="8">
        <v>8.3302463398335842</v>
      </c>
      <c r="H230" s="8">
        <v>8.4417015949108443</v>
      </c>
      <c r="I230" s="8">
        <v>8.4797414689164832</v>
      </c>
      <c r="J230" s="8">
        <v>7.9001587465888994</v>
      </c>
      <c r="K230" s="8">
        <v>8.6500736073423941</v>
      </c>
      <c r="L230" s="8">
        <v>8.2951942318678196</v>
      </c>
      <c r="M230" s="8">
        <v>9.1318304684874416</v>
      </c>
      <c r="N230" s="8">
        <v>8.8787447568995255</v>
      </c>
      <c r="O230" s="8">
        <v>8.5853391176000944</v>
      </c>
      <c r="P230" s="8">
        <v>8.8888558035607179</v>
      </c>
      <c r="Q230" s="8">
        <v>7.9995004856667764</v>
      </c>
      <c r="R230" s="8">
        <v>4.8684525079495256</v>
      </c>
      <c r="S230" s="8">
        <v>5.0885982630309128</v>
      </c>
      <c r="T230" s="8">
        <v>5.0658468502719733</v>
      </c>
      <c r="U230" s="8">
        <v>5.219952366118739</v>
      </c>
      <c r="V230" s="8">
        <v>10.01397207698423</v>
      </c>
      <c r="W230" s="8">
        <v>10.501551082283367</v>
      </c>
      <c r="Y230" s="8">
        <f t="shared" si="24"/>
        <v>158.60728116753205</v>
      </c>
      <c r="Z230">
        <f t="shared" si="25"/>
        <v>-6.4624995532924032</v>
      </c>
    </row>
    <row r="231" spans="1:27" x14ac:dyDescent="0.2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Y231" s="8"/>
    </row>
    <row r="232" spans="1:27" x14ac:dyDescent="0.25">
      <c r="A232" t="s">
        <v>68</v>
      </c>
      <c r="D232" s="8">
        <v>10.271759573039249</v>
      </c>
      <c r="E232" s="8">
        <v>10.511089270427046</v>
      </c>
      <c r="F232" s="8">
        <v>10.936939463053621</v>
      </c>
      <c r="G232" s="8">
        <v>10.552707129477708</v>
      </c>
      <c r="H232" s="8">
        <v>10.230976299251434</v>
      </c>
      <c r="I232" s="8">
        <v>6.5801252193732243</v>
      </c>
      <c r="J232" s="8">
        <v>5.8165231754538276</v>
      </c>
      <c r="K232" s="8">
        <v>6.7513642529863498</v>
      </c>
      <c r="L232" s="8">
        <v>5.9313753959679048</v>
      </c>
      <c r="M232" s="8">
        <v>9.1458347184669471</v>
      </c>
      <c r="N232" s="8">
        <v>9.3564755138269575</v>
      </c>
      <c r="O232" s="8">
        <v>9.1700245216468641</v>
      </c>
      <c r="P232" s="8">
        <v>9.8567531786867573</v>
      </c>
      <c r="Q232" s="8">
        <v>9.6489061793124211</v>
      </c>
      <c r="R232" s="8">
        <v>9.9394890178497359</v>
      </c>
      <c r="S232" s="8">
        <v>10.700944535670809</v>
      </c>
      <c r="T232" s="8">
        <v>10.383348128275895</v>
      </c>
      <c r="U232" s="8">
        <v>10.672952687913854</v>
      </c>
      <c r="V232" s="8">
        <v>10.607240002754228</v>
      </c>
      <c r="W232" s="8">
        <v>11.801273489094617</v>
      </c>
      <c r="Y232" s="8">
        <f t="shared" si="24"/>
        <v>188.86610175252943</v>
      </c>
      <c r="Z232">
        <f>SUMPRODUCT($D$236:$W$236,D232:W232)</f>
        <v>-2.3014942768153737</v>
      </c>
    </row>
    <row r="233" spans="1:27" x14ac:dyDescent="0.25">
      <c r="A233" t="s">
        <v>312</v>
      </c>
      <c r="D233" s="8">
        <v>11.717878764175763</v>
      </c>
      <c r="E233" s="8">
        <v>11.703955813411552</v>
      </c>
      <c r="F233" s="8">
        <v>9.8632979096063735</v>
      </c>
      <c r="G233" s="8">
        <v>10.48979761270547</v>
      </c>
      <c r="H233" s="8">
        <v>11.709781231177425</v>
      </c>
      <c r="I233" s="8">
        <v>10.300680893442333</v>
      </c>
      <c r="J233" s="8">
        <v>9.0108352077146439</v>
      </c>
      <c r="K233" s="8">
        <v>6.9176290136096394</v>
      </c>
      <c r="L233" s="8">
        <v>6.7561826764056248</v>
      </c>
      <c r="M233" s="8">
        <v>7.0562205869199461</v>
      </c>
      <c r="N233" s="8">
        <v>5.5725296574526846</v>
      </c>
      <c r="O233" s="8">
        <v>8.9151903779532056</v>
      </c>
      <c r="P233" s="8">
        <v>13.7</v>
      </c>
      <c r="Q233" s="8">
        <v>17</v>
      </c>
      <c r="R233" s="8">
        <v>12.9</v>
      </c>
      <c r="S233" s="8">
        <v>7.3</v>
      </c>
      <c r="T233" s="8">
        <v>9.6</v>
      </c>
      <c r="U233" s="8">
        <v>10.119999999999999</v>
      </c>
      <c r="V233" s="8">
        <v>9.8000000000000007</v>
      </c>
      <c r="W233" s="8">
        <v>10.8</v>
      </c>
      <c r="Y233" s="8">
        <f t="shared" si="24"/>
        <v>201.23397974457473</v>
      </c>
      <c r="Z233">
        <f>SUMPRODUCT($D$236:$W$236,D233:W233)</f>
        <v>-1.2503446888783367</v>
      </c>
    </row>
    <row r="234" spans="1:27" x14ac:dyDescent="0.25">
      <c r="A234" t="s">
        <v>313</v>
      </c>
      <c r="D234" s="8">
        <v>10.7</v>
      </c>
      <c r="E234" s="8">
        <v>12.6</v>
      </c>
      <c r="F234" s="8">
        <v>80.8</v>
      </c>
      <c r="G234" s="8">
        <v>10.6</v>
      </c>
      <c r="H234" s="8">
        <v>11.3</v>
      </c>
      <c r="I234" s="8">
        <v>10.5</v>
      </c>
      <c r="J234" s="8">
        <v>8.8000000000000007</v>
      </c>
      <c r="K234" s="8">
        <v>7.2</v>
      </c>
      <c r="L234" s="8">
        <v>7.3</v>
      </c>
      <c r="M234" s="8">
        <v>7.2</v>
      </c>
      <c r="N234" s="8">
        <v>6.3</v>
      </c>
      <c r="O234" s="8">
        <v>8.8000000000000007</v>
      </c>
      <c r="P234" s="8">
        <v>8.9299539472498815</v>
      </c>
      <c r="Q234" s="8">
        <v>9.4634322519384995</v>
      </c>
      <c r="R234" s="8">
        <v>9.3438711192332242</v>
      </c>
      <c r="S234" s="8">
        <v>10.336050614810686</v>
      </c>
      <c r="T234" s="8">
        <v>10.65823361166234</v>
      </c>
      <c r="U234" s="8">
        <v>9.8159416564452933</v>
      </c>
      <c r="V234" s="8">
        <v>10.105381935792868</v>
      </c>
      <c r="W234" s="8">
        <v>10.395839040112731</v>
      </c>
      <c r="Y234" s="8">
        <f t="shared" si="24"/>
        <v>261.14870417724558</v>
      </c>
      <c r="Z234">
        <f>SUMPRODUCT($D$236:$W$236,D234:W234)</f>
        <v>-20.151996251321876</v>
      </c>
    </row>
    <row r="235" spans="1:27" x14ac:dyDescent="0.25">
      <c r="A235" t="s">
        <v>676</v>
      </c>
      <c r="D235" s="8">
        <v>10.383917417779406</v>
      </c>
      <c r="E235" s="8">
        <v>11.147622832809342</v>
      </c>
      <c r="F235" s="8">
        <v>10.511089270427046</v>
      </c>
      <c r="G235" s="8">
        <v>10.587347911782041</v>
      </c>
      <c r="H235" s="8">
        <v>10.230976299251436</v>
      </c>
      <c r="I235" s="8">
        <v>9.2143996952899254</v>
      </c>
      <c r="J235" s="8">
        <v>9.0981761866273718</v>
      </c>
      <c r="K235" s="8">
        <v>9.0616043032091937</v>
      </c>
      <c r="L235" s="8">
        <v>9.3291172157461499</v>
      </c>
      <c r="M235" s="8">
        <v>8.4771944745888135</v>
      </c>
      <c r="N235" s="8">
        <v>8.3465373857238099</v>
      </c>
      <c r="O235" s="8">
        <v>8.9282729705576251</v>
      </c>
      <c r="P235" s="8">
        <v>9.4651989223453921</v>
      </c>
      <c r="Q235" s="8">
        <v>10.472407389289859</v>
      </c>
      <c r="R235" s="8">
        <v>9.9852914953613254</v>
      </c>
      <c r="S235" s="8">
        <v>10.479770458878455</v>
      </c>
      <c r="T235" s="8">
        <v>10.35667720799951</v>
      </c>
      <c r="U235" s="8">
        <v>10.849233719501523</v>
      </c>
      <c r="V235" s="8">
        <v>10.281827614672565</v>
      </c>
      <c r="W235" s="8">
        <v>11.850569317384927</v>
      </c>
      <c r="Y235" s="8">
        <f t="shared" ref="Y235" si="26">SUM(D235:W235)</f>
        <v>199.05723208922572</v>
      </c>
      <c r="Z235">
        <f>SUMPRODUCT($D$236:$W$236,D235:W235)</f>
        <v>-3.0631165981020692</v>
      </c>
    </row>
    <row r="236" spans="1:27" x14ac:dyDescent="0.25">
      <c r="A236" s="2" t="s">
        <v>69</v>
      </c>
      <c r="D236" s="3">
        <f>CORREL($B$2:$B$26,D206:D230)</f>
        <v>-0.24965324017849702</v>
      </c>
      <c r="E236" s="3">
        <f t="shared" ref="E236:W236" si="27">CORREL($B$2:$B$26,E206:E230)</f>
        <v>-0.26274379813976251</v>
      </c>
      <c r="F236" s="3">
        <f t="shared" si="27"/>
        <v>-0.23561023973752934</v>
      </c>
      <c r="G236" s="3">
        <f t="shared" si="27"/>
        <v>-0.20564739843090338</v>
      </c>
      <c r="H236" s="3">
        <f t="shared" si="27"/>
        <v>-0.1122761271204246</v>
      </c>
      <c r="I236" s="3">
        <f t="shared" si="27"/>
        <v>-9.7709134812353549E-2</v>
      </c>
      <c r="J236" s="3">
        <f t="shared" si="27"/>
        <v>-9.9610417639250659E-2</v>
      </c>
      <c r="K236" s="3">
        <f t="shared" si="27"/>
        <v>7.1811547374392446E-3</v>
      </c>
      <c r="L236" s="3">
        <f t="shared" si="27"/>
        <v>-0.10451117433638538</v>
      </c>
      <c r="M236" s="3">
        <f t="shared" si="27"/>
        <v>-2.1560984399954266E-2</v>
      </c>
      <c r="N236" s="3">
        <f t="shared" si="27"/>
        <v>-0.23325363995298012</v>
      </c>
      <c r="O236" s="3">
        <f t="shared" si="27"/>
        <v>7.5511791215851859E-2</v>
      </c>
      <c r="P236" s="3">
        <f t="shared" si="27"/>
        <v>8.6990903064953357E-2</v>
      </c>
      <c r="Q236" s="3">
        <f t="shared" si="27"/>
        <v>7.4589452753943658E-2</v>
      </c>
      <c r="R236" s="3">
        <f t="shared" si="27"/>
        <v>0.52660347397348117</v>
      </c>
      <c r="S236" s="3">
        <f t="shared" si="27"/>
        <v>0.22718757017594915</v>
      </c>
      <c r="T236" s="3">
        <f t="shared" si="27"/>
        <v>0.19239235652636816</v>
      </c>
      <c r="U236" s="3">
        <f t="shared" si="27"/>
        <v>0.18645414642896038</v>
      </c>
      <c r="V236" s="3">
        <f t="shared" si="27"/>
        <v>-1.6124755740665398E-2</v>
      </c>
      <c r="W236" s="3">
        <f t="shared" si="27"/>
        <v>-5.5747273666161529E-2</v>
      </c>
      <c r="X236" s="3"/>
    </row>
    <row r="239" spans="1:27" x14ac:dyDescent="0.25">
      <c r="D239" t="s">
        <v>98</v>
      </c>
      <c r="E239" t="s">
        <v>99</v>
      </c>
      <c r="F239" t="s">
        <v>100</v>
      </c>
      <c r="G239" t="s">
        <v>101</v>
      </c>
      <c r="H239" t="s">
        <v>102</v>
      </c>
      <c r="I239" t="s">
        <v>103</v>
      </c>
      <c r="J239" t="s">
        <v>104</v>
      </c>
      <c r="K239" t="s">
        <v>105</v>
      </c>
      <c r="L239" t="s">
        <v>322</v>
      </c>
      <c r="M239" t="s">
        <v>364</v>
      </c>
      <c r="N239" t="s">
        <v>365</v>
      </c>
      <c r="O239" t="s">
        <v>366</v>
      </c>
      <c r="P239" t="s">
        <v>480</v>
      </c>
      <c r="Q239" t="s">
        <v>481</v>
      </c>
      <c r="R239" t="s">
        <v>482</v>
      </c>
      <c r="S239" t="s">
        <v>483</v>
      </c>
      <c r="T239" t="s">
        <v>592</v>
      </c>
      <c r="U239" t="s">
        <v>593</v>
      </c>
      <c r="V239" t="s">
        <v>594</v>
      </c>
      <c r="W239" t="s">
        <v>595</v>
      </c>
      <c r="Y239" t="s">
        <v>106</v>
      </c>
      <c r="Z239" t="s">
        <v>107</v>
      </c>
    </row>
    <row r="240" spans="1:27" x14ac:dyDescent="0.25">
      <c r="A240" t="s">
        <v>43</v>
      </c>
      <c r="D240">
        <f t="shared" ref="D240:W240" si="28">D2*D36</f>
        <v>318.75</v>
      </c>
      <c r="E240">
        <f t="shared" si="28"/>
        <v>296.20408163265307</v>
      </c>
      <c r="F240">
        <f t="shared" si="28"/>
        <v>274.69795918367345</v>
      </c>
      <c r="G240">
        <f t="shared" si="28"/>
        <v>272.64795918367344</v>
      </c>
      <c r="H240">
        <f t="shared" si="28"/>
        <v>267.8632653061224</v>
      </c>
      <c r="I240">
        <f t="shared" si="28"/>
        <v>269.08469387755105</v>
      </c>
      <c r="J240">
        <f t="shared" si="28"/>
        <v>160.65</v>
      </c>
      <c r="K240">
        <f t="shared" si="28"/>
        <v>255.02448979591836</v>
      </c>
      <c r="L240">
        <f t="shared" si="28"/>
        <v>254.79140625000002</v>
      </c>
      <c r="M240">
        <f t="shared" si="28"/>
        <v>206.85714285714286</v>
      </c>
      <c r="N240">
        <f t="shared" si="28"/>
        <v>214.83673469387753</v>
      </c>
      <c r="O240">
        <f t="shared" si="28"/>
        <v>261.13775510204084</v>
      </c>
      <c r="P240">
        <f t="shared" si="28"/>
        <v>256.10714285714283</v>
      </c>
      <c r="Q240">
        <f t="shared" si="28"/>
        <v>283.8112244897959</v>
      </c>
      <c r="R240">
        <f t="shared" si="28"/>
        <v>253.05000000000007</v>
      </c>
      <c r="S240">
        <f t="shared" si="28"/>
        <v>235.35714285714283</v>
      </c>
      <c r="T240">
        <f t="shared" si="28"/>
        <v>294.45204081632653</v>
      </c>
      <c r="U240">
        <f t="shared" si="28"/>
        <v>279.99591836734692</v>
      </c>
      <c r="V240">
        <f t="shared" si="28"/>
        <v>247.75714285714287</v>
      </c>
      <c r="W240">
        <f t="shared" si="28"/>
        <v>263.48571428571432</v>
      </c>
      <c r="Y240" s="8">
        <f t="shared" ref="Y240:Y268" si="29">SUM(D240:W240)</f>
        <v>5166.5618144132659</v>
      </c>
      <c r="Z240">
        <f t="shared" ref="Z240:Z264" si="30">SUMPRODUCT($D$270:$W$270,D240:W240)</f>
        <v>159.87103430297969</v>
      </c>
    </row>
    <row r="241" spans="1:26" x14ac:dyDescent="0.25">
      <c r="A241" t="s">
        <v>44</v>
      </c>
      <c r="D241">
        <f t="shared" ref="D241:W241" si="31">D3*D37</f>
        <v>340.49387755102043</v>
      </c>
      <c r="E241">
        <f t="shared" si="31"/>
        <v>332.62448979591835</v>
      </c>
      <c r="F241">
        <f t="shared" si="31"/>
        <v>320.19795918367339</v>
      </c>
      <c r="G241">
        <f t="shared" si="31"/>
        <v>282.69551020408164</v>
      </c>
      <c r="H241">
        <f t="shared" si="31"/>
        <v>277.63469387755106</v>
      </c>
      <c r="I241">
        <f t="shared" si="31"/>
        <v>293.33877551020407</v>
      </c>
      <c r="J241">
        <f t="shared" si="31"/>
        <v>265.31632653061229</v>
      </c>
      <c r="K241">
        <f t="shared" si="31"/>
        <v>277.37755102040813</v>
      </c>
      <c r="L241">
        <f t="shared" si="31"/>
        <v>276.61111111111109</v>
      </c>
      <c r="M241">
        <f t="shared" si="31"/>
        <v>259.59183673469391</v>
      </c>
      <c r="N241">
        <f t="shared" si="31"/>
        <v>256.5734693877551</v>
      </c>
      <c r="O241">
        <f t="shared" si="31"/>
        <v>273.72653061224491</v>
      </c>
      <c r="P241">
        <f t="shared" si="31"/>
        <v>300.23979591836741</v>
      </c>
      <c r="Q241">
        <f t="shared" si="31"/>
        <v>320.92346938775518</v>
      </c>
      <c r="R241">
        <f t="shared" si="31"/>
        <v>302.75816326530617</v>
      </c>
      <c r="S241">
        <f t="shared" si="31"/>
        <v>281.54591836734693</v>
      </c>
      <c r="T241">
        <f t="shared" si="31"/>
        <v>322.75918367346935</v>
      </c>
      <c r="U241">
        <f t="shared" si="31"/>
        <v>356.42448979591842</v>
      </c>
      <c r="V241">
        <f t="shared" si="31"/>
        <v>318.42346938775506</v>
      </c>
      <c r="W241">
        <f t="shared" si="31"/>
        <v>298.52653061224487</v>
      </c>
      <c r="Y241" s="8">
        <f t="shared" si="29"/>
        <v>5957.7831519274378</v>
      </c>
      <c r="Z241">
        <f t="shared" si="30"/>
        <v>196.16078761943652</v>
      </c>
    </row>
    <row r="242" spans="1:26" x14ac:dyDescent="0.25">
      <c r="A242" t="s">
        <v>45</v>
      </c>
      <c r="D242">
        <f t="shared" ref="D242:W242" si="32">D4*D38</f>
        <v>359.96326530612254</v>
      </c>
      <c r="E242">
        <f t="shared" si="32"/>
        <v>327.82142857142861</v>
      </c>
      <c r="F242">
        <f t="shared" si="32"/>
        <v>332.57142857142861</v>
      </c>
      <c r="G242">
        <f t="shared" si="32"/>
        <v>338.87551020408165</v>
      </c>
      <c r="H242">
        <f t="shared" si="32"/>
        <v>289.44489795918366</v>
      </c>
      <c r="I242">
        <f t="shared" si="32"/>
        <v>305.12857142857143</v>
      </c>
      <c r="J242">
        <f t="shared" si="32"/>
        <v>279.31428571428575</v>
      </c>
      <c r="K242">
        <f t="shared" si="32"/>
        <v>271.42857142857144</v>
      </c>
      <c r="L242">
        <f t="shared" si="32"/>
        <v>257.4296875</v>
      </c>
      <c r="M242">
        <f t="shared" si="32"/>
        <v>299.42551020408166</v>
      </c>
      <c r="N242">
        <f t="shared" si="32"/>
        <v>314.54285714285714</v>
      </c>
      <c r="O242">
        <f t="shared" si="32"/>
        <v>317.70000000000005</v>
      </c>
      <c r="P242">
        <f t="shared" si="32"/>
        <v>321.57755102040818</v>
      </c>
      <c r="Q242">
        <f t="shared" si="32"/>
        <v>280.82040816326531</v>
      </c>
      <c r="R242">
        <f t="shared" si="32"/>
        <v>214.8857142857143</v>
      </c>
      <c r="S242">
        <f t="shared" si="32"/>
        <v>213.33673469387756</v>
      </c>
      <c r="T242">
        <f t="shared" si="32"/>
        <v>288.11020408163262</v>
      </c>
      <c r="U242">
        <f t="shared" si="32"/>
        <v>233.0612244897959</v>
      </c>
      <c r="V242">
        <f t="shared" si="32"/>
        <v>346.66836734693885</v>
      </c>
      <c r="W242">
        <f t="shared" si="32"/>
        <v>334.88265306122452</v>
      </c>
      <c r="Y242" s="8">
        <f t="shared" si="29"/>
        <v>5926.9888711734684</v>
      </c>
      <c r="Z242">
        <f t="shared" si="30"/>
        <v>168.78836089598582</v>
      </c>
    </row>
    <row r="243" spans="1:26" x14ac:dyDescent="0.25">
      <c r="A243" t="s">
        <v>46</v>
      </c>
      <c r="D243">
        <f t="shared" ref="D243:W243" si="33">D5*D39</f>
        <v>317.1551020408163</v>
      </c>
      <c r="E243">
        <f t="shared" si="33"/>
        <v>333.73469387755097</v>
      </c>
      <c r="F243">
        <f t="shared" si="33"/>
        <v>326.22448979591837</v>
      </c>
      <c r="G243">
        <f t="shared" si="33"/>
        <v>289.11836734693878</v>
      </c>
      <c r="H243">
        <f t="shared" si="33"/>
        <v>307.88571428571424</v>
      </c>
      <c r="I243">
        <f t="shared" si="33"/>
        <v>299.92857142857144</v>
      </c>
      <c r="J243">
        <f t="shared" si="33"/>
        <v>290.0408163265306</v>
      </c>
      <c r="K243">
        <f t="shared" si="33"/>
        <v>290.6357142857143</v>
      </c>
      <c r="L243">
        <f t="shared" si="33"/>
        <v>248.14999999999998</v>
      </c>
      <c r="M243">
        <f t="shared" si="33"/>
        <v>205.8</v>
      </c>
      <c r="N243">
        <f t="shared" si="33"/>
        <v>244.24489795918367</v>
      </c>
      <c r="O243">
        <f t="shared" si="33"/>
        <v>254.97551020408162</v>
      </c>
      <c r="P243">
        <f t="shared" si="33"/>
        <v>327.404081632653</v>
      </c>
      <c r="Q243">
        <f t="shared" si="33"/>
        <v>286.21224489795912</v>
      </c>
      <c r="R243">
        <f t="shared" si="33"/>
        <v>292.51530612244898</v>
      </c>
      <c r="S243">
        <f t="shared" si="33"/>
        <v>250.53061224489795</v>
      </c>
      <c r="T243">
        <f t="shared" si="33"/>
        <v>298.78877551020406</v>
      </c>
      <c r="U243">
        <f t="shared" si="33"/>
        <v>256.64999999999998</v>
      </c>
      <c r="V243">
        <f t="shared" si="33"/>
        <v>320.77346938775503</v>
      </c>
      <c r="W243">
        <f t="shared" si="33"/>
        <v>330.71938775510205</v>
      </c>
      <c r="Y243" s="8">
        <f t="shared" si="29"/>
        <v>5771.487755102039</v>
      </c>
      <c r="Z243">
        <f t="shared" si="30"/>
        <v>187.92535392069976</v>
      </c>
    </row>
    <row r="244" spans="1:26" x14ac:dyDescent="0.25">
      <c r="A244" t="s">
        <v>47</v>
      </c>
      <c r="D244">
        <f t="shared" ref="D244:W244" si="34">D6*D40</f>
        <v>341.47959183673476</v>
      </c>
      <c r="E244">
        <f t="shared" si="34"/>
        <v>315.4775510204081</v>
      </c>
      <c r="F244">
        <f t="shared" si="34"/>
        <v>322.23673469387751</v>
      </c>
      <c r="G244">
        <f t="shared" si="34"/>
        <v>285.99999999999994</v>
      </c>
      <c r="H244">
        <f t="shared" si="34"/>
        <v>299.84693877551018</v>
      </c>
      <c r="I244">
        <f t="shared" si="34"/>
        <v>285.32653061224494</v>
      </c>
      <c r="J244">
        <f t="shared" si="34"/>
        <v>300.37959183673473</v>
      </c>
      <c r="K244">
        <f t="shared" si="34"/>
        <v>251.03571428571433</v>
      </c>
      <c r="L244">
        <f t="shared" si="34"/>
        <v>232.41428571428571</v>
      </c>
      <c r="M244">
        <f t="shared" si="34"/>
        <v>265.66530612244895</v>
      </c>
      <c r="N244">
        <f t="shared" si="34"/>
        <v>244.40204081632652</v>
      </c>
      <c r="O244">
        <f t="shared" si="34"/>
        <v>286.53061224489795</v>
      </c>
      <c r="P244">
        <f t="shared" si="34"/>
        <v>293.41836734693879</v>
      </c>
      <c r="Q244">
        <f t="shared" si="34"/>
        <v>164.40816326530609</v>
      </c>
      <c r="R244">
        <f t="shared" si="34"/>
        <v>247.32</v>
      </c>
      <c r="S244">
        <f t="shared" si="34"/>
        <v>275.54693877551011</v>
      </c>
      <c r="T244">
        <f t="shared" si="34"/>
        <v>277.14285714285717</v>
      </c>
      <c r="U244">
        <f t="shared" si="34"/>
        <v>329.53775510204082</v>
      </c>
      <c r="V244">
        <f t="shared" si="34"/>
        <v>297.98479591836735</v>
      </c>
      <c r="W244">
        <f t="shared" si="34"/>
        <v>303.93071428571432</v>
      </c>
      <c r="Y244" s="8">
        <f t="shared" si="29"/>
        <v>5620.0844897959169</v>
      </c>
      <c r="Z244">
        <f t="shared" si="30"/>
        <v>185.81664614660261</v>
      </c>
    </row>
    <row r="245" spans="1:26" x14ac:dyDescent="0.25">
      <c r="A245" t="s">
        <v>48</v>
      </c>
      <c r="D245">
        <f t="shared" ref="D245:W245" si="35">D7*D41</f>
        <v>349.06938775510207</v>
      </c>
      <c r="E245">
        <f t="shared" si="35"/>
        <v>346.4785714285714</v>
      </c>
      <c r="F245">
        <f t="shared" si="35"/>
        <v>333.86122448979586</v>
      </c>
      <c r="G245">
        <f t="shared" si="35"/>
        <v>291.52040816326524</v>
      </c>
      <c r="H245">
        <f t="shared" si="35"/>
        <v>318.04897959183683</v>
      </c>
      <c r="I245">
        <f t="shared" si="35"/>
        <v>256.8</v>
      </c>
      <c r="J245">
        <f t="shared" si="35"/>
        <v>299.86122448979597</v>
      </c>
      <c r="K245">
        <f t="shared" si="35"/>
        <v>286.46326530612242</v>
      </c>
      <c r="L245">
        <f t="shared" si="35"/>
        <v>278.29999999999995</v>
      </c>
      <c r="M245">
        <f t="shared" si="35"/>
        <v>250.83826530612242</v>
      </c>
      <c r="N245">
        <f t="shared" si="35"/>
        <v>222.23333333333335</v>
      </c>
      <c r="O245">
        <f t="shared" si="35"/>
        <v>256.86071428571427</v>
      </c>
      <c r="P245">
        <f t="shared" si="35"/>
        <v>279.71938775510199</v>
      </c>
      <c r="Q245">
        <f t="shared" si="35"/>
        <v>289.87959183673473</v>
      </c>
      <c r="R245">
        <f t="shared" si="35"/>
        <v>312.84693877551018</v>
      </c>
      <c r="S245">
        <f t="shared" si="35"/>
        <v>294.80510204081634</v>
      </c>
      <c r="T245">
        <f t="shared" si="35"/>
        <v>290.865306122449</v>
      </c>
      <c r="U245">
        <f t="shared" si="35"/>
        <v>266.46734693877551</v>
      </c>
      <c r="V245">
        <f t="shared" si="35"/>
        <v>311.93673469387755</v>
      </c>
      <c r="W245">
        <f t="shared" si="35"/>
        <v>320.00816326530611</v>
      </c>
      <c r="Y245" s="8">
        <f t="shared" si="29"/>
        <v>5856.8639455782322</v>
      </c>
      <c r="Z245">
        <f t="shared" si="30"/>
        <v>178.36139447046168</v>
      </c>
    </row>
    <row r="246" spans="1:26" x14ac:dyDescent="0.25">
      <c r="A246" t="s">
        <v>49</v>
      </c>
      <c r="D246">
        <f t="shared" ref="D246:W246" si="36">D8*D42</f>
        <v>315.71326530612237</v>
      </c>
      <c r="E246">
        <f t="shared" si="36"/>
        <v>306.48367346938772</v>
      </c>
      <c r="F246">
        <f t="shared" si="36"/>
        <v>185.12959183673468</v>
      </c>
      <c r="G246">
        <f t="shared" si="36"/>
        <v>296.99081632653065</v>
      </c>
      <c r="H246">
        <f t="shared" si="36"/>
        <v>282.33877551020407</v>
      </c>
      <c r="I246">
        <f t="shared" si="36"/>
        <v>280.8122448979592</v>
      </c>
      <c r="J246">
        <f t="shared" si="36"/>
        <v>279.56020408163266</v>
      </c>
      <c r="K246">
        <f t="shared" si="36"/>
        <v>253.42040816326531</v>
      </c>
      <c r="L246">
        <f t="shared" si="36"/>
        <v>248.68749999999997</v>
      </c>
      <c r="M246">
        <f t="shared" si="36"/>
        <v>226.91020408163266</v>
      </c>
      <c r="N246">
        <f t="shared" si="36"/>
        <v>181.71836734693875</v>
      </c>
      <c r="O246">
        <f t="shared" si="36"/>
        <v>234.97959183673467</v>
      </c>
      <c r="P246">
        <f t="shared" si="36"/>
        <v>279.57163265306122</v>
      </c>
      <c r="Q246">
        <f t="shared" si="36"/>
        <v>286.41632653061225</v>
      </c>
      <c r="R246">
        <f t="shared" si="36"/>
        <v>279.66122448979593</v>
      </c>
      <c r="S246">
        <f t="shared" si="36"/>
        <v>289.50204081632654</v>
      </c>
      <c r="T246">
        <f t="shared" si="36"/>
        <v>279.64285714285705</v>
      </c>
      <c r="U246">
        <f t="shared" si="36"/>
        <v>320.33571428571429</v>
      </c>
      <c r="V246">
        <f t="shared" si="36"/>
        <v>316.02040816326536</v>
      </c>
      <c r="W246">
        <f t="shared" si="36"/>
        <v>326.66530612244901</v>
      </c>
      <c r="Y246" s="8">
        <f t="shared" si="29"/>
        <v>5470.5601530612239</v>
      </c>
      <c r="Z246">
        <f t="shared" si="30"/>
        <v>187.6483550406104</v>
      </c>
    </row>
    <row r="247" spans="1:26" x14ac:dyDescent="0.25">
      <c r="A247" t="s">
        <v>50</v>
      </c>
      <c r="D247">
        <f t="shared" ref="D247:W247" si="37">D9*D43</f>
        <v>28.865306122448981</v>
      </c>
      <c r="E247">
        <f t="shared" si="37"/>
        <v>262.18163265306123</v>
      </c>
      <c r="F247">
        <f t="shared" si="37"/>
        <v>270.480612244898</v>
      </c>
      <c r="G247">
        <f t="shared" si="37"/>
        <v>264.74755102040814</v>
      </c>
      <c r="H247">
        <f t="shared" si="37"/>
        <v>239.39571428571426</v>
      </c>
      <c r="I247">
        <f t="shared" si="37"/>
        <v>259.90306122448987</v>
      </c>
      <c r="J247">
        <f t="shared" si="37"/>
        <v>251.79591836734693</v>
      </c>
      <c r="K247">
        <f t="shared" si="37"/>
        <v>226.65204081632652</v>
      </c>
      <c r="L247">
        <f t="shared" si="37"/>
        <v>234.69296874999995</v>
      </c>
      <c r="M247">
        <f t="shared" si="37"/>
        <v>242.15510204081627</v>
      </c>
      <c r="N247">
        <f t="shared" si="37"/>
        <v>131.08775510204083</v>
      </c>
      <c r="O247">
        <f t="shared" si="37"/>
        <v>191.81020408163266</v>
      </c>
      <c r="P247">
        <f t="shared" si="37"/>
        <v>244.75</v>
      </c>
      <c r="Q247">
        <f t="shared" si="37"/>
        <v>243.76224489795919</v>
      </c>
      <c r="R247">
        <f t="shared" si="37"/>
        <v>283.64999999999998</v>
      </c>
      <c r="S247">
        <f t="shared" si="37"/>
        <v>264.84183673469386</v>
      </c>
      <c r="T247">
        <f t="shared" si="37"/>
        <v>221.86122448979592</v>
      </c>
      <c r="U247">
        <f t="shared" si="37"/>
        <v>195.69428571428574</v>
      </c>
      <c r="V247">
        <f t="shared" si="37"/>
        <v>272.39795918367349</v>
      </c>
      <c r="W247">
        <f t="shared" si="37"/>
        <v>261.15306122448976</v>
      </c>
      <c r="Y247" s="8">
        <f t="shared" si="29"/>
        <v>4591.8784789540814</v>
      </c>
      <c r="Z247">
        <f t="shared" si="30"/>
        <v>190.42387647575072</v>
      </c>
    </row>
    <row r="248" spans="1:26" x14ac:dyDescent="0.25">
      <c r="A248" t="s">
        <v>51</v>
      </c>
      <c r="D248">
        <f t="shared" ref="D248:W248" si="38">D10*D44</f>
        <v>284.5010204081633</v>
      </c>
      <c r="E248">
        <f t="shared" si="38"/>
        <v>308.98163265306118</v>
      </c>
      <c r="F248">
        <f t="shared" si="38"/>
        <v>309.45306122448983</v>
      </c>
      <c r="G248">
        <f t="shared" si="38"/>
        <v>292.42857142857139</v>
      </c>
      <c r="H248">
        <f t="shared" si="38"/>
        <v>290.20408163265307</v>
      </c>
      <c r="I248">
        <f t="shared" si="38"/>
        <v>268.1551020408163</v>
      </c>
      <c r="J248">
        <f t="shared" si="38"/>
        <v>270.39795918367344</v>
      </c>
      <c r="K248">
        <f t="shared" si="38"/>
        <v>266.4469387755102</v>
      </c>
      <c r="L248">
        <f t="shared" si="38"/>
        <v>233.46421874999999</v>
      </c>
      <c r="M248">
        <f t="shared" si="38"/>
        <v>213.71020408163267</v>
      </c>
      <c r="N248">
        <f t="shared" si="38"/>
        <v>247.60102040816327</v>
      </c>
      <c r="O248">
        <f t="shared" si="38"/>
        <v>230.2295918367347</v>
      </c>
      <c r="P248">
        <f t="shared" si="38"/>
        <v>273.37142857142857</v>
      </c>
      <c r="Q248">
        <f t="shared" si="38"/>
        <v>268.11836734693873</v>
      </c>
      <c r="R248">
        <f t="shared" si="38"/>
        <v>279.70108288213248</v>
      </c>
      <c r="S248">
        <f t="shared" si="38"/>
        <v>295.07853275420962</v>
      </c>
      <c r="T248">
        <f t="shared" si="38"/>
        <v>303.24097637888968</v>
      </c>
      <c r="U248">
        <f t="shared" si="38"/>
        <v>310.05462061938471</v>
      </c>
      <c r="V248">
        <f t="shared" si="38"/>
        <v>266.72244897959189</v>
      </c>
      <c r="W248">
        <f t="shared" si="38"/>
        <v>278.22857142857146</v>
      </c>
      <c r="Y248" s="8">
        <f t="shared" si="29"/>
        <v>5490.0894313846165</v>
      </c>
      <c r="Z248">
        <f t="shared" si="30"/>
        <v>178.3053173517701</v>
      </c>
    </row>
    <row r="249" spans="1:26" x14ac:dyDescent="0.25">
      <c r="A249" t="s">
        <v>52</v>
      </c>
      <c r="D249">
        <f t="shared" ref="D249:W249" si="39">D11*D45</f>
        <v>292.29795918367347</v>
      </c>
      <c r="E249">
        <f t="shared" si="39"/>
        <v>296.2285714285714</v>
      </c>
      <c r="F249">
        <f t="shared" si="39"/>
        <v>278.69897959183675</v>
      </c>
      <c r="G249">
        <f t="shared" si="39"/>
        <v>270.47448979591837</v>
      </c>
      <c r="H249">
        <f t="shared" si="39"/>
        <v>272.5530612244898</v>
      </c>
      <c r="I249">
        <f t="shared" si="39"/>
        <v>245.72653061224494</v>
      </c>
      <c r="J249">
        <f t="shared" si="39"/>
        <v>271.07244897959191</v>
      </c>
      <c r="K249">
        <f t="shared" si="39"/>
        <v>253.7571428571429</v>
      </c>
      <c r="L249">
        <f t="shared" si="39"/>
        <v>229.54930555555555</v>
      </c>
      <c r="M249">
        <f t="shared" si="39"/>
        <v>267.43469387755101</v>
      </c>
      <c r="N249">
        <f t="shared" si="39"/>
        <v>206.57755102040821</v>
      </c>
      <c r="O249">
        <f t="shared" si="39"/>
        <v>236.14897959183676</v>
      </c>
      <c r="P249">
        <f t="shared" si="39"/>
        <v>250.64285714285714</v>
      </c>
      <c r="Q249">
        <f t="shared" si="39"/>
        <v>257.62448979591841</v>
      </c>
      <c r="R249">
        <f t="shared" si="39"/>
        <v>267.20612244897961</v>
      </c>
      <c r="S249">
        <f t="shared" si="39"/>
        <v>260.11224489795921</v>
      </c>
      <c r="T249">
        <f t="shared" si="39"/>
        <v>307.78571428571428</v>
      </c>
      <c r="U249">
        <f t="shared" si="39"/>
        <v>293.48571428571421</v>
      </c>
      <c r="V249">
        <f t="shared" si="39"/>
        <v>250.03061224489798</v>
      </c>
      <c r="W249">
        <f t="shared" si="39"/>
        <v>226.82857142857139</v>
      </c>
      <c r="Y249" s="8">
        <f t="shared" si="29"/>
        <v>5234.2360402494351</v>
      </c>
      <c r="Z249">
        <f t="shared" si="30"/>
        <v>145.97155041006533</v>
      </c>
    </row>
    <row r="250" spans="1:26" x14ac:dyDescent="0.25">
      <c r="A250" t="s">
        <v>53</v>
      </c>
      <c r="D250">
        <f t="shared" ref="D250:W250" si="40">D12*D46</f>
        <v>286.84285714285716</v>
      </c>
      <c r="E250">
        <f t="shared" si="40"/>
        <v>283.31734693877553</v>
      </c>
      <c r="F250">
        <f t="shared" si="40"/>
        <v>272.60306122448975</v>
      </c>
      <c r="G250">
        <f t="shared" si="40"/>
        <v>224.93877551020407</v>
      </c>
      <c r="H250">
        <f t="shared" si="40"/>
        <v>224.64285714285714</v>
      </c>
      <c r="I250">
        <f t="shared" si="40"/>
        <v>192.58571428571432</v>
      </c>
      <c r="J250">
        <f t="shared" si="40"/>
        <v>229.24897959183676</v>
      </c>
      <c r="K250">
        <f t="shared" si="40"/>
        <v>228.35918367346937</v>
      </c>
      <c r="L250">
        <f t="shared" si="40"/>
        <v>232.04062500000001</v>
      </c>
      <c r="M250">
        <f t="shared" si="40"/>
        <v>246</v>
      </c>
      <c r="N250">
        <f t="shared" si="40"/>
        <v>272.98775510204081</v>
      </c>
      <c r="O250">
        <f t="shared" si="40"/>
        <v>258.10714285714289</v>
      </c>
      <c r="P250">
        <f t="shared" si="40"/>
        <v>258.39999999999998</v>
      </c>
      <c r="Q250">
        <f t="shared" si="40"/>
        <v>251.26530612244898</v>
      </c>
      <c r="R250">
        <f t="shared" si="40"/>
        <v>310.5</v>
      </c>
      <c r="S250">
        <f t="shared" si="40"/>
        <v>269.15510204081636</v>
      </c>
      <c r="T250">
        <f t="shared" si="40"/>
        <v>263.66326530612247</v>
      </c>
      <c r="U250">
        <f t="shared" si="40"/>
        <v>301.78122448979593</v>
      </c>
      <c r="V250">
        <f t="shared" si="40"/>
        <v>289.16938775510204</v>
      </c>
      <c r="W250">
        <f t="shared" si="40"/>
        <v>285.78673469387758</v>
      </c>
      <c r="Y250" s="8">
        <f t="shared" si="29"/>
        <v>5181.3953188775522</v>
      </c>
      <c r="Z250">
        <f t="shared" si="30"/>
        <v>199.57355349908221</v>
      </c>
    </row>
    <row r="251" spans="1:26" x14ac:dyDescent="0.25">
      <c r="A251" t="s">
        <v>54</v>
      </c>
      <c r="D251">
        <f t="shared" ref="D251:W251" si="41">D13*D47</f>
        <v>269.56836734693883</v>
      </c>
      <c r="E251">
        <f t="shared" si="41"/>
        <v>304.61326530612246</v>
      </c>
      <c r="F251">
        <f t="shared" si="41"/>
        <v>264.48979591836735</v>
      </c>
      <c r="G251">
        <f t="shared" si="41"/>
        <v>286.8428571428571</v>
      </c>
      <c r="H251">
        <f t="shared" si="41"/>
        <v>253.54999999999995</v>
      </c>
      <c r="I251">
        <f t="shared" si="41"/>
        <v>290.51836734693876</v>
      </c>
      <c r="J251">
        <f t="shared" si="41"/>
        <v>267.82857142857142</v>
      </c>
      <c r="K251">
        <f t="shared" si="41"/>
        <v>268.35714285714283</v>
      </c>
      <c r="L251">
        <f t="shared" si="41"/>
        <v>268.75000000000006</v>
      </c>
      <c r="M251">
        <f t="shared" si="41"/>
        <v>236.86224489795913</v>
      </c>
      <c r="N251">
        <f t="shared" si="41"/>
        <v>258.60408163265299</v>
      </c>
      <c r="O251">
        <f t="shared" si="41"/>
        <v>271.0204081632653</v>
      </c>
      <c r="P251">
        <f t="shared" si="41"/>
        <v>293.28673469387752</v>
      </c>
      <c r="Q251">
        <f t="shared" si="41"/>
        <v>301.89387755102041</v>
      </c>
      <c r="R251">
        <f t="shared" si="41"/>
        <v>253.28469387755104</v>
      </c>
      <c r="S251">
        <f t="shared" si="41"/>
        <v>297.22244897959189</v>
      </c>
      <c r="T251">
        <f t="shared" si="41"/>
        <v>285.4285714285715</v>
      </c>
      <c r="U251">
        <f t="shared" si="41"/>
        <v>312.6887755102041</v>
      </c>
      <c r="V251">
        <f t="shared" si="41"/>
        <v>307.74183673469383</v>
      </c>
      <c r="W251">
        <f t="shared" si="41"/>
        <v>314.19489795918361</v>
      </c>
      <c r="Y251" s="8">
        <f t="shared" si="29"/>
        <v>5606.74693877551</v>
      </c>
      <c r="Z251">
        <f t="shared" si="30"/>
        <v>196.48722937065116</v>
      </c>
    </row>
    <row r="252" spans="1:26" x14ac:dyDescent="0.25">
      <c r="A252" t="s">
        <v>55</v>
      </c>
      <c r="D252">
        <f t="shared" ref="D252:W252" si="42">D14*D48</f>
        <v>297.11999999999995</v>
      </c>
      <c r="E252">
        <f t="shared" si="42"/>
        <v>300.1795918367348</v>
      </c>
      <c r="F252">
        <f t="shared" si="42"/>
        <v>309.72448979591837</v>
      </c>
      <c r="G252">
        <f t="shared" si="42"/>
        <v>267.24489795918373</v>
      </c>
      <c r="H252">
        <f t="shared" si="42"/>
        <v>291.21428571428567</v>
      </c>
      <c r="I252">
        <f t="shared" si="42"/>
        <v>263.35346938775513</v>
      </c>
      <c r="J252">
        <f t="shared" si="42"/>
        <v>382.72408163265317</v>
      </c>
      <c r="K252">
        <f t="shared" si="42"/>
        <v>249.7861224489796</v>
      </c>
      <c r="L252">
        <f t="shared" si="42"/>
        <v>254.1</v>
      </c>
      <c r="M252">
        <f t="shared" si="42"/>
        <v>256.0408163265306</v>
      </c>
      <c r="N252">
        <f t="shared" si="42"/>
        <v>245.63265306122449</v>
      </c>
      <c r="O252">
        <f t="shared" si="42"/>
        <v>277.40571428571428</v>
      </c>
      <c r="P252">
        <f t="shared" si="42"/>
        <v>227.03183673469385</v>
      </c>
      <c r="Q252">
        <f t="shared" si="42"/>
        <v>244.97877551020414</v>
      </c>
      <c r="R252">
        <f t="shared" si="42"/>
        <v>261.73412328196582</v>
      </c>
      <c r="S252">
        <f t="shared" si="42"/>
        <v>302.03087880049981</v>
      </c>
      <c r="T252">
        <f t="shared" si="42"/>
        <v>275.23148688046643</v>
      </c>
      <c r="U252">
        <f t="shared" si="42"/>
        <v>304.83001874219076</v>
      </c>
      <c r="V252">
        <f t="shared" si="42"/>
        <v>210.24000000000004</v>
      </c>
      <c r="W252">
        <f t="shared" si="42"/>
        <v>261.32571428571435</v>
      </c>
      <c r="Y252" s="8">
        <f t="shared" si="29"/>
        <v>5481.9289566847146</v>
      </c>
      <c r="Z252">
        <f t="shared" si="30"/>
        <v>119.55231440281325</v>
      </c>
    </row>
    <row r="253" spans="1:26" x14ac:dyDescent="0.25">
      <c r="A253" t="s">
        <v>56</v>
      </c>
      <c r="D253">
        <f t="shared" ref="D253:W253" si="43">D15*D49</f>
        <v>337.6775510204082</v>
      </c>
      <c r="E253">
        <f t="shared" si="43"/>
        <v>313.03714285714284</v>
      </c>
      <c r="F253">
        <f t="shared" si="43"/>
        <v>309.93387755102037</v>
      </c>
      <c r="G253">
        <f t="shared" si="43"/>
        <v>292.10000000000002</v>
      </c>
      <c r="H253">
        <f t="shared" si="43"/>
        <v>291.52653061224493</v>
      </c>
      <c r="I253">
        <f t="shared" si="43"/>
        <v>280.68571428571425</v>
      </c>
      <c r="J253">
        <f t="shared" si="43"/>
        <v>280.21102040816322</v>
      </c>
      <c r="K253">
        <f t="shared" si="43"/>
        <v>267.57428571428574</v>
      </c>
      <c r="L253">
        <f t="shared" si="43"/>
        <v>270.92333333333335</v>
      </c>
      <c r="M253">
        <f t="shared" si="43"/>
        <v>236.62653061224492</v>
      </c>
      <c r="N253">
        <f t="shared" si="43"/>
        <v>261.62938775510207</v>
      </c>
      <c r="O253">
        <f t="shared" si="43"/>
        <v>275.25755102040813</v>
      </c>
      <c r="P253">
        <f t="shared" si="43"/>
        <v>280.67265306122454</v>
      </c>
      <c r="Q253">
        <f t="shared" si="43"/>
        <v>278.13061224489797</v>
      </c>
      <c r="R253">
        <f t="shared" si="43"/>
        <v>289.44326530612238</v>
      </c>
      <c r="S253">
        <f t="shared" si="43"/>
        <v>292.60244897959188</v>
      </c>
      <c r="T253">
        <f t="shared" si="43"/>
        <v>316.22000000000003</v>
      </c>
      <c r="U253">
        <f t="shared" si="43"/>
        <v>309.32653061224488</v>
      </c>
      <c r="V253">
        <f t="shared" si="43"/>
        <v>330.09918367346938</v>
      </c>
      <c r="W253">
        <f t="shared" si="43"/>
        <v>306.72326530612247</v>
      </c>
      <c r="Y253" s="8">
        <f t="shared" si="29"/>
        <v>5820.4008843537422</v>
      </c>
      <c r="Z253">
        <f t="shared" si="30"/>
        <v>191.3882622148021</v>
      </c>
    </row>
    <row r="254" spans="1:26" x14ac:dyDescent="0.25">
      <c r="A254" t="s">
        <v>57</v>
      </c>
      <c r="D254">
        <f t="shared" ref="D254:W254" si="44">D16*D50</f>
        <v>329.26857142857142</v>
      </c>
      <c r="E254">
        <f t="shared" si="44"/>
        <v>307.425306122449</v>
      </c>
      <c r="F254">
        <f t="shared" si="44"/>
        <v>298.0612244897959</v>
      </c>
      <c r="G254">
        <f t="shared" si="44"/>
        <v>296.8236734693877</v>
      </c>
      <c r="H254">
        <f t="shared" si="44"/>
        <v>266.85306122448981</v>
      </c>
      <c r="I254">
        <f t="shared" si="44"/>
        <v>265.94693877551015</v>
      </c>
      <c r="J254">
        <f t="shared" si="44"/>
        <v>253.03673469387752</v>
      </c>
      <c r="K254">
        <f t="shared" si="44"/>
        <v>262.32244897959185</v>
      </c>
      <c r="L254">
        <f t="shared" si="44"/>
        <v>227.61388888888888</v>
      </c>
      <c r="M254">
        <f t="shared" si="44"/>
        <v>234.33510204081628</v>
      </c>
      <c r="N254">
        <f t="shared" si="44"/>
        <v>253.92000000000002</v>
      </c>
      <c r="O254">
        <f t="shared" si="44"/>
        <v>205.66530612244898</v>
      </c>
      <c r="P254">
        <f t="shared" si="44"/>
        <v>234.26693877551017</v>
      </c>
      <c r="Q254">
        <f t="shared" si="44"/>
        <v>257.20081632653063</v>
      </c>
      <c r="R254">
        <f t="shared" si="44"/>
        <v>207.54734693877552</v>
      </c>
      <c r="S254">
        <f t="shared" si="44"/>
        <v>309.7</v>
      </c>
      <c r="T254">
        <f t="shared" si="44"/>
        <v>321.9412244897959</v>
      </c>
      <c r="U254">
        <f t="shared" si="44"/>
        <v>315.38857142857154</v>
      </c>
      <c r="V254">
        <f t="shared" si="44"/>
        <v>304.51591836734696</v>
      </c>
      <c r="W254">
        <f t="shared" si="44"/>
        <v>242.26122448979592</v>
      </c>
      <c r="Y254" s="8">
        <f t="shared" si="29"/>
        <v>5394.0942970521537</v>
      </c>
      <c r="Z254">
        <f t="shared" si="30"/>
        <v>170.2319696916019</v>
      </c>
    </row>
    <row r="255" spans="1:26" x14ac:dyDescent="0.25">
      <c r="A255" t="s">
        <v>58</v>
      </c>
      <c r="D255">
        <f t="shared" ref="D255:W255" si="45">D17*D51</f>
        <v>306.95142857142861</v>
      </c>
      <c r="E255">
        <f t="shared" si="45"/>
        <v>275.08979591836732</v>
      </c>
      <c r="F255">
        <f t="shared" si="45"/>
        <v>276.01795918367344</v>
      </c>
      <c r="G255">
        <f t="shared" si="45"/>
        <v>223.81714285714284</v>
      </c>
      <c r="H255">
        <f t="shared" si="45"/>
        <v>268.02367346938769</v>
      </c>
      <c r="I255">
        <f t="shared" si="45"/>
        <v>269.59142857142859</v>
      </c>
      <c r="J255">
        <f t="shared" si="45"/>
        <v>279.10285714285709</v>
      </c>
      <c r="K255">
        <f t="shared" si="45"/>
        <v>272.23510204081629</v>
      </c>
      <c r="L255">
        <f t="shared" si="45"/>
        <v>229.65250000000003</v>
      </c>
      <c r="M255">
        <f t="shared" si="45"/>
        <v>239.26530612244898</v>
      </c>
      <c r="N255">
        <f t="shared" si="45"/>
        <v>272.66612244897954</v>
      </c>
      <c r="O255">
        <f t="shared" si="45"/>
        <v>269.3281632653061</v>
      </c>
      <c r="P255">
        <f t="shared" si="45"/>
        <v>270.10571428571427</v>
      </c>
      <c r="Q255">
        <f t="shared" si="45"/>
        <v>226.66530612244904</v>
      </c>
      <c r="R255">
        <f t="shared" si="45"/>
        <v>273.16571428571433</v>
      </c>
      <c r="S255">
        <f t="shared" si="45"/>
        <v>230.6685714285714</v>
      </c>
      <c r="T255">
        <f t="shared" si="45"/>
        <v>259.78775510204076</v>
      </c>
      <c r="U255">
        <f t="shared" si="45"/>
        <v>302.59428571428577</v>
      </c>
      <c r="V255">
        <f t="shared" si="45"/>
        <v>332.95224489795913</v>
      </c>
      <c r="W255">
        <f t="shared" si="45"/>
        <v>307.13265306122446</v>
      </c>
      <c r="Y255" s="8">
        <f t="shared" si="29"/>
        <v>5384.8137244897953</v>
      </c>
      <c r="Z255">
        <f t="shared" si="30"/>
        <v>190.09137800208094</v>
      </c>
    </row>
    <row r="256" spans="1:26" x14ac:dyDescent="0.25">
      <c r="A256" t="s">
        <v>59</v>
      </c>
      <c r="D256">
        <f t="shared" ref="D256:W256" si="46">D18*D52</f>
        <v>307.85492711370267</v>
      </c>
      <c r="E256">
        <f t="shared" si="46"/>
        <v>320.45084548104956</v>
      </c>
      <c r="F256">
        <f t="shared" si="46"/>
        <v>292.90495626822155</v>
      </c>
      <c r="G256">
        <f t="shared" si="46"/>
        <v>258.06673469387755</v>
      </c>
      <c r="H256">
        <f t="shared" si="46"/>
        <v>279.88571428571424</v>
      </c>
      <c r="I256">
        <f t="shared" si="46"/>
        <v>273.6425072886297</v>
      </c>
      <c r="J256">
        <f t="shared" si="46"/>
        <v>258.80583090379014</v>
      </c>
      <c r="K256">
        <f t="shared" si="46"/>
        <v>262.31385422740522</v>
      </c>
      <c r="L256">
        <f t="shared" si="46"/>
        <v>231.07566893424035</v>
      </c>
      <c r="M256">
        <f t="shared" si="46"/>
        <v>231.22816326530616</v>
      </c>
      <c r="N256">
        <f t="shared" si="46"/>
        <v>232.2439067055393</v>
      </c>
      <c r="O256">
        <f t="shared" si="46"/>
        <v>226.24897959183673</v>
      </c>
      <c r="P256">
        <f t="shared" si="46"/>
        <v>283.22274052478139</v>
      </c>
      <c r="Q256">
        <f t="shared" si="46"/>
        <v>281.42874635568512</v>
      </c>
      <c r="R256">
        <f t="shared" si="46"/>
        <v>298.12478134110791</v>
      </c>
      <c r="S256">
        <f t="shared" si="46"/>
        <v>307.02227405247811</v>
      </c>
      <c r="T256">
        <f t="shared" si="46"/>
        <v>307.87950437317784</v>
      </c>
      <c r="U256">
        <f t="shared" si="46"/>
        <v>325.71936953352764</v>
      </c>
      <c r="V256">
        <f t="shared" si="46"/>
        <v>314.06483965014581</v>
      </c>
      <c r="W256">
        <f t="shared" si="46"/>
        <v>334.06071428571437</v>
      </c>
      <c r="Y256" s="8">
        <f t="shared" si="29"/>
        <v>5626.2450588759302</v>
      </c>
      <c r="Z256">
        <f t="shared" si="30"/>
        <v>210.63700546505152</v>
      </c>
    </row>
    <row r="257" spans="1:26" x14ac:dyDescent="0.25">
      <c r="A257" t="s">
        <v>60</v>
      </c>
      <c r="D257">
        <f t="shared" ref="D257:W257" si="47">D19*D53</f>
        <v>259.08139941690956</v>
      </c>
      <c r="E257">
        <f t="shared" si="47"/>
        <v>235.03020408163263</v>
      </c>
      <c r="F257">
        <f t="shared" si="47"/>
        <v>279.50991253644315</v>
      </c>
      <c r="G257">
        <f t="shared" si="47"/>
        <v>274.88755102040813</v>
      </c>
      <c r="H257">
        <f t="shared" si="47"/>
        <v>277.22857142857134</v>
      </c>
      <c r="I257">
        <f t="shared" si="47"/>
        <v>235.79370262390668</v>
      </c>
      <c r="J257">
        <f t="shared" si="47"/>
        <v>234.7613702623907</v>
      </c>
      <c r="K257">
        <f t="shared" si="47"/>
        <v>272.73692128279879</v>
      </c>
      <c r="L257">
        <f t="shared" si="47"/>
        <v>215.08826530612248</v>
      </c>
      <c r="M257">
        <f t="shared" si="47"/>
        <v>240.66612244897959</v>
      </c>
      <c r="N257">
        <f t="shared" si="47"/>
        <v>265.28326530612242</v>
      </c>
      <c r="O257">
        <f t="shared" si="47"/>
        <v>239.75510204081633</v>
      </c>
      <c r="P257">
        <f t="shared" si="47"/>
        <v>171.48857142857142</v>
      </c>
      <c r="Q257">
        <f t="shared" si="47"/>
        <v>255.22775510204085</v>
      </c>
      <c r="R257">
        <f t="shared" si="47"/>
        <v>258.2853061224489</v>
      </c>
      <c r="S257">
        <f t="shared" si="47"/>
        <v>266.90326530612242</v>
      </c>
      <c r="T257">
        <f t="shared" si="47"/>
        <v>290.15632653061215</v>
      </c>
      <c r="U257">
        <f t="shared" si="47"/>
        <v>299.48979591836729</v>
      </c>
      <c r="V257">
        <f t="shared" si="47"/>
        <v>288.17142857142858</v>
      </c>
      <c r="W257">
        <f t="shared" si="47"/>
        <v>339.30877551020416</v>
      </c>
      <c r="Y257" s="8">
        <f t="shared" si="29"/>
        <v>5198.8536122448977</v>
      </c>
      <c r="Z257">
        <f t="shared" si="30"/>
        <v>189.73781266312295</v>
      </c>
    </row>
    <row r="258" spans="1:26" x14ac:dyDescent="0.25">
      <c r="A258" t="s">
        <v>61</v>
      </c>
      <c r="D258">
        <f t="shared" ref="D258:W258" si="48">D20*D54</f>
        <v>312.22040816326529</v>
      </c>
      <c r="E258">
        <f t="shared" si="48"/>
        <v>298.05224489795921</v>
      </c>
      <c r="F258">
        <f t="shared" si="48"/>
        <v>314.60204081632651</v>
      </c>
      <c r="G258">
        <f t="shared" si="48"/>
        <v>290.45714285714286</v>
      </c>
      <c r="H258">
        <f t="shared" si="48"/>
        <v>275.81714285714276</v>
      </c>
      <c r="I258">
        <f t="shared" si="48"/>
        <v>247.42367346938781</v>
      </c>
      <c r="J258">
        <f t="shared" si="48"/>
        <v>265.40408163265306</v>
      </c>
      <c r="K258">
        <f t="shared" si="48"/>
        <v>254.43714285714285</v>
      </c>
      <c r="L258">
        <f t="shared" si="48"/>
        <v>218.93531250000007</v>
      </c>
      <c r="M258">
        <f t="shared" si="48"/>
        <v>244.01428571428568</v>
      </c>
      <c r="N258">
        <f t="shared" si="48"/>
        <v>270.43387755102037</v>
      </c>
      <c r="O258">
        <f t="shared" si="48"/>
        <v>251.24285714285713</v>
      </c>
      <c r="P258">
        <f t="shared" si="48"/>
        <v>274.51836734693876</v>
      </c>
      <c r="Q258">
        <f t="shared" si="48"/>
        <v>241.75306122448978</v>
      </c>
      <c r="R258">
        <f t="shared" si="48"/>
        <v>294.86000000000007</v>
      </c>
      <c r="S258">
        <f t="shared" si="48"/>
        <v>310.82857142857148</v>
      </c>
      <c r="T258">
        <f t="shared" si="48"/>
        <v>330.70714285714286</v>
      </c>
      <c r="U258">
        <f t="shared" si="48"/>
        <v>339.27673469387747</v>
      </c>
      <c r="V258">
        <f t="shared" si="48"/>
        <v>257.18693877551016</v>
      </c>
      <c r="W258">
        <f t="shared" si="48"/>
        <v>283.83673469387753</v>
      </c>
      <c r="Y258" s="8">
        <f t="shared" si="29"/>
        <v>5576.0077614795919</v>
      </c>
      <c r="Z258">
        <f t="shared" si="30"/>
        <v>189.59542412747402</v>
      </c>
    </row>
    <row r="259" spans="1:26" x14ac:dyDescent="0.25">
      <c r="A259" t="s">
        <v>62</v>
      </c>
      <c r="D259">
        <f t="shared" ref="D259:W259" si="49">D21*D55</f>
        <v>261.28571428571428</v>
      </c>
      <c r="E259">
        <f t="shared" si="49"/>
        <v>464.83265306122456</v>
      </c>
      <c r="F259">
        <f t="shared" si="49"/>
        <v>248.93877551020407</v>
      </c>
      <c r="G259">
        <f t="shared" si="49"/>
        <v>246.42857142857142</v>
      </c>
      <c r="H259">
        <f t="shared" si="49"/>
        <v>255.10591836734696</v>
      </c>
      <c r="I259">
        <f t="shared" si="49"/>
        <v>205.2</v>
      </c>
      <c r="J259">
        <f t="shared" si="49"/>
        <v>261.13775510204079</v>
      </c>
      <c r="K259">
        <f t="shared" si="49"/>
        <v>262.94387755102042</v>
      </c>
      <c r="L259">
        <f t="shared" si="49"/>
        <v>229.5661224489796</v>
      </c>
      <c r="M259">
        <f t="shared" si="49"/>
        <v>216.72000000000003</v>
      </c>
      <c r="N259">
        <f t="shared" si="49"/>
        <v>253.86122448979586</v>
      </c>
      <c r="O259">
        <f t="shared" si="49"/>
        <v>258.27551020408163</v>
      </c>
      <c r="P259">
        <f t="shared" si="49"/>
        <v>240.49285714285716</v>
      </c>
      <c r="Q259">
        <f t="shared" si="49"/>
        <v>281.69387755102042</v>
      </c>
      <c r="R259">
        <f t="shared" si="49"/>
        <v>232.03571428571422</v>
      </c>
      <c r="S259">
        <f t="shared" si="49"/>
        <v>310.60714285714289</v>
      </c>
      <c r="T259">
        <f t="shared" si="49"/>
        <v>317.38775510204079</v>
      </c>
      <c r="U259">
        <f t="shared" si="49"/>
        <v>331.769387755102</v>
      </c>
      <c r="V259">
        <f t="shared" si="49"/>
        <v>323.14285714285717</v>
      </c>
      <c r="W259">
        <f t="shared" si="49"/>
        <v>342.6397959183675</v>
      </c>
      <c r="Y259" s="8">
        <f t="shared" si="29"/>
        <v>5544.065510204081</v>
      </c>
      <c r="Z259">
        <f t="shared" si="30"/>
        <v>234.30610863301038</v>
      </c>
    </row>
    <row r="260" spans="1:26" x14ac:dyDescent="0.25">
      <c r="A260" t="s">
        <v>63</v>
      </c>
      <c r="D260">
        <f t="shared" ref="D260:W260" si="50">D22*D56</f>
        <v>266.79183673469385</v>
      </c>
      <c r="E260">
        <f t="shared" si="50"/>
        <v>272.56632653061217</v>
      </c>
      <c r="F260">
        <f t="shared" si="50"/>
        <v>257.01530612244898</v>
      </c>
      <c r="G260">
        <f t="shared" si="50"/>
        <v>266.3857142857143</v>
      </c>
      <c r="H260">
        <f t="shared" si="50"/>
        <v>257.65306122448982</v>
      </c>
      <c r="I260">
        <f t="shared" si="50"/>
        <v>200.43367346938774</v>
      </c>
      <c r="J260">
        <f t="shared" si="50"/>
        <v>229.95816326530613</v>
      </c>
      <c r="K260">
        <f t="shared" si="50"/>
        <v>256.02857142857147</v>
      </c>
      <c r="L260">
        <f t="shared" si="50"/>
        <v>207.74531250000004</v>
      </c>
      <c r="M260">
        <f t="shared" si="50"/>
        <v>210.08571428571426</v>
      </c>
      <c r="N260">
        <f t="shared" si="50"/>
        <v>201.19428571428574</v>
      </c>
      <c r="O260">
        <f t="shared" si="50"/>
        <v>219.67346938775506</v>
      </c>
      <c r="P260">
        <f t="shared" si="50"/>
        <v>243.33061224489791</v>
      </c>
      <c r="Q260">
        <f t="shared" si="50"/>
        <v>211.58163265306121</v>
      </c>
      <c r="R260">
        <f t="shared" si="50"/>
        <v>254.89387755102035</v>
      </c>
      <c r="S260">
        <f t="shared" si="50"/>
        <v>322.83346938775503</v>
      </c>
      <c r="T260">
        <f t="shared" si="50"/>
        <v>296.53571428571428</v>
      </c>
      <c r="U260">
        <f t="shared" si="50"/>
        <v>328.71484375</v>
      </c>
      <c r="V260">
        <f t="shared" si="50"/>
        <v>285.85102040816327</v>
      </c>
      <c r="W260">
        <f t="shared" si="50"/>
        <v>259.40204081632652</v>
      </c>
      <c r="Y260" s="8">
        <f t="shared" si="29"/>
        <v>5048.674646045919</v>
      </c>
      <c r="Z260">
        <f t="shared" si="30"/>
        <v>207.27474339001986</v>
      </c>
    </row>
    <row r="261" spans="1:26" x14ac:dyDescent="0.25">
      <c r="A261" t="s">
        <v>64</v>
      </c>
      <c r="D261">
        <f t="shared" ref="D261:W261" si="51">D23*D57</f>
        <v>311.05306122448985</v>
      </c>
      <c r="E261">
        <f t="shared" si="51"/>
        <v>294.02448979591833</v>
      </c>
      <c r="F261">
        <f t="shared" si="51"/>
        <v>263.42857142857144</v>
      </c>
      <c r="G261">
        <f t="shared" si="51"/>
        <v>254.05714285714285</v>
      </c>
      <c r="H261">
        <f t="shared" si="51"/>
        <v>246.30040816326533</v>
      </c>
      <c r="I261">
        <f t="shared" si="51"/>
        <v>220.83795918367346</v>
      </c>
      <c r="J261">
        <f t="shared" si="51"/>
        <v>218.50959183673464</v>
      </c>
      <c r="K261">
        <f t="shared" si="51"/>
        <v>268.45</v>
      </c>
      <c r="L261">
        <f t="shared" si="51"/>
        <v>4.8445312500000028</v>
      </c>
      <c r="M261">
        <f t="shared" si="51"/>
        <v>271.01755102040818</v>
      </c>
      <c r="N261">
        <f t="shared" si="51"/>
        <v>257.43673469387755</v>
      </c>
      <c r="O261">
        <f t="shared" si="51"/>
        <v>121.01224489795918</v>
      </c>
      <c r="P261">
        <f t="shared" si="51"/>
        <v>196.55204081632655</v>
      </c>
      <c r="Q261">
        <f t="shared" si="51"/>
        <v>308.17959183673474</v>
      </c>
      <c r="R261">
        <f t="shared" si="51"/>
        <v>305.57551020408164</v>
      </c>
      <c r="S261">
        <f t="shared" si="51"/>
        <v>312.64673469387753</v>
      </c>
      <c r="T261">
        <f t="shared" si="51"/>
        <v>281.88775510204084</v>
      </c>
      <c r="U261">
        <f t="shared" si="51"/>
        <v>318.26326530612243</v>
      </c>
      <c r="V261">
        <f t="shared" si="51"/>
        <v>379.12408163265309</v>
      </c>
      <c r="W261">
        <f t="shared" si="51"/>
        <v>351.15408163265306</v>
      </c>
      <c r="Y261" s="8">
        <f t="shared" si="29"/>
        <v>5184.3553475765302</v>
      </c>
      <c r="Z261">
        <f t="shared" si="30"/>
        <v>240.53345221881295</v>
      </c>
    </row>
    <row r="262" spans="1:26" x14ac:dyDescent="0.25">
      <c r="A262" t="s">
        <v>65</v>
      </c>
      <c r="D262">
        <f t="shared" ref="D262:W262" si="52">D24*D58</f>
        <v>293.54081632653055</v>
      </c>
      <c r="E262">
        <f t="shared" si="52"/>
        <v>240.32653061224494</v>
      </c>
      <c r="F262">
        <f t="shared" si="52"/>
        <v>154.08979591836737</v>
      </c>
      <c r="G262">
        <f t="shared" si="52"/>
        <v>276.40244897959184</v>
      </c>
      <c r="H262">
        <f t="shared" si="52"/>
        <v>267.3112244897959</v>
      </c>
      <c r="I262">
        <f t="shared" si="52"/>
        <v>221.05142857142857</v>
      </c>
      <c r="J262">
        <f t="shared" si="52"/>
        <v>151.01428571428573</v>
      </c>
      <c r="K262">
        <f t="shared" si="52"/>
        <v>197.51428571428573</v>
      </c>
      <c r="L262">
        <f t="shared" si="52"/>
        <v>264.74625000000003</v>
      </c>
      <c r="M262">
        <f t="shared" si="52"/>
        <v>245.65358070500929</v>
      </c>
      <c r="N262">
        <f t="shared" si="52"/>
        <v>251.05649350649347</v>
      </c>
      <c r="O262">
        <f t="shared" si="52"/>
        <v>237.07198515769943</v>
      </c>
      <c r="P262">
        <f t="shared" si="52"/>
        <v>251.35499999999996</v>
      </c>
      <c r="Q262">
        <f t="shared" si="52"/>
        <v>277.95528756957327</v>
      </c>
      <c r="R262">
        <f t="shared" si="52"/>
        <v>270.0463821892393</v>
      </c>
      <c r="S262">
        <f t="shared" si="52"/>
        <v>285.89387755102041</v>
      </c>
      <c r="T262">
        <f t="shared" si="52"/>
        <v>286.01326530612243</v>
      </c>
      <c r="U262">
        <f t="shared" si="52"/>
        <v>291.25737476808905</v>
      </c>
      <c r="V262">
        <f t="shared" si="52"/>
        <v>294.01938775510206</v>
      </c>
      <c r="W262">
        <f t="shared" si="52"/>
        <v>326.40857142857146</v>
      </c>
      <c r="Y262" s="8">
        <f t="shared" si="29"/>
        <v>5082.7282722634509</v>
      </c>
      <c r="Z262">
        <f t="shared" si="30"/>
        <v>193.67848123696803</v>
      </c>
    </row>
    <row r="263" spans="1:26" x14ac:dyDescent="0.25">
      <c r="A263" t="s">
        <v>66</v>
      </c>
      <c r="D263">
        <f t="shared" ref="D263:W263" si="53">D25*D59</f>
        <v>240.68571428571425</v>
      </c>
      <c r="E263">
        <f t="shared" si="53"/>
        <v>231.17142857142855</v>
      </c>
      <c r="F263">
        <f t="shared" si="53"/>
        <v>221.65714285714284</v>
      </c>
      <c r="G263">
        <f t="shared" si="53"/>
        <v>198.4</v>
      </c>
      <c r="H263">
        <f t="shared" si="53"/>
        <v>272.90306122448976</v>
      </c>
      <c r="I263">
        <f t="shared" si="53"/>
        <v>267.04285714285714</v>
      </c>
      <c r="J263">
        <f t="shared" si="53"/>
        <v>270.76530612244898</v>
      </c>
      <c r="K263">
        <f t="shared" si="53"/>
        <v>296.10114285714286</v>
      </c>
      <c r="L263">
        <f t="shared" si="53"/>
        <v>278.15156249999995</v>
      </c>
      <c r="M263">
        <f t="shared" si="53"/>
        <v>282.18183673469383</v>
      </c>
      <c r="N263">
        <f t="shared" si="53"/>
        <v>274.96285714285722</v>
      </c>
      <c r="O263">
        <f t="shared" si="53"/>
        <v>271.34326530612248</v>
      </c>
      <c r="P263">
        <f t="shared" si="53"/>
        <v>295.82938775510206</v>
      </c>
      <c r="Q263">
        <f t="shared" si="53"/>
        <v>276.46530612244902</v>
      </c>
      <c r="R263">
        <f t="shared" si="53"/>
        <v>247.64408163265296</v>
      </c>
      <c r="S263">
        <f t="shared" si="53"/>
        <v>257.75428571428569</v>
      </c>
      <c r="T263">
        <f t="shared" si="53"/>
        <v>298.68122448979591</v>
      </c>
      <c r="U263">
        <f t="shared" si="53"/>
        <v>304.57142857142856</v>
      </c>
      <c r="V263">
        <f t="shared" si="53"/>
        <v>324.47142857142853</v>
      </c>
      <c r="W263">
        <f t="shared" si="53"/>
        <v>277.79387755102192</v>
      </c>
      <c r="Y263" s="8">
        <f t="shared" si="29"/>
        <v>5388.5771951530614</v>
      </c>
      <c r="Z263">
        <f t="shared" si="30"/>
        <v>184.85227531698573</v>
      </c>
    </row>
    <row r="264" spans="1:26" x14ac:dyDescent="0.25">
      <c r="A264" t="s">
        <v>67</v>
      </c>
      <c r="D264">
        <f t="shared" ref="D264:W264" si="54">D26*D60</f>
        <v>175.47040816326529</v>
      </c>
      <c r="E264">
        <f t="shared" si="54"/>
        <v>142.16326530612244</v>
      </c>
      <c r="F264">
        <f t="shared" si="54"/>
        <v>140.50408163265305</v>
      </c>
      <c r="G264">
        <f t="shared" si="54"/>
        <v>128.70000000000002</v>
      </c>
      <c r="H264">
        <f t="shared" si="54"/>
        <v>267.31122448979585</v>
      </c>
      <c r="I264">
        <f t="shared" si="54"/>
        <v>310.00000000000006</v>
      </c>
      <c r="J264">
        <f t="shared" si="54"/>
        <v>284.95612244897961</v>
      </c>
      <c r="K264">
        <f t="shared" si="54"/>
        <v>260.63265306122463</v>
      </c>
      <c r="L264">
        <f t="shared" si="54"/>
        <v>226.22040816326515</v>
      </c>
      <c r="M264">
        <f t="shared" si="54"/>
        <v>250.88915500084329</v>
      </c>
      <c r="N264">
        <f t="shared" si="54"/>
        <v>248.90909090909091</v>
      </c>
      <c r="O264">
        <f t="shared" si="54"/>
        <v>228.59215719345588</v>
      </c>
      <c r="P264">
        <f t="shared" si="54"/>
        <v>234.38031371226171</v>
      </c>
      <c r="Q264">
        <f t="shared" si="54"/>
        <v>254.69485579355717</v>
      </c>
      <c r="R264">
        <f t="shared" si="54"/>
        <v>281.10918367346937</v>
      </c>
      <c r="S264">
        <f t="shared" si="54"/>
        <v>268.57142857142861</v>
      </c>
      <c r="T264">
        <f t="shared" si="54"/>
        <v>278.67755102040815</v>
      </c>
      <c r="U264">
        <f t="shared" si="54"/>
        <v>294.02551020408163</v>
      </c>
      <c r="V264">
        <f t="shared" si="54"/>
        <v>285.30000000000007</v>
      </c>
      <c r="W264">
        <f t="shared" si="54"/>
        <v>330.0224489795919</v>
      </c>
      <c r="Y264" s="8">
        <f t="shared" si="29"/>
        <v>4891.1298583234948</v>
      </c>
      <c r="Z264">
        <f t="shared" si="30"/>
        <v>171.72429698171049</v>
      </c>
    </row>
    <row r="265" spans="1:26" x14ac:dyDescent="0.25">
      <c r="Y265" s="8"/>
    </row>
    <row r="266" spans="1:26" x14ac:dyDescent="0.25">
      <c r="A266" t="s">
        <v>68</v>
      </c>
      <c r="D266">
        <f t="shared" ref="D266:W266" si="55">D28*D62</f>
        <v>292.42040816326534</v>
      </c>
      <c r="E266">
        <f t="shared" si="55"/>
        <v>258.11020408163267</v>
      </c>
      <c r="F266">
        <f t="shared" si="55"/>
        <v>285.15918367346933</v>
      </c>
      <c r="G266">
        <f t="shared" si="55"/>
        <v>283.39999999999998</v>
      </c>
      <c r="H266">
        <f t="shared" si="55"/>
        <v>273.79591836734699</v>
      </c>
      <c r="I266">
        <f t="shared" si="55"/>
        <v>234.49795918367343</v>
      </c>
      <c r="J266">
        <f t="shared" si="55"/>
        <v>246.82959183673472</v>
      </c>
      <c r="K266">
        <f t="shared" si="55"/>
        <v>238.6152040816327</v>
      </c>
      <c r="L266">
        <f t="shared" si="55"/>
        <v>262.78927083333332</v>
      </c>
      <c r="M266">
        <f t="shared" si="55"/>
        <v>240.63902491988526</v>
      </c>
      <c r="N266">
        <f t="shared" si="55"/>
        <v>254.7402770582849</v>
      </c>
      <c r="O266">
        <f t="shared" si="55"/>
        <v>231.30351589968473</v>
      </c>
      <c r="P266">
        <f t="shared" si="55"/>
        <v>241.47227903497244</v>
      </c>
      <c r="Q266">
        <f t="shared" si="55"/>
        <v>266.74673365595447</v>
      </c>
      <c r="R266">
        <f t="shared" si="55"/>
        <v>271.82507504157644</v>
      </c>
      <c r="S266">
        <f t="shared" si="55"/>
        <v>296.4797411335021</v>
      </c>
      <c r="T266">
        <f t="shared" si="55"/>
        <v>302.08243741681059</v>
      </c>
      <c r="U266">
        <f t="shared" si="55"/>
        <v>319.13519324038748</v>
      </c>
      <c r="V266">
        <f t="shared" si="55"/>
        <v>298.58702259475223</v>
      </c>
      <c r="W266">
        <f t="shared" si="55"/>
        <v>315.43413461538461</v>
      </c>
      <c r="Y266" s="8">
        <f t="shared" si="29"/>
        <v>5414.063174832283</v>
      </c>
      <c r="Z266">
        <f>SUMPRODUCT($D$270:$W$270,D266:W266)</f>
        <v>193.9979717699178</v>
      </c>
    </row>
    <row r="267" spans="1:26" x14ac:dyDescent="0.25">
      <c r="A267" t="s">
        <v>312</v>
      </c>
      <c r="D267">
        <f t="shared" ref="D267:W267" si="56">D29*D63</f>
        <v>326.04612244897959</v>
      </c>
      <c r="E267">
        <f t="shared" si="56"/>
        <v>254.95306122448974</v>
      </c>
      <c r="F267">
        <f t="shared" si="56"/>
        <v>280.12367346938782</v>
      </c>
      <c r="G267">
        <f t="shared" si="56"/>
        <v>302.02489795918376</v>
      </c>
      <c r="H267">
        <f t="shared" si="56"/>
        <v>294.53265306122449</v>
      </c>
      <c r="I267">
        <f t="shared" si="56"/>
        <v>281.73142857142858</v>
      </c>
      <c r="J267">
        <f t="shared" si="56"/>
        <v>242.95428571428576</v>
      </c>
      <c r="K267">
        <f t="shared" si="56"/>
        <v>84.724897959183679</v>
      </c>
      <c r="L267">
        <f t="shared" si="56"/>
        <v>247.01203125000001</v>
      </c>
      <c r="M267">
        <f t="shared" si="56"/>
        <v>234.63836734693871</v>
      </c>
      <c r="N267">
        <f t="shared" si="56"/>
        <v>223.56040816326532</v>
      </c>
      <c r="O267">
        <f t="shared" si="56"/>
        <v>243.62571428571428</v>
      </c>
      <c r="P267">
        <f t="shared" si="56"/>
        <v>231.44000000000003</v>
      </c>
      <c r="Q267">
        <f t="shared" si="56"/>
        <v>231</v>
      </c>
      <c r="R267">
        <f t="shared" si="56"/>
        <v>250.23999999999998</v>
      </c>
      <c r="S267">
        <f t="shared" si="56"/>
        <v>143.82000000000002</v>
      </c>
      <c r="T267">
        <f t="shared" si="56"/>
        <v>314.58000000000004</v>
      </c>
      <c r="U267">
        <f t="shared" si="56"/>
        <v>310</v>
      </c>
      <c r="V267">
        <f t="shared" si="56"/>
        <v>295.19100000000003</v>
      </c>
      <c r="W267">
        <f t="shared" si="56"/>
        <v>316.25100000000003</v>
      </c>
      <c r="Y267" s="8">
        <f t="shared" si="29"/>
        <v>5108.4495414540816</v>
      </c>
      <c r="Z267">
        <f>SUMPRODUCT($D$270:$W$270,D267:W267)</f>
        <v>141.09464256632592</v>
      </c>
    </row>
    <row r="268" spans="1:26" x14ac:dyDescent="0.25">
      <c r="A268" t="s">
        <v>313</v>
      </c>
      <c r="D268">
        <f t="shared" ref="D268:W268" si="57">D30*D64</f>
        <v>298.53000000000003</v>
      </c>
      <c r="E268">
        <f t="shared" si="57"/>
        <v>289.70999999999998</v>
      </c>
      <c r="F268">
        <f t="shared" si="57"/>
        <v>271.45</v>
      </c>
      <c r="G268">
        <f t="shared" si="57"/>
        <v>297.04000000000002</v>
      </c>
      <c r="H268">
        <f t="shared" si="57"/>
        <v>294.81</v>
      </c>
      <c r="I268">
        <f t="shared" si="57"/>
        <v>269.28000000000003</v>
      </c>
      <c r="J268">
        <f t="shared" si="57"/>
        <v>263.89999999999998</v>
      </c>
      <c r="K268">
        <f t="shared" si="57"/>
        <v>130.26</v>
      </c>
      <c r="L268">
        <f t="shared" si="57"/>
        <v>227.92000000000002</v>
      </c>
      <c r="M268">
        <f t="shared" si="57"/>
        <v>234.89000000000001</v>
      </c>
      <c r="N268">
        <f t="shared" si="57"/>
        <v>231.29999999999998</v>
      </c>
      <c r="O268">
        <f t="shared" si="57"/>
        <v>273.42</v>
      </c>
      <c r="P268">
        <f t="shared" si="57"/>
        <v>258.01373945109452</v>
      </c>
      <c r="Q268">
        <f t="shared" si="57"/>
        <v>260.92894381129076</v>
      </c>
      <c r="R268">
        <f t="shared" si="57"/>
        <v>271.4169233722925</v>
      </c>
      <c r="S268">
        <f t="shared" si="57"/>
        <v>290.13269898305987</v>
      </c>
      <c r="T268">
        <f t="shared" si="57"/>
        <v>296.6848281593289</v>
      </c>
      <c r="U268">
        <f t="shared" si="57"/>
        <v>307.19096120801993</v>
      </c>
      <c r="V268">
        <f t="shared" si="57"/>
        <v>305.09732306975269</v>
      </c>
      <c r="W268">
        <f t="shared" si="57"/>
        <v>307.00609988893518</v>
      </c>
      <c r="Y268" s="8">
        <f t="shared" si="29"/>
        <v>5378.9815179437737</v>
      </c>
      <c r="Z268">
        <f>SUMPRODUCT($D$270:$W$270,D268:W268)</f>
        <v>172.08225742437875</v>
      </c>
    </row>
    <row r="269" spans="1:26" x14ac:dyDescent="0.25">
      <c r="A269" t="s">
        <v>676</v>
      </c>
      <c r="D269">
        <f t="shared" ref="D269:W269" si="58">D31*D65</f>
        <v>267.7798250728863</v>
      </c>
      <c r="E269">
        <f t="shared" si="58"/>
        <v>253.33989795918365</v>
      </c>
      <c r="F269">
        <f t="shared" si="58"/>
        <v>243.41134110787172</v>
      </c>
      <c r="G269">
        <f t="shared" si="58"/>
        <v>246.991166180758</v>
      </c>
      <c r="H269">
        <f t="shared" si="58"/>
        <v>261.59877551020412</v>
      </c>
      <c r="I269">
        <f t="shared" si="58"/>
        <v>258.14885985006248</v>
      </c>
      <c r="J269">
        <f t="shared" si="58"/>
        <v>260.40337526030811</v>
      </c>
      <c r="K269">
        <f t="shared" si="58"/>
        <v>259.51910214493961</v>
      </c>
      <c r="L269">
        <f t="shared" si="58"/>
        <v>234.37260685825345</v>
      </c>
      <c r="M269">
        <f t="shared" si="58"/>
        <v>249.25197782389228</v>
      </c>
      <c r="N269">
        <f t="shared" si="58"/>
        <v>236.96798916199978</v>
      </c>
      <c r="O269">
        <f t="shared" si="58"/>
        <v>245.7885325131401</v>
      </c>
      <c r="P269">
        <f t="shared" si="58"/>
        <v>240.6328034013606</v>
      </c>
      <c r="Q269">
        <f t="shared" si="58"/>
        <v>268.25831486880469</v>
      </c>
      <c r="R269">
        <f t="shared" si="58"/>
        <v>271.43590909090909</v>
      </c>
      <c r="S269">
        <f t="shared" si="58"/>
        <v>300.20768420355148</v>
      </c>
      <c r="T269">
        <f t="shared" si="58"/>
        <v>299.84256022111998</v>
      </c>
      <c r="U269">
        <f t="shared" si="58"/>
        <v>317.1656542227816</v>
      </c>
      <c r="V269">
        <f t="shared" si="58"/>
        <v>303.39834043507517</v>
      </c>
      <c r="W269">
        <f t="shared" si="58"/>
        <v>303.66075353218213</v>
      </c>
      <c r="Y269" s="8">
        <f t="shared" ref="Y269" si="59">SUM(D269:W269)</f>
        <v>5322.1754694192841</v>
      </c>
      <c r="Z269">
        <f>SUMPRODUCT($D$270:$W$270,D269:W269)</f>
        <v>192.07976913234822</v>
      </c>
    </row>
    <row r="270" spans="1:26" x14ac:dyDescent="0.25">
      <c r="A270" s="2" t="s">
        <v>69</v>
      </c>
      <c r="D270" s="3">
        <f>CORREL($B$2:$B$26,D240:D264)</f>
        <v>-0.18024620589716298</v>
      </c>
      <c r="E270" s="3">
        <f t="shared" ref="E270:W270" si="60">CORREL($B$2:$B$26,E240:E264)</f>
        <v>6.5136624580492242E-2</v>
      </c>
      <c r="F270" s="3">
        <f t="shared" si="60"/>
        <v>5.8887790168327882E-2</v>
      </c>
      <c r="G270" s="3">
        <f t="shared" si="60"/>
        <v>3.0862693243269027E-2</v>
      </c>
      <c r="H270" s="3">
        <f t="shared" si="60"/>
        <v>-0.15519022391247633</v>
      </c>
      <c r="I270" s="3">
        <f t="shared" si="60"/>
        <v>-0.14579935980099529</v>
      </c>
      <c r="J270" s="3">
        <f t="shared" si="60"/>
        <v>-0.18805973198109785</v>
      </c>
      <c r="K270" s="3">
        <f t="shared" si="60"/>
        <v>0.12058791574943625</v>
      </c>
      <c r="L270" s="3">
        <f t="shared" si="60"/>
        <v>-4.1595467140075774E-2</v>
      </c>
      <c r="M270" s="3">
        <f t="shared" si="60"/>
        <v>-5.8996111652191006E-2</v>
      </c>
      <c r="N270" s="3">
        <f t="shared" si="60"/>
        <v>-1.1726852647255107E-2</v>
      </c>
      <c r="O270" s="3">
        <f t="shared" si="60"/>
        <v>1.1415834713244083E-2</v>
      </c>
      <c r="P270" s="3">
        <f t="shared" si="60"/>
        <v>0.14853872610453309</v>
      </c>
      <c r="Q270" s="3">
        <f t="shared" si="60"/>
        <v>-0.13769409417192213</v>
      </c>
      <c r="R270" s="3">
        <f t="shared" si="60"/>
        <v>0.10069393667070529</v>
      </c>
      <c r="S270" s="3">
        <f t="shared" si="60"/>
        <v>0.12929202269288215</v>
      </c>
      <c r="T270" s="3">
        <f t="shared" si="60"/>
        <v>5.6503330688453805E-2</v>
      </c>
      <c r="U270" s="3">
        <f t="shared" si="60"/>
        <v>0.20224153911502438</v>
      </c>
      <c r="V270" s="3">
        <f t="shared" si="60"/>
        <v>0.32090998356128397</v>
      </c>
      <c r="W270" s="3">
        <f t="shared" si="60"/>
        <v>0.25958087597594592</v>
      </c>
      <c r="X270" s="3"/>
    </row>
    <row r="273" spans="1:26" x14ac:dyDescent="0.25">
      <c r="D273" t="s">
        <v>108</v>
      </c>
      <c r="E273" t="s">
        <v>109</v>
      </c>
      <c r="F273" t="s">
        <v>110</v>
      </c>
      <c r="G273" t="s">
        <v>111</v>
      </c>
      <c r="H273" t="s">
        <v>112</v>
      </c>
      <c r="I273" t="s">
        <v>113</v>
      </c>
      <c r="J273" t="s">
        <v>114</v>
      </c>
      <c r="K273" t="s">
        <v>115</v>
      </c>
      <c r="L273" t="s">
        <v>323</v>
      </c>
      <c r="M273" t="s">
        <v>367</v>
      </c>
      <c r="N273" t="s">
        <v>368</v>
      </c>
      <c r="O273" t="s">
        <v>369</v>
      </c>
      <c r="P273" t="s">
        <v>484</v>
      </c>
      <c r="Q273" t="s">
        <v>485</v>
      </c>
      <c r="R273" t="s">
        <v>486</v>
      </c>
      <c r="S273" t="s">
        <v>487</v>
      </c>
      <c r="T273" t="s">
        <v>596</v>
      </c>
      <c r="U273" t="s">
        <v>597</v>
      </c>
      <c r="V273" t="s">
        <v>598</v>
      </c>
      <c r="W273" t="s">
        <v>599</v>
      </c>
      <c r="Y273" t="s">
        <v>116</v>
      </c>
      <c r="Z273" t="s">
        <v>117</v>
      </c>
    </row>
    <row r="274" spans="1:26" x14ac:dyDescent="0.25">
      <c r="A274" t="s">
        <v>43</v>
      </c>
      <c r="D274">
        <f t="shared" ref="D274:W274" si="61">D2*D70</f>
        <v>212.25</v>
      </c>
      <c r="E274">
        <f t="shared" si="61"/>
        <v>203.73061224489797</v>
      </c>
      <c r="F274">
        <f t="shared" si="61"/>
        <v>191.53877551020409</v>
      </c>
      <c r="G274">
        <f t="shared" si="61"/>
        <v>172.65306122448976</v>
      </c>
      <c r="H274">
        <f t="shared" si="61"/>
        <v>124.20326530612245</v>
      </c>
      <c r="I274">
        <f t="shared" si="61"/>
        <v>108.18163265306123</v>
      </c>
      <c r="J274">
        <f t="shared" si="61"/>
        <v>77.280612244897966</v>
      </c>
      <c r="K274">
        <f t="shared" si="61"/>
        <v>118.48163265306121</v>
      </c>
      <c r="L274">
        <f t="shared" si="61"/>
        <v>150.58593750000003</v>
      </c>
      <c r="M274">
        <f t="shared" si="61"/>
        <v>110.28571428571429</v>
      </c>
      <c r="N274">
        <f t="shared" si="61"/>
        <v>112.97448979591836</v>
      </c>
      <c r="O274">
        <f t="shared" si="61"/>
        <v>147.47448979591837</v>
      </c>
      <c r="P274">
        <f t="shared" si="61"/>
        <v>129.85714285714283</v>
      </c>
      <c r="Q274">
        <f t="shared" si="61"/>
        <v>152.48469387755102</v>
      </c>
      <c r="R274">
        <f t="shared" si="61"/>
        <v>129.10714285714289</v>
      </c>
      <c r="S274">
        <f t="shared" si="61"/>
        <v>135.83469387755099</v>
      </c>
      <c r="T274">
        <f t="shared" si="61"/>
        <v>170.01530612244895</v>
      </c>
      <c r="U274">
        <f t="shared" si="61"/>
        <v>159.57551020408161</v>
      </c>
      <c r="V274">
        <f t="shared" si="61"/>
        <v>152.41428571428574</v>
      </c>
      <c r="W274">
        <f t="shared" si="61"/>
        <v>166.89795918367349</v>
      </c>
      <c r="Y274" s="8">
        <f t="shared" ref="Y274:Y302" si="62">SUM(D274:W274)</f>
        <v>2925.8269579081634</v>
      </c>
      <c r="Z274">
        <f t="shared" ref="Z274:Z298" si="63">SUMPRODUCT($D$304:$W$304,D274:W274)</f>
        <v>73.076601936133954</v>
      </c>
    </row>
    <row r="275" spans="1:26" x14ac:dyDescent="0.25">
      <c r="A275" t="s">
        <v>44</v>
      </c>
      <c r="D275">
        <f t="shared" ref="D275:W275" si="64">D3*D71</f>
        <v>228.45102040816323</v>
      </c>
      <c r="E275">
        <f t="shared" si="64"/>
        <v>216.86530612244894</v>
      </c>
      <c r="F275">
        <f t="shared" si="64"/>
        <v>193.40816326530609</v>
      </c>
      <c r="G275">
        <f t="shared" si="64"/>
        <v>137.58367346938775</v>
      </c>
      <c r="H275">
        <f t="shared" si="64"/>
        <v>154.69183673469388</v>
      </c>
      <c r="I275">
        <f t="shared" si="64"/>
        <v>158.43061224489796</v>
      </c>
      <c r="J275">
        <f t="shared" si="64"/>
        <v>167.70612244897961</v>
      </c>
      <c r="K275">
        <f t="shared" si="64"/>
        <v>161.69081632653064</v>
      </c>
      <c r="L275">
        <f t="shared" si="64"/>
        <v>155.32777777777775</v>
      </c>
      <c r="M275">
        <f t="shared" si="64"/>
        <v>123.30612244897961</v>
      </c>
      <c r="N275">
        <f t="shared" si="64"/>
        <v>117.77142857142857</v>
      </c>
      <c r="O275">
        <f t="shared" si="64"/>
        <v>127.23469387755102</v>
      </c>
      <c r="P275">
        <f t="shared" si="64"/>
        <v>142.52346938775511</v>
      </c>
      <c r="Q275">
        <f t="shared" si="64"/>
        <v>161.5683673469388</v>
      </c>
      <c r="R275">
        <f t="shared" si="64"/>
        <v>142.08061224489796</v>
      </c>
      <c r="S275">
        <f t="shared" si="64"/>
        <v>160.27551020408163</v>
      </c>
      <c r="T275">
        <f t="shared" si="64"/>
        <v>193.35102040816324</v>
      </c>
      <c r="U275">
        <f t="shared" si="64"/>
        <v>198.53469387755106</v>
      </c>
      <c r="V275">
        <f t="shared" si="64"/>
        <v>192.1887755102041</v>
      </c>
      <c r="W275">
        <f t="shared" si="64"/>
        <v>193.08367346938775</v>
      </c>
      <c r="Y275" s="8">
        <f t="shared" si="62"/>
        <v>3326.0736961451248</v>
      </c>
      <c r="Z275">
        <f t="shared" si="63"/>
        <v>115.77469575837634</v>
      </c>
    </row>
    <row r="276" spans="1:26" x14ac:dyDescent="0.25">
      <c r="A276" t="s">
        <v>45</v>
      </c>
      <c r="D276">
        <f t="shared" ref="D276:W276" si="65">D4*D72</f>
        <v>239.24387755102043</v>
      </c>
      <c r="E276">
        <f t="shared" si="65"/>
        <v>222.97448979591837</v>
      </c>
      <c r="F276">
        <f t="shared" si="65"/>
        <v>215.31428571428569</v>
      </c>
      <c r="G276">
        <f t="shared" si="65"/>
        <v>199.66938775510204</v>
      </c>
      <c r="H276">
        <f t="shared" si="65"/>
        <v>175.87346938775511</v>
      </c>
      <c r="I276">
        <f t="shared" si="65"/>
        <v>184.90510204081633</v>
      </c>
      <c r="J276">
        <f t="shared" si="65"/>
        <v>165.84285714285716</v>
      </c>
      <c r="K276">
        <f t="shared" si="65"/>
        <v>164.21428571428569</v>
      </c>
      <c r="L276">
        <f t="shared" si="65"/>
        <v>138.95000000000002</v>
      </c>
      <c r="M276">
        <f t="shared" si="65"/>
        <v>155.0469387755102</v>
      </c>
      <c r="N276">
        <f t="shared" si="65"/>
        <v>180.35714285714286</v>
      </c>
      <c r="O276">
        <f t="shared" si="65"/>
        <v>149.12448979591841</v>
      </c>
      <c r="P276">
        <f t="shared" si="65"/>
        <v>172.42959183673466</v>
      </c>
      <c r="Q276">
        <f t="shared" si="65"/>
        <v>152.22040816326532</v>
      </c>
      <c r="R276">
        <f t="shared" si="65"/>
        <v>124.69285714285716</v>
      </c>
      <c r="S276">
        <f t="shared" si="65"/>
        <v>124.70408163265306</v>
      </c>
      <c r="T276">
        <f t="shared" si="65"/>
        <v>155.69591836734693</v>
      </c>
      <c r="U276">
        <f t="shared" si="65"/>
        <v>123.52244897959183</v>
      </c>
      <c r="V276">
        <f t="shared" si="65"/>
        <v>195.25000000000003</v>
      </c>
      <c r="W276">
        <f t="shared" si="65"/>
        <v>202.17857142857144</v>
      </c>
      <c r="Y276" s="8">
        <f t="shared" si="62"/>
        <v>3442.210204081633</v>
      </c>
      <c r="Z276">
        <f t="shared" si="63"/>
        <v>81.752715747681648</v>
      </c>
    </row>
    <row r="277" spans="1:26" x14ac:dyDescent="0.25">
      <c r="A277" t="s">
        <v>46</v>
      </c>
      <c r="D277">
        <f t="shared" ref="D277:W277" si="66">D5*D73</f>
        <v>228.29387755102042</v>
      </c>
      <c r="E277">
        <f t="shared" si="66"/>
        <v>200.24081632653062</v>
      </c>
      <c r="F277">
        <f t="shared" si="66"/>
        <v>199.98979591836735</v>
      </c>
      <c r="G277">
        <f t="shared" si="66"/>
        <v>200.62653061224492</v>
      </c>
      <c r="H277">
        <f t="shared" si="66"/>
        <v>198.17142857142855</v>
      </c>
      <c r="I277">
        <f t="shared" si="66"/>
        <v>189.32142857142856</v>
      </c>
      <c r="J277">
        <f t="shared" si="66"/>
        <v>165.14285714285714</v>
      </c>
      <c r="K277">
        <f t="shared" si="66"/>
        <v>168.3</v>
      </c>
      <c r="L277">
        <f t="shared" si="66"/>
        <v>144.01562499999997</v>
      </c>
      <c r="M277">
        <f t="shared" si="66"/>
        <v>102</v>
      </c>
      <c r="N277">
        <f t="shared" si="66"/>
        <v>112.32653061224489</v>
      </c>
      <c r="O277">
        <f t="shared" si="66"/>
        <v>126.71510204081633</v>
      </c>
      <c r="P277">
        <f t="shared" si="66"/>
        <v>181.10204081632651</v>
      </c>
      <c r="Q277">
        <f t="shared" si="66"/>
        <v>119.31428571428569</v>
      </c>
      <c r="R277">
        <f t="shared" si="66"/>
        <v>131.80000000000001</v>
      </c>
      <c r="S277">
        <f t="shared" si="66"/>
        <v>119.57142857142858</v>
      </c>
      <c r="T277">
        <f t="shared" si="66"/>
        <v>153.13775510204084</v>
      </c>
      <c r="U277">
        <f t="shared" si="66"/>
        <v>137.33571428571429</v>
      </c>
      <c r="V277">
        <f t="shared" si="66"/>
        <v>193.35306122448978</v>
      </c>
      <c r="W277">
        <f t="shared" si="66"/>
        <v>194.16428571428571</v>
      </c>
      <c r="Y277" s="8">
        <f t="shared" si="62"/>
        <v>3264.9225637755108</v>
      </c>
      <c r="Z277">
        <f t="shared" si="63"/>
        <v>115.00950518386261</v>
      </c>
    </row>
    <row r="278" spans="1:26" x14ac:dyDescent="0.25">
      <c r="A278" t="s">
        <v>47</v>
      </c>
      <c r="D278">
        <f t="shared" ref="D278:W278" si="67">D6*D74</f>
        <v>212.63265306122452</v>
      </c>
      <c r="E278">
        <f t="shared" si="67"/>
        <v>184.02857142857141</v>
      </c>
      <c r="F278">
        <f t="shared" si="67"/>
        <v>209.2081632653061</v>
      </c>
      <c r="G278">
        <f t="shared" si="67"/>
        <v>194.22857142857143</v>
      </c>
      <c r="H278">
        <f t="shared" si="67"/>
        <v>192.56836734693874</v>
      </c>
      <c r="I278">
        <f t="shared" si="67"/>
        <v>153.10204081632654</v>
      </c>
      <c r="J278">
        <f t="shared" si="67"/>
        <v>168.53877551020409</v>
      </c>
      <c r="K278">
        <f t="shared" si="67"/>
        <v>145.40510204081636</v>
      </c>
      <c r="L278">
        <f t="shared" si="67"/>
        <v>115.06785714285714</v>
      </c>
      <c r="M278">
        <f t="shared" si="67"/>
        <v>130.75714285714284</v>
      </c>
      <c r="N278">
        <f t="shared" si="67"/>
        <v>120.28163265306122</v>
      </c>
      <c r="O278">
        <f t="shared" si="67"/>
        <v>144.64285714285714</v>
      </c>
      <c r="P278">
        <f t="shared" si="67"/>
        <v>153.88163265306122</v>
      </c>
      <c r="Q278">
        <f t="shared" si="67"/>
        <v>87.395918367346923</v>
      </c>
      <c r="R278">
        <f t="shared" si="67"/>
        <v>160.95428571428573</v>
      </c>
      <c r="S278">
        <f t="shared" si="67"/>
        <v>141.30612244897955</v>
      </c>
      <c r="T278">
        <f t="shared" si="67"/>
        <v>155.71428571428572</v>
      </c>
      <c r="U278">
        <f t="shared" si="67"/>
        <v>185.96938775510205</v>
      </c>
      <c r="V278">
        <f t="shared" si="67"/>
        <v>155.78102040816327</v>
      </c>
      <c r="W278">
        <f t="shared" si="67"/>
        <v>194.48928571428573</v>
      </c>
      <c r="Y278" s="8">
        <f t="shared" si="62"/>
        <v>3205.9536734693879</v>
      </c>
      <c r="Z278">
        <f t="shared" si="63"/>
        <v>115.08701020700883</v>
      </c>
    </row>
    <row r="279" spans="1:26" x14ac:dyDescent="0.25">
      <c r="A279" t="s">
        <v>48</v>
      </c>
      <c r="D279">
        <f t="shared" ref="D279:W279" si="68">D7*D75</f>
        <v>241.05816326530618</v>
      </c>
      <c r="E279">
        <f t="shared" si="68"/>
        <v>225.96428571428572</v>
      </c>
      <c r="F279">
        <f t="shared" si="68"/>
        <v>220.04489795918366</v>
      </c>
      <c r="G279">
        <f t="shared" si="68"/>
        <v>210.94285714285709</v>
      </c>
      <c r="H279">
        <f t="shared" si="68"/>
        <v>199.80000000000004</v>
      </c>
      <c r="I279">
        <f t="shared" si="68"/>
        <v>156.00000000000003</v>
      </c>
      <c r="J279">
        <f t="shared" si="68"/>
        <v>173.31428571428575</v>
      </c>
      <c r="K279">
        <f t="shared" si="68"/>
        <v>163.94306122448981</v>
      </c>
      <c r="L279">
        <f t="shared" si="68"/>
        <v>141.44999999999999</v>
      </c>
      <c r="M279">
        <f t="shared" si="68"/>
        <v>128.72755102040816</v>
      </c>
      <c r="N279">
        <f t="shared" si="68"/>
        <v>106.54285714285714</v>
      </c>
      <c r="O279">
        <f t="shared" si="68"/>
        <v>123.14387755102041</v>
      </c>
      <c r="P279">
        <f t="shared" si="68"/>
        <v>146.36479591836735</v>
      </c>
      <c r="Q279">
        <f t="shared" si="68"/>
        <v>157.12500000000003</v>
      </c>
      <c r="R279">
        <f t="shared" si="68"/>
        <v>176.0673469387755</v>
      </c>
      <c r="S279">
        <f t="shared" si="68"/>
        <v>159.59897959183675</v>
      </c>
      <c r="T279">
        <f t="shared" si="68"/>
        <v>174.65510204081633</v>
      </c>
      <c r="U279">
        <f t="shared" si="68"/>
        <v>145.11836734693881</v>
      </c>
      <c r="V279">
        <f t="shared" si="68"/>
        <v>185.86530612244897</v>
      </c>
      <c r="W279">
        <f t="shared" si="68"/>
        <v>202.37959183673468</v>
      </c>
      <c r="Y279" s="8">
        <f t="shared" si="62"/>
        <v>3438.1063265306125</v>
      </c>
      <c r="Z279">
        <f t="shared" si="63"/>
        <v>104.2109215143395</v>
      </c>
    </row>
    <row r="280" spans="1:26" x14ac:dyDescent="0.25">
      <c r="A280" t="s">
        <v>49</v>
      </c>
      <c r="D280">
        <f t="shared" ref="D280:W280" si="69">D8*D76</f>
        <v>211.17244897959182</v>
      </c>
      <c r="E280">
        <f t="shared" si="69"/>
        <v>203.39999999999998</v>
      </c>
      <c r="F280">
        <f t="shared" si="69"/>
        <v>132.11326530612246</v>
      </c>
      <c r="G280">
        <f t="shared" si="69"/>
        <v>190.39591836734695</v>
      </c>
      <c r="H280">
        <f t="shared" si="69"/>
        <v>151.3897959183673</v>
      </c>
      <c r="I280">
        <f t="shared" si="69"/>
        <v>170.06938775510204</v>
      </c>
      <c r="J280">
        <f t="shared" si="69"/>
        <v>156.87551020408165</v>
      </c>
      <c r="K280">
        <f t="shared" si="69"/>
        <v>138.80816326530612</v>
      </c>
      <c r="L280">
        <f t="shared" si="69"/>
        <v>125.96562499999997</v>
      </c>
      <c r="M280">
        <f t="shared" si="69"/>
        <v>118.24897959183674</v>
      </c>
      <c r="N280">
        <f t="shared" si="69"/>
        <v>87.844897959183655</v>
      </c>
      <c r="O280">
        <f t="shared" si="69"/>
        <v>95.846938775510196</v>
      </c>
      <c r="P280">
        <f t="shared" si="69"/>
        <v>147.44795918367348</v>
      </c>
      <c r="Q280">
        <f t="shared" si="69"/>
        <v>121.59183673469389</v>
      </c>
      <c r="R280">
        <f t="shared" si="69"/>
        <v>133.75102040816327</v>
      </c>
      <c r="S280">
        <f t="shared" si="69"/>
        <v>160.75714285714287</v>
      </c>
      <c r="T280">
        <f t="shared" si="69"/>
        <v>141.88775510204079</v>
      </c>
      <c r="U280">
        <f t="shared" si="69"/>
        <v>170.42142857142858</v>
      </c>
      <c r="V280">
        <f t="shared" si="69"/>
        <v>187.61632653061224</v>
      </c>
      <c r="W280">
        <f t="shared" si="69"/>
        <v>191.60816326530616</v>
      </c>
      <c r="Y280" s="8">
        <f t="shared" si="62"/>
        <v>3037.2125637755103</v>
      </c>
      <c r="Z280">
        <f t="shared" si="63"/>
        <v>116.33494032759199</v>
      </c>
    </row>
    <row r="281" spans="1:26" x14ac:dyDescent="0.25">
      <c r="A281" t="s">
        <v>50</v>
      </c>
      <c r="D281">
        <f t="shared" ref="D281:W281" si="70">D9*D77</f>
        <v>13.322448979591837</v>
      </c>
      <c r="E281">
        <f t="shared" si="70"/>
        <v>153.98877551020408</v>
      </c>
      <c r="F281">
        <f t="shared" si="70"/>
        <v>160.59408163265309</v>
      </c>
      <c r="G281">
        <f t="shared" si="70"/>
        <v>145.87346938775511</v>
      </c>
      <c r="H281">
        <f t="shared" si="70"/>
        <v>117.97857142857141</v>
      </c>
      <c r="I281">
        <f t="shared" si="70"/>
        <v>141.98979591836735</v>
      </c>
      <c r="J281">
        <f t="shared" si="70"/>
        <v>134.12244897959184</v>
      </c>
      <c r="K281">
        <f t="shared" si="70"/>
        <v>122.93979591836734</v>
      </c>
      <c r="L281">
        <f t="shared" si="70"/>
        <v>127.96484374999999</v>
      </c>
      <c r="M281">
        <f t="shared" si="70"/>
        <v>125.49183673469385</v>
      </c>
      <c r="N281">
        <f t="shared" si="70"/>
        <v>67.597959183673467</v>
      </c>
      <c r="O281">
        <f t="shared" si="70"/>
        <v>111.07653061224491</v>
      </c>
      <c r="P281">
        <f t="shared" si="70"/>
        <v>127.14285714285715</v>
      </c>
      <c r="Q281">
        <f t="shared" si="70"/>
        <v>147.79285714285714</v>
      </c>
      <c r="R281">
        <f t="shared" si="70"/>
        <v>172.04999999999998</v>
      </c>
      <c r="S281">
        <f t="shared" si="70"/>
        <v>154.33673469387756</v>
      </c>
      <c r="T281">
        <f t="shared" si="70"/>
        <v>127.51836734693879</v>
      </c>
      <c r="U281">
        <f t="shared" si="70"/>
        <v>118.50000000000001</v>
      </c>
      <c r="V281">
        <f t="shared" si="70"/>
        <v>160.57142857142856</v>
      </c>
      <c r="W281">
        <f t="shared" si="70"/>
        <v>159.94897959183672</v>
      </c>
      <c r="Y281" s="8">
        <f t="shared" si="62"/>
        <v>2590.8017825255101</v>
      </c>
      <c r="Z281">
        <f t="shared" si="63"/>
        <v>114.80490451543318</v>
      </c>
    </row>
    <row r="282" spans="1:26" x14ac:dyDescent="0.25">
      <c r="A282" t="s">
        <v>51</v>
      </c>
      <c r="D282">
        <f t="shared" ref="D282:W282" si="71">D10*D78</f>
        <v>176.90877551020409</v>
      </c>
      <c r="E282">
        <f t="shared" si="71"/>
        <v>168.17142857142855</v>
      </c>
      <c r="F282">
        <f t="shared" si="71"/>
        <v>164.64489795918368</v>
      </c>
      <c r="G282">
        <f t="shared" si="71"/>
        <v>160.83571428571432</v>
      </c>
      <c r="H282">
        <f t="shared" si="71"/>
        <v>154.13061224489797</v>
      </c>
      <c r="I282">
        <f t="shared" si="71"/>
        <v>139.71632653061224</v>
      </c>
      <c r="J282">
        <f t="shared" si="71"/>
        <v>145.69387755102039</v>
      </c>
      <c r="K282">
        <f t="shared" si="71"/>
        <v>139.5204081632653</v>
      </c>
      <c r="L282">
        <f t="shared" si="71"/>
        <v>116.18124999999999</v>
      </c>
      <c r="M282">
        <f t="shared" si="71"/>
        <v>125.23877551020408</v>
      </c>
      <c r="N282">
        <f t="shared" si="71"/>
        <v>123.48061224489797</v>
      </c>
      <c r="O282">
        <f t="shared" si="71"/>
        <v>115.43367346938776</v>
      </c>
      <c r="P282">
        <f t="shared" si="71"/>
        <v>146.54285714285714</v>
      </c>
      <c r="Q282">
        <f t="shared" si="71"/>
        <v>139.71428571428569</v>
      </c>
      <c r="R282">
        <f t="shared" si="71"/>
        <v>134.79360349854227</v>
      </c>
      <c r="S282">
        <f t="shared" si="71"/>
        <v>145.8677634319034</v>
      </c>
      <c r="T282">
        <f t="shared" si="71"/>
        <v>161.62846314035815</v>
      </c>
      <c r="U282">
        <f t="shared" si="71"/>
        <v>171.7496529571012</v>
      </c>
      <c r="V282">
        <f t="shared" si="71"/>
        <v>148.54591836734696</v>
      </c>
      <c r="W282">
        <f t="shared" si="71"/>
        <v>163.40408163265306</v>
      </c>
      <c r="Y282" s="8">
        <f t="shared" si="62"/>
        <v>2942.2029779258646</v>
      </c>
      <c r="Z282">
        <f t="shared" si="63"/>
        <v>97.707922865937178</v>
      </c>
    </row>
    <row r="283" spans="1:26" x14ac:dyDescent="0.25">
      <c r="A283" t="s">
        <v>52</v>
      </c>
      <c r="D283">
        <f t="shared" ref="D283:W283" si="72">D11*D79</f>
        <v>187.52448979591838</v>
      </c>
      <c r="E283">
        <f t="shared" si="72"/>
        <v>186.46530612244896</v>
      </c>
      <c r="F283">
        <f t="shared" si="72"/>
        <v>186.22448979591837</v>
      </c>
      <c r="G283">
        <f t="shared" si="72"/>
        <v>163.79081632653063</v>
      </c>
      <c r="H283">
        <f t="shared" si="72"/>
        <v>162.3581632653061</v>
      </c>
      <c r="I283">
        <f t="shared" si="72"/>
        <v>136.57959183673472</v>
      </c>
      <c r="J283">
        <f t="shared" si="72"/>
        <v>142.94081632653064</v>
      </c>
      <c r="K283">
        <f t="shared" si="72"/>
        <v>152.60510204081635</v>
      </c>
      <c r="L283">
        <f t="shared" si="72"/>
        <v>132.80763888888887</v>
      </c>
      <c r="M283">
        <f t="shared" si="72"/>
        <v>143.31428571428572</v>
      </c>
      <c r="N283">
        <f t="shared" si="72"/>
        <v>110.27448979591838</v>
      </c>
      <c r="O283">
        <f t="shared" si="72"/>
        <v>109.83673469387757</v>
      </c>
      <c r="P283">
        <f t="shared" si="72"/>
        <v>118.48571428571428</v>
      </c>
      <c r="Q283">
        <f t="shared" si="72"/>
        <v>141.75510204081633</v>
      </c>
      <c r="R283">
        <f t="shared" si="72"/>
        <v>133.28571428571428</v>
      </c>
      <c r="S283">
        <f t="shared" si="72"/>
        <v>145.90204081632652</v>
      </c>
      <c r="T283">
        <f t="shared" si="72"/>
        <v>162.40306122448982</v>
      </c>
      <c r="U283">
        <f t="shared" si="72"/>
        <v>167.05102040816323</v>
      </c>
      <c r="V283">
        <f t="shared" si="72"/>
        <v>145.76020408163268</v>
      </c>
      <c r="W283">
        <f t="shared" si="72"/>
        <v>140.85714285714286</v>
      </c>
      <c r="Y283" s="8">
        <f t="shared" si="62"/>
        <v>2970.2219246031741</v>
      </c>
      <c r="Z283">
        <f t="shared" si="63"/>
        <v>79.051039861047443</v>
      </c>
    </row>
    <row r="284" spans="1:26" x14ac:dyDescent="0.25">
      <c r="A284" t="s">
        <v>53</v>
      </c>
      <c r="D284">
        <f t="shared" ref="D284:W284" si="73">D12*D80</f>
        <v>192.41632653061225</v>
      </c>
      <c r="E284">
        <f t="shared" si="73"/>
        <v>188.67857142857144</v>
      </c>
      <c r="F284">
        <f t="shared" si="73"/>
        <v>171.92244897959182</v>
      </c>
      <c r="G284">
        <f t="shared" si="73"/>
        <v>130.36224489795919</v>
      </c>
      <c r="H284">
        <f t="shared" si="73"/>
        <v>140.07142857142856</v>
      </c>
      <c r="I284">
        <f t="shared" si="73"/>
        <v>106.44081632653062</v>
      </c>
      <c r="J284">
        <f t="shared" si="73"/>
        <v>121.66530612244898</v>
      </c>
      <c r="K284">
        <f t="shared" si="73"/>
        <v>122.87346938775509</v>
      </c>
      <c r="L284">
        <f t="shared" si="73"/>
        <v>127.2</v>
      </c>
      <c r="M284">
        <f t="shared" si="73"/>
        <v>140.4</v>
      </c>
      <c r="N284">
        <f t="shared" si="73"/>
        <v>159.56326530612245</v>
      </c>
      <c r="O284">
        <f t="shared" si="73"/>
        <v>130.05918367346939</v>
      </c>
      <c r="P284">
        <f t="shared" si="73"/>
        <v>137.11020408163265</v>
      </c>
      <c r="Q284">
        <f t="shared" si="73"/>
        <v>147.734693877551</v>
      </c>
      <c r="R284">
        <f t="shared" si="73"/>
        <v>173.20408163265307</v>
      </c>
      <c r="S284">
        <f t="shared" si="73"/>
        <v>144.88163265306125</v>
      </c>
      <c r="T284">
        <f t="shared" si="73"/>
        <v>158.84897959183675</v>
      </c>
      <c r="U284">
        <f t="shared" si="73"/>
        <v>170.74285714285713</v>
      </c>
      <c r="V284">
        <f t="shared" si="73"/>
        <v>174.29387755102044</v>
      </c>
      <c r="W284">
        <f t="shared" si="73"/>
        <v>163.48775510204081</v>
      </c>
      <c r="Y284" s="8">
        <f t="shared" si="62"/>
        <v>3001.9571428571435</v>
      </c>
      <c r="Z284">
        <f t="shared" si="63"/>
        <v>90.128432008200178</v>
      </c>
    </row>
    <row r="285" spans="1:26" x14ac:dyDescent="0.25">
      <c r="A285" t="s">
        <v>54</v>
      </c>
      <c r="D285">
        <f t="shared" ref="D285:W285" si="74">D13*D81</f>
        <v>212.88061224489803</v>
      </c>
      <c r="E285">
        <f t="shared" si="74"/>
        <v>199.56122448979593</v>
      </c>
      <c r="F285">
        <f t="shared" si="74"/>
        <v>165.30612244897958</v>
      </c>
      <c r="G285">
        <f t="shared" si="74"/>
        <v>190.0408163265306</v>
      </c>
      <c r="H285">
        <f t="shared" si="74"/>
        <v>130.89999999999998</v>
      </c>
      <c r="I285">
        <f t="shared" si="74"/>
        <v>158.58571428571426</v>
      </c>
      <c r="J285">
        <f t="shared" si="74"/>
        <v>141.28571428571428</v>
      </c>
      <c r="K285">
        <f t="shared" si="74"/>
        <v>125.6785714285714</v>
      </c>
      <c r="L285">
        <f t="shared" si="74"/>
        <v>121.47500000000002</v>
      </c>
      <c r="M285">
        <f t="shared" si="74"/>
        <v>106.1142857142857</v>
      </c>
      <c r="N285">
        <f t="shared" si="74"/>
        <v>130.91428571428568</v>
      </c>
      <c r="O285">
        <f t="shared" si="74"/>
        <v>139.75510204081633</v>
      </c>
      <c r="P285">
        <f t="shared" si="74"/>
        <v>153.53265306122449</v>
      </c>
      <c r="Q285">
        <f t="shared" si="74"/>
        <v>159.98367346938778</v>
      </c>
      <c r="R285">
        <f t="shared" si="74"/>
        <v>119.37857142857143</v>
      </c>
      <c r="S285">
        <f t="shared" si="74"/>
        <v>131.80000000000001</v>
      </c>
      <c r="T285">
        <f t="shared" si="74"/>
        <v>150.18979591836739</v>
      </c>
      <c r="U285">
        <f t="shared" si="74"/>
        <v>183.57857142857142</v>
      </c>
      <c r="V285">
        <f t="shared" si="74"/>
        <v>200.2561224489796</v>
      </c>
      <c r="W285">
        <f t="shared" si="74"/>
        <v>194.78877551020406</v>
      </c>
      <c r="Y285" s="8">
        <f t="shared" si="62"/>
        <v>3116.0056122448977</v>
      </c>
      <c r="Z285">
        <f t="shared" si="63"/>
        <v>107.42927003556895</v>
      </c>
    </row>
    <row r="286" spans="1:26" x14ac:dyDescent="0.25">
      <c r="A286" t="s">
        <v>55</v>
      </c>
      <c r="D286">
        <f t="shared" ref="D286:W286" si="75">D14*D82</f>
        <v>152.85510204081629</v>
      </c>
      <c r="E286">
        <f t="shared" si="75"/>
        <v>169.49795918367352</v>
      </c>
      <c r="F286">
        <f t="shared" si="75"/>
        <v>158.10204081632651</v>
      </c>
      <c r="G286">
        <f t="shared" si="75"/>
        <v>144.66857142857143</v>
      </c>
      <c r="H286">
        <f t="shared" si="75"/>
        <v>152.22857142857143</v>
      </c>
      <c r="I286">
        <f t="shared" si="75"/>
        <v>120.95306122448979</v>
      </c>
      <c r="J286">
        <f t="shared" si="75"/>
        <v>192.30285714285719</v>
      </c>
      <c r="K286">
        <f t="shared" si="75"/>
        <v>118.47897959183672</v>
      </c>
      <c r="L286">
        <f t="shared" si="75"/>
        <v>120.8625</v>
      </c>
      <c r="M286">
        <f t="shared" si="75"/>
        <v>116.40489795918371</v>
      </c>
      <c r="N286">
        <f t="shared" si="75"/>
        <v>104.1530612244898</v>
      </c>
      <c r="O286">
        <f t="shared" si="75"/>
        <v>115.58571428571427</v>
      </c>
      <c r="P286">
        <f t="shared" si="75"/>
        <v>105.27306122448979</v>
      </c>
      <c r="Q286">
        <f t="shared" si="75"/>
        <v>111.73183673469391</v>
      </c>
      <c r="R286">
        <f t="shared" si="75"/>
        <v>122.28860641399415</v>
      </c>
      <c r="S286">
        <f t="shared" si="75"/>
        <v>146.20793002915451</v>
      </c>
      <c r="T286">
        <f t="shared" si="75"/>
        <v>136.58979591836737</v>
      </c>
      <c r="U286">
        <f t="shared" si="75"/>
        <v>160.08889504373178</v>
      </c>
      <c r="V286">
        <f t="shared" si="75"/>
        <v>94.800000000000011</v>
      </c>
      <c r="W286">
        <f t="shared" si="75"/>
        <v>128.64489795918371</v>
      </c>
      <c r="Y286" s="8">
        <f t="shared" si="62"/>
        <v>2671.7183396501464</v>
      </c>
      <c r="Z286">
        <f t="shared" si="63"/>
        <v>67.884769228697692</v>
      </c>
    </row>
    <row r="287" spans="1:26" x14ac:dyDescent="0.25">
      <c r="A287" t="s">
        <v>56</v>
      </c>
      <c r="D287">
        <f t="shared" ref="D287:W287" si="76">D15*D83</f>
        <v>197.80163265306123</v>
      </c>
      <c r="E287">
        <f t="shared" si="76"/>
        <v>165.99306122448982</v>
      </c>
      <c r="F287">
        <f t="shared" si="76"/>
        <v>164.80408163265301</v>
      </c>
      <c r="G287">
        <f t="shared" si="76"/>
        <v>138.14489795918365</v>
      </c>
      <c r="H287">
        <f t="shared" si="76"/>
        <v>158.66938775510206</v>
      </c>
      <c r="I287">
        <f t="shared" si="76"/>
        <v>132.57387755102042</v>
      </c>
      <c r="J287">
        <f t="shared" si="76"/>
        <v>106.78244897959182</v>
      </c>
      <c r="K287">
        <f t="shared" si="76"/>
        <v>126.45469387755101</v>
      </c>
      <c r="L287">
        <f t="shared" si="76"/>
        <v>129.95972222222221</v>
      </c>
      <c r="M287">
        <f t="shared" si="76"/>
        <v>119.86530612244898</v>
      </c>
      <c r="N287">
        <f t="shared" si="76"/>
        <v>111.985306122449</v>
      </c>
      <c r="O287">
        <f t="shared" si="76"/>
        <v>136.24367346938772</v>
      </c>
      <c r="P287">
        <f t="shared" si="76"/>
        <v>159.69306122448981</v>
      </c>
      <c r="Q287">
        <f t="shared" si="76"/>
        <v>132.78979591836736</v>
      </c>
      <c r="R287">
        <f t="shared" si="76"/>
        <v>129.86122448979592</v>
      </c>
      <c r="S287">
        <f t="shared" si="76"/>
        <v>132.30489795918371</v>
      </c>
      <c r="T287">
        <f t="shared" si="76"/>
        <v>156.30857142857144</v>
      </c>
      <c r="U287">
        <f t="shared" si="76"/>
        <v>178.60244897959186</v>
      </c>
      <c r="V287">
        <f t="shared" si="76"/>
        <v>149.50040816326532</v>
      </c>
      <c r="W287">
        <f t="shared" si="76"/>
        <v>169.38448979591837</v>
      </c>
      <c r="Y287" s="8">
        <f t="shared" si="62"/>
        <v>2897.7229875283442</v>
      </c>
      <c r="Z287">
        <f t="shared" si="63"/>
        <v>97.203454262822206</v>
      </c>
    </row>
    <row r="288" spans="1:26" x14ac:dyDescent="0.25">
      <c r="A288" t="s">
        <v>57</v>
      </c>
      <c r="D288">
        <f t="shared" ref="D288:W288" si="77">D16*D84</f>
        <v>178.86857142857144</v>
      </c>
      <c r="E288">
        <f t="shared" si="77"/>
        <v>176.74367346938774</v>
      </c>
      <c r="F288">
        <f t="shared" si="77"/>
        <v>152.4</v>
      </c>
      <c r="G288">
        <f t="shared" si="77"/>
        <v>148.65795918367348</v>
      </c>
      <c r="H288">
        <f t="shared" si="77"/>
        <v>141.11959183673468</v>
      </c>
      <c r="I288">
        <f t="shared" si="77"/>
        <v>110.45183673469384</v>
      </c>
      <c r="J288">
        <f t="shared" si="77"/>
        <v>131.17061224489797</v>
      </c>
      <c r="K288">
        <f t="shared" si="77"/>
        <v>135.1787755102041</v>
      </c>
      <c r="L288">
        <f t="shared" si="77"/>
        <v>112.03888888888889</v>
      </c>
      <c r="M288">
        <f t="shared" si="77"/>
        <v>122.16081632653061</v>
      </c>
      <c r="N288">
        <f t="shared" si="77"/>
        <v>139.44000000000003</v>
      </c>
      <c r="O288">
        <f t="shared" si="77"/>
        <v>96.571428571428569</v>
      </c>
      <c r="P288">
        <f t="shared" si="77"/>
        <v>83.279183673469376</v>
      </c>
      <c r="Q288">
        <f t="shared" si="77"/>
        <v>131.88489795918369</v>
      </c>
      <c r="R288">
        <f t="shared" si="77"/>
        <v>98.060408163265308</v>
      </c>
      <c r="S288">
        <f t="shared" si="77"/>
        <v>169.91428571428568</v>
      </c>
      <c r="T288">
        <f t="shared" si="77"/>
        <v>173.8812244897959</v>
      </c>
      <c r="U288">
        <f t="shared" si="77"/>
        <v>158.52571428571432</v>
      </c>
      <c r="V288">
        <f t="shared" si="77"/>
        <v>175.29061224489794</v>
      </c>
      <c r="W288">
        <f t="shared" si="77"/>
        <v>147.40979591836734</v>
      </c>
      <c r="Y288" s="8">
        <f t="shared" si="62"/>
        <v>2783.0482766439909</v>
      </c>
      <c r="Z288">
        <f t="shared" si="63"/>
        <v>85.251335212169437</v>
      </c>
    </row>
    <row r="289" spans="1:26" x14ac:dyDescent="0.25">
      <c r="A289" t="s">
        <v>58</v>
      </c>
      <c r="D289">
        <f t="shared" ref="D289:W289" si="78">D17*D85</f>
        <v>150.05387755102041</v>
      </c>
      <c r="E289">
        <f t="shared" si="78"/>
        <v>141.63714285714286</v>
      </c>
      <c r="F289">
        <f t="shared" si="78"/>
        <v>153.31714285714287</v>
      </c>
      <c r="G289">
        <f t="shared" si="78"/>
        <v>118.70857142857142</v>
      </c>
      <c r="H289">
        <f t="shared" si="78"/>
        <v>125.59224489795918</v>
      </c>
      <c r="I289">
        <f t="shared" si="78"/>
        <v>127.31387755102043</v>
      </c>
      <c r="J289">
        <f t="shared" si="78"/>
        <v>131.18326530612245</v>
      </c>
      <c r="K289">
        <f t="shared" si="78"/>
        <v>127.3077551020408</v>
      </c>
      <c r="L289">
        <f t="shared" si="78"/>
        <v>116.65500000000003</v>
      </c>
      <c r="M289">
        <f t="shared" si="78"/>
        <v>143.0204081632653</v>
      </c>
      <c r="N289">
        <f t="shared" si="78"/>
        <v>144.60326530612241</v>
      </c>
      <c r="O289">
        <f t="shared" si="78"/>
        <v>138.7065306122449</v>
      </c>
      <c r="P289">
        <f t="shared" si="78"/>
        <v>121.41714285714284</v>
      </c>
      <c r="Q289">
        <f t="shared" si="78"/>
        <v>109.83877551020407</v>
      </c>
      <c r="R289">
        <f t="shared" si="78"/>
        <v>124.00285714285714</v>
      </c>
      <c r="S289">
        <f t="shared" si="78"/>
        <v>99.794285714285706</v>
      </c>
      <c r="T289">
        <f t="shared" si="78"/>
        <v>143.26530612244895</v>
      </c>
      <c r="U289">
        <f t="shared" si="78"/>
        <v>166.66122448979593</v>
      </c>
      <c r="V289">
        <f t="shared" si="78"/>
        <v>162.62448979591832</v>
      </c>
      <c r="W289">
        <f t="shared" si="78"/>
        <v>143.06938775510204</v>
      </c>
      <c r="Y289" s="8">
        <f t="shared" si="62"/>
        <v>2688.7725510204086</v>
      </c>
      <c r="Z289">
        <f t="shared" si="63"/>
        <v>84.442644744840337</v>
      </c>
    </row>
    <row r="290" spans="1:26" x14ac:dyDescent="0.25">
      <c r="A290" t="s">
        <v>59</v>
      </c>
      <c r="D290">
        <f t="shared" ref="D290:W290" si="79">D18*D86</f>
        <v>185.65970845481056</v>
      </c>
      <c r="E290">
        <f t="shared" si="79"/>
        <v>171.50250728862972</v>
      </c>
      <c r="F290">
        <f t="shared" si="79"/>
        <v>176.70306705539363</v>
      </c>
      <c r="G290">
        <f t="shared" si="79"/>
        <v>146.54886297376092</v>
      </c>
      <c r="H290">
        <f t="shared" si="79"/>
        <v>159.17555685131194</v>
      </c>
      <c r="I290">
        <f t="shared" si="79"/>
        <v>155.7462682215743</v>
      </c>
      <c r="J290">
        <f t="shared" si="79"/>
        <v>144.32373177842567</v>
      </c>
      <c r="K290">
        <f t="shared" si="79"/>
        <v>139.67720116618077</v>
      </c>
      <c r="L290">
        <f t="shared" si="79"/>
        <v>106.38787698412698</v>
      </c>
      <c r="M290">
        <f t="shared" si="79"/>
        <v>110.17114285714284</v>
      </c>
      <c r="N290">
        <f t="shared" si="79"/>
        <v>110.82261224489794</v>
      </c>
      <c r="O290">
        <f t="shared" si="79"/>
        <v>105.02448979591837</v>
      </c>
      <c r="P290">
        <f t="shared" si="79"/>
        <v>136.49877551020407</v>
      </c>
      <c r="Q290">
        <f t="shared" si="79"/>
        <v>138.33555102040816</v>
      </c>
      <c r="R290">
        <f t="shared" si="79"/>
        <v>146.81367346938777</v>
      </c>
      <c r="S290">
        <f t="shared" si="79"/>
        <v>158.99510204081633</v>
      </c>
      <c r="T290">
        <f t="shared" si="79"/>
        <v>163.44</v>
      </c>
      <c r="U290">
        <f t="shared" si="79"/>
        <v>172.49968877551018</v>
      </c>
      <c r="V290">
        <f t="shared" si="79"/>
        <v>170.13551020408161</v>
      </c>
      <c r="W290">
        <f t="shared" si="79"/>
        <v>184.81571428571431</v>
      </c>
      <c r="Y290" s="8">
        <f t="shared" si="62"/>
        <v>2983.2770409782956</v>
      </c>
      <c r="Z290">
        <f t="shared" si="63"/>
        <v>122.28321401006505</v>
      </c>
    </row>
    <row r="291" spans="1:26" x14ac:dyDescent="0.25">
      <c r="A291" t="s">
        <v>60</v>
      </c>
      <c r="D291">
        <f t="shared" ref="D291:W291" si="80">D19*D87</f>
        <v>158.57510204081629</v>
      </c>
      <c r="E291">
        <f t="shared" si="80"/>
        <v>125.70285714285714</v>
      </c>
      <c r="F291">
        <f t="shared" si="80"/>
        <v>170.96187755102042</v>
      </c>
      <c r="G291">
        <f t="shared" si="80"/>
        <v>156.39061224489791</v>
      </c>
      <c r="H291">
        <f t="shared" si="80"/>
        <v>159.796081632653</v>
      </c>
      <c r="I291">
        <f t="shared" si="80"/>
        <v>141.25183673469385</v>
      </c>
      <c r="J291">
        <f t="shared" si="80"/>
        <v>137.97612244897959</v>
      </c>
      <c r="K291">
        <f t="shared" si="80"/>
        <v>153.66775510204079</v>
      </c>
      <c r="L291">
        <f t="shared" si="80"/>
        <v>102.67812499999999</v>
      </c>
      <c r="M291">
        <f t="shared" si="80"/>
        <v>108.97632653061224</v>
      </c>
      <c r="N291">
        <f t="shared" si="80"/>
        <v>116.63999999999999</v>
      </c>
      <c r="O291">
        <f t="shared" si="80"/>
        <v>85.469387755102062</v>
      </c>
      <c r="P291">
        <f t="shared" si="80"/>
        <v>70.517142857142858</v>
      </c>
      <c r="Q291">
        <f t="shared" si="80"/>
        <v>118.9665306122449</v>
      </c>
      <c r="R291">
        <f t="shared" si="80"/>
        <v>117.99</v>
      </c>
      <c r="S291">
        <f t="shared" si="80"/>
        <v>113.0473469387755</v>
      </c>
      <c r="T291">
        <f t="shared" si="80"/>
        <v>101.85428571428571</v>
      </c>
      <c r="U291">
        <f t="shared" si="80"/>
        <v>155.10204081632654</v>
      </c>
      <c r="V291">
        <f t="shared" si="80"/>
        <v>155.134693877551</v>
      </c>
      <c r="W291">
        <f t="shared" si="80"/>
        <v>190.18507288629738</v>
      </c>
      <c r="Y291" s="8">
        <f t="shared" si="62"/>
        <v>2640.8831978862977</v>
      </c>
      <c r="Z291">
        <f t="shared" si="63"/>
        <v>103.33539004782118</v>
      </c>
    </row>
    <row r="292" spans="1:26" x14ac:dyDescent="0.25">
      <c r="A292" t="s">
        <v>61</v>
      </c>
      <c r="D292">
        <f t="shared" ref="D292:W292" si="81">D20*D88</f>
        <v>162.17142857142858</v>
      </c>
      <c r="E292">
        <f t="shared" si="81"/>
        <v>165.02040816326533</v>
      </c>
      <c r="F292">
        <f t="shared" si="81"/>
        <v>159.2755102040816</v>
      </c>
      <c r="G292">
        <f t="shared" si="81"/>
        <v>160.07999999999998</v>
      </c>
      <c r="H292">
        <f t="shared" si="81"/>
        <v>142.55999999999997</v>
      </c>
      <c r="I292">
        <f t="shared" si="81"/>
        <v>101.58551020408164</v>
      </c>
      <c r="J292">
        <f t="shared" si="81"/>
        <v>105.53469387755101</v>
      </c>
      <c r="K292">
        <f t="shared" si="81"/>
        <v>90.668571428571425</v>
      </c>
      <c r="L292">
        <f t="shared" si="81"/>
        <v>89.487968750000007</v>
      </c>
      <c r="M292">
        <f t="shared" si="81"/>
        <v>117.79999999999998</v>
      </c>
      <c r="N292">
        <f t="shared" si="81"/>
        <v>115.36081632653062</v>
      </c>
      <c r="O292">
        <f t="shared" si="81"/>
        <v>84.771428571428572</v>
      </c>
      <c r="P292">
        <f t="shared" si="81"/>
        <v>109.80734693877551</v>
      </c>
      <c r="Q292">
        <f t="shared" si="81"/>
        <v>108.15918367346939</v>
      </c>
      <c r="R292">
        <f t="shared" si="81"/>
        <v>126.63020408163266</v>
      </c>
      <c r="S292">
        <f t="shared" si="81"/>
        <v>144.57142857142858</v>
      </c>
      <c r="T292">
        <f t="shared" si="81"/>
        <v>161.5877551020408</v>
      </c>
      <c r="U292">
        <f t="shared" si="81"/>
        <v>173.30510204081631</v>
      </c>
      <c r="V292">
        <f t="shared" si="81"/>
        <v>129.32571428571427</v>
      </c>
      <c r="W292">
        <f t="shared" si="81"/>
        <v>137.51020408163262</v>
      </c>
      <c r="Y292" s="8">
        <f t="shared" si="62"/>
        <v>2585.2132748724484</v>
      </c>
      <c r="Z292">
        <f t="shared" si="63"/>
        <v>84.977396505297946</v>
      </c>
    </row>
    <row r="293" spans="1:26" x14ac:dyDescent="0.25">
      <c r="A293" t="s">
        <v>62</v>
      </c>
      <c r="D293">
        <f t="shared" ref="D293:W293" si="82">D21*D89</f>
        <v>164.48979591836738</v>
      </c>
      <c r="E293">
        <f t="shared" si="82"/>
        <v>148.37551020408165</v>
      </c>
      <c r="F293">
        <f t="shared" si="82"/>
        <v>152.38775510204081</v>
      </c>
      <c r="G293">
        <f t="shared" si="82"/>
        <v>123.21428571428571</v>
      </c>
      <c r="H293">
        <f t="shared" si="82"/>
        <v>142.13571428571427</v>
      </c>
      <c r="I293">
        <f t="shared" si="82"/>
        <v>127</v>
      </c>
      <c r="J293">
        <f t="shared" si="82"/>
        <v>145.07653061224488</v>
      </c>
      <c r="K293">
        <f t="shared" si="82"/>
        <v>130.53061224489798</v>
      </c>
      <c r="L293">
        <f t="shared" si="82"/>
        <v>112.02551020408163</v>
      </c>
      <c r="M293">
        <f t="shared" si="82"/>
        <v>110.04489795918369</v>
      </c>
      <c r="N293">
        <f t="shared" si="82"/>
        <v>115.6081632653061</v>
      </c>
      <c r="O293">
        <f t="shared" si="82"/>
        <v>115.59183673469387</v>
      </c>
      <c r="P293">
        <f t="shared" si="82"/>
        <v>109.06071428571428</v>
      </c>
      <c r="Q293">
        <f t="shared" si="82"/>
        <v>127.68367346938776</v>
      </c>
      <c r="R293">
        <f t="shared" si="82"/>
        <v>119.92857142857139</v>
      </c>
      <c r="S293">
        <f t="shared" si="82"/>
        <v>168.615306122449</v>
      </c>
      <c r="T293">
        <f t="shared" si="82"/>
        <v>160.01632653061222</v>
      </c>
      <c r="U293">
        <f t="shared" si="82"/>
        <v>162.47142857142853</v>
      </c>
      <c r="V293">
        <f t="shared" si="82"/>
        <v>167.78571428571425</v>
      </c>
      <c r="W293">
        <f t="shared" si="82"/>
        <v>184.94387755102048</v>
      </c>
      <c r="Y293" s="8">
        <f t="shared" si="62"/>
        <v>2786.9862244897959</v>
      </c>
      <c r="Z293">
        <f t="shared" si="63"/>
        <v>112.59550359809811</v>
      </c>
    </row>
    <row r="294" spans="1:26" x14ac:dyDescent="0.25">
      <c r="A294" t="s">
        <v>63</v>
      </c>
      <c r="D294">
        <f t="shared" ref="D294:W294" si="83">D22*D90</f>
        <v>156.63673469387757</v>
      </c>
      <c r="E294">
        <f t="shared" si="83"/>
        <v>145.59030612244894</v>
      </c>
      <c r="F294">
        <f t="shared" si="83"/>
        <v>140.30612244897958</v>
      </c>
      <c r="G294">
        <f t="shared" si="83"/>
        <v>141.06632653061226</v>
      </c>
      <c r="H294">
        <f t="shared" si="83"/>
        <v>153.0612244897959</v>
      </c>
      <c r="I294">
        <f t="shared" si="83"/>
        <v>131.14795918367346</v>
      </c>
      <c r="J294">
        <f t="shared" si="83"/>
        <v>130.44081632653061</v>
      </c>
      <c r="K294">
        <f t="shared" si="83"/>
        <v>130.50000000000003</v>
      </c>
      <c r="L294">
        <f t="shared" si="83"/>
        <v>88.53281250000002</v>
      </c>
      <c r="M294">
        <f t="shared" si="83"/>
        <v>81.401632653061213</v>
      </c>
      <c r="N294">
        <f t="shared" si="83"/>
        <v>105.94693877551022</v>
      </c>
      <c r="O294">
        <f t="shared" si="83"/>
        <v>107.58367346938773</v>
      </c>
      <c r="P294">
        <f t="shared" si="83"/>
        <v>127.36836734693875</v>
      </c>
      <c r="Q294">
        <f t="shared" si="83"/>
        <v>104.38775510204081</v>
      </c>
      <c r="R294">
        <f t="shared" si="83"/>
        <v>104.15714285714283</v>
      </c>
      <c r="S294">
        <f t="shared" si="83"/>
        <v>158.88061224489792</v>
      </c>
      <c r="T294">
        <f t="shared" si="83"/>
        <v>149.28571428571428</v>
      </c>
      <c r="U294">
        <f t="shared" si="83"/>
        <v>178.08046874999999</v>
      </c>
      <c r="V294">
        <f t="shared" si="83"/>
        <v>158.60510204081632</v>
      </c>
      <c r="W294">
        <f t="shared" si="83"/>
        <v>141.68571428571428</v>
      </c>
      <c r="Y294" s="8">
        <f t="shared" si="62"/>
        <v>2634.6654241071428</v>
      </c>
      <c r="Z294">
        <f t="shared" si="63"/>
        <v>116.3375176110082</v>
      </c>
    </row>
    <row r="295" spans="1:26" x14ac:dyDescent="0.25">
      <c r="A295" t="s">
        <v>64</v>
      </c>
      <c r="D295">
        <f t="shared" ref="D295:W295" si="84">D23*D91</f>
        <v>209.76326530612249</v>
      </c>
      <c r="E295">
        <f t="shared" si="84"/>
        <v>179.6816326530612</v>
      </c>
      <c r="F295">
        <f t="shared" si="84"/>
        <v>152.34285714285716</v>
      </c>
      <c r="G295">
        <f t="shared" si="84"/>
        <v>143.85714285714283</v>
      </c>
      <c r="H295">
        <f t="shared" si="84"/>
        <v>136.4722448979592</v>
      </c>
      <c r="I295">
        <f t="shared" si="84"/>
        <v>137.95714285714286</v>
      </c>
      <c r="J295">
        <f t="shared" si="84"/>
        <v>136.63469387755097</v>
      </c>
      <c r="K295">
        <f t="shared" si="84"/>
        <v>169.64999999999998</v>
      </c>
      <c r="L295">
        <f t="shared" si="84"/>
        <v>3.0164062500000015</v>
      </c>
      <c r="M295">
        <f t="shared" si="84"/>
        <v>138.83571428571429</v>
      </c>
      <c r="N295">
        <f t="shared" si="84"/>
        <v>131.69795918367348</v>
      </c>
      <c r="O295">
        <f t="shared" si="84"/>
        <v>54.4</v>
      </c>
      <c r="P295">
        <f t="shared" si="84"/>
        <v>93.465306122448993</v>
      </c>
      <c r="Q295">
        <f t="shared" si="84"/>
        <v>138.64489795918371</v>
      </c>
      <c r="R295">
        <f t="shared" si="84"/>
        <v>153.80408163265307</v>
      </c>
      <c r="S295">
        <f t="shared" si="84"/>
        <v>155.41734693877549</v>
      </c>
      <c r="T295">
        <f t="shared" si="84"/>
        <v>142.21938775510205</v>
      </c>
      <c r="U295">
        <f t="shared" si="84"/>
        <v>158.15020408163264</v>
      </c>
      <c r="V295">
        <f t="shared" si="84"/>
        <v>205.17142857142858</v>
      </c>
      <c r="W295">
        <f t="shared" si="84"/>
        <v>205.36183673469384</v>
      </c>
      <c r="Y295" s="8">
        <f t="shared" si="62"/>
        <v>2846.5435491071426</v>
      </c>
      <c r="Z295">
        <f t="shared" si="63"/>
        <v>126.99067161016548</v>
      </c>
    </row>
    <row r="296" spans="1:26" x14ac:dyDescent="0.25">
      <c r="A296" t="s">
        <v>65</v>
      </c>
      <c r="D296">
        <f t="shared" ref="D296:W296" si="85">D24*D92</f>
        <v>208.89183673469384</v>
      </c>
      <c r="E296">
        <f t="shared" si="85"/>
        <v>185.9948979591837</v>
      </c>
      <c r="F296">
        <f t="shared" si="85"/>
        <v>120.18285714285717</v>
      </c>
      <c r="G296">
        <f t="shared" si="85"/>
        <v>187.59489795918367</v>
      </c>
      <c r="H296">
        <f t="shared" si="85"/>
        <v>167.05408163265307</v>
      </c>
      <c r="I296">
        <f t="shared" si="85"/>
        <v>135.04081632653063</v>
      </c>
      <c r="J296">
        <f t="shared" si="85"/>
        <v>98.472448979591846</v>
      </c>
      <c r="K296">
        <f t="shared" si="85"/>
        <v>120.01428571428572</v>
      </c>
      <c r="L296">
        <f t="shared" si="85"/>
        <v>96.736607142857153</v>
      </c>
      <c r="M296">
        <f t="shared" si="85"/>
        <v>118.09358070500926</v>
      </c>
      <c r="N296">
        <f t="shared" si="85"/>
        <v>113.06660482374767</v>
      </c>
      <c r="O296">
        <f t="shared" si="85"/>
        <v>135.79851576994434</v>
      </c>
      <c r="P296">
        <f t="shared" si="85"/>
        <v>143.07899999999998</v>
      </c>
      <c r="Q296">
        <f t="shared" si="85"/>
        <v>166.26549165120596</v>
      </c>
      <c r="R296">
        <f t="shared" si="85"/>
        <v>149.84434137291277</v>
      </c>
      <c r="S296">
        <f t="shared" si="85"/>
        <v>157.27495361781078</v>
      </c>
      <c r="T296">
        <f t="shared" si="85"/>
        <v>170.0078849721707</v>
      </c>
      <c r="U296">
        <f t="shared" si="85"/>
        <v>180.3345895176252</v>
      </c>
      <c r="V296">
        <f t="shared" si="85"/>
        <v>171.50081632653061</v>
      </c>
      <c r="W296">
        <f t="shared" si="85"/>
        <v>193.94693877551023</v>
      </c>
      <c r="Y296" s="8">
        <f t="shared" si="62"/>
        <v>3019.1954471243043</v>
      </c>
      <c r="Z296">
        <f t="shared" si="63"/>
        <v>104.94667613954462</v>
      </c>
    </row>
    <row r="297" spans="1:26" x14ac:dyDescent="0.25">
      <c r="A297" t="s">
        <v>66</v>
      </c>
      <c r="D297">
        <f t="shared" ref="D297:W297" si="86">D25*D93</f>
        <v>132.6</v>
      </c>
      <c r="E297">
        <f t="shared" si="86"/>
        <v>126.77142857142856</v>
      </c>
      <c r="F297">
        <f t="shared" si="86"/>
        <v>131.14285714285717</v>
      </c>
      <c r="G297">
        <f t="shared" si="86"/>
        <v>112.91428571428571</v>
      </c>
      <c r="H297">
        <f t="shared" si="86"/>
        <v>152.70306122448977</v>
      </c>
      <c r="I297">
        <f t="shared" si="86"/>
        <v>147.05816326530612</v>
      </c>
      <c r="J297">
        <f t="shared" si="86"/>
        <v>156.234693877551</v>
      </c>
      <c r="K297">
        <f t="shared" si="86"/>
        <v>165.66122448979593</v>
      </c>
      <c r="L297">
        <f t="shared" si="86"/>
        <v>125.40937499999998</v>
      </c>
      <c r="M297">
        <f t="shared" si="86"/>
        <v>104.13367346938773</v>
      </c>
      <c r="N297">
        <f t="shared" si="86"/>
        <v>100.30775510204083</v>
      </c>
      <c r="O297">
        <f t="shared" si="86"/>
        <v>109.17795918367347</v>
      </c>
      <c r="P297">
        <f t="shared" si="86"/>
        <v>134.90816326530611</v>
      </c>
      <c r="Q297">
        <f t="shared" si="86"/>
        <v>135.62448979591838</v>
      </c>
      <c r="R297">
        <f t="shared" si="86"/>
        <v>194.97714285714278</v>
      </c>
      <c r="S297">
        <f t="shared" si="86"/>
        <v>197.5542857142857</v>
      </c>
      <c r="T297">
        <f t="shared" si="86"/>
        <v>229.15816326530611</v>
      </c>
      <c r="U297">
        <f t="shared" si="86"/>
        <v>217.55102040816325</v>
      </c>
      <c r="V297">
        <f t="shared" si="86"/>
        <v>204.00816326530611</v>
      </c>
      <c r="W297">
        <f t="shared" si="86"/>
        <v>180.47755102040912</v>
      </c>
      <c r="Y297" s="8">
        <f t="shared" si="62"/>
        <v>3058.3734566326534</v>
      </c>
      <c r="Z297">
        <f t="shared" si="63"/>
        <v>173.77485774972132</v>
      </c>
    </row>
    <row r="298" spans="1:26" x14ac:dyDescent="0.25">
      <c r="A298" t="s">
        <v>67</v>
      </c>
      <c r="D298">
        <f t="shared" ref="D298:W298" si="87">D26*D94</f>
        <v>100.59326530612246</v>
      </c>
      <c r="E298">
        <f t="shared" si="87"/>
        <v>77.693877551020393</v>
      </c>
      <c r="F298">
        <f t="shared" si="87"/>
        <v>75.930612244897958</v>
      </c>
      <c r="G298">
        <f t="shared" si="87"/>
        <v>69.47999999999999</v>
      </c>
      <c r="H298">
        <f t="shared" si="87"/>
        <v>144.82959183673464</v>
      </c>
      <c r="I298">
        <f t="shared" si="87"/>
        <v>161.57959183673472</v>
      </c>
      <c r="J298">
        <f t="shared" si="87"/>
        <v>149.79530612244901</v>
      </c>
      <c r="K298">
        <f t="shared" si="87"/>
        <v>145.34816326530617</v>
      </c>
      <c r="L298">
        <f t="shared" si="87"/>
        <v>103.58857142857136</v>
      </c>
      <c r="M298">
        <f t="shared" si="87"/>
        <v>90.747141170517779</v>
      </c>
      <c r="N298">
        <f t="shared" si="87"/>
        <v>89.289256198347104</v>
      </c>
      <c r="O298">
        <f t="shared" si="87"/>
        <v>102.92333445775003</v>
      </c>
      <c r="P298">
        <f t="shared" si="87"/>
        <v>100.11219429920727</v>
      </c>
      <c r="Q298">
        <f t="shared" si="87"/>
        <v>102.64012143700458</v>
      </c>
      <c r="R298">
        <f t="shared" si="87"/>
        <v>84.823469387755082</v>
      </c>
      <c r="S298">
        <f t="shared" si="87"/>
        <v>87.95714285714287</v>
      </c>
      <c r="T298">
        <f t="shared" si="87"/>
        <v>89.673469387755105</v>
      </c>
      <c r="U298">
        <f t="shared" si="87"/>
        <v>109.43877551020407</v>
      </c>
      <c r="V298">
        <f t="shared" si="87"/>
        <v>172.08571428571432</v>
      </c>
      <c r="W298">
        <f t="shared" si="87"/>
        <v>207.46224489795921</v>
      </c>
      <c r="Y298" s="8">
        <f t="shared" si="62"/>
        <v>2265.9918434811943</v>
      </c>
      <c r="Z298">
        <f t="shared" si="63"/>
        <v>121.34123826449974</v>
      </c>
    </row>
    <row r="299" spans="1:26" x14ac:dyDescent="0.25">
      <c r="Y299" s="8"/>
    </row>
    <row r="300" spans="1:26" x14ac:dyDescent="0.25">
      <c r="A300" t="s">
        <v>68</v>
      </c>
      <c r="D300">
        <f t="shared" ref="D300:W300" si="88">D28*D96</f>
        <v>140.41632653061214</v>
      </c>
      <c r="E300">
        <f t="shared" si="88"/>
        <v>106.74183673469352</v>
      </c>
      <c r="F300">
        <f t="shared" si="88"/>
        <v>127.183673469388</v>
      </c>
      <c r="G300">
        <f t="shared" si="88"/>
        <v>198.90000000000038</v>
      </c>
      <c r="H300">
        <f t="shared" si="88"/>
        <v>131.16734693877538</v>
      </c>
      <c r="I300">
        <f t="shared" si="88"/>
        <v>177.11785714285713</v>
      </c>
      <c r="J300">
        <f t="shared" si="88"/>
        <v>158.06530612244865</v>
      </c>
      <c r="K300">
        <f t="shared" si="88"/>
        <v>116.08775510204119</v>
      </c>
      <c r="L300">
        <f t="shared" si="88"/>
        <v>103.25520833333312</v>
      </c>
      <c r="M300">
        <f t="shared" si="88"/>
        <v>114.68843181818178</v>
      </c>
      <c r="N300">
        <f t="shared" si="88"/>
        <v>93.54136075612675</v>
      </c>
      <c r="O300">
        <f t="shared" si="88"/>
        <v>82.153549178094806</v>
      </c>
      <c r="P300">
        <f t="shared" si="88"/>
        <v>114.0779940053453</v>
      </c>
      <c r="Q300">
        <f t="shared" si="88"/>
        <v>130.53229988193627</v>
      </c>
      <c r="R300">
        <f t="shared" si="88"/>
        <v>135.05687323900585</v>
      </c>
      <c r="S300">
        <f t="shared" si="88"/>
        <v>150.65314929967988</v>
      </c>
      <c r="T300">
        <f t="shared" si="88"/>
        <v>159.12795327121856</v>
      </c>
      <c r="U300">
        <f t="shared" si="88"/>
        <v>175.55063584788931</v>
      </c>
      <c r="V300">
        <f t="shared" si="88"/>
        <v>162.09488702623906</v>
      </c>
      <c r="W300">
        <f t="shared" si="88"/>
        <v>176.35471153846157</v>
      </c>
      <c r="Y300" s="8">
        <f t="shared" si="62"/>
        <v>2752.7671562363294</v>
      </c>
      <c r="Z300">
        <f>SUMPRODUCT($D$304:$W$304,D300:W300)</f>
        <v>125.43126984304176</v>
      </c>
    </row>
    <row r="301" spans="1:26" x14ac:dyDescent="0.25">
      <c r="A301" t="s">
        <v>312</v>
      </c>
      <c r="D301">
        <f t="shared" ref="D301:W301" si="89">D29*D97</f>
        <v>184.84285714285716</v>
      </c>
      <c r="E301">
        <f t="shared" si="89"/>
        <v>139.51755102040815</v>
      </c>
      <c r="F301">
        <f t="shared" si="89"/>
        <v>116.87367346938778</v>
      </c>
      <c r="G301">
        <f t="shared" si="89"/>
        <v>119.51122448979594</v>
      </c>
      <c r="H301">
        <f t="shared" si="89"/>
        <v>134.48979591836735</v>
      </c>
      <c r="I301">
        <f t="shared" si="89"/>
        <v>124.21428571428571</v>
      </c>
      <c r="J301">
        <f t="shared" si="89"/>
        <v>108.94285714285716</v>
      </c>
      <c r="K301">
        <f t="shared" si="89"/>
        <v>36.440816326530616</v>
      </c>
      <c r="L301">
        <f t="shared" si="89"/>
        <v>71.611406250000016</v>
      </c>
      <c r="M301">
        <f t="shared" si="89"/>
        <v>78.252857142857124</v>
      </c>
      <c r="N301">
        <f t="shared" si="89"/>
        <v>65.753061224489798</v>
      </c>
      <c r="O301">
        <f t="shared" si="89"/>
        <v>68.8</v>
      </c>
      <c r="P301">
        <f t="shared" si="89"/>
        <v>84.48</v>
      </c>
      <c r="Q301">
        <f t="shared" si="89"/>
        <v>80.850000000000009</v>
      </c>
      <c r="R301">
        <f t="shared" si="89"/>
        <v>102.11999999999999</v>
      </c>
      <c r="S301">
        <f t="shared" si="89"/>
        <v>62.04</v>
      </c>
      <c r="T301">
        <f t="shared" si="89"/>
        <v>96.04000000000002</v>
      </c>
      <c r="U301">
        <f t="shared" si="89"/>
        <v>142</v>
      </c>
      <c r="V301">
        <f t="shared" si="89"/>
        <v>166.518</v>
      </c>
      <c r="W301">
        <f t="shared" si="89"/>
        <v>163.982</v>
      </c>
      <c r="Y301" s="8">
        <f t="shared" si="62"/>
        <v>2147.2803858418365</v>
      </c>
      <c r="Z301">
        <f>SUMPRODUCT($D$304:$W$304,D301:W301)</f>
        <v>93.252469715147896</v>
      </c>
    </row>
    <row r="302" spans="1:26" x14ac:dyDescent="0.25">
      <c r="A302" t="s">
        <v>313</v>
      </c>
      <c r="D302">
        <f t="shared" ref="D302:W302" si="90">D30*D98</f>
        <v>171.12</v>
      </c>
      <c r="E302">
        <f t="shared" si="90"/>
        <v>159.20999999999998</v>
      </c>
      <c r="F302">
        <f t="shared" si="90"/>
        <v>109.47000000000001</v>
      </c>
      <c r="G302">
        <f t="shared" si="90"/>
        <v>106.22000000000001</v>
      </c>
      <c r="H302">
        <f t="shared" si="90"/>
        <v>126.48</v>
      </c>
      <c r="I302">
        <f t="shared" si="90"/>
        <v>124.96000000000001</v>
      </c>
      <c r="J302">
        <f t="shared" si="90"/>
        <v>130.13</v>
      </c>
      <c r="K302">
        <f t="shared" si="90"/>
        <v>79.559999999999988</v>
      </c>
      <c r="L302">
        <f t="shared" si="90"/>
        <v>72.38000000000001</v>
      </c>
      <c r="M302">
        <f t="shared" si="90"/>
        <v>69.720000000000013</v>
      </c>
      <c r="N302">
        <f t="shared" si="90"/>
        <v>74.7</v>
      </c>
      <c r="O302">
        <f t="shared" si="90"/>
        <v>67.89</v>
      </c>
      <c r="P302">
        <f t="shared" si="90"/>
        <v>126.25129720823394</v>
      </c>
      <c r="Q302">
        <f t="shared" si="90"/>
        <v>132.59438744588741</v>
      </c>
      <c r="R302">
        <f t="shared" si="90"/>
        <v>133.8625766269025</v>
      </c>
      <c r="S302">
        <f t="shared" si="90"/>
        <v>145.57171613158619</v>
      </c>
      <c r="T302">
        <f t="shared" si="90"/>
        <v>153.80107204710083</v>
      </c>
      <c r="U302">
        <f t="shared" si="90"/>
        <v>164.47269897621118</v>
      </c>
      <c r="V302">
        <f t="shared" si="90"/>
        <v>167.95358855877947</v>
      </c>
      <c r="W302">
        <f t="shared" si="90"/>
        <v>172.97096488037394</v>
      </c>
      <c r="Y302" s="8">
        <f t="shared" si="62"/>
        <v>2489.3183018750756</v>
      </c>
      <c r="Z302">
        <f>SUMPRODUCT($D$304:$W$304,D302:W302)</f>
        <v>124.68567514209565</v>
      </c>
    </row>
    <row r="303" spans="1:26" x14ac:dyDescent="0.25">
      <c r="A303" t="s">
        <v>676</v>
      </c>
      <c r="D303">
        <f t="shared" ref="D303:W303" si="91">D31*D99</f>
        <v>183.11230320699707</v>
      </c>
      <c r="E303">
        <f t="shared" si="91"/>
        <v>178.35507288629736</v>
      </c>
      <c r="F303">
        <f t="shared" si="91"/>
        <v>173.3244752186589</v>
      </c>
      <c r="G303">
        <f t="shared" si="91"/>
        <v>174.33326530612243</v>
      </c>
      <c r="H303">
        <f t="shared" si="91"/>
        <v>184.90221574344025</v>
      </c>
      <c r="I303">
        <f t="shared" si="91"/>
        <v>134.90052507883621</v>
      </c>
      <c r="J303">
        <f t="shared" si="91"/>
        <v>139.08316701374423</v>
      </c>
      <c r="K303">
        <f t="shared" si="91"/>
        <v>133.67105289462722</v>
      </c>
      <c r="L303">
        <f t="shared" si="91"/>
        <v>109.70097328852174</v>
      </c>
      <c r="M303">
        <f t="shared" si="91"/>
        <v>116.88132360010121</v>
      </c>
      <c r="N303">
        <f t="shared" si="91"/>
        <v>115.78934653880439</v>
      </c>
      <c r="O303">
        <f t="shared" si="91"/>
        <v>111.93604213550827</v>
      </c>
      <c r="P303">
        <f t="shared" si="91"/>
        <v>100.41622952380953</v>
      </c>
      <c r="Q303">
        <f t="shared" si="91"/>
        <v>125.78443129251698</v>
      </c>
      <c r="R303">
        <f t="shared" si="91"/>
        <v>131.28272727272727</v>
      </c>
      <c r="S303">
        <f t="shared" si="91"/>
        <v>141.61850649350646</v>
      </c>
      <c r="T303">
        <f t="shared" si="91"/>
        <v>149.05630147218272</v>
      </c>
      <c r="U303">
        <f t="shared" si="91"/>
        <v>167.97656751481355</v>
      </c>
      <c r="V303">
        <f t="shared" si="91"/>
        <v>161.34360027727374</v>
      </c>
      <c r="W303">
        <f t="shared" si="91"/>
        <v>167.72882913005364</v>
      </c>
      <c r="Y303" s="8">
        <f t="shared" ref="Y303" si="92">SUM(D303:W303)</f>
        <v>2901.1969558885439</v>
      </c>
      <c r="Z303">
        <f>SUMPRODUCT($D$304:$W$304,D303:W303)</f>
        <v>96.5045316535777</v>
      </c>
    </row>
    <row r="304" spans="1:26" x14ac:dyDescent="0.25">
      <c r="A304" s="2" t="s">
        <v>69</v>
      </c>
      <c r="D304" s="3">
        <f>CORREL($B$2:$B$26,D274:D298)</f>
        <v>-0.1279901601283234</v>
      </c>
      <c r="E304" s="3">
        <f t="shared" ref="E304:W304" si="93">CORREL($B$2:$B$26,E274:E298)</f>
        <v>-0.1388498611919492</v>
      </c>
      <c r="F304" s="3">
        <f t="shared" si="93"/>
        <v>4.5907990616553526E-2</v>
      </c>
      <c r="G304" s="3">
        <f t="shared" si="93"/>
        <v>-7.5652580562236893E-2</v>
      </c>
      <c r="H304" s="3">
        <f t="shared" si="93"/>
        <v>3.1703349476320052E-2</v>
      </c>
      <c r="I304" s="3">
        <f t="shared" si="93"/>
        <v>0.17600942383646578</v>
      </c>
      <c r="J304" s="3">
        <f t="shared" si="93"/>
        <v>-1.5126250205439073E-2</v>
      </c>
      <c r="K304" s="3">
        <f t="shared" si="93"/>
        <v>7.5503942628955392E-2</v>
      </c>
      <c r="L304" s="3">
        <f t="shared" si="93"/>
        <v>-9.9252158634630994E-2</v>
      </c>
      <c r="M304" s="3">
        <f t="shared" si="93"/>
        <v>-0.26651939836887445</v>
      </c>
      <c r="N304" s="3">
        <f t="shared" si="93"/>
        <v>-7.2751441112330506E-2</v>
      </c>
      <c r="O304" s="3">
        <f t="shared" si="93"/>
        <v>-9.4123270360896696E-2</v>
      </c>
      <c r="P304" s="3">
        <f t="shared" si="93"/>
        <v>0.1246357962433705</v>
      </c>
      <c r="Q304" s="3">
        <f t="shared" si="93"/>
        <v>-0.14923537929347214</v>
      </c>
      <c r="R304" s="3">
        <f t="shared" si="93"/>
        <v>0.16766952481428093</v>
      </c>
      <c r="S304" s="3">
        <f t="shared" si="93"/>
        <v>0.15256127569416592</v>
      </c>
      <c r="T304" s="3">
        <f t="shared" si="93"/>
        <v>6.8482920823749086E-2</v>
      </c>
      <c r="U304" s="3">
        <f t="shared" si="93"/>
        <v>0.23279701593973676</v>
      </c>
      <c r="V304" s="3">
        <f t="shared" si="93"/>
        <v>0.28867363708858529</v>
      </c>
      <c r="W304" s="3">
        <f t="shared" si="93"/>
        <v>0.23902952914045578</v>
      </c>
      <c r="X304" s="3"/>
    </row>
    <row r="307" spans="1:26" x14ac:dyDescent="0.25">
      <c r="D307" t="s">
        <v>118</v>
      </c>
      <c r="E307" t="s">
        <v>119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324</v>
      </c>
      <c r="M307" t="s">
        <v>370</v>
      </c>
      <c r="N307" t="s">
        <v>371</v>
      </c>
      <c r="O307" t="s">
        <v>372</v>
      </c>
      <c r="P307" t="s">
        <v>488</v>
      </c>
      <c r="Q307" t="s">
        <v>489</v>
      </c>
      <c r="R307" t="s">
        <v>490</v>
      </c>
      <c r="S307" t="s">
        <v>491</v>
      </c>
      <c r="T307" t="s">
        <v>600</v>
      </c>
      <c r="U307" t="s">
        <v>601</v>
      </c>
      <c r="V307" t="s">
        <v>602</v>
      </c>
      <c r="W307" t="s">
        <v>603</v>
      </c>
      <c r="Y307" t="s">
        <v>126</v>
      </c>
      <c r="Z307" t="s">
        <v>127</v>
      </c>
    </row>
    <row r="308" spans="1:26" x14ac:dyDescent="0.25">
      <c r="A308" t="s">
        <v>43</v>
      </c>
      <c r="D308">
        <f t="shared" ref="D308:W308" si="94">D2*D104</f>
        <v>736.10722293514129</v>
      </c>
      <c r="E308">
        <f t="shared" si="94"/>
        <v>540.61433245193973</v>
      </c>
      <c r="F308">
        <f t="shared" si="94"/>
        <v>558.18077916768709</v>
      </c>
      <c r="G308">
        <f t="shared" si="94"/>
        <v>994.80971181062057</v>
      </c>
      <c r="H308">
        <f t="shared" si="94"/>
        <v>652.5154429118387</v>
      </c>
      <c r="I308">
        <f t="shared" si="94"/>
        <v>671.0281996896158</v>
      </c>
      <c r="J308">
        <f t="shared" si="94"/>
        <v>463.81437372962517</v>
      </c>
      <c r="K308">
        <f t="shared" si="94"/>
        <v>819.99869774005765</v>
      </c>
      <c r="L308">
        <f t="shared" si="94"/>
        <v>582.46841597760749</v>
      </c>
      <c r="M308">
        <f t="shared" si="94"/>
        <v>492.66142159380553</v>
      </c>
      <c r="N308">
        <f t="shared" si="94"/>
        <v>607.50003145110145</v>
      </c>
      <c r="O308">
        <f t="shared" si="94"/>
        <v>736.22811706661196</v>
      </c>
      <c r="P308">
        <f t="shared" si="94"/>
        <v>591.07332722913645</v>
      </c>
      <c r="Q308">
        <f t="shared" si="94"/>
        <v>761.66345087606044</v>
      </c>
      <c r="R308">
        <f t="shared" si="94"/>
        <v>2324.7038233518942</v>
      </c>
      <c r="S308">
        <f t="shared" si="94"/>
        <v>706.2614016910012</v>
      </c>
      <c r="T308">
        <f t="shared" si="94"/>
        <v>644.38322839705688</v>
      </c>
      <c r="U308">
        <f t="shared" si="94"/>
        <v>648.4089295288062</v>
      </c>
      <c r="V308">
        <f t="shared" si="94"/>
        <v>757.34950724082523</v>
      </c>
      <c r="W308">
        <f t="shared" si="94"/>
        <v>731.10936846909851</v>
      </c>
      <c r="Y308" s="8">
        <f t="shared" ref="Y308:Y336" si="95">SUM(D308:W308)</f>
        <v>15020.879783309532</v>
      </c>
      <c r="Z308">
        <f t="shared" ref="Z308:Z332" si="96">SUMPRODUCT($D$338:$W$338,D308:W308)</f>
        <v>-2.6111828521089535</v>
      </c>
    </row>
    <row r="309" spans="1:26" x14ac:dyDescent="0.25">
      <c r="A309" t="s">
        <v>44</v>
      </c>
      <c r="D309">
        <f t="shared" ref="D309:W309" si="97">D3*D105</f>
        <v>564.40819221325205</v>
      </c>
      <c r="E309">
        <f t="shared" si="97"/>
        <v>628.0675191145524</v>
      </c>
      <c r="F309">
        <f t="shared" si="97"/>
        <v>601.138834730638</v>
      </c>
      <c r="G309">
        <f t="shared" si="97"/>
        <v>663.39682343505717</v>
      </c>
      <c r="H309">
        <f t="shared" si="97"/>
        <v>632.71476962418092</v>
      </c>
      <c r="I309">
        <f t="shared" si="97"/>
        <v>610.04971754992732</v>
      </c>
      <c r="J309">
        <f t="shared" si="97"/>
        <v>540.96224027429025</v>
      </c>
      <c r="K309">
        <f t="shared" si="97"/>
        <v>653.93563818934456</v>
      </c>
      <c r="L309">
        <f t="shared" si="97"/>
        <v>610.16340220027007</v>
      </c>
      <c r="M309">
        <f t="shared" si="97"/>
        <v>655.04187230820651</v>
      </c>
      <c r="N309">
        <f t="shared" si="97"/>
        <v>648.02538738608484</v>
      </c>
      <c r="O309">
        <f t="shared" si="97"/>
        <v>641.24507771292838</v>
      </c>
      <c r="P309">
        <f t="shared" si="97"/>
        <v>626.68748893920667</v>
      </c>
      <c r="Q309">
        <f t="shared" si="97"/>
        <v>668.78522527387406</v>
      </c>
      <c r="R309">
        <f t="shared" si="97"/>
        <v>582.71627749213076</v>
      </c>
      <c r="S309">
        <f t="shared" si="97"/>
        <v>646.95157779759086</v>
      </c>
      <c r="T309">
        <f t="shared" si="97"/>
        <v>588.3429118599413</v>
      </c>
      <c r="U309">
        <f t="shared" si="97"/>
        <v>632.26386745848697</v>
      </c>
      <c r="V309">
        <f t="shared" si="97"/>
        <v>652.85288670429486</v>
      </c>
      <c r="W309">
        <f t="shared" si="97"/>
        <v>721.26696984155581</v>
      </c>
      <c r="Y309" s="8">
        <f t="shared" si="95"/>
        <v>12569.016680105815</v>
      </c>
      <c r="Z309">
        <f t="shared" si="96"/>
        <v>240.27235568631178</v>
      </c>
    </row>
    <row r="310" spans="1:26" x14ac:dyDescent="0.25">
      <c r="A310" t="s">
        <v>45</v>
      </c>
      <c r="D310">
        <f t="shared" ref="D310:W310" si="98">D4*D106</f>
        <v>567.72018456513331</v>
      </c>
      <c r="E310">
        <f t="shared" si="98"/>
        <v>505.99041653221263</v>
      </c>
      <c r="F310">
        <f t="shared" si="98"/>
        <v>522.48419416067179</v>
      </c>
      <c r="G310">
        <f t="shared" si="98"/>
        <v>608.29885966981965</v>
      </c>
      <c r="H310">
        <f t="shared" si="98"/>
        <v>635.01118027081702</v>
      </c>
      <c r="I310">
        <f t="shared" si="98"/>
        <v>538.49332789467235</v>
      </c>
      <c r="J310">
        <f t="shared" si="98"/>
        <v>558.58026151072352</v>
      </c>
      <c r="K310">
        <f t="shared" si="98"/>
        <v>607.53009748424336</v>
      </c>
      <c r="L310">
        <f t="shared" si="98"/>
        <v>796.73953730221433</v>
      </c>
      <c r="M310">
        <f t="shared" si="98"/>
        <v>550.23162355852389</v>
      </c>
      <c r="N310">
        <f t="shared" si="98"/>
        <v>439.48808661285005</v>
      </c>
      <c r="O310">
        <f t="shared" si="98"/>
        <v>633.34699169309965</v>
      </c>
      <c r="P310">
        <f t="shared" si="98"/>
        <v>717.39770643620147</v>
      </c>
      <c r="Q310">
        <f t="shared" si="98"/>
        <v>572.92218640326735</v>
      </c>
      <c r="R310">
        <f t="shared" si="98"/>
        <v>472.65696114725233</v>
      </c>
      <c r="S310">
        <f t="shared" si="98"/>
        <v>532.3504577177938</v>
      </c>
      <c r="T310">
        <f t="shared" si="98"/>
        <v>673.66564806402323</v>
      </c>
      <c r="U310">
        <f t="shared" si="98"/>
        <v>619.50239125557857</v>
      </c>
      <c r="V310">
        <f t="shared" si="98"/>
        <v>666.33055786498812</v>
      </c>
      <c r="W310">
        <f t="shared" si="98"/>
        <v>792.15246668123132</v>
      </c>
      <c r="Y310" s="8">
        <f t="shared" si="95"/>
        <v>12010.89313682532</v>
      </c>
      <c r="Z310">
        <f t="shared" si="96"/>
        <v>320.41771504003401</v>
      </c>
    </row>
    <row r="311" spans="1:26" x14ac:dyDescent="0.25">
      <c r="A311" t="s">
        <v>46</v>
      </c>
      <c r="D311">
        <f t="shared" ref="D311:W311" si="99">D5*D107</f>
        <v>750.86416400163489</v>
      </c>
      <c r="E311">
        <f t="shared" si="99"/>
        <v>680.88091944050143</v>
      </c>
      <c r="F311">
        <f t="shared" si="99"/>
        <v>656.41708617566655</v>
      </c>
      <c r="G311">
        <f t="shared" si="99"/>
        <v>659.43007073381989</v>
      </c>
      <c r="H311">
        <f t="shared" si="99"/>
        <v>550.133687612328</v>
      </c>
      <c r="I311">
        <f t="shared" si="99"/>
        <v>689.62150987439679</v>
      </c>
      <c r="J311">
        <f t="shared" si="99"/>
        <v>662.56256213837094</v>
      </c>
      <c r="K311">
        <f t="shared" si="99"/>
        <v>640.47479687748148</v>
      </c>
      <c r="L311">
        <f t="shared" si="99"/>
        <v>636.44695611616601</v>
      </c>
      <c r="M311">
        <f t="shared" si="99"/>
        <v>410.92859687772784</v>
      </c>
      <c r="N311">
        <f t="shared" si="99"/>
        <v>537.95002884361213</v>
      </c>
      <c r="O311">
        <f t="shared" si="99"/>
        <v>496.44079998846792</v>
      </c>
      <c r="P311">
        <f t="shared" si="99"/>
        <v>581.6480481918436</v>
      </c>
      <c r="Q311">
        <f t="shared" si="99"/>
        <v>704.89629431387016</v>
      </c>
      <c r="R311">
        <f t="shared" si="99"/>
        <v>591.82221698715614</v>
      </c>
      <c r="S311">
        <f t="shared" si="99"/>
        <v>435.436608373372</v>
      </c>
      <c r="T311">
        <f t="shared" si="99"/>
        <v>581.76873023016128</v>
      </c>
      <c r="U311">
        <f t="shared" si="99"/>
        <v>615.55123609178077</v>
      </c>
      <c r="V311">
        <f t="shared" si="99"/>
        <v>620.76177412030472</v>
      </c>
      <c r="W311">
        <f t="shared" si="99"/>
        <v>577.60149293605343</v>
      </c>
      <c r="Y311" s="8">
        <f t="shared" si="95"/>
        <v>12081.637579924714</v>
      </c>
      <c r="Z311">
        <f t="shared" si="96"/>
        <v>166.68801144766769</v>
      </c>
    </row>
    <row r="312" spans="1:26" x14ac:dyDescent="0.25">
      <c r="A312" t="s">
        <v>47</v>
      </c>
      <c r="D312">
        <f t="shared" ref="D312:W312" si="100">D6*D108</f>
        <v>606.58093497429627</v>
      </c>
      <c r="E312">
        <f t="shared" si="100"/>
        <v>711.79020742458863</v>
      </c>
      <c r="F312">
        <f t="shared" si="100"/>
        <v>760.33988602975467</v>
      </c>
      <c r="G312">
        <f t="shared" si="100"/>
        <v>650.67077971301319</v>
      </c>
      <c r="H312">
        <f t="shared" si="100"/>
        <v>649.98262053818519</v>
      </c>
      <c r="I312">
        <f t="shared" si="100"/>
        <v>557.68875621005168</v>
      </c>
      <c r="J312">
        <f t="shared" si="100"/>
        <v>782.13070915127059</v>
      </c>
      <c r="K312">
        <f t="shared" si="100"/>
        <v>743.99630590525601</v>
      </c>
      <c r="L312">
        <f t="shared" si="100"/>
        <v>595.25846309553344</v>
      </c>
      <c r="M312">
        <f t="shared" si="100"/>
        <v>713.35663936432741</v>
      </c>
      <c r="N312">
        <f t="shared" si="100"/>
        <v>600.51269090884216</v>
      </c>
      <c r="O312">
        <f t="shared" si="100"/>
        <v>580.93026537447804</v>
      </c>
      <c r="P312">
        <f t="shared" si="100"/>
        <v>680.24584953247052</v>
      </c>
      <c r="Q312">
        <f t="shared" si="100"/>
        <v>481.70395292320984</v>
      </c>
      <c r="R312">
        <f t="shared" si="100"/>
        <v>703.69684638200192</v>
      </c>
      <c r="S312">
        <f t="shared" si="100"/>
        <v>597.14509168256438</v>
      </c>
      <c r="T312">
        <f t="shared" si="100"/>
        <v>733.57113843213779</v>
      </c>
      <c r="U312">
        <f t="shared" si="100"/>
        <v>771.99314822329188</v>
      </c>
      <c r="V312">
        <f t="shared" si="100"/>
        <v>718.4250025823369</v>
      </c>
      <c r="W312">
        <f t="shared" si="100"/>
        <v>478.62606915828002</v>
      </c>
      <c r="Y312" s="8">
        <f t="shared" si="95"/>
        <v>13118.64535760589</v>
      </c>
      <c r="Z312">
        <f t="shared" si="96"/>
        <v>310.58794503758975</v>
      </c>
    </row>
    <row r="313" spans="1:26" x14ac:dyDescent="0.25">
      <c r="A313" t="s">
        <v>48</v>
      </c>
      <c r="D313">
        <f t="shared" ref="D313:W313" si="101">D7*D109</f>
        <v>629.08289019378037</v>
      </c>
      <c r="E313">
        <f t="shared" si="101"/>
        <v>513.85186197924099</v>
      </c>
      <c r="F313">
        <f t="shared" si="101"/>
        <v>496.68843026600626</v>
      </c>
      <c r="G313">
        <f t="shared" si="101"/>
        <v>727.07930302165153</v>
      </c>
      <c r="H313">
        <f t="shared" si="101"/>
        <v>523.94589458428902</v>
      </c>
      <c r="I313">
        <f t="shared" si="101"/>
        <v>572.1478296625105</v>
      </c>
      <c r="J313">
        <f t="shared" si="101"/>
        <v>653.48017665362784</v>
      </c>
      <c r="K313">
        <f t="shared" si="101"/>
        <v>584.46472861611448</v>
      </c>
      <c r="L313">
        <f t="shared" si="101"/>
        <v>574.22072522747089</v>
      </c>
      <c r="M313">
        <f t="shared" si="101"/>
        <v>566.93860698121023</v>
      </c>
      <c r="N313">
        <f t="shared" si="101"/>
        <v>519.00111608964096</v>
      </c>
      <c r="O313">
        <f t="shared" si="101"/>
        <v>524.47968812117699</v>
      </c>
      <c r="P313">
        <f t="shared" si="101"/>
        <v>528.99377543107187</v>
      </c>
      <c r="Q313">
        <f t="shared" si="101"/>
        <v>386.94830425495786</v>
      </c>
      <c r="R313">
        <f t="shared" si="101"/>
        <v>521.9917429139465</v>
      </c>
      <c r="S313">
        <f t="shared" si="101"/>
        <v>700.22057833437384</v>
      </c>
      <c r="T313">
        <f t="shared" si="101"/>
        <v>479.4445115758972</v>
      </c>
      <c r="U313">
        <f t="shared" si="101"/>
        <v>465.80060265733783</v>
      </c>
      <c r="V313">
        <f t="shared" si="101"/>
        <v>666.68719064043364</v>
      </c>
      <c r="W313">
        <f t="shared" si="101"/>
        <v>695.97597402533154</v>
      </c>
      <c r="Y313" s="8">
        <f t="shared" si="95"/>
        <v>11331.443931230073</v>
      </c>
      <c r="Z313">
        <f t="shared" si="96"/>
        <v>173.60213886596367</v>
      </c>
    </row>
    <row r="314" spans="1:26" x14ac:dyDescent="0.25">
      <c r="A314" t="s">
        <v>49</v>
      </c>
      <c r="D314">
        <f t="shared" ref="D314:W314" si="102">D8*D110</f>
        <v>671.86866880372349</v>
      </c>
      <c r="E314">
        <f t="shared" si="102"/>
        <v>663.02837326090685</v>
      </c>
      <c r="F314">
        <f t="shared" si="102"/>
        <v>482.59437813128824</v>
      </c>
      <c r="G314">
        <f t="shared" si="102"/>
        <v>813.39513796249821</v>
      </c>
      <c r="H314">
        <f t="shared" si="102"/>
        <v>829.32875570946339</v>
      </c>
      <c r="I314">
        <f t="shared" si="102"/>
        <v>801.92229052108871</v>
      </c>
      <c r="J314">
        <f t="shared" si="102"/>
        <v>774.63219813972751</v>
      </c>
      <c r="K314">
        <f t="shared" si="102"/>
        <v>635.20432767190835</v>
      </c>
      <c r="L314">
        <f t="shared" si="102"/>
        <v>635.76761063853803</v>
      </c>
      <c r="M314">
        <f t="shared" si="102"/>
        <v>532.04244449343719</v>
      </c>
      <c r="N314">
        <f t="shared" si="102"/>
        <v>455.68516566688618</v>
      </c>
      <c r="O314">
        <f t="shared" si="102"/>
        <v>624.94297308309297</v>
      </c>
      <c r="P314">
        <f t="shared" si="102"/>
        <v>642.3562746928427</v>
      </c>
      <c r="Q314">
        <f t="shared" si="102"/>
        <v>714.04694867438366</v>
      </c>
      <c r="R314">
        <f t="shared" si="102"/>
        <v>867.12730206996503</v>
      </c>
      <c r="S314">
        <f t="shared" si="102"/>
        <v>800.97721980584481</v>
      </c>
      <c r="T314">
        <f t="shared" si="102"/>
        <v>580.01876819702773</v>
      </c>
      <c r="U314">
        <f t="shared" si="102"/>
        <v>625.22872432522684</v>
      </c>
      <c r="V314">
        <f t="shared" si="102"/>
        <v>511.36432082292754</v>
      </c>
      <c r="W314">
        <f t="shared" si="102"/>
        <v>663.90234761021043</v>
      </c>
      <c r="Y314" s="8">
        <f t="shared" si="95"/>
        <v>13325.434230280987</v>
      </c>
      <c r="Z314">
        <f t="shared" si="96"/>
        <v>207.54270807902989</v>
      </c>
    </row>
    <row r="315" spans="1:26" x14ac:dyDescent="0.25">
      <c r="A315" t="s">
        <v>50</v>
      </c>
      <c r="D315">
        <f t="shared" ref="D315:W315" si="103">D9*D111</f>
        <v>759.68707637127773</v>
      </c>
      <c r="E315">
        <f t="shared" si="103"/>
        <v>623.96223880516038</v>
      </c>
      <c r="F315">
        <f t="shared" si="103"/>
        <v>640.89246003073436</v>
      </c>
      <c r="G315">
        <f t="shared" si="103"/>
        <v>607.8895214821431</v>
      </c>
      <c r="H315">
        <f t="shared" si="103"/>
        <v>622.57640099120204</v>
      </c>
      <c r="I315">
        <f t="shared" si="103"/>
        <v>645.99796452066755</v>
      </c>
      <c r="J315">
        <f t="shared" si="103"/>
        <v>568.35404611570902</v>
      </c>
      <c r="K315">
        <f t="shared" si="103"/>
        <v>557.72278657354536</v>
      </c>
      <c r="L315">
        <f t="shared" si="103"/>
        <v>654.45206499586163</v>
      </c>
      <c r="M315">
        <f t="shared" si="103"/>
        <v>626.46686037518054</v>
      </c>
      <c r="N315">
        <f t="shared" si="103"/>
        <v>349.23655104675407</v>
      </c>
      <c r="O315">
        <f t="shared" si="103"/>
        <v>549.2879150398195</v>
      </c>
      <c r="P315">
        <f t="shared" si="103"/>
        <v>621.40904845326838</v>
      </c>
      <c r="Q315">
        <f t="shared" si="103"/>
        <v>605.47704470992744</v>
      </c>
      <c r="R315">
        <f t="shared" si="103"/>
        <v>674.36682645489054</v>
      </c>
      <c r="S315">
        <f t="shared" si="103"/>
        <v>645.5666517247912</v>
      </c>
      <c r="T315">
        <f t="shared" si="103"/>
        <v>504.45138284181184</v>
      </c>
      <c r="U315">
        <f t="shared" si="103"/>
        <v>501.07262850565087</v>
      </c>
      <c r="V315">
        <f t="shared" si="103"/>
        <v>652.28282864055416</v>
      </c>
      <c r="W315">
        <f t="shared" si="103"/>
        <v>641.06552106773506</v>
      </c>
      <c r="Y315" s="8">
        <f t="shared" si="95"/>
        <v>12052.217818746685</v>
      </c>
      <c r="Z315">
        <f t="shared" si="96"/>
        <v>180.9802594402498</v>
      </c>
    </row>
    <row r="316" spans="1:26" x14ac:dyDescent="0.25">
      <c r="A316" t="s">
        <v>51</v>
      </c>
      <c r="D316">
        <f t="shared" ref="D316:W316" si="104">D10*D112</f>
        <v>572.57580379770013</v>
      </c>
      <c r="E316">
        <f t="shared" si="104"/>
        <v>696.4450733626669</v>
      </c>
      <c r="F316">
        <f t="shared" si="104"/>
        <v>713.29579414192494</v>
      </c>
      <c r="G316">
        <f t="shared" si="104"/>
        <v>725.21778423955379</v>
      </c>
      <c r="H316">
        <f t="shared" si="104"/>
        <v>694.3711798582658</v>
      </c>
      <c r="I316">
        <f t="shared" si="104"/>
        <v>687.42019461345569</v>
      </c>
      <c r="J316">
        <f t="shared" si="104"/>
        <v>693.50857829783877</v>
      </c>
      <c r="K316">
        <f t="shared" si="104"/>
        <v>691.78175001637499</v>
      </c>
      <c r="L316">
        <f t="shared" si="104"/>
        <v>642.57188362242778</v>
      </c>
      <c r="M316">
        <f t="shared" si="104"/>
        <v>680.35192943893719</v>
      </c>
      <c r="N316">
        <f t="shared" si="104"/>
        <v>691.40096528474498</v>
      </c>
      <c r="O316">
        <f t="shared" si="104"/>
        <v>734.26241274831818</v>
      </c>
      <c r="P316">
        <f t="shared" si="104"/>
        <v>780.86299390262025</v>
      </c>
      <c r="Q316">
        <f t="shared" si="104"/>
        <v>1441.3351624399947</v>
      </c>
      <c r="R316">
        <f t="shared" si="104"/>
        <v>516.6606994716999</v>
      </c>
      <c r="S316">
        <f t="shared" si="104"/>
        <v>554.87327481910177</v>
      </c>
      <c r="T316">
        <f t="shared" si="104"/>
        <v>538.77197779416394</v>
      </c>
      <c r="U316">
        <f t="shared" si="104"/>
        <v>559.03031247180297</v>
      </c>
      <c r="V316">
        <f t="shared" si="104"/>
        <v>807.58055058195157</v>
      </c>
      <c r="W316">
        <f t="shared" si="104"/>
        <v>654.93917168494613</v>
      </c>
      <c r="Y316" s="8">
        <f t="shared" si="95"/>
        <v>14077.257492588489</v>
      </c>
      <c r="Z316">
        <f t="shared" si="96"/>
        <v>216.13447890560286</v>
      </c>
    </row>
    <row r="317" spans="1:26" x14ac:dyDescent="0.25">
      <c r="A317" t="s">
        <v>52</v>
      </c>
      <c r="D317">
        <f t="shared" ref="D317:W317" si="105">D11*D113</f>
        <v>781.0871489115284</v>
      </c>
      <c r="E317">
        <f t="shared" si="105"/>
        <v>693.06073383493083</v>
      </c>
      <c r="F317">
        <f t="shared" si="105"/>
        <v>695.52863265262931</v>
      </c>
      <c r="G317">
        <f t="shared" si="105"/>
        <v>702.10293510928523</v>
      </c>
      <c r="H317">
        <f t="shared" si="105"/>
        <v>666.07040712369837</v>
      </c>
      <c r="I317">
        <f t="shared" si="105"/>
        <v>557.41185713614891</v>
      </c>
      <c r="J317">
        <f t="shared" si="105"/>
        <v>615.18458477651541</v>
      </c>
      <c r="K317">
        <f t="shared" si="105"/>
        <v>568.38764797743568</v>
      </c>
      <c r="L317">
        <f t="shared" si="105"/>
        <v>545.60249441204485</v>
      </c>
      <c r="M317">
        <f t="shared" si="105"/>
        <v>703.42184955055905</v>
      </c>
      <c r="N317">
        <f t="shared" si="105"/>
        <v>542.37125084365016</v>
      </c>
      <c r="O317">
        <f t="shared" si="105"/>
        <v>669.73874743584622</v>
      </c>
      <c r="P317">
        <f t="shared" si="105"/>
        <v>751.67123198636887</v>
      </c>
      <c r="Q317">
        <f t="shared" si="105"/>
        <v>657.11929032146929</v>
      </c>
      <c r="R317">
        <f t="shared" si="105"/>
        <v>708.58912161350224</v>
      </c>
      <c r="S317">
        <f t="shared" si="105"/>
        <v>675.8050249121917</v>
      </c>
      <c r="T317">
        <f t="shared" si="105"/>
        <v>752.88427877280151</v>
      </c>
      <c r="U317">
        <f t="shared" si="105"/>
        <v>745.37808930893834</v>
      </c>
      <c r="V317">
        <f t="shared" si="105"/>
        <v>578.14555969942774</v>
      </c>
      <c r="W317">
        <f t="shared" si="105"/>
        <v>535.49485925361125</v>
      </c>
      <c r="Y317" s="8">
        <f t="shared" si="95"/>
        <v>13145.055745632582</v>
      </c>
      <c r="Z317">
        <f t="shared" si="96"/>
        <v>273.90262928495173</v>
      </c>
    </row>
    <row r="318" spans="1:26" x14ac:dyDescent="0.25">
      <c r="A318" t="s">
        <v>53</v>
      </c>
      <c r="D318">
        <f t="shared" ref="D318:W318" si="106">D12*D114</f>
        <v>656.22909526023602</v>
      </c>
      <c r="E318">
        <f t="shared" si="106"/>
        <v>631.00713850895534</v>
      </c>
      <c r="F318">
        <f t="shared" si="106"/>
        <v>676.53385383756756</v>
      </c>
      <c r="G318">
        <f t="shared" si="106"/>
        <v>508.14981070047548</v>
      </c>
      <c r="H318">
        <f t="shared" si="106"/>
        <v>586.70279946635412</v>
      </c>
      <c r="I318">
        <f t="shared" si="106"/>
        <v>509.60789320027681</v>
      </c>
      <c r="J318">
        <f t="shared" si="106"/>
        <v>651.1036110526145</v>
      </c>
      <c r="K318">
        <f t="shared" si="106"/>
        <v>670.31693338311595</v>
      </c>
      <c r="L318">
        <f t="shared" si="106"/>
        <v>624.70725607635381</v>
      </c>
      <c r="M318">
        <f t="shared" si="106"/>
        <v>679.0269613880854</v>
      </c>
      <c r="N318">
        <f t="shared" si="106"/>
        <v>670.85944998835919</v>
      </c>
      <c r="O318">
        <f t="shared" si="106"/>
        <v>711.7592175995976</v>
      </c>
      <c r="P318">
        <f t="shared" si="106"/>
        <v>727.82828277357555</v>
      </c>
      <c r="Q318">
        <f t="shared" si="106"/>
        <v>586.66997815167815</v>
      </c>
      <c r="R318">
        <f t="shared" si="106"/>
        <v>768.02579524441057</v>
      </c>
      <c r="S318">
        <f t="shared" si="106"/>
        <v>679.28405368481265</v>
      </c>
      <c r="T318">
        <f t="shared" si="106"/>
        <v>712.57007725903588</v>
      </c>
      <c r="U318">
        <f t="shared" si="106"/>
        <v>767.0094483213054</v>
      </c>
      <c r="V318">
        <f t="shared" si="106"/>
        <v>723.58039128851431</v>
      </c>
      <c r="W318">
        <f t="shared" si="106"/>
        <v>711.82348144947537</v>
      </c>
      <c r="Y318" s="8">
        <f t="shared" si="95"/>
        <v>13252.795528634799</v>
      </c>
      <c r="Z318">
        <f t="shared" si="96"/>
        <v>284.4780979841122</v>
      </c>
    </row>
    <row r="319" spans="1:26" x14ac:dyDescent="0.25">
      <c r="A319" t="s">
        <v>54</v>
      </c>
      <c r="D319">
        <f t="shared" ref="D319:W319" si="107">D13*D115</f>
        <v>728.22014211374426</v>
      </c>
      <c r="E319">
        <f t="shared" si="107"/>
        <v>451.44341293257537</v>
      </c>
      <c r="F319">
        <f t="shared" si="107"/>
        <v>424.44747282482558</v>
      </c>
      <c r="G319">
        <f t="shared" si="107"/>
        <v>548.43891548647252</v>
      </c>
      <c r="H319">
        <f t="shared" si="107"/>
        <v>592.19314231583098</v>
      </c>
      <c r="I319">
        <f t="shared" si="107"/>
        <v>610.89125470136821</v>
      </c>
      <c r="J319">
        <f t="shared" si="107"/>
        <v>608.37618594906587</v>
      </c>
      <c r="K319">
        <f t="shared" si="107"/>
        <v>513.60119392901549</v>
      </c>
      <c r="L319">
        <f t="shared" si="107"/>
        <v>536.39721628552024</v>
      </c>
      <c r="M319">
        <f t="shared" si="107"/>
        <v>562.52225234781497</v>
      </c>
      <c r="N319">
        <f t="shared" si="107"/>
        <v>492.78851510897539</v>
      </c>
      <c r="O319">
        <f t="shared" si="107"/>
        <v>615.50586678197544</v>
      </c>
      <c r="P319">
        <f t="shared" si="107"/>
        <v>561.86668301857151</v>
      </c>
      <c r="Q319">
        <f t="shared" si="107"/>
        <v>623.23660252088609</v>
      </c>
      <c r="R319">
        <f t="shared" si="107"/>
        <v>434.73429126309236</v>
      </c>
      <c r="S319">
        <f t="shared" si="107"/>
        <v>591.82221698715614</v>
      </c>
      <c r="T319">
        <f t="shared" si="107"/>
        <v>668.93041742949265</v>
      </c>
      <c r="U319">
        <f t="shared" si="107"/>
        <v>534.17246650146296</v>
      </c>
      <c r="V319">
        <f t="shared" si="107"/>
        <v>520.15146157215486</v>
      </c>
      <c r="W319">
        <f t="shared" si="107"/>
        <v>404.65399675457297</v>
      </c>
      <c r="Y319" s="8">
        <f t="shared" si="95"/>
        <v>11024.393706824574</v>
      </c>
      <c r="Z319">
        <f t="shared" si="96"/>
        <v>302.36389800370432</v>
      </c>
    </row>
    <row r="320" spans="1:26" x14ac:dyDescent="0.25">
      <c r="A320" t="s">
        <v>55</v>
      </c>
      <c r="D320">
        <f t="shared" ref="D320:W320" si="108">D14*D116</f>
        <v>627.32355755564004</v>
      </c>
      <c r="E320">
        <f t="shared" si="108"/>
        <v>737.35963707351209</v>
      </c>
      <c r="F320">
        <f t="shared" si="108"/>
        <v>628.42597684209466</v>
      </c>
      <c r="G320">
        <f t="shared" si="108"/>
        <v>498.70659526239444</v>
      </c>
      <c r="H320">
        <f t="shared" si="108"/>
        <v>488.33011587422794</v>
      </c>
      <c r="I320">
        <f t="shared" si="108"/>
        <v>449.36495001719624</v>
      </c>
      <c r="J320">
        <f t="shared" si="108"/>
        <v>714.85233923858584</v>
      </c>
      <c r="K320">
        <f t="shared" si="108"/>
        <v>510.10349929137442</v>
      </c>
      <c r="L320">
        <f t="shared" si="108"/>
        <v>425.24147691709209</v>
      </c>
      <c r="M320">
        <f t="shared" si="108"/>
        <v>491.63719806934921</v>
      </c>
      <c r="N320">
        <f t="shared" si="108"/>
        <v>466.93031948606472</v>
      </c>
      <c r="O320">
        <f t="shared" si="108"/>
        <v>457.41760556687359</v>
      </c>
      <c r="P320">
        <f t="shared" si="108"/>
        <v>466.64280588600582</v>
      </c>
      <c r="Q320">
        <f t="shared" si="108"/>
        <v>552.45038868652421</v>
      </c>
      <c r="R320">
        <f t="shared" si="108"/>
        <v>556.85980567413128</v>
      </c>
      <c r="S320">
        <f t="shared" si="108"/>
        <v>604.0124752521034</v>
      </c>
      <c r="T320">
        <f t="shared" si="108"/>
        <v>139.02513558246989</v>
      </c>
      <c r="U320">
        <f t="shared" si="108"/>
        <v>622.41285336445708</v>
      </c>
      <c r="V320">
        <f t="shared" si="108"/>
        <v>545.17363759872137</v>
      </c>
      <c r="W320">
        <f t="shared" si="108"/>
        <v>681.22369344660387</v>
      </c>
      <c r="Y320" s="8">
        <f t="shared" si="95"/>
        <v>10663.494066685424</v>
      </c>
      <c r="Z320">
        <f t="shared" si="96"/>
        <v>-68.175095735814011</v>
      </c>
    </row>
    <row r="321" spans="1:26" x14ac:dyDescent="0.25">
      <c r="A321" t="s">
        <v>56</v>
      </c>
      <c r="D321">
        <f t="shared" ref="D321:W321" si="109">D15*D117</f>
        <v>515.11490234928669</v>
      </c>
      <c r="E321">
        <f t="shared" si="109"/>
        <v>600.49410510157077</v>
      </c>
      <c r="F321">
        <f t="shared" si="109"/>
        <v>565.48109786746465</v>
      </c>
      <c r="G321">
        <f t="shared" si="109"/>
        <v>614.08419214605999</v>
      </c>
      <c r="H321">
        <f t="shared" si="109"/>
        <v>590.85652591435303</v>
      </c>
      <c r="I321">
        <f t="shared" si="109"/>
        <v>456.12981763912148</v>
      </c>
      <c r="J321">
        <f t="shared" si="109"/>
        <v>500.11162940620153</v>
      </c>
      <c r="K321">
        <f t="shared" si="109"/>
        <v>484.9018325799953</v>
      </c>
      <c r="L321">
        <f t="shared" si="109"/>
        <v>448.13023826452553</v>
      </c>
      <c r="M321">
        <f t="shared" si="109"/>
        <v>435.54745142521074</v>
      </c>
      <c r="N321">
        <f t="shared" si="109"/>
        <v>527.25112523384769</v>
      </c>
      <c r="O321">
        <f t="shared" si="109"/>
        <v>556.14249037615286</v>
      </c>
      <c r="P321">
        <f t="shared" si="109"/>
        <v>467.84338363017036</v>
      </c>
      <c r="Q321">
        <f t="shared" si="109"/>
        <v>417.07190695390506</v>
      </c>
      <c r="R321">
        <f t="shared" si="109"/>
        <v>495.06195755001409</v>
      </c>
      <c r="S321">
        <f t="shared" si="109"/>
        <v>581.03571146545175</v>
      </c>
      <c r="T321">
        <f t="shared" si="109"/>
        <v>578.66805007264622</v>
      </c>
      <c r="U321">
        <f t="shared" si="109"/>
        <v>530.07980105034233</v>
      </c>
      <c r="V321">
        <f t="shared" si="109"/>
        <v>604.20129596287279</v>
      </c>
      <c r="W321">
        <f t="shared" si="109"/>
        <v>655.05915522415808</v>
      </c>
      <c r="Y321" s="8">
        <f t="shared" si="95"/>
        <v>10623.266670213352</v>
      </c>
      <c r="Z321">
        <f t="shared" si="96"/>
        <v>189.76683616327728</v>
      </c>
    </row>
    <row r="322" spans="1:26" x14ac:dyDescent="0.25">
      <c r="A322" t="s">
        <v>57</v>
      </c>
      <c r="D322">
        <f t="shared" ref="D322:W322" si="110">D16*D118</f>
        <v>546.51783048833556</v>
      </c>
      <c r="E322">
        <f t="shared" si="110"/>
        <v>471.66490022471964</v>
      </c>
      <c r="F322">
        <f t="shared" si="110"/>
        <v>452.16870321571014</v>
      </c>
      <c r="G322">
        <f t="shared" si="110"/>
        <v>523.78267711148715</v>
      </c>
      <c r="H322">
        <f t="shared" si="110"/>
        <v>392.83733918810418</v>
      </c>
      <c r="I322">
        <f t="shared" si="110"/>
        <v>325.57668435642961</v>
      </c>
      <c r="J322">
        <f t="shared" si="110"/>
        <v>430.79015483296411</v>
      </c>
      <c r="K322">
        <f t="shared" si="110"/>
        <v>487.21887372724262</v>
      </c>
      <c r="L322">
        <f t="shared" si="110"/>
        <v>330.78480102393439</v>
      </c>
      <c r="M322">
        <f t="shared" si="110"/>
        <v>435.18087858101853</v>
      </c>
      <c r="N322">
        <f t="shared" si="110"/>
        <v>509.22573551385574</v>
      </c>
      <c r="O322">
        <f t="shared" si="110"/>
        <v>386.26205852873204</v>
      </c>
      <c r="P322">
        <f t="shared" si="110"/>
        <v>278.57907207341776</v>
      </c>
      <c r="Q322">
        <f t="shared" si="110"/>
        <v>272.74840345455482</v>
      </c>
      <c r="R322">
        <f t="shared" si="110"/>
        <v>268.29121723586832</v>
      </c>
      <c r="S322">
        <f t="shared" si="110"/>
        <v>405.24884654633382</v>
      </c>
      <c r="T322">
        <f t="shared" si="110"/>
        <v>464.21789892737792</v>
      </c>
      <c r="U322">
        <f t="shared" si="110"/>
        <v>373.78622489011622</v>
      </c>
      <c r="V322">
        <f t="shared" si="110"/>
        <v>375.91974315261092</v>
      </c>
      <c r="W322">
        <f t="shared" si="110"/>
        <v>363.42195029767367</v>
      </c>
      <c r="Y322" s="8">
        <f t="shared" si="95"/>
        <v>8094.2239933704877</v>
      </c>
      <c r="Z322">
        <f t="shared" si="96"/>
        <v>149.75066377441635</v>
      </c>
    </row>
    <row r="323" spans="1:26" x14ac:dyDescent="0.25">
      <c r="A323" t="s">
        <v>58</v>
      </c>
      <c r="D323">
        <f t="shared" ref="D323:W323" si="111">D17*D119</f>
        <v>547.21868400190579</v>
      </c>
      <c r="E323">
        <f t="shared" si="111"/>
        <v>503.40659783731536</v>
      </c>
      <c r="F323">
        <f t="shared" si="111"/>
        <v>402.58501123880728</v>
      </c>
      <c r="G323">
        <f t="shared" si="111"/>
        <v>314.35363292226316</v>
      </c>
      <c r="H323">
        <f t="shared" si="111"/>
        <v>355.26901716879189</v>
      </c>
      <c r="I323">
        <f t="shared" si="111"/>
        <v>468.51472856363478</v>
      </c>
      <c r="J323">
        <f t="shared" si="111"/>
        <v>359.9722281707277</v>
      </c>
      <c r="K323">
        <f t="shared" si="111"/>
        <v>520.33688914581671</v>
      </c>
      <c r="L323">
        <f t="shared" si="111"/>
        <v>463.35410461028789</v>
      </c>
      <c r="M323">
        <f t="shared" si="111"/>
        <v>399.06656215876416</v>
      </c>
      <c r="N323">
        <f t="shared" si="111"/>
        <v>350.57469170909815</v>
      </c>
      <c r="O323">
        <f t="shared" si="111"/>
        <v>343.05588800397663</v>
      </c>
      <c r="P323">
        <f t="shared" si="111"/>
        <v>377.16098698340204</v>
      </c>
      <c r="Q323">
        <f t="shared" si="111"/>
        <v>414.81226595808619</v>
      </c>
      <c r="R323">
        <f t="shared" si="111"/>
        <v>464.28630305114496</v>
      </c>
      <c r="S323">
        <f t="shared" si="111"/>
        <v>339.98115432371088</v>
      </c>
      <c r="T323">
        <f t="shared" si="111"/>
        <v>513.62406973657835</v>
      </c>
      <c r="U323">
        <f t="shared" si="111"/>
        <v>484.80412298518786</v>
      </c>
      <c r="V323">
        <f t="shared" si="111"/>
        <v>324.4842334525203</v>
      </c>
      <c r="W323">
        <f t="shared" si="111"/>
        <v>501.49262739527069</v>
      </c>
      <c r="Y323" s="8">
        <f t="shared" si="95"/>
        <v>8448.3537994172912</v>
      </c>
      <c r="Z323">
        <f t="shared" si="96"/>
        <v>170.87366475374378</v>
      </c>
    </row>
    <row r="324" spans="1:26" x14ac:dyDescent="0.25">
      <c r="A324" t="s">
        <v>59</v>
      </c>
      <c r="D324">
        <f t="shared" ref="D324:W324" si="112">D18*D120</f>
        <v>591.59108161051483</v>
      </c>
      <c r="E324">
        <f t="shared" si="112"/>
        <v>596.1948444681633</v>
      </c>
      <c r="F324">
        <f t="shared" si="112"/>
        <v>535.00720288039065</v>
      </c>
      <c r="G324">
        <f t="shared" si="112"/>
        <v>479.10187418455632</v>
      </c>
      <c r="H324">
        <f t="shared" si="112"/>
        <v>504.68233009529871</v>
      </c>
      <c r="I324">
        <f t="shared" si="112"/>
        <v>552.8382023070177</v>
      </c>
      <c r="J324">
        <f t="shared" si="112"/>
        <v>477.81362436647635</v>
      </c>
      <c r="K324">
        <f t="shared" si="112"/>
        <v>510.29536733295714</v>
      </c>
      <c r="L324">
        <f t="shared" si="112"/>
        <v>475.53415042801595</v>
      </c>
      <c r="M324">
        <f t="shared" si="112"/>
        <v>430.16211555400218</v>
      </c>
      <c r="N324">
        <f t="shared" si="112"/>
        <v>451.25227618322316</v>
      </c>
      <c r="O324">
        <f t="shared" si="112"/>
        <v>451.81442869730648</v>
      </c>
      <c r="P324">
        <f t="shared" si="112"/>
        <v>536.46516369939218</v>
      </c>
      <c r="Q324">
        <f t="shared" si="112"/>
        <v>525.73153861060393</v>
      </c>
      <c r="R324">
        <f t="shared" si="112"/>
        <v>570.89477090131038</v>
      </c>
      <c r="S324">
        <f t="shared" si="112"/>
        <v>590.55701124670907</v>
      </c>
      <c r="T324">
        <f t="shared" si="112"/>
        <v>586.63010769967764</v>
      </c>
      <c r="U324">
        <f t="shared" si="112"/>
        <v>537.17659376839094</v>
      </c>
      <c r="V324">
        <f t="shared" si="112"/>
        <v>518.15640199048744</v>
      </c>
      <c r="W324">
        <f t="shared" si="112"/>
        <v>516.90636961950054</v>
      </c>
      <c r="Y324" s="8">
        <f t="shared" si="95"/>
        <v>10438.805455643993</v>
      </c>
      <c r="Z324">
        <f t="shared" si="96"/>
        <v>224.02865936807666</v>
      </c>
    </row>
    <row r="325" spans="1:26" x14ac:dyDescent="0.25">
      <c r="A325" t="s">
        <v>60</v>
      </c>
      <c r="D325">
        <f t="shared" ref="D325:W325" si="113">D19*D121</f>
        <v>475.44730512953356</v>
      </c>
      <c r="E325">
        <f t="shared" si="113"/>
        <v>415.37969798614529</v>
      </c>
      <c r="F325">
        <f t="shared" si="113"/>
        <v>490.89630766662015</v>
      </c>
      <c r="G325">
        <f t="shared" si="113"/>
        <v>508.49034932123163</v>
      </c>
      <c r="H325">
        <f t="shared" si="113"/>
        <v>497.60037696683048</v>
      </c>
      <c r="I325">
        <f t="shared" si="113"/>
        <v>479.60123547913781</v>
      </c>
      <c r="J325">
        <f t="shared" si="113"/>
        <v>436.23550693471452</v>
      </c>
      <c r="K325">
        <f t="shared" si="113"/>
        <v>517.80306132665862</v>
      </c>
      <c r="L325">
        <f t="shared" si="113"/>
        <v>437.63402383228976</v>
      </c>
      <c r="M325">
        <f t="shared" si="113"/>
        <v>505.68559904703767</v>
      </c>
      <c r="N325">
        <f t="shared" si="113"/>
        <v>513.20517790793053</v>
      </c>
      <c r="O325">
        <f t="shared" si="113"/>
        <v>547.16288207723505</v>
      </c>
      <c r="P325">
        <f t="shared" si="113"/>
        <v>340.28980592114954</v>
      </c>
      <c r="Q325">
        <f t="shared" si="113"/>
        <v>561.34173370885333</v>
      </c>
      <c r="R325">
        <f t="shared" si="113"/>
        <v>754.62263380246134</v>
      </c>
      <c r="S325">
        <f t="shared" si="113"/>
        <v>728.77475956353931</v>
      </c>
      <c r="T325">
        <f t="shared" si="113"/>
        <v>756.7554896204565</v>
      </c>
      <c r="U325">
        <f t="shared" si="113"/>
        <v>530.19548839733261</v>
      </c>
      <c r="V325">
        <f t="shared" si="113"/>
        <v>460.86343726350418</v>
      </c>
      <c r="W325">
        <f t="shared" si="113"/>
        <v>520.29614749494669</v>
      </c>
      <c r="Y325" s="8">
        <f t="shared" si="95"/>
        <v>10478.281019447608</v>
      </c>
      <c r="Z325">
        <f t="shared" si="96"/>
        <v>313.43322581392749</v>
      </c>
    </row>
    <row r="326" spans="1:26" x14ac:dyDescent="0.25">
      <c r="A326" t="s">
        <v>61</v>
      </c>
      <c r="D326">
        <f t="shared" ref="D326:W326" si="114">D20*D122</f>
        <v>695.28490880869015</v>
      </c>
      <c r="E326">
        <f t="shared" si="114"/>
        <v>714.41963502354167</v>
      </c>
      <c r="F326">
        <f t="shared" si="114"/>
        <v>627.2376912612757</v>
      </c>
      <c r="G326">
        <f t="shared" si="114"/>
        <v>538.76869438583719</v>
      </c>
      <c r="H326">
        <f t="shared" si="114"/>
        <v>503.17592768941438</v>
      </c>
      <c r="I326">
        <f t="shared" si="114"/>
        <v>508.62930394992225</v>
      </c>
      <c r="J326">
        <f t="shared" si="114"/>
        <v>499.7904216257125</v>
      </c>
      <c r="K326">
        <f t="shared" si="114"/>
        <v>569.80711061145462</v>
      </c>
      <c r="L326">
        <f t="shared" si="114"/>
        <v>542.61257378579955</v>
      </c>
      <c r="M326">
        <f t="shared" si="114"/>
        <v>477.43439640660068</v>
      </c>
      <c r="N326">
        <f t="shared" si="114"/>
        <v>508.86013564105934</v>
      </c>
      <c r="O326">
        <f t="shared" si="114"/>
        <v>578.37424619975093</v>
      </c>
      <c r="P326">
        <f t="shared" si="114"/>
        <v>563.94217330486333</v>
      </c>
      <c r="Q326">
        <f t="shared" si="114"/>
        <v>530.52371643444076</v>
      </c>
      <c r="R326">
        <f t="shared" si="114"/>
        <v>605.57204476481036</v>
      </c>
      <c r="S326">
        <f t="shared" si="114"/>
        <v>755.50092989368545</v>
      </c>
      <c r="T326">
        <f t="shared" si="114"/>
        <v>735.34443197336861</v>
      </c>
      <c r="U326">
        <f t="shared" si="114"/>
        <v>431.19306088822464</v>
      </c>
      <c r="V326">
        <f t="shared" si="114"/>
        <v>457.86273984641753</v>
      </c>
      <c r="W326">
        <f t="shared" si="114"/>
        <v>418.55614673077179</v>
      </c>
      <c r="Y326" s="8">
        <f t="shared" si="95"/>
        <v>11262.890289225641</v>
      </c>
      <c r="Z326">
        <f t="shared" si="96"/>
        <v>330.72941332698429</v>
      </c>
    </row>
    <row r="327" spans="1:26" x14ac:dyDescent="0.25">
      <c r="A327" t="s">
        <v>62</v>
      </c>
      <c r="D327">
        <f t="shared" ref="D327:W327" si="115">D21*D123</f>
        <v>483.35186489186106</v>
      </c>
      <c r="E327">
        <f t="shared" si="115"/>
        <v>464.60760958073502</v>
      </c>
      <c r="F327">
        <f t="shared" si="115"/>
        <v>389.77629773752028</v>
      </c>
      <c r="G327">
        <f t="shared" si="115"/>
        <v>398.06052972871242</v>
      </c>
      <c r="H327">
        <f t="shared" si="115"/>
        <v>411.05430975000479</v>
      </c>
      <c r="I327">
        <f t="shared" si="115"/>
        <v>467.09975331134081</v>
      </c>
      <c r="J327">
        <f t="shared" si="115"/>
        <v>511.16729668596395</v>
      </c>
      <c r="K327">
        <f t="shared" si="115"/>
        <v>489.56598802580612</v>
      </c>
      <c r="L327">
        <f t="shared" si="115"/>
        <v>495.24062483249219</v>
      </c>
      <c r="M327">
        <f t="shared" si="115"/>
        <v>374.28549296224031</v>
      </c>
      <c r="N327">
        <f t="shared" si="115"/>
        <v>474.82182698726098</v>
      </c>
      <c r="O327">
        <f t="shared" si="115"/>
        <v>481.27762462906372</v>
      </c>
      <c r="P327">
        <f t="shared" si="115"/>
        <v>469.68628387804091</v>
      </c>
      <c r="Q327">
        <f t="shared" si="115"/>
        <v>530.28905496078039</v>
      </c>
      <c r="R327">
        <f t="shared" si="115"/>
        <v>438.43619640420957</v>
      </c>
      <c r="S327">
        <f t="shared" si="115"/>
        <v>562.53952329528215</v>
      </c>
      <c r="T327">
        <f t="shared" si="115"/>
        <v>549.86216370446209</v>
      </c>
      <c r="U327">
        <f t="shared" si="115"/>
        <v>588.85363680867727</v>
      </c>
      <c r="V327">
        <f t="shared" si="115"/>
        <v>491.12681650212107</v>
      </c>
      <c r="W327">
        <f t="shared" si="115"/>
        <v>554.53511854212013</v>
      </c>
      <c r="Y327" s="8">
        <f t="shared" si="95"/>
        <v>9625.6380132186969</v>
      </c>
      <c r="Z327">
        <f t="shared" si="96"/>
        <v>233.96193637049959</v>
      </c>
    </row>
    <row r="328" spans="1:26" x14ac:dyDescent="0.25">
      <c r="A328" t="s">
        <v>63</v>
      </c>
      <c r="D328">
        <f t="shared" ref="D328:W328" si="116">D22*D124</f>
        <v>546.67176603255689</v>
      </c>
      <c r="E328">
        <f t="shared" si="116"/>
        <v>458.96650818318932</v>
      </c>
      <c r="F328">
        <f t="shared" si="116"/>
        <v>479.10312794747585</v>
      </c>
      <c r="G328">
        <f t="shared" si="116"/>
        <v>532.45643691895782</v>
      </c>
      <c r="H328">
        <f t="shared" si="116"/>
        <v>514.47831774554174</v>
      </c>
      <c r="I328">
        <f t="shared" si="116"/>
        <v>425.15637690394107</v>
      </c>
      <c r="J328">
        <f t="shared" si="116"/>
        <v>478.06869169230725</v>
      </c>
      <c r="K328">
        <f t="shared" si="116"/>
        <v>601.14409933548916</v>
      </c>
      <c r="L328">
        <f t="shared" si="116"/>
        <v>509.45056027625714</v>
      </c>
      <c r="M328">
        <f t="shared" si="116"/>
        <v>374.85386593887569</v>
      </c>
      <c r="N328">
        <f t="shared" si="116"/>
        <v>405.1761632813658</v>
      </c>
      <c r="O328">
        <f t="shared" si="116"/>
        <v>431.29607795523964</v>
      </c>
      <c r="P328">
        <f t="shared" si="116"/>
        <v>502.56912540321912</v>
      </c>
      <c r="Q328">
        <f t="shared" si="116"/>
        <v>407.63087948944371</v>
      </c>
      <c r="R328">
        <f t="shared" si="116"/>
        <v>497.83337464055654</v>
      </c>
      <c r="S328">
        <f t="shared" si="116"/>
        <v>626.6042009086683</v>
      </c>
      <c r="T328">
        <f t="shared" si="116"/>
        <v>558.7103133686096</v>
      </c>
      <c r="U328">
        <f t="shared" si="116"/>
        <v>580.69049476486157</v>
      </c>
      <c r="V328">
        <f t="shared" si="116"/>
        <v>472.98057783975912</v>
      </c>
      <c r="W328">
        <f t="shared" si="116"/>
        <v>389.5892660940263</v>
      </c>
      <c r="Y328" s="8">
        <f t="shared" si="95"/>
        <v>9793.4302247203432</v>
      </c>
      <c r="Z328">
        <f t="shared" si="96"/>
        <v>284.48735764671306</v>
      </c>
    </row>
    <row r="329" spans="1:26" x14ac:dyDescent="0.25">
      <c r="A329" t="s">
        <v>64</v>
      </c>
      <c r="D329">
        <f t="shared" ref="D329:W329" si="117">D23*D125</f>
        <v>582.79907875890558</v>
      </c>
      <c r="E329">
        <f t="shared" si="117"/>
        <v>611.6357264095509</v>
      </c>
      <c r="F329">
        <f t="shared" si="117"/>
        <v>425.03370575243616</v>
      </c>
      <c r="G329">
        <f t="shared" si="117"/>
        <v>492.42739906199176</v>
      </c>
      <c r="H329">
        <f t="shared" si="117"/>
        <v>387.11618346351457</v>
      </c>
      <c r="I329">
        <f t="shared" si="117"/>
        <v>477.05104532074637</v>
      </c>
      <c r="J329">
        <f t="shared" si="117"/>
        <v>428.86776640431702</v>
      </c>
      <c r="K329">
        <f t="shared" si="117"/>
        <v>553.67849893569439</v>
      </c>
      <c r="L329">
        <f t="shared" si="117"/>
        <v>9.6861331766861571</v>
      </c>
      <c r="M329">
        <f t="shared" si="117"/>
        <v>521.7329581791065</v>
      </c>
      <c r="N329">
        <f t="shared" si="117"/>
        <v>502.88362930091142</v>
      </c>
      <c r="O329">
        <f t="shared" si="117"/>
        <v>232.85348134323763</v>
      </c>
      <c r="P329">
        <f t="shared" si="117"/>
        <v>358.65628527218934</v>
      </c>
      <c r="Q329">
        <f t="shared" si="117"/>
        <v>548.05720707395039</v>
      </c>
      <c r="R329">
        <f t="shared" si="117"/>
        <v>513.08503402020267</v>
      </c>
      <c r="S329">
        <f t="shared" si="117"/>
        <v>511.7126721064248</v>
      </c>
      <c r="T329">
        <f t="shared" si="117"/>
        <v>504.78761700007897</v>
      </c>
      <c r="U329">
        <f t="shared" si="117"/>
        <v>528.38000115364332</v>
      </c>
      <c r="V329">
        <f t="shared" si="117"/>
        <v>550.06343546376911</v>
      </c>
      <c r="W329">
        <f t="shared" si="117"/>
        <v>474.54681932939172</v>
      </c>
      <c r="Y329" s="8">
        <f t="shared" si="95"/>
        <v>9215.0546775267485</v>
      </c>
      <c r="Z329">
        <f t="shared" si="96"/>
        <v>51.494408282458323</v>
      </c>
    </row>
    <row r="330" spans="1:26" x14ac:dyDescent="0.25">
      <c r="A330" t="s">
        <v>65</v>
      </c>
      <c r="D330">
        <f t="shared" ref="D330:W330" si="118">D24*D126</f>
        <v>603.39417969211888</v>
      </c>
      <c r="E330">
        <f t="shared" si="118"/>
        <v>624.30378076344527</v>
      </c>
      <c r="F330">
        <f t="shared" si="118"/>
        <v>308.79728280245536</v>
      </c>
      <c r="G330">
        <f t="shared" si="118"/>
        <v>528.05013674176814</v>
      </c>
      <c r="H330">
        <f t="shared" si="118"/>
        <v>546.32514147685481</v>
      </c>
      <c r="I330">
        <f t="shared" si="118"/>
        <v>524.73443165311812</v>
      </c>
      <c r="J330">
        <f t="shared" si="118"/>
        <v>288.53162754978257</v>
      </c>
      <c r="K330">
        <f t="shared" si="118"/>
        <v>350.15778029391237</v>
      </c>
      <c r="L330">
        <f t="shared" si="118"/>
        <v>517.03214621165353</v>
      </c>
      <c r="M330">
        <f t="shared" si="118"/>
        <v>460.85972211070822</v>
      </c>
      <c r="N330">
        <f t="shared" si="118"/>
        <v>484.12009234445054</v>
      </c>
      <c r="O330">
        <f t="shared" si="118"/>
        <v>433.9704136355798</v>
      </c>
      <c r="P330">
        <f t="shared" si="118"/>
        <v>409.06164390092306</v>
      </c>
      <c r="Q330">
        <f t="shared" si="118"/>
        <v>434.6105704755854</v>
      </c>
      <c r="R330">
        <f t="shared" si="118"/>
        <v>496.32956321606321</v>
      </c>
      <c r="S330">
        <f t="shared" si="118"/>
        <v>454.89865288373204</v>
      </c>
      <c r="T330">
        <f t="shared" si="118"/>
        <v>467.05734524080071</v>
      </c>
      <c r="U330">
        <f t="shared" si="118"/>
        <v>526.42532279364673</v>
      </c>
      <c r="V330">
        <f t="shared" si="118"/>
        <v>550.50651712507045</v>
      </c>
      <c r="W330">
        <f t="shared" si="118"/>
        <v>577.0239178299646</v>
      </c>
      <c r="Y330" s="8">
        <f t="shared" si="95"/>
        <v>9586.1902687416332</v>
      </c>
      <c r="Z330">
        <f t="shared" si="96"/>
        <v>104.98183082481634</v>
      </c>
    </row>
    <row r="331" spans="1:26" x14ac:dyDescent="0.25">
      <c r="A331" t="s">
        <v>66</v>
      </c>
      <c r="D331">
        <f t="shared" ref="D331:W331" si="119">D25*D127</f>
        <v>393.29042645828144</v>
      </c>
      <c r="E331">
        <f t="shared" si="119"/>
        <v>437.45874630235761</v>
      </c>
      <c r="F331">
        <f t="shared" si="119"/>
        <v>420.46713421541619</v>
      </c>
      <c r="G331">
        <f t="shared" si="119"/>
        <v>356.19555494103793</v>
      </c>
      <c r="H331">
        <f t="shared" si="119"/>
        <v>488.87467708005676</v>
      </c>
      <c r="I331">
        <f t="shared" si="119"/>
        <v>391.76091189871494</v>
      </c>
      <c r="J331">
        <f t="shared" si="119"/>
        <v>412.83067713399788</v>
      </c>
      <c r="K331">
        <f t="shared" si="119"/>
        <v>432.58966204378135</v>
      </c>
      <c r="L331">
        <f t="shared" si="119"/>
        <v>418.55895805267102</v>
      </c>
      <c r="M331">
        <f t="shared" si="119"/>
        <v>474.48161786307259</v>
      </c>
      <c r="N331">
        <f t="shared" si="119"/>
        <v>464.42372897439935</v>
      </c>
      <c r="O331">
        <f t="shared" si="119"/>
        <v>530.15886706943309</v>
      </c>
      <c r="P331">
        <f t="shared" si="119"/>
        <v>543.27190759560347</v>
      </c>
      <c r="Q331">
        <f t="shared" si="119"/>
        <v>419.90641714030414</v>
      </c>
      <c r="R331">
        <f t="shared" si="119"/>
        <v>424.16329825417017</v>
      </c>
      <c r="S331">
        <f t="shared" si="119"/>
        <v>451.79551309662895</v>
      </c>
      <c r="T331">
        <f t="shared" si="119"/>
        <v>581.25475946742631</v>
      </c>
      <c r="U331">
        <f t="shared" si="119"/>
        <v>490.13533399578142</v>
      </c>
      <c r="V331">
        <f t="shared" si="119"/>
        <v>485.30355571017719</v>
      </c>
      <c r="W331">
        <f t="shared" si="119"/>
        <v>416.03652543073861</v>
      </c>
      <c r="Y331" s="8">
        <f t="shared" si="95"/>
        <v>9032.9582727240504</v>
      </c>
      <c r="Z331">
        <f t="shared" si="96"/>
        <v>279.15083236343571</v>
      </c>
    </row>
    <row r="332" spans="1:26" x14ac:dyDescent="0.25">
      <c r="A332" t="s">
        <v>67</v>
      </c>
      <c r="D332">
        <f t="shared" ref="D332:W332" si="120">D26*D128</f>
        <v>243.47073655391128</v>
      </c>
      <c r="E332">
        <f t="shared" si="120"/>
        <v>250.6574730588587</v>
      </c>
      <c r="F332">
        <f t="shared" si="120"/>
        <v>259.77580050598186</v>
      </c>
      <c r="G332">
        <f t="shared" si="120"/>
        <v>223.16846253648626</v>
      </c>
      <c r="H332">
        <f t="shared" si="120"/>
        <v>460.59219808799543</v>
      </c>
      <c r="I332">
        <f t="shared" si="120"/>
        <v>426.69891990979119</v>
      </c>
      <c r="J332">
        <f t="shared" si="120"/>
        <v>408.66817266189605</v>
      </c>
      <c r="K332">
        <f t="shared" si="120"/>
        <v>416.16935317936492</v>
      </c>
      <c r="L332">
        <f t="shared" si="120"/>
        <v>353.38230768020179</v>
      </c>
      <c r="M332">
        <f t="shared" si="120"/>
        <v>441.51337854856092</v>
      </c>
      <c r="N332">
        <f t="shared" si="120"/>
        <v>437.8600237805357</v>
      </c>
      <c r="O332">
        <f t="shared" si="120"/>
        <v>464.32805571185969</v>
      </c>
      <c r="P332">
        <f t="shared" si="120"/>
        <v>421.20936754130094</v>
      </c>
      <c r="Q332">
        <f t="shared" si="120"/>
        <v>446.69307698855465</v>
      </c>
      <c r="R332">
        <f t="shared" si="120"/>
        <v>486.77191611635971</v>
      </c>
      <c r="S332">
        <f t="shared" si="120"/>
        <v>477.22466495424845</v>
      </c>
      <c r="T332">
        <f t="shared" si="120"/>
        <v>510.11209441339349</v>
      </c>
      <c r="U332">
        <f t="shared" si="120"/>
        <v>547.86158421019456</v>
      </c>
      <c r="V332">
        <f t="shared" si="120"/>
        <v>564.92957715109162</v>
      </c>
      <c r="W332">
        <f t="shared" si="120"/>
        <v>541.47566034917259</v>
      </c>
      <c r="Y332" s="8">
        <f t="shared" si="95"/>
        <v>8382.5628239397593</v>
      </c>
      <c r="Z332">
        <f t="shared" si="96"/>
        <v>244.92752426377481</v>
      </c>
    </row>
    <row r="333" spans="1:26" x14ac:dyDescent="0.25">
      <c r="Y333" s="8"/>
    </row>
    <row r="334" spans="1:26" x14ac:dyDescent="0.25">
      <c r="A334" t="s">
        <v>68</v>
      </c>
      <c r="D334">
        <f t="shared" ref="D334:W334" si="121">D28*D130</f>
        <v>557.1787935552195</v>
      </c>
      <c r="E334">
        <f t="shared" si="121"/>
        <v>458.76934725696754</v>
      </c>
      <c r="F334">
        <f t="shared" si="121"/>
        <v>491.66498002913482</v>
      </c>
      <c r="G334">
        <f t="shared" si="121"/>
        <v>502.76260053759796</v>
      </c>
      <c r="H334">
        <f t="shared" si="121"/>
        <v>497.48689201245304</v>
      </c>
      <c r="I334">
        <f t="shared" si="121"/>
        <v>364.34844442671243</v>
      </c>
      <c r="J334">
        <f t="shared" si="121"/>
        <v>361.63869386846068</v>
      </c>
      <c r="K334">
        <f t="shared" si="121"/>
        <v>341.83694594493693</v>
      </c>
      <c r="L334">
        <f t="shared" si="121"/>
        <v>412.31979145272857</v>
      </c>
      <c r="M334">
        <f t="shared" si="121"/>
        <v>454.2093559095477</v>
      </c>
      <c r="N334">
        <f t="shared" si="121"/>
        <v>476.09380649948048</v>
      </c>
      <c r="O334">
        <f t="shared" si="121"/>
        <v>447.79381616069202</v>
      </c>
      <c r="P334">
        <f t="shared" si="121"/>
        <v>435.07535101143321</v>
      </c>
      <c r="Q334">
        <f t="shared" si="121"/>
        <v>483.54391829366125</v>
      </c>
      <c r="R334">
        <f t="shared" si="121"/>
        <v>512.48169700482265</v>
      </c>
      <c r="S334">
        <f t="shared" si="121"/>
        <v>560.36856839919687</v>
      </c>
      <c r="T334">
        <f t="shared" si="121"/>
        <v>645.93858395036023</v>
      </c>
      <c r="U334">
        <f t="shared" si="121"/>
        <v>528.88496918301632</v>
      </c>
      <c r="V334">
        <f t="shared" si="121"/>
        <v>482.92682171845053</v>
      </c>
      <c r="W334">
        <f t="shared" si="121"/>
        <v>422.78683961304699</v>
      </c>
      <c r="Y334" s="8">
        <f t="shared" si="95"/>
        <v>9438.1102168279194</v>
      </c>
      <c r="Z334">
        <f>SUMPRODUCT($D$338:$W$338,D334:W334)</f>
        <v>238.39483883447957</v>
      </c>
    </row>
    <row r="335" spans="1:26" x14ac:dyDescent="0.25">
      <c r="A335" t="s">
        <v>312</v>
      </c>
      <c r="D335">
        <f t="shared" ref="D335:W335" si="122">D29*D131</f>
        <v>767.59345694824628</v>
      </c>
      <c r="E335">
        <f t="shared" si="122"/>
        <v>653.27313340006731</v>
      </c>
      <c r="F335">
        <f t="shared" si="122"/>
        <v>653.20181758566537</v>
      </c>
      <c r="G335">
        <f t="shared" si="122"/>
        <v>770.92869401852022</v>
      </c>
      <c r="H335">
        <f t="shared" si="122"/>
        <v>811.57754011552379</v>
      </c>
      <c r="I335">
        <f t="shared" si="122"/>
        <v>840.70539579711874</v>
      </c>
      <c r="J335">
        <f t="shared" si="122"/>
        <v>754.85183813301671</v>
      </c>
      <c r="K335">
        <f t="shared" si="122"/>
        <v>507.83679653995102</v>
      </c>
      <c r="L335">
        <f t="shared" si="122"/>
        <v>590.04832526283042</v>
      </c>
      <c r="M335">
        <f t="shared" si="122"/>
        <v>588.95747462565055</v>
      </c>
      <c r="N335">
        <f t="shared" si="122"/>
        <v>644.65469331115503</v>
      </c>
      <c r="O335">
        <f t="shared" si="122"/>
        <v>673.29813714433294</v>
      </c>
      <c r="P335">
        <f t="shared" si="122"/>
        <v>774.40000000000009</v>
      </c>
      <c r="Q335">
        <f t="shared" si="122"/>
        <v>653.73</v>
      </c>
      <c r="R335">
        <f t="shared" si="122"/>
        <v>801.31999999999994</v>
      </c>
      <c r="S335">
        <f t="shared" si="122"/>
        <v>438.98</v>
      </c>
      <c r="T335">
        <f t="shared" si="122"/>
        <v>765.38</v>
      </c>
      <c r="U335">
        <f t="shared" si="122"/>
        <v>560</v>
      </c>
      <c r="V335">
        <f t="shared" si="122"/>
        <v>471.80100000000004</v>
      </c>
      <c r="W335">
        <f t="shared" si="122"/>
        <v>400.94499999999999</v>
      </c>
      <c r="Y335" s="8">
        <f t="shared" si="95"/>
        <v>13123.483302882076</v>
      </c>
      <c r="Z335">
        <f>SUMPRODUCT($D$338:$W$338,D335:W335)</f>
        <v>260.22149363253652</v>
      </c>
    </row>
    <row r="336" spans="1:26" x14ac:dyDescent="0.25">
      <c r="A336" t="s">
        <v>313</v>
      </c>
      <c r="D336">
        <f t="shared" ref="D336:W336" si="123">D30*D132</f>
        <v>606.36000000000013</v>
      </c>
      <c r="E336">
        <f t="shared" si="123"/>
        <v>698.6099999999999</v>
      </c>
      <c r="F336">
        <f t="shared" si="123"/>
        <v>634.57000000000005</v>
      </c>
      <c r="G336">
        <f t="shared" si="123"/>
        <v>698.42</v>
      </c>
      <c r="H336">
        <f t="shared" si="123"/>
        <v>769.11000000000013</v>
      </c>
      <c r="I336">
        <f t="shared" si="123"/>
        <v>709.28</v>
      </c>
      <c r="J336">
        <f t="shared" si="123"/>
        <v>821.7299999999999</v>
      </c>
      <c r="K336">
        <f t="shared" si="123"/>
        <v>718.38</v>
      </c>
      <c r="L336">
        <f t="shared" si="123"/>
        <v>579.04000000000008</v>
      </c>
      <c r="M336">
        <f t="shared" si="123"/>
        <v>576.0200000000001</v>
      </c>
      <c r="N336">
        <f t="shared" si="123"/>
        <v>632.69999999999993</v>
      </c>
      <c r="O336">
        <f t="shared" si="123"/>
        <v>719.82000000000016</v>
      </c>
      <c r="P336">
        <f t="shared" si="123"/>
        <v>482.58295716533337</v>
      </c>
      <c r="Q336">
        <f t="shared" si="123"/>
        <v>469.46542544932521</v>
      </c>
      <c r="R336">
        <f t="shared" si="123"/>
        <v>504.75033111769852</v>
      </c>
      <c r="S336">
        <f t="shared" si="123"/>
        <v>504.41100180603246</v>
      </c>
      <c r="T336">
        <f t="shared" si="123"/>
        <v>526.77019815873678</v>
      </c>
      <c r="U336">
        <f t="shared" si="123"/>
        <v>528.70000425809735</v>
      </c>
      <c r="V336">
        <f t="shared" si="123"/>
        <v>529.38615249530562</v>
      </c>
      <c r="W336">
        <f t="shared" si="123"/>
        <v>499.33559473404802</v>
      </c>
      <c r="Y336" s="8">
        <f t="shared" si="95"/>
        <v>12209.441665184579</v>
      </c>
      <c r="Z336">
        <f>SUMPRODUCT($D$338:$W$338,D336:W336)</f>
        <v>212.54991983405799</v>
      </c>
    </row>
    <row r="337" spans="1:26" x14ac:dyDescent="0.25">
      <c r="A337" t="s">
        <v>676</v>
      </c>
      <c r="D337">
        <f t="shared" ref="D337:W337" si="124">D31*D133</f>
        <v>519.73617431804894</v>
      </c>
      <c r="E337">
        <f t="shared" si="124"/>
        <v>437.16210709747708</v>
      </c>
      <c r="F337">
        <f t="shared" si="124"/>
        <v>428.93875311973773</v>
      </c>
      <c r="G337">
        <f t="shared" si="124"/>
        <v>441.73110680237158</v>
      </c>
      <c r="H337">
        <f t="shared" si="124"/>
        <v>477.09995206963504</v>
      </c>
      <c r="I337">
        <f t="shared" si="124"/>
        <v>482.25757941188596</v>
      </c>
      <c r="J337">
        <f t="shared" si="124"/>
        <v>470.31125974124507</v>
      </c>
      <c r="K337">
        <f t="shared" si="124"/>
        <v>503.57788378456615</v>
      </c>
      <c r="L337">
        <f t="shared" si="124"/>
        <v>456.07602417649372</v>
      </c>
      <c r="M337">
        <f t="shared" si="124"/>
        <v>448.78881667529964</v>
      </c>
      <c r="N337">
        <f t="shared" si="124"/>
        <v>448.23839307021956</v>
      </c>
      <c r="O337">
        <f t="shared" si="124"/>
        <v>466.49397512325936</v>
      </c>
      <c r="P337">
        <f t="shared" si="124"/>
        <v>448.20477118274061</v>
      </c>
      <c r="Q337">
        <f t="shared" si="124"/>
        <v>525.76260185350111</v>
      </c>
      <c r="R337">
        <f t="shared" si="124"/>
        <v>517.14749999999992</v>
      </c>
      <c r="S337">
        <f t="shared" si="124"/>
        <v>558.9210389610389</v>
      </c>
      <c r="T337">
        <f t="shared" si="124"/>
        <v>563.98026044613744</v>
      </c>
      <c r="U337">
        <f t="shared" si="124"/>
        <v>507.55514501756539</v>
      </c>
      <c r="V337">
        <f t="shared" si="124"/>
        <v>479.47601208531592</v>
      </c>
      <c r="W337">
        <f t="shared" si="124"/>
        <v>487.45214156350977</v>
      </c>
      <c r="Y337" s="8">
        <f t="shared" ref="Y337" si="125">SUM(D337:W337)</f>
        <v>9668.9114965000499</v>
      </c>
      <c r="Z337">
        <f>SUMPRODUCT($D$338:$W$338,D337:W337)</f>
        <v>236.19236006747747</v>
      </c>
    </row>
    <row r="338" spans="1:26" x14ac:dyDescent="0.25">
      <c r="A338" s="2" t="s">
        <v>69</v>
      </c>
      <c r="D338" s="3">
        <f>CORREL($B$2:$B$26,D308:D332)</f>
        <v>-0.17944297225224118</v>
      </c>
      <c r="E338" s="3">
        <f t="shared" ref="E338:W338" si="126">CORREL($B$2:$B$26,E308:E332)</f>
        <v>-0.13192131259474524</v>
      </c>
      <c r="F338" s="3">
        <f t="shared" si="126"/>
        <v>4.4475250412759439E-2</v>
      </c>
      <c r="G338" s="3">
        <f t="shared" si="126"/>
        <v>-0.11256427784215217</v>
      </c>
      <c r="H338" s="3">
        <f t="shared" si="126"/>
        <v>5.6410268251138311E-2</v>
      </c>
      <c r="I338" s="3">
        <f t="shared" si="126"/>
        <v>5.3031406316333816E-2</v>
      </c>
      <c r="J338" s="3">
        <f t="shared" si="126"/>
        <v>-6.7834765227298741E-2</v>
      </c>
      <c r="K338" s="3">
        <f t="shared" si="126"/>
        <v>0.15080785087757737</v>
      </c>
      <c r="L338" s="3">
        <f t="shared" si="126"/>
        <v>0.20127114405959104</v>
      </c>
      <c r="M338" s="3">
        <f t="shared" si="126"/>
        <v>-9.17907284228712E-4</v>
      </c>
      <c r="N338" s="3">
        <f t="shared" si="126"/>
        <v>-3.0498772167358607E-2</v>
      </c>
      <c r="O338" s="3">
        <f t="shared" si="126"/>
        <v>5.4230788738536199E-2</v>
      </c>
      <c r="P338" s="3">
        <f t="shared" si="126"/>
        <v>0.11415753121936967</v>
      </c>
      <c r="Q338" s="3">
        <f t="shared" si="126"/>
        <v>-3.0374184341884346E-2</v>
      </c>
      <c r="R338" s="3">
        <f t="shared" si="126"/>
        <v>-0.14169584861305018</v>
      </c>
      <c r="S338" s="3">
        <f t="shared" si="126"/>
        <v>0.20561884710784575</v>
      </c>
      <c r="T338" s="3">
        <f t="shared" si="126"/>
        <v>0.4446800209403412</v>
      </c>
      <c r="U338" s="3">
        <f t="shared" si="126"/>
        <v>-2.6298308812055349E-2</v>
      </c>
      <c r="V338" s="3">
        <f t="shared" si="126"/>
        <v>-1.0715721183273528E-2</v>
      </c>
      <c r="W338" s="3">
        <f t="shared" si="126"/>
        <v>-0.18651022725790242</v>
      </c>
      <c r="X338" s="3"/>
    </row>
    <row r="341" spans="1:26" x14ac:dyDescent="0.25">
      <c r="D341" t="s">
        <v>128</v>
      </c>
      <c r="E341" t="s">
        <v>129</v>
      </c>
      <c r="F341" t="s">
        <v>130</v>
      </c>
      <c r="G341" t="s">
        <v>131</v>
      </c>
      <c r="H341" t="s">
        <v>132</v>
      </c>
      <c r="I341" t="s">
        <v>133</v>
      </c>
      <c r="J341" t="s">
        <v>134</v>
      </c>
      <c r="K341" t="s">
        <v>135</v>
      </c>
      <c r="L341" t="s">
        <v>325</v>
      </c>
      <c r="M341" t="s">
        <v>373</v>
      </c>
      <c r="N341" t="s">
        <v>374</v>
      </c>
      <c r="O341" t="s">
        <v>375</v>
      </c>
      <c r="P341" t="s">
        <v>492</v>
      </c>
      <c r="Q341" t="s">
        <v>493</v>
      </c>
      <c r="R341" t="s">
        <v>494</v>
      </c>
      <c r="S341" t="s">
        <v>495</v>
      </c>
      <c r="T341" t="s">
        <v>604</v>
      </c>
      <c r="U341" t="s">
        <v>605</v>
      </c>
      <c r="V341" t="s">
        <v>606</v>
      </c>
      <c r="W341" t="s">
        <v>607</v>
      </c>
      <c r="Y341" t="s">
        <v>136</v>
      </c>
      <c r="Z341" t="s">
        <v>137</v>
      </c>
    </row>
    <row r="342" spans="1:26" x14ac:dyDescent="0.25">
      <c r="A342" t="s">
        <v>43</v>
      </c>
      <c r="D342">
        <f t="shared" ref="D342:W342" si="127">D2*D138</f>
        <v>526.99304460376857</v>
      </c>
      <c r="E342">
        <f t="shared" si="127"/>
        <v>464.02849508617311</v>
      </c>
      <c r="F342">
        <f t="shared" si="127"/>
        <v>515.83125478607076</v>
      </c>
      <c r="G342">
        <f t="shared" si="127"/>
        <v>746.56094927653169</v>
      </c>
      <c r="H342">
        <f t="shared" si="127"/>
        <v>640.40842061982357</v>
      </c>
      <c r="I342">
        <f t="shared" si="127"/>
        <v>366.87261339442364</v>
      </c>
      <c r="J342">
        <f t="shared" si="127"/>
        <v>371.66141098562071</v>
      </c>
      <c r="K342">
        <f t="shared" si="127"/>
        <v>452.0722988856914</v>
      </c>
      <c r="L342">
        <f t="shared" si="127"/>
        <v>409.56115394571816</v>
      </c>
      <c r="M342">
        <f t="shared" si="127"/>
        <v>300.4985030690741</v>
      </c>
      <c r="N342">
        <f t="shared" si="127"/>
        <v>382.79464326968179</v>
      </c>
      <c r="O342">
        <f t="shared" si="127"/>
        <v>561.93404643761858</v>
      </c>
      <c r="P342">
        <f t="shared" si="127"/>
        <v>512.8844655716772</v>
      </c>
      <c r="Q342">
        <f t="shared" si="127"/>
        <v>428.16808470630389</v>
      </c>
      <c r="R342">
        <f t="shared" si="127"/>
        <v>522.21508889250231</v>
      </c>
      <c r="S342">
        <f t="shared" si="127"/>
        <v>530.69407821395043</v>
      </c>
      <c r="T342">
        <f t="shared" si="127"/>
        <v>446.11918686945734</v>
      </c>
      <c r="U342">
        <f t="shared" si="127"/>
        <v>485.97769413823931</v>
      </c>
      <c r="V342">
        <f t="shared" si="127"/>
        <v>565.61088753453589</v>
      </c>
      <c r="W342">
        <f t="shared" si="127"/>
        <v>641.90331769826798</v>
      </c>
      <c r="Y342" s="8">
        <f t="shared" ref="Y342:Y370" si="128">SUM(D342:W342)</f>
        <v>9872.7896379851318</v>
      </c>
      <c r="Z342">
        <f t="shared" ref="Z342:Z366" si="129">SUMPRODUCT($D$372:$W$372,D342:W342)</f>
        <v>29.037140143327299</v>
      </c>
    </row>
    <row r="343" spans="1:26" x14ac:dyDescent="0.25">
      <c r="A343" t="s">
        <v>44</v>
      </c>
      <c r="D343">
        <f t="shared" ref="D343:W343" si="130">D3*D139</f>
        <v>440.61444538793376</v>
      </c>
      <c r="E343">
        <f t="shared" si="130"/>
        <v>399.37588107140772</v>
      </c>
      <c r="F343">
        <f t="shared" si="130"/>
        <v>363.04557985237716</v>
      </c>
      <c r="G343">
        <f t="shared" si="130"/>
        <v>383.6827082749063</v>
      </c>
      <c r="H343">
        <f t="shared" si="130"/>
        <v>432.29347622189323</v>
      </c>
      <c r="I343">
        <f t="shared" si="130"/>
        <v>307.9036453613794</v>
      </c>
      <c r="J343">
        <f t="shared" si="130"/>
        <v>323.22159875679768</v>
      </c>
      <c r="K343">
        <f t="shared" si="130"/>
        <v>462.48600272118728</v>
      </c>
      <c r="L343">
        <f t="shared" si="130"/>
        <v>327.6015108437212</v>
      </c>
      <c r="M343">
        <f t="shared" si="130"/>
        <v>480.6641170223013</v>
      </c>
      <c r="N343">
        <f t="shared" si="130"/>
        <v>319.19279017637791</v>
      </c>
      <c r="O343">
        <f t="shared" si="130"/>
        <v>574.97348992532045</v>
      </c>
      <c r="P343">
        <f t="shared" si="130"/>
        <v>299.00195644959581</v>
      </c>
      <c r="Q343">
        <f t="shared" si="130"/>
        <v>375.75847594777065</v>
      </c>
      <c r="R343">
        <f t="shared" si="130"/>
        <v>533.03359887653028</v>
      </c>
      <c r="S343">
        <f t="shared" si="130"/>
        <v>390.93469078352206</v>
      </c>
      <c r="T343">
        <f t="shared" si="130"/>
        <v>358.58076063879361</v>
      </c>
      <c r="U343">
        <f t="shared" si="130"/>
        <v>292.5707029182293</v>
      </c>
      <c r="V343">
        <f t="shared" si="130"/>
        <v>324.22233296564781</v>
      </c>
      <c r="W343">
        <f t="shared" si="130"/>
        <v>463.72012514483384</v>
      </c>
      <c r="Y343" s="8">
        <f t="shared" si="128"/>
        <v>7852.877889340527</v>
      </c>
      <c r="Z343">
        <f t="shared" si="129"/>
        <v>128.961737611339</v>
      </c>
    </row>
    <row r="344" spans="1:26" x14ac:dyDescent="0.25">
      <c r="A344" t="s">
        <v>45</v>
      </c>
      <c r="D344">
        <f t="shared" ref="D344:W344" si="131">D4*D140</f>
        <v>436.77610302895022</v>
      </c>
      <c r="E344">
        <f t="shared" si="131"/>
        <v>420.32413876206107</v>
      </c>
      <c r="F344">
        <f t="shared" si="131"/>
        <v>396.76050423612497</v>
      </c>
      <c r="G344">
        <f t="shared" si="131"/>
        <v>345.75250830899978</v>
      </c>
      <c r="H344">
        <f t="shared" si="131"/>
        <v>305.21151014596109</v>
      </c>
      <c r="I344">
        <f t="shared" si="131"/>
        <v>310.03123268485734</v>
      </c>
      <c r="J344">
        <f t="shared" si="131"/>
        <v>288.70970102637068</v>
      </c>
      <c r="K344">
        <f t="shared" si="131"/>
        <v>289.04356524193912</v>
      </c>
      <c r="L344">
        <f t="shared" si="131"/>
        <v>409.35259337407552</v>
      </c>
      <c r="M344">
        <f t="shared" si="131"/>
        <v>492.30416791435425</v>
      </c>
      <c r="N344">
        <f t="shared" si="131"/>
        <v>331.70390348483323</v>
      </c>
      <c r="O344">
        <f t="shared" si="131"/>
        <v>402.83492736400217</v>
      </c>
      <c r="P344">
        <f t="shared" si="131"/>
        <v>419.63381563105526</v>
      </c>
      <c r="Q344">
        <f t="shared" si="131"/>
        <v>401.72554920272086</v>
      </c>
      <c r="R344">
        <f t="shared" si="131"/>
        <v>260.51828404449253</v>
      </c>
      <c r="S344">
        <f t="shared" si="131"/>
        <v>368.2106386465162</v>
      </c>
      <c r="T344">
        <f t="shared" si="131"/>
        <v>504.76993547976645</v>
      </c>
      <c r="U344">
        <f t="shared" si="131"/>
        <v>437.4915807264847</v>
      </c>
      <c r="V344">
        <f t="shared" si="131"/>
        <v>507.75946145364833</v>
      </c>
      <c r="W344">
        <f t="shared" si="131"/>
        <v>540.07536594637168</v>
      </c>
      <c r="Y344" s="8">
        <f t="shared" si="128"/>
        <v>7868.9894867035837</v>
      </c>
      <c r="Z344">
        <f t="shared" si="129"/>
        <v>-22.360225408453115</v>
      </c>
    </row>
    <row r="345" spans="1:26" x14ac:dyDescent="0.25">
      <c r="A345" t="s">
        <v>46</v>
      </c>
      <c r="D345">
        <f t="shared" ref="D345:W345" si="132">D5*D141</f>
        <v>595.57269538584069</v>
      </c>
      <c r="E345">
        <f t="shared" si="132"/>
        <v>426.23548787624912</v>
      </c>
      <c r="F345">
        <f t="shared" si="132"/>
        <v>373.67046151556997</v>
      </c>
      <c r="G345">
        <f t="shared" si="132"/>
        <v>419.00012345796728</v>
      </c>
      <c r="H345">
        <f t="shared" si="132"/>
        <v>379.82051411892462</v>
      </c>
      <c r="I345">
        <f t="shared" si="132"/>
        <v>307.51073375024981</v>
      </c>
      <c r="J345">
        <f t="shared" si="132"/>
        <v>342.30279550716199</v>
      </c>
      <c r="K345">
        <f t="shared" si="132"/>
        <v>487.80454038686401</v>
      </c>
      <c r="L345">
        <f t="shared" si="132"/>
        <v>484.36019704790732</v>
      </c>
      <c r="M345">
        <f t="shared" si="132"/>
        <v>325.54601865985404</v>
      </c>
      <c r="N345">
        <f t="shared" si="132"/>
        <v>422.19340198564964</v>
      </c>
      <c r="O345">
        <f t="shared" si="132"/>
        <v>419.10150677996552</v>
      </c>
      <c r="P345">
        <f t="shared" si="132"/>
        <v>478.60247222642909</v>
      </c>
      <c r="Q345">
        <f t="shared" si="132"/>
        <v>537.08552670399627</v>
      </c>
      <c r="R345">
        <f t="shared" si="132"/>
        <v>389.1925857073125</v>
      </c>
      <c r="S345">
        <f t="shared" si="132"/>
        <v>320.94420527980566</v>
      </c>
      <c r="T345">
        <f t="shared" si="132"/>
        <v>307.17838329470362</v>
      </c>
      <c r="U345">
        <f t="shared" si="132"/>
        <v>379.7930178309017</v>
      </c>
      <c r="V345">
        <f t="shared" si="132"/>
        <v>508.55461046205278</v>
      </c>
      <c r="W345">
        <f t="shared" si="132"/>
        <v>352.23324704927302</v>
      </c>
      <c r="Y345" s="8">
        <f t="shared" si="128"/>
        <v>8256.7025250266797</v>
      </c>
      <c r="Z345">
        <f t="shared" si="129"/>
        <v>6.896337971285238</v>
      </c>
    </row>
    <row r="346" spans="1:26" x14ac:dyDescent="0.25">
      <c r="A346" t="s">
        <v>47</v>
      </c>
      <c r="D346">
        <f t="shared" ref="D346:W346" si="133">D6*D142</f>
        <v>273.33827163672464</v>
      </c>
      <c r="E346">
        <f t="shared" si="133"/>
        <v>220.82716303114523</v>
      </c>
      <c r="F346">
        <f t="shared" si="133"/>
        <v>324.73699958199745</v>
      </c>
      <c r="G346">
        <f t="shared" si="133"/>
        <v>331.96767220727008</v>
      </c>
      <c r="H346">
        <f t="shared" si="133"/>
        <v>297.34270821858627</v>
      </c>
      <c r="I346">
        <f t="shared" si="133"/>
        <v>143.33973853749015</v>
      </c>
      <c r="J346">
        <f t="shared" si="133"/>
        <v>189.3886329579714</v>
      </c>
      <c r="K346">
        <f t="shared" si="133"/>
        <v>227.48251258816006</v>
      </c>
      <c r="L346">
        <f t="shared" si="133"/>
        <v>119.23678407206468</v>
      </c>
      <c r="M346">
        <f t="shared" si="133"/>
        <v>113.62870790886346</v>
      </c>
      <c r="N346">
        <f t="shared" si="133"/>
        <v>104.52252635447425</v>
      </c>
      <c r="O346">
        <f t="shared" si="133"/>
        <v>120.42894463521887</v>
      </c>
      <c r="P346">
        <f t="shared" si="133"/>
        <v>135.6112074433961</v>
      </c>
      <c r="Q346">
        <f t="shared" si="133"/>
        <v>104.2866589395707</v>
      </c>
      <c r="R346">
        <f t="shared" si="133"/>
        <v>305.26455563165183</v>
      </c>
      <c r="S346">
        <f t="shared" si="133"/>
        <v>126.53783692241743</v>
      </c>
      <c r="T346">
        <f t="shared" si="133"/>
        <v>194.98738096812903</v>
      </c>
      <c r="U346">
        <f t="shared" si="133"/>
        <v>209.84826490471247</v>
      </c>
      <c r="V346">
        <f t="shared" si="133"/>
        <v>155.81412437704302</v>
      </c>
      <c r="W346">
        <f t="shared" si="133"/>
        <v>299.21186312451488</v>
      </c>
      <c r="Y346" s="8">
        <f t="shared" si="128"/>
        <v>3997.8025540414014</v>
      </c>
      <c r="Z346">
        <f t="shared" si="129"/>
        <v>13.380099444672219</v>
      </c>
    </row>
    <row r="347" spans="1:26" x14ac:dyDescent="0.25">
      <c r="A347" t="s">
        <v>48</v>
      </c>
      <c r="D347">
        <f t="shared" ref="D347:W347" si="134">D7*D143</f>
        <v>386.35201894843323</v>
      </c>
      <c r="E347">
        <f t="shared" si="134"/>
        <v>331.36367739529675</v>
      </c>
      <c r="F347">
        <f t="shared" si="134"/>
        <v>328.05308909736033</v>
      </c>
      <c r="G347">
        <f t="shared" si="134"/>
        <v>430.63950774855971</v>
      </c>
      <c r="H347">
        <f t="shared" si="134"/>
        <v>280.56624186584713</v>
      </c>
      <c r="I347">
        <f t="shared" si="134"/>
        <v>235.88956903191206</v>
      </c>
      <c r="J347">
        <f t="shared" si="134"/>
        <v>223.04829380409697</v>
      </c>
      <c r="K347">
        <f t="shared" si="134"/>
        <v>198.37959161057557</v>
      </c>
      <c r="L347">
        <f t="shared" si="134"/>
        <v>116.69962665081339</v>
      </c>
      <c r="M347">
        <f t="shared" si="134"/>
        <v>123.15181703043108</v>
      </c>
      <c r="N347">
        <f t="shared" si="134"/>
        <v>79.458065207130986</v>
      </c>
      <c r="O347">
        <f t="shared" si="134"/>
        <v>102.93704807089556</v>
      </c>
      <c r="P347">
        <f t="shared" si="134"/>
        <v>144.91237171879845</v>
      </c>
      <c r="Q347">
        <f t="shared" si="134"/>
        <v>153.42988023405348</v>
      </c>
      <c r="R347">
        <f t="shared" si="134"/>
        <v>206.10040055468281</v>
      </c>
      <c r="S347">
        <f t="shared" si="134"/>
        <v>181.0663729479808</v>
      </c>
      <c r="T347">
        <f t="shared" si="134"/>
        <v>241.99195764559352</v>
      </c>
      <c r="U347">
        <f t="shared" si="134"/>
        <v>159.00513228835732</v>
      </c>
      <c r="V347">
        <f t="shared" si="134"/>
        <v>255.65114029088795</v>
      </c>
      <c r="W347">
        <f t="shared" si="134"/>
        <v>316.81812199351356</v>
      </c>
      <c r="Y347" s="8">
        <f t="shared" si="128"/>
        <v>4495.5139241352208</v>
      </c>
      <c r="Z347">
        <f t="shared" si="129"/>
        <v>-74.127840409859274</v>
      </c>
    </row>
    <row r="348" spans="1:26" x14ac:dyDescent="0.25">
      <c r="A348" t="s">
        <v>49</v>
      </c>
      <c r="D348">
        <f t="shared" ref="D348:W348" si="135">D8*D144</f>
        <v>369.31337014948724</v>
      </c>
      <c r="E348">
        <f t="shared" si="135"/>
        <v>340.64294103289745</v>
      </c>
      <c r="F348">
        <f t="shared" si="135"/>
        <v>270.67408076788462</v>
      </c>
      <c r="G348">
        <f t="shared" si="135"/>
        <v>299.68350795389085</v>
      </c>
      <c r="H348">
        <f t="shared" si="135"/>
        <v>153.08841563370365</v>
      </c>
      <c r="I348">
        <f t="shared" si="135"/>
        <v>250.5624478078056</v>
      </c>
      <c r="J348">
        <f t="shared" si="135"/>
        <v>199.60273142909475</v>
      </c>
      <c r="K348">
        <f t="shared" si="135"/>
        <v>167.44300002132212</v>
      </c>
      <c r="L348">
        <f t="shared" si="135"/>
        <v>136.7992134784424</v>
      </c>
      <c r="M348">
        <f t="shared" si="135"/>
        <v>123.20447514838777</v>
      </c>
      <c r="N348">
        <f t="shared" si="135"/>
        <v>90.011794670167248</v>
      </c>
      <c r="O348">
        <f t="shared" si="135"/>
        <v>59.878136297102188</v>
      </c>
      <c r="P348">
        <f t="shared" si="135"/>
        <v>149.74596824055192</v>
      </c>
      <c r="Q348">
        <f t="shared" si="135"/>
        <v>79.208226778128378</v>
      </c>
      <c r="R348">
        <f t="shared" si="135"/>
        <v>110.45813427455403</v>
      </c>
      <c r="S348">
        <f t="shared" si="135"/>
        <v>185.89606729560811</v>
      </c>
      <c r="T348">
        <f t="shared" si="135"/>
        <v>136.3135764514015</v>
      </c>
      <c r="U348">
        <f t="shared" si="135"/>
        <v>176.75243476208433</v>
      </c>
      <c r="V348">
        <f t="shared" si="135"/>
        <v>236.10714455369867</v>
      </c>
      <c r="W348">
        <f t="shared" si="135"/>
        <v>230.78310367095062</v>
      </c>
      <c r="Y348" s="8">
        <f t="shared" si="128"/>
        <v>3766.1687704171632</v>
      </c>
      <c r="Z348">
        <f t="shared" si="129"/>
        <v>-108.54738660056235</v>
      </c>
    </row>
    <row r="349" spans="1:26" x14ac:dyDescent="0.25">
      <c r="A349" t="s">
        <v>50</v>
      </c>
      <c r="D349">
        <f t="shared" ref="D349:W349" si="136">D9*D145</f>
        <v>300.00116033558993</v>
      </c>
      <c r="E349">
        <f t="shared" si="136"/>
        <v>184.40831874416838</v>
      </c>
      <c r="F349">
        <f t="shared" si="136"/>
        <v>212.48451926961974</v>
      </c>
      <c r="G349">
        <f t="shared" si="136"/>
        <v>179.24385530629201</v>
      </c>
      <c r="H349">
        <f t="shared" si="136"/>
        <v>107.67312633290332</v>
      </c>
      <c r="I349">
        <f t="shared" si="136"/>
        <v>196.50884563254019</v>
      </c>
      <c r="J349">
        <f t="shared" si="136"/>
        <v>191.43604866608894</v>
      </c>
      <c r="K349">
        <f t="shared" si="136"/>
        <v>189.22174016724435</v>
      </c>
      <c r="L349">
        <f t="shared" si="136"/>
        <v>245.87098145216774</v>
      </c>
      <c r="M349">
        <f t="shared" si="136"/>
        <v>184.27202737278509</v>
      </c>
      <c r="N349">
        <f t="shared" si="136"/>
        <v>95.108543909689459</v>
      </c>
      <c r="O349">
        <f t="shared" si="136"/>
        <v>205.22777294804763</v>
      </c>
      <c r="P349">
        <f t="shared" si="136"/>
        <v>191.58147171329847</v>
      </c>
      <c r="Q349">
        <f t="shared" si="136"/>
        <v>270.4072927964466</v>
      </c>
      <c r="R349">
        <f t="shared" si="136"/>
        <v>306.78523318233522</v>
      </c>
      <c r="S349">
        <f t="shared" si="136"/>
        <v>236.9844386824295</v>
      </c>
      <c r="T349">
        <f t="shared" si="136"/>
        <v>187.87020840623137</v>
      </c>
      <c r="U349">
        <f t="shared" si="136"/>
        <v>192.95283033496091</v>
      </c>
      <c r="V349">
        <f t="shared" si="136"/>
        <v>203.76347544064473</v>
      </c>
      <c r="W349">
        <f t="shared" si="136"/>
        <v>260.41893838875461</v>
      </c>
      <c r="Y349" s="8">
        <f t="shared" si="128"/>
        <v>4142.2208290822382</v>
      </c>
      <c r="Z349">
        <f t="shared" si="129"/>
        <v>57.117149205668696</v>
      </c>
    </row>
    <row r="350" spans="1:26" x14ac:dyDescent="0.25">
      <c r="A350" t="s">
        <v>51</v>
      </c>
      <c r="D350">
        <f t="shared" ref="D350:W350" si="137">D10*D146</f>
        <v>352.16416624254106</v>
      </c>
      <c r="E350">
        <f t="shared" si="137"/>
        <v>178.06087062548329</v>
      </c>
      <c r="F350">
        <f t="shared" si="137"/>
        <v>172.41794326076118</v>
      </c>
      <c r="G350">
        <f t="shared" si="137"/>
        <v>167.66744579700242</v>
      </c>
      <c r="H350">
        <f t="shared" si="137"/>
        <v>160.77114788684983</v>
      </c>
      <c r="I350">
        <f t="shared" si="137"/>
        <v>139.92313648857859</v>
      </c>
      <c r="J350">
        <f t="shared" si="137"/>
        <v>147.74151978064793</v>
      </c>
      <c r="K350">
        <f t="shared" si="137"/>
        <v>174.42542708621141</v>
      </c>
      <c r="L350">
        <f t="shared" si="137"/>
        <v>124.47610221512348</v>
      </c>
      <c r="M350">
        <f t="shared" si="137"/>
        <v>188.2626618370229</v>
      </c>
      <c r="N350">
        <f t="shared" si="137"/>
        <v>132.5113743571593</v>
      </c>
      <c r="O350">
        <f t="shared" si="137"/>
        <v>157.17357586143086</v>
      </c>
      <c r="P350">
        <f t="shared" si="137"/>
        <v>166.16128638464014</v>
      </c>
      <c r="Q350">
        <f t="shared" si="137"/>
        <v>182.64315052280992</v>
      </c>
      <c r="R350">
        <f t="shared" si="137"/>
        <v>276.71754828150063</v>
      </c>
      <c r="S350">
        <f t="shared" si="137"/>
        <v>292.81818839428666</v>
      </c>
      <c r="T350">
        <f t="shared" si="137"/>
        <v>325.02390385881955</v>
      </c>
      <c r="U350">
        <f t="shared" si="137"/>
        <v>304.74469447786055</v>
      </c>
      <c r="V350">
        <f t="shared" si="137"/>
        <v>302.64000068470932</v>
      </c>
      <c r="W350">
        <f t="shared" si="137"/>
        <v>255.59608798512292</v>
      </c>
      <c r="Y350" s="8">
        <f t="shared" si="128"/>
        <v>4201.9402320285626</v>
      </c>
      <c r="Z350">
        <f t="shared" si="129"/>
        <v>13.256295290324159</v>
      </c>
    </row>
    <row r="351" spans="1:26" x14ac:dyDescent="0.25">
      <c r="A351" t="s">
        <v>52</v>
      </c>
      <c r="D351">
        <f t="shared" ref="D351:W351" si="138">D11*D147</f>
        <v>317.35728085674504</v>
      </c>
      <c r="E351">
        <f t="shared" si="138"/>
        <v>300.28691265744163</v>
      </c>
      <c r="F351">
        <f t="shared" si="138"/>
        <v>354.44672331794334</v>
      </c>
      <c r="G351">
        <f t="shared" si="138"/>
        <v>250.27584240831442</v>
      </c>
      <c r="H351">
        <f t="shared" si="138"/>
        <v>238.24871845397388</v>
      </c>
      <c r="I351">
        <f t="shared" si="138"/>
        <v>160.82101400366147</v>
      </c>
      <c r="J351">
        <f t="shared" si="138"/>
        <v>150.46402391734682</v>
      </c>
      <c r="K351">
        <f t="shared" si="138"/>
        <v>220.55476389129939</v>
      </c>
      <c r="L351">
        <f t="shared" si="138"/>
        <v>180.80329260210152</v>
      </c>
      <c r="M351">
        <f t="shared" si="138"/>
        <v>164.24304807264181</v>
      </c>
      <c r="N351">
        <f t="shared" si="138"/>
        <v>133.10289488589743</v>
      </c>
      <c r="O351">
        <f t="shared" si="138"/>
        <v>94.369013082936448</v>
      </c>
      <c r="P351">
        <f t="shared" si="138"/>
        <v>88.977679827161737</v>
      </c>
      <c r="Q351">
        <f t="shared" si="138"/>
        <v>172.02675881472339</v>
      </c>
      <c r="R351">
        <f t="shared" si="138"/>
        <v>118.77587730501109</v>
      </c>
      <c r="S351">
        <f t="shared" si="138"/>
        <v>177.37861647873243</v>
      </c>
      <c r="T351">
        <f t="shared" si="138"/>
        <v>170.83160798447219</v>
      </c>
      <c r="U351">
        <f t="shared" si="138"/>
        <v>204.15294379202794</v>
      </c>
      <c r="V351">
        <f t="shared" si="138"/>
        <v>179.64171786537653</v>
      </c>
      <c r="W351">
        <f t="shared" si="138"/>
        <v>198.04702117140519</v>
      </c>
      <c r="Y351" s="8">
        <f t="shared" si="128"/>
        <v>3874.8057513892136</v>
      </c>
      <c r="Z351">
        <f t="shared" si="129"/>
        <v>-49.419114232094699</v>
      </c>
    </row>
    <row r="352" spans="1:26" x14ac:dyDescent="0.25">
      <c r="A352" t="s">
        <v>53</v>
      </c>
      <c r="D352">
        <f t="shared" ref="D352:W352" si="139">D12*D148</f>
        <v>300.8089769149434</v>
      </c>
      <c r="E352">
        <f t="shared" si="139"/>
        <v>307.60993066518517</v>
      </c>
      <c r="F352">
        <f t="shared" si="139"/>
        <v>275.18427578509181</v>
      </c>
      <c r="G352">
        <f t="shared" si="139"/>
        <v>182.05894431883797</v>
      </c>
      <c r="H352">
        <f t="shared" si="139"/>
        <v>230.15020966751217</v>
      </c>
      <c r="I352">
        <f t="shared" si="139"/>
        <v>132.43879592232412</v>
      </c>
      <c r="J352">
        <f t="shared" si="139"/>
        <v>139.55486936698662</v>
      </c>
      <c r="K352">
        <f t="shared" si="139"/>
        <v>160.39803467537828</v>
      </c>
      <c r="L352">
        <f t="shared" si="139"/>
        <v>160.13216884876513</v>
      </c>
      <c r="M352">
        <f t="shared" si="139"/>
        <v>190.03679885220109</v>
      </c>
      <c r="N352">
        <f t="shared" si="139"/>
        <v>221.72784144548334</v>
      </c>
      <c r="O352">
        <f t="shared" si="139"/>
        <v>159.31632940605158</v>
      </c>
      <c r="P352">
        <f t="shared" si="139"/>
        <v>166.16066266764614</v>
      </c>
      <c r="Q352">
        <f t="shared" si="139"/>
        <v>215.48915719918739</v>
      </c>
      <c r="R352">
        <f t="shared" si="139"/>
        <v>212.04255832880784</v>
      </c>
      <c r="S352">
        <f t="shared" si="139"/>
        <v>195.82381172250732</v>
      </c>
      <c r="T352">
        <f t="shared" si="139"/>
        <v>272.34484432972567</v>
      </c>
      <c r="U352">
        <f t="shared" si="139"/>
        <v>214.92368653853268</v>
      </c>
      <c r="V352">
        <f t="shared" si="139"/>
        <v>253.10398456965964</v>
      </c>
      <c r="W352">
        <f t="shared" si="139"/>
        <v>219.96014356637318</v>
      </c>
      <c r="Y352" s="8">
        <f t="shared" si="128"/>
        <v>4209.2660247912008</v>
      </c>
      <c r="Z352">
        <f t="shared" si="129"/>
        <v>-21.196030781352306</v>
      </c>
    </row>
    <row r="353" spans="1:26" x14ac:dyDescent="0.25">
      <c r="A353" t="s">
        <v>54</v>
      </c>
      <c r="D353">
        <f t="shared" ref="D353:W353" si="140">D13*D149</f>
        <v>498.28698075288338</v>
      </c>
      <c r="E353">
        <f t="shared" si="140"/>
        <v>296.56319828603688</v>
      </c>
      <c r="F353">
        <f t="shared" si="140"/>
        <v>248.06278887730176</v>
      </c>
      <c r="G353">
        <f t="shared" si="140"/>
        <v>333.67257833553737</v>
      </c>
      <c r="H353">
        <f t="shared" si="140"/>
        <v>138.02796106126706</v>
      </c>
      <c r="I353">
        <f t="shared" si="140"/>
        <v>310.10997954996253</v>
      </c>
      <c r="J353">
        <f t="shared" si="140"/>
        <v>197.58007954320522</v>
      </c>
      <c r="K353">
        <f t="shared" si="140"/>
        <v>167.72472614082881</v>
      </c>
      <c r="L353">
        <f t="shared" si="140"/>
        <v>95.488394771484622</v>
      </c>
      <c r="M353">
        <f t="shared" si="140"/>
        <v>397.65842832277525</v>
      </c>
      <c r="N353">
        <f t="shared" si="140"/>
        <v>137.66409630715054</v>
      </c>
      <c r="O353">
        <f t="shared" si="140"/>
        <v>133.70171823490398</v>
      </c>
      <c r="P353">
        <f t="shared" si="140"/>
        <v>430.89949232064714</v>
      </c>
      <c r="Q353">
        <f t="shared" si="140"/>
        <v>206.54937633775984</v>
      </c>
      <c r="R353">
        <f t="shared" si="140"/>
        <v>325.91902908601315</v>
      </c>
      <c r="S353">
        <f t="shared" si="140"/>
        <v>389.1925857073125</v>
      </c>
      <c r="T353">
        <f t="shared" si="140"/>
        <v>415.34014757862167</v>
      </c>
      <c r="U353">
        <f t="shared" si="140"/>
        <v>356.50650192326947</v>
      </c>
      <c r="V353">
        <f t="shared" si="140"/>
        <v>302.08184178305027</v>
      </c>
      <c r="W353">
        <f t="shared" si="140"/>
        <v>228.68945105975004</v>
      </c>
      <c r="Y353" s="8">
        <f t="shared" si="128"/>
        <v>5609.7193559797624</v>
      </c>
      <c r="Z353">
        <f t="shared" si="129"/>
        <v>-6.6428423924057718</v>
      </c>
    </row>
    <row r="354" spans="1:26" x14ac:dyDescent="0.25">
      <c r="A354" t="s">
        <v>55</v>
      </c>
      <c r="D354">
        <f t="shared" ref="D354:W354" si="141">D14*D150</f>
        <v>406.09355432982346</v>
      </c>
      <c r="E354">
        <f t="shared" si="141"/>
        <v>375.70559839494348</v>
      </c>
      <c r="F354">
        <f t="shared" si="141"/>
        <v>285.42987723067517</v>
      </c>
      <c r="G354">
        <f t="shared" si="141"/>
        <v>326.46907470863016</v>
      </c>
      <c r="H354">
        <f t="shared" si="141"/>
        <v>223.57255942405973</v>
      </c>
      <c r="I354">
        <f t="shared" si="141"/>
        <v>280.23854027925876</v>
      </c>
      <c r="J354">
        <f t="shared" si="141"/>
        <v>384.27021618972208</v>
      </c>
      <c r="K354">
        <f t="shared" si="141"/>
        <v>247.24397698148789</v>
      </c>
      <c r="L354">
        <f t="shared" si="141"/>
        <v>305.27079709418382</v>
      </c>
      <c r="M354">
        <f t="shared" si="141"/>
        <v>319.68966875624932</v>
      </c>
      <c r="N354">
        <f t="shared" si="141"/>
        <v>348.22423679947059</v>
      </c>
      <c r="O354">
        <f t="shared" si="141"/>
        <v>357.67238602522445</v>
      </c>
      <c r="P354">
        <f t="shared" si="141"/>
        <v>362.23144556944749</v>
      </c>
      <c r="Q354">
        <f t="shared" si="141"/>
        <v>402.803089322669</v>
      </c>
      <c r="R354">
        <f t="shared" si="141"/>
        <v>332.77292877075831</v>
      </c>
      <c r="S354">
        <f t="shared" si="141"/>
        <v>376.5785233681616</v>
      </c>
      <c r="T354">
        <f t="shared" si="141"/>
        <v>314.26321085202017</v>
      </c>
      <c r="U354">
        <f t="shared" si="141"/>
        <v>328.2875150472687</v>
      </c>
      <c r="V354">
        <f t="shared" si="141"/>
        <v>368.71809709122067</v>
      </c>
      <c r="W354">
        <f t="shared" si="141"/>
        <v>399.49695156991453</v>
      </c>
      <c r="Y354" s="8">
        <f t="shared" si="128"/>
        <v>6745.0322478051894</v>
      </c>
      <c r="Z354">
        <f t="shared" si="129"/>
        <v>-2.6557957220613382</v>
      </c>
    </row>
    <row r="355" spans="1:26" x14ac:dyDescent="0.25">
      <c r="A355" t="s">
        <v>56</v>
      </c>
      <c r="D355">
        <f t="shared" ref="D355:W355" si="142">D15*D151</f>
        <v>345.48251280814594</v>
      </c>
      <c r="E355">
        <f t="shared" si="142"/>
        <v>363.29849261854275</v>
      </c>
      <c r="F355">
        <f t="shared" si="142"/>
        <v>316.28524923061013</v>
      </c>
      <c r="G355">
        <f t="shared" si="142"/>
        <v>373.64831048297901</v>
      </c>
      <c r="H355">
        <f t="shared" si="142"/>
        <v>464.51490070978457</v>
      </c>
      <c r="I355">
        <f t="shared" si="142"/>
        <v>359.86142338655822</v>
      </c>
      <c r="J355">
        <f t="shared" si="142"/>
        <v>384.61752954346986</v>
      </c>
      <c r="K355">
        <f t="shared" si="142"/>
        <v>427.08124593350379</v>
      </c>
      <c r="L355">
        <f t="shared" si="142"/>
        <v>385.87698467797878</v>
      </c>
      <c r="M355">
        <f t="shared" si="142"/>
        <v>312.52301625027343</v>
      </c>
      <c r="N355">
        <f t="shared" si="142"/>
        <v>543.81027711060835</v>
      </c>
      <c r="O355">
        <f t="shared" si="142"/>
        <v>355.77498771088085</v>
      </c>
      <c r="P355">
        <f t="shared" si="142"/>
        <v>309.45644502095149</v>
      </c>
      <c r="Q355">
        <f t="shared" si="142"/>
        <v>312.12129365498674</v>
      </c>
      <c r="R355">
        <f t="shared" si="142"/>
        <v>407.55565914717027</v>
      </c>
      <c r="S355">
        <f t="shared" si="142"/>
        <v>401.46485267380126</v>
      </c>
      <c r="T355">
        <f t="shared" si="142"/>
        <v>431.70866755548559</v>
      </c>
      <c r="U355">
        <f t="shared" si="142"/>
        <v>440.3010941351136</v>
      </c>
      <c r="V355">
        <f t="shared" si="142"/>
        <v>502.30832084657919</v>
      </c>
      <c r="W355">
        <f t="shared" si="142"/>
        <v>406.72233382530027</v>
      </c>
      <c r="Y355" s="8">
        <f t="shared" si="128"/>
        <v>7844.4135973227258</v>
      </c>
      <c r="Z355">
        <f t="shared" si="129"/>
        <v>15.063593067979607</v>
      </c>
    </row>
    <row r="356" spans="1:26" x14ac:dyDescent="0.25">
      <c r="A356" t="s">
        <v>57</v>
      </c>
      <c r="D356">
        <f t="shared" ref="D356:W356" si="143">D16*D152</f>
        <v>383.21711155346918</v>
      </c>
      <c r="E356">
        <f t="shared" si="143"/>
        <v>259.91752232612009</v>
      </c>
      <c r="F356">
        <f t="shared" si="143"/>
        <v>269.86819961397458</v>
      </c>
      <c r="G356">
        <f t="shared" si="143"/>
        <v>249.98646698058226</v>
      </c>
      <c r="H356">
        <f t="shared" si="143"/>
        <v>264.51088718726345</v>
      </c>
      <c r="I356">
        <f t="shared" si="143"/>
        <v>216.34548065714446</v>
      </c>
      <c r="J356">
        <f t="shared" si="143"/>
        <v>279.60536672457914</v>
      </c>
      <c r="K356">
        <f t="shared" si="143"/>
        <v>191.34288924440008</v>
      </c>
      <c r="L356">
        <f t="shared" si="143"/>
        <v>262.22790995366148</v>
      </c>
      <c r="M356">
        <f t="shared" si="143"/>
        <v>305.20973874744573</v>
      </c>
      <c r="N356">
        <f t="shared" si="143"/>
        <v>333.68172892229029</v>
      </c>
      <c r="O356">
        <f t="shared" si="143"/>
        <v>330.14311073249178</v>
      </c>
      <c r="P356">
        <f t="shared" si="143"/>
        <v>158.38898401399896</v>
      </c>
      <c r="Q356">
        <f t="shared" si="143"/>
        <v>202.44703569611937</v>
      </c>
      <c r="R356">
        <f t="shared" si="143"/>
        <v>178.46986457293184</v>
      </c>
      <c r="S356">
        <f t="shared" si="143"/>
        <v>186.57386116090453</v>
      </c>
      <c r="T356">
        <f t="shared" si="143"/>
        <v>282.85158776977437</v>
      </c>
      <c r="U356">
        <f t="shared" si="143"/>
        <v>265.42346226337935</v>
      </c>
      <c r="V356">
        <f t="shared" si="143"/>
        <v>152.0966281963492</v>
      </c>
      <c r="W356">
        <f t="shared" si="143"/>
        <v>239.86437244079218</v>
      </c>
      <c r="Y356" s="8">
        <f t="shared" si="128"/>
        <v>5012.1722087576727</v>
      </c>
      <c r="Z356">
        <f t="shared" si="129"/>
        <v>-37.556031531806909</v>
      </c>
    </row>
    <row r="357" spans="1:26" x14ac:dyDescent="0.25">
      <c r="A357" t="s">
        <v>58</v>
      </c>
      <c r="D357">
        <f t="shared" ref="D357:W357" si="144">D17*D153</f>
        <v>387.88040942216605</v>
      </c>
      <c r="E357">
        <f t="shared" si="144"/>
        <v>265.04629862608613</v>
      </c>
      <c r="F357">
        <f t="shared" si="144"/>
        <v>282.76398077459157</v>
      </c>
      <c r="G357">
        <f t="shared" si="144"/>
        <v>203.24558674711216</v>
      </c>
      <c r="H357">
        <f t="shared" si="144"/>
        <v>265.58501711175245</v>
      </c>
      <c r="I357">
        <f t="shared" si="144"/>
        <v>319.40029243966427</v>
      </c>
      <c r="J357">
        <f t="shared" si="144"/>
        <v>329.37375730889977</v>
      </c>
      <c r="K357">
        <f t="shared" si="144"/>
        <v>281.27691683641103</v>
      </c>
      <c r="L357">
        <f t="shared" si="144"/>
        <v>206.84713324187359</v>
      </c>
      <c r="M357">
        <f t="shared" si="144"/>
        <v>284.30893440599482</v>
      </c>
      <c r="N357">
        <f t="shared" si="144"/>
        <v>269.92870255839807</v>
      </c>
      <c r="O357">
        <f t="shared" si="144"/>
        <v>270.8907118498629</v>
      </c>
      <c r="P357">
        <f t="shared" si="144"/>
        <v>176.5493573766849</v>
      </c>
      <c r="Q357">
        <f t="shared" si="144"/>
        <v>276.5442800792718</v>
      </c>
      <c r="R357">
        <f t="shared" si="144"/>
        <v>317.66231696557514</v>
      </c>
      <c r="S357">
        <f t="shared" si="144"/>
        <v>372.34755450292039</v>
      </c>
      <c r="T357">
        <f t="shared" si="144"/>
        <v>368.62055897547646</v>
      </c>
      <c r="U357">
        <f t="shared" si="144"/>
        <v>384.53227775737133</v>
      </c>
      <c r="V357">
        <f t="shared" si="144"/>
        <v>278.43304353528805</v>
      </c>
      <c r="W357">
        <f t="shared" si="144"/>
        <v>385.49583086703433</v>
      </c>
      <c r="Y357" s="8">
        <f t="shared" si="128"/>
        <v>5926.732961382435</v>
      </c>
      <c r="Z357">
        <f t="shared" si="129"/>
        <v>18.383635668892214</v>
      </c>
    </row>
    <row r="358" spans="1:26" x14ac:dyDescent="0.25">
      <c r="A358" t="s">
        <v>59</v>
      </c>
      <c r="D358">
        <f t="shared" ref="D358:W358" si="145">D18*D154</f>
        <v>387.82668598518256</v>
      </c>
      <c r="E358">
        <f t="shared" si="145"/>
        <v>403.96672542921414</v>
      </c>
      <c r="F358">
        <f t="shared" si="145"/>
        <v>354.6739435441657</v>
      </c>
      <c r="G358">
        <f t="shared" si="145"/>
        <v>311.32874181895227</v>
      </c>
      <c r="H358">
        <f t="shared" si="145"/>
        <v>322.31144043638284</v>
      </c>
      <c r="I358">
        <f t="shared" si="145"/>
        <v>320.42776986319853</v>
      </c>
      <c r="J358">
        <f t="shared" si="145"/>
        <v>289.92159698143519</v>
      </c>
      <c r="K358">
        <f t="shared" si="145"/>
        <v>295.1020728260109</v>
      </c>
      <c r="L358">
        <f t="shared" si="145"/>
        <v>286.50656722261374</v>
      </c>
      <c r="M358">
        <f t="shared" si="145"/>
        <v>262.88270399299199</v>
      </c>
      <c r="N358">
        <f t="shared" si="145"/>
        <v>260.58977800544602</v>
      </c>
      <c r="O358">
        <f t="shared" si="145"/>
        <v>268.34555473520442</v>
      </c>
      <c r="P358">
        <f t="shared" si="145"/>
        <v>334.03537418196311</v>
      </c>
      <c r="Q358">
        <f t="shared" si="145"/>
        <v>342.34137280006547</v>
      </c>
      <c r="R358">
        <f t="shared" si="145"/>
        <v>355.14970236444202</v>
      </c>
      <c r="S358">
        <f t="shared" si="145"/>
        <v>355.99631663218668</v>
      </c>
      <c r="T358">
        <f t="shared" si="145"/>
        <v>330.35378995342427</v>
      </c>
      <c r="U358">
        <f t="shared" si="145"/>
        <v>331.04814410610561</v>
      </c>
      <c r="V358">
        <f t="shared" si="145"/>
        <v>305.62452356647202</v>
      </c>
      <c r="W358">
        <f t="shared" si="145"/>
        <v>340.55216027939389</v>
      </c>
      <c r="Y358" s="8">
        <f t="shared" si="128"/>
        <v>6458.984964724852</v>
      </c>
      <c r="Z358">
        <f t="shared" si="129"/>
        <v>22.5853144060132</v>
      </c>
    </row>
    <row r="359" spans="1:26" x14ac:dyDescent="0.25">
      <c r="A359" t="s">
        <v>60</v>
      </c>
      <c r="D359">
        <f t="shared" ref="D359:W359" si="146">D19*D155</f>
        <v>300.7312060166031</v>
      </c>
      <c r="E359">
        <f t="shared" si="146"/>
        <v>283.40139311718451</v>
      </c>
      <c r="F359">
        <f t="shared" si="146"/>
        <v>338.22622391629409</v>
      </c>
      <c r="G359">
        <f t="shared" si="146"/>
        <v>316.97522025799321</v>
      </c>
      <c r="H359">
        <f t="shared" si="146"/>
        <v>323.0544636774701</v>
      </c>
      <c r="I359">
        <f t="shared" si="146"/>
        <v>271.23315491720217</v>
      </c>
      <c r="J359">
        <f t="shared" si="146"/>
        <v>262.97080278745915</v>
      </c>
      <c r="K359">
        <f t="shared" si="146"/>
        <v>294.73691310235114</v>
      </c>
      <c r="L359">
        <f t="shared" si="146"/>
        <v>246.94225419754309</v>
      </c>
      <c r="M359">
        <f t="shared" si="146"/>
        <v>306.08914732209041</v>
      </c>
      <c r="N359">
        <f t="shared" si="146"/>
        <v>296.40836176184109</v>
      </c>
      <c r="O359">
        <f t="shared" si="146"/>
        <v>297.10779732803519</v>
      </c>
      <c r="P359">
        <f t="shared" si="146"/>
        <v>222.86975135346862</v>
      </c>
      <c r="Q359">
        <f t="shared" si="146"/>
        <v>439.06706272574189</v>
      </c>
      <c r="R359">
        <f t="shared" si="146"/>
        <v>414.14292261697943</v>
      </c>
      <c r="S359">
        <f t="shared" si="146"/>
        <v>360.97265877622425</v>
      </c>
      <c r="T359">
        <f t="shared" si="146"/>
        <v>353.65015812670151</v>
      </c>
      <c r="U359">
        <f t="shared" si="146"/>
        <v>323.00135296902107</v>
      </c>
      <c r="V359">
        <f t="shared" si="146"/>
        <v>276.85243492435853</v>
      </c>
      <c r="W359">
        <f t="shared" si="146"/>
        <v>341.76655419184243</v>
      </c>
      <c r="Y359" s="8">
        <f t="shared" si="128"/>
        <v>6270.1998340864056</v>
      </c>
      <c r="Z359">
        <f t="shared" si="129"/>
        <v>90.414084873945299</v>
      </c>
    </row>
    <row r="360" spans="1:26" x14ac:dyDescent="0.25">
      <c r="A360" t="s">
        <v>61</v>
      </c>
      <c r="D360">
        <f t="shared" ref="D360:W360" si="147">D20*D156</f>
        <v>421.86961914480099</v>
      </c>
      <c r="E360">
        <f t="shared" si="147"/>
        <v>354.37148985957282</v>
      </c>
      <c r="F360">
        <f t="shared" si="147"/>
        <v>292.76535344931165</v>
      </c>
      <c r="G360">
        <f t="shared" si="147"/>
        <v>366.98211077273754</v>
      </c>
      <c r="H360">
        <f t="shared" si="147"/>
        <v>255.51085666655982</v>
      </c>
      <c r="I360">
        <f t="shared" si="147"/>
        <v>325.57055004746485</v>
      </c>
      <c r="J360">
        <f t="shared" si="147"/>
        <v>306.3703372548091</v>
      </c>
      <c r="K360">
        <f t="shared" si="147"/>
        <v>356.96717588285151</v>
      </c>
      <c r="L360">
        <f t="shared" si="147"/>
        <v>399.81407618076128</v>
      </c>
      <c r="M360">
        <f t="shared" si="147"/>
        <v>317.82985638283446</v>
      </c>
      <c r="N360">
        <f t="shared" si="147"/>
        <v>257.88002155849932</v>
      </c>
      <c r="O360">
        <f t="shared" si="147"/>
        <v>291.33964539276519</v>
      </c>
      <c r="P360">
        <f t="shared" si="147"/>
        <v>349.49730729463874</v>
      </c>
      <c r="Q360">
        <f t="shared" si="147"/>
        <v>414.42573875355799</v>
      </c>
      <c r="R360">
        <f t="shared" si="147"/>
        <v>422.9952248506504</v>
      </c>
      <c r="S360">
        <f t="shared" si="147"/>
        <v>441.99626410544886</v>
      </c>
      <c r="T360">
        <f t="shared" si="147"/>
        <v>329.99545817897928</v>
      </c>
      <c r="U360">
        <f t="shared" si="147"/>
        <v>297.92027022481608</v>
      </c>
      <c r="V360">
        <f t="shared" si="147"/>
        <v>278.27218143900103</v>
      </c>
      <c r="W360">
        <f t="shared" si="147"/>
        <v>373.24538164696082</v>
      </c>
      <c r="Y360" s="8">
        <f t="shared" si="128"/>
        <v>6855.6189190870209</v>
      </c>
      <c r="Z360">
        <f t="shared" si="129"/>
        <v>76.133641470897686</v>
      </c>
    </row>
    <row r="361" spans="1:26" x14ac:dyDescent="0.25">
      <c r="A361" t="s">
        <v>62</v>
      </c>
      <c r="D361">
        <f t="shared" ref="D361:W361" si="148">D21*D157</f>
        <v>320.07474672660226</v>
      </c>
      <c r="E361">
        <f t="shared" si="148"/>
        <v>259.4186007589949</v>
      </c>
      <c r="F361">
        <f t="shared" si="148"/>
        <v>300.73504028551497</v>
      </c>
      <c r="G361">
        <f t="shared" si="148"/>
        <v>297.00645902191457</v>
      </c>
      <c r="H361">
        <f t="shared" si="148"/>
        <v>308.15926068263008</v>
      </c>
      <c r="I361">
        <f t="shared" si="148"/>
        <v>200.98725998379837</v>
      </c>
      <c r="J361">
        <f t="shared" si="148"/>
        <v>285.96592369986985</v>
      </c>
      <c r="K361">
        <f t="shared" si="148"/>
        <v>290.29659488085304</v>
      </c>
      <c r="L361">
        <f t="shared" si="148"/>
        <v>260.87227769029539</v>
      </c>
      <c r="M361">
        <f t="shared" si="148"/>
        <v>271.23271266334399</v>
      </c>
      <c r="N361">
        <f t="shared" si="148"/>
        <v>293.60235082702542</v>
      </c>
      <c r="O361">
        <f t="shared" si="148"/>
        <v>290.39405837389359</v>
      </c>
      <c r="P361">
        <f t="shared" si="148"/>
        <v>262.33995932464933</v>
      </c>
      <c r="Q361">
        <f t="shared" si="148"/>
        <v>328.4402729361239</v>
      </c>
      <c r="R361">
        <f t="shared" si="148"/>
        <v>259.87440206163984</v>
      </c>
      <c r="S361">
        <f t="shared" si="148"/>
        <v>332.11456512214056</v>
      </c>
      <c r="T361">
        <f t="shared" si="148"/>
        <v>294.91198992556963</v>
      </c>
      <c r="U361">
        <f t="shared" si="148"/>
        <v>316.41884084773199</v>
      </c>
      <c r="V361">
        <f t="shared" si="148"/>
        <v>325.40034446102032</v>
      </c>
      <c r="W361">
        <f t="shared" si="148"/>
        <v>311.28413222365623</v>
      </c>
      <c r="Y361" s="8">
        <f t="shared" si="128"/>
        <v>5809.5297924972683</v>
      </c>
      <c r="Z361">
        <f t="shared" si="129"/>
        <v>19.19394137485466</v>
      </c>
    </row>
    <row r="362" spans="1:26" x14ac:dyDescent="0.25">
      <c r="A362" t="s">
        <v>63</v>
      </c>
      <c r="D362">
        <f t="shared" ref="D362:W362" si="149">D22*D158</f>
        <v>294.03401447378099</v>
      </c>
      <c r="E362">
        <f t="shared" si="149"/>
        <v>340.57193201742393</v>
      </c>
      <c r="F362">
        <f t="shared" si="149"/>
        <v>345.18738516934974</v>
      </c>
      <c r="G362">
        <f t="shared" si="149"/>
        <v>317.57787270381141</v>
      </c>
      <c r="H362">
        <f t="shared" si="149"/>
        <v>313.0386344786815</v>
      </c>
      <c r="I362">
        <f t="shared" si="149"/>
        <v>238.17395910871983</v>
      </c>
      <c r="J362">
        <f t="shared" si="149"/>
        <v>255.33681284389837</v>
      </c>
      <c r="K362">
        <f t="shared" si="149"/>
        <v>252.94762493361716</v>
      </c>
      <c r="L362">
        <f t="shared" si="149"/>
        <v>244.89410939547247</v>
      </c>
      <c r="M362">
        <f t="shared" si="149"/>
        <v>202.30349393679893</v>
      </c>
      <c r="N362">
        <f t="shared" si="149"/>
        <v>237.12678867826702</v>
      </c>
      <c r="O362">
        <f t="shared" si="149"/>
        <v>286.52054748263771</v>
      </c>
      <c r="P362">
        <f t="shared" si="149"/>
        <v>329.68141843700539</v>
      </c>
      <c r="Q362">
        <f t="shared" si="149"/>
        <v>270.89275091649017</v>
      </c>
      <c r="R362">
        <f t="shared" si="149"/>
        <v>298.02122232421237</v>
      </c>
      <c r="S362">
        <f t="shared" si="149"/>
        <v>348.83789826933412</v>
      </c>
      <c r="T362">
        <f t="shared" si="149"/>
        <v>316.3623481010772</v>
      </c>
      <c r="U362">
        <f t="shared" si="149"/>
        <v>355.13997447812415</v>
      </c>
      <c r="V362">
        <f t="shared" si="149"/>
        <v>248.4328466166302</v>
      </c>
      <c r="W362">
        <f t="shared" si="149"/>
        <v>233.3485867862538</v>
      </c>
      <c r="Y362" s="8">
        <f t="shared" si="128"/>
        <v>5728.4302211515851</v>
      </c>
      <c r="Z362">
        <f t="shared" si="129"/>
        <v>32.127968461151433</v>
      </c>
    </row>
    <row r="363" spans="1:26" x14ac:dyDescent="0.25">
      <c r="A363" t="s">
        <v>64</v>
      </c>
      <c r="D363">
        <f t="shared" ref="D363:W363" si="150">D23*D159</f>
        <v>351.99278460335609</v>
      </c>
      <c r="E363">
        <f t="shared" si="150"/>
        <v>417.94244424858846</v>
      </c>
      <c r="F363">
        <f t="shared" si="150"/>
        <v>243.4486239812781</v>
      </c>
      <c r="G363">
        <f t="shared" si="150"/>
        <v>251.88437947985878</v>
      </c>
      <c r="H363">
        <f t="shared" si="150"/>
        <v>253.82603319734019</v>
      </c>
      <c r="I363">
        <f t="shared" si="150"/>
        <v>243.64891621508056</v>
      </c>
      <c r="J363">
        <f t="shared" si="150"/>
        <v>226.32604089389474</v>
      </c>
      <c r="K363">
        <f t="shared" si="150"/>
        <v>272.18710240063569</v>
      </c>
      <c r="L363">
        <f t="shared" si="150"/>
        <v>5.1274562288402743</v>
      </c>
      <c r="M363">
        <f t="shared" si="150"/>
        <v>296.21797007905218</v>
      </c>
      <c r="N363">
        <f t="shared" si="150"/>
        <v>274.4430689004015</v>
      </c>
      <c r="O363">
        <f t="shared" si="150"/>
        <v>128.54193748755901</v>
      </c>
      <c r="P363">
        <f t="shared" si="150"/>
        <v>194.67855953034743</v>
      </c>
      <c r="Q363">
        <f t="shared" si="150"/>
        <v>284.10780442590271</v>
      </c>
      <c r="R363">
        <f t="shared" si="150"/>
        <v>304.6487152474362</v>
      </c>
      <c r="S363">
        <f t="shared" si="150"/>
        <v>292.6986904978578</v>
      </c>
      <c r="T363">
        <f t="shared" si="150"/>
        <v>292.23556166144016</v>
      </c>
      <c r="U363">
        <f t="shared" si="150"/>
        <v>309.44228741179154</v>
      </c>
      <c r="V363">
        <f t="shared" si="150"/>
        <v>313.0423155593208</v>
      </c>
      <c r="W363">
        <f t="shared" si="150"/>
        <v>331.66231617562795</v>
      </c>
      <c r="Y363" s="8">
        <f t="shared" si="128"/>
        <v>5288.1030082256111</v>
      </c>
      <c r="Z363">
        <f t="shared" si="129"/>
        <v>-21.334574435412641</v>
      </c>
    </row>
    <row r="364" spans="1:26" x14ac:dyDescent="0.25">
      <c r="A364" t="s">
        <v>65</v>
      </c>
      <c r="D364">
        <f t="shared" ref="D364:W364" si="151">D24*D160</f>
        <v>492.49624940127916</v>
      </c>
      <c r="E364">
        <f t="shared" si="151"/>
        <v>554.00409172837067</v>
      </c>
      <c r="F364">
        <f t="shared" si="151"/>
        <v>258.76819054616772</v>
      </c>
      <c r="G364">
        <f t="shared" si="151"/>
        <v>396.09449784792872</v>
      </c>
      <c r="H364">
        <f t="shared" si="151"/>
        <v>377.11864934307766</v>
      </c>
      <c r="I364">
        <f t="shared" si="151"/>
        <v>328.08729462499304</v>
      </c>
      <c r="J364">
        <f t="shared" si="151"/>
        <v>203.85976499256793</v>
      </c>
      <c r="K364">
        <f t="shared" si="151"/>
        <v>240.65781896987113</v>
      </c>
      <c r="L364">
        <f t="shared" si="151"/>
        <v>351.29561898867661</v>
      </c>
      <c r="M364">
        <f t="shared" si="151"/>
        <v>259.25174388871108</v>
      </c>
      <c r="N364">
        <f t="shared" si="151"/>
        <v>306.01078144041327</v>
      </c>
      <c r="O364">
        <f t="shared" si="151"/>
        <v>291.4819183440008</v>
      </c>
      <c r="P364">
        <f t="shared" si="151"/>
        <v>308.88097354468988</v>
      </c>
      <c r="Q364">
        <f t="shared" si="151"/>
        <v>286.49703123765846</v>
      </c>
      <c r="R364">
        <f t="shared" si="151"/>
        <v>304.65052186850016</v>
      </c>
      <c r="S364">
        <f t="shared" si="151"/>
        <v>335.55373570154597</v>
      </c>
      <c r="T364">
        <f t="shared" si="151"/>
        <v>349.73752292514467</v>
      </c>
      <c r="U364">
        <f t="shared" si="151"/>
        <v>357.34588021553634</v>
      </c>
      <c r="V364">
        <f t="shared" si="151"/>
        <v>321.76099148802871</v>
      </c>
      <c r="W364">
        <f t="shared" si="151"/>
        <v>337.62168606061692</v>
      </c>
      <c r="Y364" s="8">
        <f t="shared" si="128"/>
        <v>6661.1749631577795</v>
      </c>
      <c r="Z364">
        <f t="shared" si="129"/>
        <v>-60.431371012633839</v>
      </c>
    </row>
    <row r="365" spans="1:26" x14ac:dyDescent="0.25">
      <c r="A365" t="s">
        <v>66</v>
      </c>
      <c r="D365">
        <f t="shared" ref="D365:W365" si="152">D25*D161</f>
        <v>203.86137212467895</v>
      </c>
      <c r="E365">
        <f t="shared" si="152"/>
        <v>212.63476174639635</v>
      </c>
      <c r="F365">
        <f t="shared" si="152"/>
        <v>227.66469804552298</v>
      </c>
      <c r="G365">
        <f t="shared" si="152"/>
        <v>191.89682560954998</v>
      </c>
      <c r="H365">
        <f t="shared" si="152"/>
        <v>271.19540518889949</v>
      </c>
      <c r="I365">
        <f t="shared" si="152"/>
        <v>295.20456060923408</v>
      </c>
      <c r="J365">
        <f t="shared" si="152"/>
        <v>291.90351237435556</v>
      </c>
      <c r="K365">
        <f t="shared" si="152"/>
        <v>311.29671837766091</v>
      </c>
      <c r="L365">
        <f t="shared" si="152"/>
        <v>267.43824445964742</v>
      </c>
      <c r="M365">
        <f t="shared" si="152"/>
        <v>308.95971587971587</v>
      </c>
      <c r="N365">
        <f t="shared" si="152"/>
        <v>305.31762143837534</v>
      </c>
      <c r="O365">
        <f t="shared" si="152"/>
        <v>316.87048934735634</v>
      </c>
      <c r="P365">
        <f t="shared" si="152"/>
        <v>294.13261783818774</v>
      </c>
      <c r="Q365">
        <f t="shared" si="152"/>
        <v>295.62476444526629</v>
      </c>
      <c r="R365">
        <f t="shared" si="152"/>
        <v>298.45751435544815</v>
      </c>
      <c r="S365">
        <f t="shared" si="152"/>
        <v>317.00254946926503</v>
      </c>
      <c r="T365">
        <f t="shared" si="152"/>
        <v>393.19044247246438</v>
      </c>
      <c r="U365">
        <f t="shared" si="152"/>
        <v>355.64587803804631</v>
      </c>
      <c r="V365">
        <f t="shared" si="152"/>
        <v>346.63229666996733</v>
      </c>
      <c r="W365">
        <f t="shared" si="152"/>
        <v>310.40883312127937</v>
      </c>
      <c r="Y365" s="8">
        <f t="shared" si="128"/>
        <v>5815.3388216113181</v>
      </c>
      <c r="Z365">
        <f t="shared" si="129"/>
        <v>69.80591875331352</v>
      </c>
    </row>
    <row r="366" spans="1:26" x14ac:dyDescent="0.25">
      <c r="A366" t="s">
        <v>67</v>
      </c>
      <c r="D366">
        <f t="shared" ref="D366:W366" si="153">D26*D162</f>
        <v>150.09547771057706</v>
      </c>
      <c r="E366">
        <f t="shared" si="153"/>
        <v>152.00433586913837</v>
      </c>
      <c r="F366">
        <f t="shared" si="153"/>
        <v>141.83328625011407</v>
      </c>
      <c r="G366">
        <f t="shared" si="153"/>
        <v>138.1433152111731</v>
      </c>
      <c r="H366">
        <f t="shared" si="153"/>
        <v>292.20593395270276</v>
      </c>
      <c r="I366">
        <f t="shared" si="153"/>
        <v>301.43589051250223</v>
      </c>
      <c r="J366">
        <f t="shared" si="153"/>
        <v>260.32425280139995</v>
      </c>
      <c r="K366">
        <f t="shared" si="153"/>
        <v>303.1300177373011</v>
      </c>
      <c r="L366">
        <f t="shared" si="153"/>
        <v>253.42941052788674</v>
      </c>
      <c r="M366">
        <f t="shared" si="153"/>
        <v>348.58926089140726</v>
      </c>
      <c r="N366">
        <f t="shared" si="153"/>
        <v>319.86761681269076</v>
      </c>
      <c r="O366">
        <f t="shared" si="153"/>
        <v>276.78245517895203</v>
      </c>
      <c r="P366">
        <f t="shared" si="153"/>
        <v>306.82476580449537</v>
      </c>
      <c r="Q366">
        <f t="shared" si="153"/>
        <v>308.29525377059792</v>
      </c>
      <c r="R366">
        <f t="shared" si="153"/>
        <v>310.9376794830352</v>
      </c>
      <c r="S366">
        <f t="shared" si="153"/>
        <v>300.14106742974735</v>
      </c>
      <c r="T366">
        <f t="shared" si="153"/>
        <v>310.5375229726742</v>
      </c>
      <c r="U366">
        <f t="shared" si="153"/>
        <v>334.7504649624027</v>
      </c>
      <c r="V366">
        <f t="shared" si="153"/>
        <v>298.54440244451587</v>
      </c>
      <c r="W366">
        <f t="shared" si="153"/>
        <v>298.59605981686821</v>
      </c>
      <c r="Y366" s="8">
        <f t="shared" si="128"/>
        <v>5406.4684701401829</v>
      </c>
      <c r="Z366">
        <f t="shared" si="129"/>
        <v>98.061800809856507</v>
      </c>
    </row>
    <row r="367" spans="1:26" x14ac:dyDescent="0.25">
      <c r="Y367" s="8"/>
    </row>
    <row r="368" spans="1:26" x14ac:dyDescent="0.25">
      <c r="A368" t="s">
        <v>68</v>
      </c>
      <c r="D368">
        <f t="shared" ref="D368:W368" si="154">D28*D164</f>
        <v>447.24416234146855</v>
      </c>
      <c r="E368">
        <f t="shared" si="154"/>
        <v>342.67480794384284</v>
      </c>
      <c r="F368">
        <f t="shared" si="154"/>
        <v>386.57134396366547</v>
      </c>
      <c r="G368">
        <f t="shared" si="154"/>
        <v>361.56753595595831</v>
      </c>
      <c r="H368">
        <f t="shared" si="154"/>
        <v>338.57518960349682</v>
      </c>
      <c r="I368">
        <f t="shared" si="154"/>
        <v>165.54292977195209</v>
      </c>
      <c r="J368">
        <f t="shared" si="154"/>
        <v>158.26092266943371</v>
      </c>
      <c r="K368">
        <f t="shared" si="154"/>
        <v>180.12151165302052</v>
      </c>
      <c r="L368">
        <f t="shared" si="154"/>
        <v>190.42010439487896</v>
      </c>
      <c r="M368">
        <f t="shared" si="154"/>
        <v>293.62932109054623</v>
      </c>
      <c r="N368">
        <f t="shared" si="154"/>
        <v>299.4563422548851</v>
      </c>
      <c r="O368">
        <f t="shared" si="154"/>
        <v>268.90765494147428</v>
      </c>
      <c r="P368">
        <f t="shared" si="154"/>
        <v>275.87619375272004</v>
      </c>
      <c r="Q368">
        <f t="shared" si="154"/>
        <v>316.58399067781573</v>
      </c>
      <c r="R368">
        <f t="shared" si="154"/>
        <v>331.22873253401951</v>
      </c>
      <c r="S368">
        <f t="shared" si="154"/>
        <v>354.57161102799046</v>
      </c>
      <c r="T368">
        <f t="shared" si="154"/>
        <v>349.60076338624447</v>
      </c>
      <c r="U368">
        <f t="shared" si="154"/>
        <v>346.1645129396419</v>
      </c>
      <c r="V368">
        <f t="shared" si="154"/>
        <v>303.12187864234176</v>
      </c>
      <c r="W368">
        <f t="shared" si="154"/>
        <v>337.56609501068817</v>
      </c>
      <c r="Y368" s="8">
        <f t="shared" si="128"/>
        <v>6047.6856045560853</v>
      </c>
      <c r="Z368">
        <f>SUMPRODUCT($D$372:$W$372,D368:W368)</f>
        <v>-6.1247518240964247</v>
      </c>
    </row>
    <row r="369" spans="1:26" x14ac:dyDescent="0.25">
      <c r="A369" t="s">
        <v>312</v>
      </c>
      <c r="D369">
        <f t="shared" ref="D369:W369" si="155">D29*D165</f>
        <v>308.79021459402367</v>
      </c>
      <c r="E369">
        <f t="shared" si="155"/>
        <v>287.26995536556228</v>
      </c>
      <c r="F369">
        <f t="shared" si="155"/>
        <v>310.61910442987778</v>
      </c>
      <c r="G369">
        <f t="shared" si="155"/>
        <v>313.93041704408972</v>
      </c>
      <c r="H369">
        <f t="shared" si="155"/>
        <v>343.82908281864059</v>
      </c>
      <c r="I369">
        <f t="shared" si="155"/>
        <v>317.11216357805159</v>
      </c>
      <c r="J369">
        <f t="shared" si="155"/>
        <v>256.24473111832413</v>
      </c>
      <c r="K369">
        <f t="shared" si="155"/>
        <v>327.74854325989156</v>
      </c>
      <c r="L369">
        <f t="shared" si="155"/>
        <v>273.30186800512251</v>
      </c>
      <c r="M369">
        <f t="shared" si="155"/>
        <v>259.58056903069524</v>
      </c>
      <c r="N369">
        <f t="shared" si="155"/>
        <v>286.8031214649626</v>
      </c>
      <c r="O369">
        <f t="shared" si="155"/>
        <v>249.98630426367893</v>
      </c>
      <c r="P369">
        <f t="shared" si="155"/>
        <v>474.32000000000005</v>
      </c>
      <c r="Q369">
        <f t="shared" si="155"/>
        <v>431.2</v>
      </c>
      <c r="R369">
        <f t="shared" si="155"/>
        <v>546.4799999999999</v>
      </c>
      <c r="S369">
        <f t="shared" si="155"/>
        <v>273.54000000000002</v>
      </c>
      <c r="T369">
        <f t="shared" si="155"/>
        <v>325.36000000000007</v>
      </c>
      <c r="U369">
        <f t="shared" si="155"/>
        <v>348</v>
      </c>
      <c r="V369">
        <f t="shared" si="155"/>
        <v>278.37100000000004</v>
      </c>
      <c r="W369">
        <f t="shared" si="155"/>
        <v>325.26100000000002</v>
      </c>
      <c r="Y369" s="8">
        <f t="shared" si="128"/>
        <v>6537.7480749729211</v>
      </c>
      <c r="Z369">
        <f>SUMPRODUCT($D$372:$W$372,D369:W369)</f>
        <v>130.28720814516976</v>
      </c>
    </row>
    <row r="370" spans="1:26" x14ac:dyDescent="0.25">
      <c r="A370" t="s">
        <v>313</v>
      </c>
      <c r="D370">
        <f t="shared" ref="D370:W370" si="156">D30*D166</f>
        <v>308.76000000000005</v>
      </c>
      <c r="E370">
        <f t="shared" si="156"/>
        <v>315.80999999999995</v>
      </c>
      <c r="F370">
        <f t="shared" si="156"/>
        <v>341.76</v>
      </c>
      <c r="G370">
        <f t="shared" si="156"/>
        <v>315.84000000000003</v>
      </c>
      <c r="H370">
        <f t="shared" si="156"/>
        <v>347.82</v>
      </c>
      <c r="I370">
        <f t="shared" si="156"/>
        <v>293.92</v>
      </c>
      <c r="J370">
        <f t="shared" si="156"/>
        <v>278.45999999999998</v>
      </c>
      <c r="K370">
        <f t="shared" si="156"/>
        <v>436.02</v>
      </c>
      <c r="L370">
        <f t="shared" si="156"/>
        <v>259.49</v>
      </c>
      <c r="M370">
        <f t="shared" si="156"/>
        <v>276.39</v>
      </c>
      <c r="N370">
        <f t="shared" si="156"/>
        <v>300.59999999999997</v>
      </c>
      <c r="O370">
        <f t="shared" si="156"/>
        <v>293.88000000000005</v>
      </c>
      <c r="P370">
        <f t="shared" si="156"/>
        <v>307.47138961424446</v>
      </c>
      <c r="Q370">
        <f t="shared" si="156"/>
        <v>315.09227965279024</v>
      </c>
      <c r="R370">
        <f t="shared" si="156"/>
        <v>324.84790376310946</v>
      </c>
      <c r="S370">
        <f t="shared" si="156"/>
        <v>334.02514070454919</v>
      </c>
      <c r="T370">
        <f t="shared" si="156"/>
        <v>318.3039647870167</v>
      </c>
      <c r="U370">
        <f t="shared" si="156"/>
        <v>311.65139951891251</v>
      </c>
      <c r="V370">
        <f t="shared" si="156"/>
        <v>312.16195900265046</v>
      </c>
      <c r="W370">
        <f t="shared" si="156"/>
        <v>320.75306977235198</v>
      </c>
      <c r="Y370" s="8">
        <f t="shared" si="128"/>
        <v>6313.0571068156241</v>
      </c>
      <c r="Z370">
        <f>SUMPRODUCT($D$372:$W$372,D370:W370)</f>
        <v>59.983689455731103</v>
      </c>
    </row>
    <row r="371" spans="1:26" x14ac:dyDescent="0.25">
      <c r="A371" t="s">
        <v>676</v>
      </c>
      <c r="D371">
        <f t="shared" ref="D371:W371" si="157">D31*D167</f>
        <v>423.61146162759115</v>
      </c>
      <c r="E371">
        <f t="shared" si="157"/>
        <v>360.49152763134265</v>
      </c>
      <c r="F371">
        <f t="shared" si="157"/>
        <v>325.90138551004338</v>
      </c>
      <c r="G371">
        <f t="shared" si="157"/>
        <v>319.73932848473186</v>
      </c>
      <c r="H371">
        <f t="shared" si="157"/>
        <v>324.70042794163192</v>
      </c>
      <c r="I371">
        <f t="shared" si="157"/>
        <v>293.60291324610142</v>
      </c>
      <c r="J371">
        <f t="shared" si="157"/>
        <v>297.03199938439218</v>
      </c>
      <c r="K371">
        <f t="shared" si="157"/>
        <v>289.19790603664023</v>
      </c>
      <c r="L371">
        <f t="shared" si="157"/>
        <v>269.94484956763927</v>
      </c>
      <c r="M371">
        <f t="shared" si="157"/>
        <v>280.23765163082157</v>
      </c>
      <c r="N371">
        <f t="shared" si="157"/>
        <v>266.29444197412903</v>
      </c>
      <c r="O371">
        <f t="shared" si="157"/>
        <v>283.60112027026219</v>
      </c>
      <c r="P371">
        <f t="shared" si="157"/>
        <v>269.42900119881</v>
      </c>
      <c r="Q371">
        <f t="shared" si="157"/>
        <v>360.25580624916756</v>
      </c>
      <c r="R371">
        <f t="shared" si="157"/>
        <v>340.62545454545449</v>
      </c>
      <c r="S371">
        <f t="shared" si="157"/>
        <v>374.81698051948047</v>
      </c>
      <c r="T371">
        <f t="shared" si="157"/>
        <v>335.19283144331081</v>
      </c>
      <c r="U371">
        <f t="shared" si="157"/>
        <v>329.94794468046979</v>
      </c>
      <c r="V371">
        <f t="shared" si="157"/>
        <v>301.31356674838867</v>
      </c>
      <c r="W371">
        <f t="shared" si="157"/>
        <v>317.88707616878418</v>
      </c>
      <c r="Y371" s="8">
        <f t="shared" ref="Y371" si="158">SUM(D371:W371)</f>
        <v>6363.8236748591926</v>
      </c>
      <c r="Z371">
        <f>SUMPRODUCT($D$372:$W$372,D371:W371)</f>
        <v>18.806656214541075</v>
      </c>
    </row>
    <row r="372" spans="1:26" x14ac:dyDescent="0.25">
      <c r="A372" s="2" t="s">
        <v>69</v>
      </c>
      <c r="D372" s="3">
        <f>CORREL($B$2:$B$26,D342:D366)</f>
        <v>-0.20765391869329008</v>
      </c>
      <c r="E372" s="3">
        <f t="shared" ref="E372:W372" si="159">CORREL($B$2:$B$26,E342:E366)</f>
        <v>-0.13919372798393309</v>
      </c>
      <c r="F372" s="3">
        <f t="shared" si="159"/>
        <v>1.8242892487866268E-2</v>
      </c>
      <c r="G372" s="3">
        <f t="shared" si="159"/>
        <v>-8.4713335374291168E-2</v>
      </c>
      <c r="H372" s="3">
        <f t="shared" si="159"/>
        <v>6.5740047848609042E-3</v>
      </c>
      <c r="I372" s="3">
        <f t="shared" si="159"/>
        <v>-3.910582294270009E-2</v>
      </c>
      <c r="J372" s="3">
        <f t="shared" si="159"/>
        <v>-8.1360002455759348E-2</v>
      </c>
      <c r="K372" s="3">
        <f t="shared" si="159"/>
        <v>0.17638139620178639</v>
      </c>
      <c r="L372" s="3">
        <f t="shared" si="159"/>
        <v>2.9310755430788357E-2</v>
      </c>
      <c r="M372" s="3">
        <f t="shared" si="159"/>
        <v>6.4949921074277508E-2</v>
      </c>
      <c r="N372" s="3">
        <f t="shared" si="159"/>
        <v>-0.121850719455308</v>
      </c>
      <c r="O372" s="3">
        <f t="shared" si="159"/>
        <v>9.3294396920380898E-2</v>
      </c>
      <c r="P372" s="3">
        <f t="shared" si="159"/>
        <v>4.2041923808889249E-2</v>
      </c>
      <c r="Q372" s="3">
        <f t="shared" si="159"/>
        <v>0.10034532465020707</v>
      </c>
      <c r="R372" s="3">
        <f t="shared" si="159"/>
        <v>0.32665111967107852</v>
      </c>
      <c r="S372" s="3">
        <f t="shared" si="159"/>
        <v>9.2462109046206192E-2</v>
      </c>
      <c r="T372" s="3">
        <f t="shared" si="159"/>
        <v>4.6486075574302253E-2</v>
      </c>
      <c r="U372" s="3">
        <f t="shared" si="159"/>
        <v>-4.6339992358196684E-2</v>
      </c>
      <c r="V372" s="3">
        <f t="shared" si="159"/>
        <v>-0.12371250720796563</v>
      </c>
      <c r="W372" s="3">
        <f t="shared" si="159"/>
        <v>-5.0157579262065134E-2</v>
      </c>
      <c r="X372" s="3"/>
    </row>
    <row r="375" spans="1:26" x14ac:dyDescent="0.25">
      <c r="D375" t="s">
        <v>138</v>
      </c>
      <c r="E375" t="s">
        <v>139</v>
      </c>
      <c r="F375" t="s">
        <v>140</v>
      </c>
      <c r="G375" t="s">
        <v>141</v>
      </c>
      <c r="H375" t="s">
        <v>142</v>
      </c>
      <c r="I375" t="s">
        <v>143</v>
      </c>
      <c r="J375" t="s">
        <v>144</v>
      </c>
      <c r="K375" t="s">
        <v>145</v>
      </c>
      <c r="L375" t="s">
        <v>326</v>
      </c>
      <c r="M375" t="s">
        <v>376</v>
      </c>
      <c r="N375" t="s">
        <v>377</v>
      </c>
      <c r="O375" t="s">
        <v>378</v>
      </c>
      <c r="P375" t="s">
        <v>496</v>
      </c>
      <c r="Q375" t="s">
        <v>497</v>
      </c>
      <c r="R375" t="s">
        <v>498</v>
      </c>
      <c r="S375" t="s">
        <v>499</v>
      </c>
      <c r="T375" t="s">
        <v>608</v>
      </c>
      <c r="U375" t="s">
        <v>609</v>
      </c>
      <c r="V375" t="s">
        <v>610</v>
      </c>
      <c r="W375" t="s">
        <v>611</v>
      </c>
      <c r="Y375" t="s">
        <v>146</v>
      </c>
      <c r="Z375" t="s">
        <v>147</v>
      </c>
    </row>
    <row r="376" spans="1:26" x14ac:dyDescent="0.25">
      <c r="A376" t="s">
        <v>43</v>
      </c>
      <c r="D376">
        <f t="shared" ref="D376:W376" si="160">D2*D172</f>
        <v>145.4737214404274</v>
      </c>
      <c r="E376">
        <f t="shared" si="160"/>
        <v>96.504219497032508</v>
      </c>
      <c r="F376">
        <f t="shared" si="160"/>
        <v>102.92753021599621</v>
      </c>
      <c r="G376">
        <f t="shared" si="160"/>
        <v>167.41153541242005</v>
      </c>
      <c r="H376">
        <f t="shared" si="160"/>
        <v>128.66068966189621</v>
      </c>
      <c r="I376">
        <f t="shared" si="160"/>
        <v>113.93990119479044</v>
      </c>
      <c r="J376">
        <f t="shared" si="160"/>
        <v>80.974110036525445</v>
      </c>
      <c r="K376">
        <f t="shared" si="160"/>
        <v>92.813011773246572</v>
      </c>
      <c r="L376">
        <f t="shared" si="160"/>
        <v>79.751524838150473</v>
      </c>
      <c r="M376">
        <f t="shared" si="160"/>
        <v>61.625235740927074</v>
      </c>
      <c r="N376">
        <f t="shared" si="160"/>
        <v>72.114021437784515</v>
      </c>
      <c r="O376">
        <f t="shared" si="160"/>
        <v>99.929450155260383</v>
      </c>
      <c r="P376">
        <f t="shared" si="160"/>
        <v>64.611033244417797</v>
      </c>
      <c r="Q376">
        <f t="shared" si="160"/>
        <v>104.12110327039063</v>
      </c>
      <c r="R376">
        <f t="shared" si="160"/>
        <v>147.23896854637815</v>
      </c>
      <c r="S376">
        <f t="shared" si="160"/>
        <v>113.80597263768017</v>
      </c>
      <c r="T376">
        <f t="shared" si="160"/>
        <v>99.860180362193361</v>
      </c>
      <c r="U376">
        <f t="shared" si="160"/>
        <v>82.048194638033252</v>
      </c>
      <c r="V376">
        <f t="shared" si="160"/>
        <v>116.50659986006896</v>
      </c>
      <c r="W376">
        <f t="shared" si="160"/>
        <v>115.90053760084682</v>
      </c>
      <c r="Y376" s="8">
        <f t="shared" ref="Y376:Y404" si="161">SUM(D376:W376)</f>
        <v>2086.2175415644665</v>
      </c>
      <c r="Z376">
        <f t="shared" ref="Z376:Z400" si="162">SUMPRODUCT($D$406:$W$406,D376:W376)</f>
        <v>-26.107031576461445</v>
      </c>
    </row>
    <row r="377" spans="1:26" x14ac:dyDescent="0.25">
      <c r="A377" t="s">
        <v>44</v>
      </c>
      <c r="D377">
        <f t="shared" ref="D377:W377" si="163">D3*D173</f>
        <v>121.86405273973418</v>
      </c>
      <c r="E377">
        <f t="shared" si="163"/>
        <v>130.83901263133069</v>
      </c>
      <c r="F377">
        <f t="shared" si="163"/>
        <v>112.7983195522857</v>
      </c>
      <c r="G377">
        <f t="shared" si="163"/>
        <v>94.688800746241469</v>
      </c>
      <c r="H377">
        <f t="shared" si="163"/>
        <v>96.808104245515068</v>
      </c>
      <c r="I377">
        <f t="shared" si="163"/>
        <v>94.234295098568069</v>
      </c>
      <c r="J377">
        <f t="shared" si="163"/>
        <v>92.724079100194018</v>
      </c>
      <c r="K377">
        <f t="shared" si="163"/>
        <v>104.44591192453241</v>
      </c>
      <c r="L377">
        <f t="shared" si="163"/>
        <v>97.196440735466609</v>
      </c>
      <c r="M377">
        <f t="shared" si="163"/>
        <v>83.026648104699532</v>
      </c>
      <c r="N377">
        <f t="shared" si="163"/>
        <v>75.91360208004798</v>
      </c>
      <c r="O377">
        <f t="shared" si="163"/>
        <v>79.878419161477197</v>
      </c>
      <c r="P377">
        <f t="shared" si="163"/>
        <v>84.743658756977183</v>
      </c>
      <c r="Q377">
        <f t="shared" si="163"/>
        <v>98.039428257294404</v>
      </c>
      <c r="R377">
        <f t="shared" si="163"/>
        <v>81.23480390630904</v>
      </c>
      <c r="S377">
        <f t="shared" si="163"/>
        <v>101.93758172934213</v>
      </c>
      <c r="T377">
        <f t="shared" si="163"/>
        <v>101.05542727433986</v>
      </c>
      <c r="U377">
        <f t="shared" si="163"/>
        <v>109.54759804493528</v>
      </c>
      <c r="V377">
        <f t="shared" si="163"/>
        <v>121.98842319585096</v>
      </c>
      <c r="W377">
        <f t="shared" si="163"/>
        <v>137.28449637558452</v>
      </c>
      <c r="Y377" s="8">
        <f t="shared" si="161"/>
        <v>2020.2491036607262</v>
      </c>
      <c r="Z377">
        <f t="shared" si="162"/>
        <v>-28.090641930033872</v>
      </c>
    </row>
    <row r="378" spans="1:26" x14ac:dyDescent="0.25">
      <c r="A378" t="s">
        <v>45</v>
      </c>
      <c r="D378">
        <f t="shared" ref="D378:W378" si="164">D4*D174</f>
        <v>124.87107209547375</v>
      </c>
      <c r="E378">
        <f t="shared" si="164"/>
        <v>112.55148067524719</v>
      </c>
      <c r="F378">
        <f t="shared" si="164"/>
        <v>111.500989561335</v>
      </c>
      <c r="G378">
        <f t="shared" si="164"/>
        <v>114.86798680523968</v>
      </c>
      <c r="H378">
        <f t="shared" si="164"/>
        <v>114.57463246854361</v>
      </c>
      <c r="I378">
        <f t="shared" si="164"/>
        <v>94.945660408583407</v>
      </c>
      <c r="J378">
        <f t="shared" si="164"/>
        <v>90.228207358294441</v>
      </c>
      <c r="K378">
        <f t="shared" si="164"/>
        <v>94.868708263180537</v>
      </c>
      <c r="L378">
        <f t="shared" si="164"/>
        <v>101.10477998581598</v>
      </c>
      <c r="M378">
        <f t="shared" si="164"/>
        <v>83.334139588492917</v>
      </c>
      <c r="N378">
        <f t="shared" si="164"/>
        <v>70.685360563401346</v>
      </c>
      <c r="O378">
        <f t="shared" si="164"/>
        <v>83.144724258182322</v>
      </c>
      <c r="P378">
        <f t="shared" si="164"/>
        <v>116.2901133448792</v>
      </c>
      <c r="Q378">
        <f t="shared" si="164"/>
        <v>86.778612268840007</v>
      </c>
      <c r="R378">
        <f t="shared" si="164"/>
        <v>80.861432299839208</v>
      </c>
      <c r="S378">
        <f t="shared" si="164"/>
        <v>83.276213661125624</v>
      </c>
      <c r="T378">
        <f t="shared" si="164"/>
        <v>94.154234911096594</v>
      </c>
      <c r="U378">
        <f t="shared" si="164"/>
        <v>86.576817595425737</v>
      </c>
      <c r="V378">
        <f t="shared" si="164"/>
        <v>106.97199209645144</v>
      </c>
      <c r="W378">
        <f t="shared" si="164"/>
        <v>138.90869190146728</v>
      </c>
      <c r="Y378" s="8">
        <f t="shared" si="161"/>
        <v>1990.4958501109159</v>
      </c>
      <c r="Z378">
        <f t="shared" si="162"/>
        <v>-37.259192325558971</v>
      </c>
    </row>
    <row r="379" spans="1:26" x14ac:dyDescent="0.25">
      <c r="A379" t="s">
        <v>46</v>
      </c>
      <c r="D379">
        <f t="shared" ref="D379:W379" si="165">D5*D175</f>
        <v>164.86294539197149</v>
      </c>
      <c r="E379">
        <f t="shared" si="165"/>
        <v>130.80718490298702</v>
      </c>
      <c r="F379">
        <f t="shared" si="165"/>
        <v>136.75839265507585</v>
      </c>
      <c r="G379">
        <f t="shared" si="165"/>
        <v>132.64846401757234</v>
      </c>
      <c r="H379">
        <f t="shared" si="165"/>
        <v>106.58771322111798</v>
      </c>
      <c r="I379">
        <f t="shared" si="165"/>
        <v>129.41599651460248</v>
      </c>
      <c r="J379">
        <f t="shared" si="165"/>
        <v>102.42598647877141</v>
      </c>
      <c r="K379">
        <f t="shared" si="165"/>
        <v>99.172380112411048</v>
      </c>
      <c r="L379">
        <f t="shared" si="165"/>
        <v>98.784239302979742</v>
      </c>
      <c r="M379">
        <f t="shared" si="165"/>
        <v>46.489813450860311</v>
      </c>
      <c r="N379">
        <f t="shared" si="165"/>
        <v>63.040705504217421</v>
      </c>
      <c r="O379">
        <f t="shared" si="165"/>
        <v>63.165896537338128</v>
      </c>
      <c r="P379">
        <f t="shared" si="165"/>
        <v>96.305790660152581</v>
      </c>
      <c r="Q379">
        <f t="shared" si="165"/>
        <v>81.657221933736707</v>
      </c>
      <c r="R379">
        <f t="shared" si="165"/>
        <v>79.94083928661999</v>
      </c>
      <c r="S379">
        <f t="shared" si="165"/>
        <v>55.173265643253409</v>
      </c>
      <c r="T379">
        <f t="shared" si="165"/>
        <v>86.503413833710226</v>
      </c>
      <c r="U379">
        <f t="shared" si="165"/>
        <v>89.18400179401884</v>
      </c>
      <c r="V379">
        <f t="shared" si="165"/>
        <v>105.53902289652162</v>
      </c>
      <c r="W379">
        <f t="shared" si="165"/>
        <v>104.48069277952499</v>
      </c>
      <c r="Y379" s="8">
        <f t="shared" si="161"/>
        <v>1972.9439669174435</v>
      </c>
      <c r="Z379">
        <f t="shared" si="162"/>
        <v>-51.39565700594521</v>
      </c>
    </row>
    <row r="380" spans="1:26" x14ac:dyDescent="0.25">
      <c r="A380" t="s">
        <v>47</v>
      </c>
      <c r="D380">
        <f t="shared" ref="D380:W380" si="166">D6*D176</f>
        <v>119.79400170310696</v>
      </c>
      <c r="E380">
        <f t="shared" si="166"/>
        <v>126.65499039353828</v>
      </c>
      <c r="F380">
        <f t="shared" si="166"/>
        <v>157.81352664735266</v>
      </c>
      <c r="G380">
        <f t="shared" si="166"/>
        <v>134.97290666404939</v>
      </c>
      <c r="H380">
        <f t="shared" si="166"/>
        <v>123.26188207804479</v>
      </c>
      <c r="I380">
        <f t="shared" si="166"/>
        <v>88.53248830383761</v>
      </c>
      <c r="J380">
        <f t="shared" si="166"/>
        <v>129.40265601865798</v>
      </c>
      <c r="K380">
        <f t="shared" si="166"/>
        <v>103.90305170841938</v>
      </c>
      <c r="L380">
        <f t="shared" si="166"/>
        <v>71.159546657347818</v>
      </c>
      <c r="M380">
        <f t="shared" si="166"/>
        <v>89.767424043135804</v>
      </c>
      <c r="N380">
        <f t="shared" si="166"/>
        <v>71.944703179387218</v>
      </c>
      <c r="O380">
        <f t="shared" si="166"/>
        <v>79.627837839075283</v>
      </c>
      <c r="P380">
        <f t="shared" si="166"/>
        <v>102.77713807922731</v>
      </c>
      <c r="Q380">
        <f t="shared" si="166"/>
        <v>65.984158850433843</v>
      </c>
      <c r="R380">
        <f t="shared" si="166"/>
        <v>113.18968470340084</v>
      </c>
      <c r="S380">
        <f t="shared" si="166"/>
        <v>75.774853483633066</v>
      </c>
      <c r="T380">
        <f t="shared" si="166"/>
        <v>102.82633632389961</v>
      </c>
      <c r="U380">
        <f t="shared" si="166"/>
        <v>128.2961762545107</v>
      </c>
      <c r="V380">
        <f t="shared" si="166"/>
        <v>106.07144112415065</v>
      </c>
      <c r="W380">
        <f t="shared" si="166"/>
        <v>96.599032878876258</v>
      </c>
      <c r="Y380" s="8">
        <f t="shared" si="161"/>
        <v>2088.3538369340858</v>
      </c>
      <c r="Z380">
        <f t="shared" si="162"/>
        <v>-28.306120668017165</v>
      </c>
    </row>
    <row r="381" spans="1:26" x14ac:dyDescent="0.25">
      <c r="A381" t="s">
        <v>48</v>
      </c>
      <c r="D381">
        <f t="shared" ref="D381:W381" si="167">D7*D177</f>
        <v>151.79414090924988</v>
      </c>
      <c r="E381">
        <f t="shared" si="167"/>
        <v>113.27786417622046</v>
      </c>
      <c r="F381">
        <f t="shared" si="167"/>
        <v>109.62367963314802</v>
      </c>
      <c r="G381">
        <f t="shared" si="167"/>
        <v>164.87501615466863</v>
      </c>
      <c r="H381">
        <f t="shared" si="167"/>
        <v>104.79099392025371</v>
      </c>
      <c r="I381">
        <f t="shared" si="167"/>
        <v>99.530990819956074</v>
      </c>
      <c r="J381">
        <f t="shared" si="167"/>
        <v>111.83329291563558</v>
      </c>
      <c r="K381">
        <f t="shared" si="167"/>
        <v>96.480116613437431</v>
      </c>
      <c r="L381">
        <f t="shared" si="167"/>
        <v>82.700459380746977</v>
      </c>
      <c r="M381">
        <f t="shared" si="167"/>
        <v>82.390092558998305</v>
      </c>
      <c r="N381">
        <f t="shared" si="167"/>
        <v>71.220065672456258</v>
      </c>
      <c r="O381">
        <f t="shared" si="167"/>
        <v>70.510689621190068</v>
      </c>
      <c r="P381">
        <f t="shared" si="167"/>
        <v>81.248655018694379</v>
      </c>
      <c r="Q381">
        <f t="shared" si="167"/>
        <v>63.313725372246125</v>
      </c>
      <c r="R381">
        <f t="shared" si="167"/>
        <v>81.426745583535379</v>
      </c>
      <c r="S381">
        <f t="shared" si="167"/>
        <v>108.8083338591407</v>
      </c>
      <c r="T381">
        <f t="shared" si="167"/>
        <v>81.940004457970261</v>
      </c>
      <c r="U381">
        <f t="shared" si="167"/>
        <v>72.135781189122397</v>
      </c>
      <c r="V381">
        <f t="shared" si="167"/>
        <v>116.11635165119235</v>
      </c>
      <c r="W381">
        <f t="shared" si="167"/>
        <v>126.3111737994309</v>
      </c>
      <c r="Y381" s="8">
        <f t="shared" si="161"/>
        <v>1990.3281733072938</v>
      </c>
      <c r="Z381">
        <f t="shared" si="162"/>
        <v>-51.045072933360387</v>
      </c>
    </row>
    <row r="382" spans="1:26" x14ac:dyDescent="0.25">
      <c r="A382" t="s">
        <v>49</v>
      </c>
      <c r="D382">
        <f t="shared" ref="D382:W382" si="168">D8*D178</f>
        <v>148.8772700331547</v>
      </c>
      <c r="E382">
        <f t="shared" si="168"/>
        <v>138.52136363382886</v>
      </c>
      <c r="F382">
        <f t="shared" si="168"/>
        <v>110.45374072817744</v>
      </c>
      <c r="G382">
        <f t="shared" si="168"/>
        <v>172.84716388027587</v>
      </c>
      <c r="H382">
        <f t="shared" si="168"/>
        <v>127.93803425033336</v>
      </c>
      <c r="I382">
        <f t="shared" si="168"/>
        <v>149.61464380354511</v>
      </c>
      <c r="J382">
        <f t="shared" si="168"/>
        <v>133.42140172686703</v>
      </c>
      <c r="K382">
        <f t="shared" si="168"/>
        <v>100.56995889540036</v>
      </c>
      <c r="L382">
        <f t="shared" si="168"/>
        <v>95.283814525470021</v>
      </c>
      <c r="M382">
        <f t="shared" si="168"/>
        <v>81.746672109957871</v>
      </c>
      <c r="N382">
        <f t="shared" si="168"/>
        <v>68.454420270712589</v>
      </c>
      <c r="O382">
        <f t="shared" si="168"/>
        <v>75.133403336953606</v>
      </c>
      <c r="P382">
        <f t="shared" si="168"/>
        <v>107.25044926348832</v>
      </c>
      <c r="Q382">
        <f t="shared" si="168"/>
        <v>96.706070945970993</v>
      </c>
      <c r="R382">
        <f t="shared" si="168"/>
        <v>112.44594541345664</v>
      </c>
      <c r="S382">
        <f t="shared" si="168"/>
        <v>133.23889539115703</v>
      </c>
      <c r="T382">
        <f t="shared" si="168"/>
        <v>86.099651405982598</v>
      </c>
      <c r="U382">
        <f t="shared" si="168"/>
        <v>104.87117269622279</v>
      </c>
      <c r="V382">
        <f t="shared" si="168"/>
        <v>97.852087650565807</v>
      </c>
      <c r="W382">
        <f t="shared" si="168"/>
        <v>145.39044680027686</v>
      </c>
      <c r="Y382" s="8">
        <f t="shared" si="161"/>
        <v>2286.7166067617977</v>
      </c>
      <c r="Z382">
        <f t="shared" si="162"/>
        <v>-46.204983609333937</v>
      </c>
    </row>
    <row r="383" spans="1:26" x14ac:dyDescent="0.25">
      <c r="A383" t="s">
        <v>50</v>
      </c>
      <c r="D383">
        <f t="shared" ref="D383:W383" si="169">D9*D179</f>
        <v>53.306476415788282</v>
      </c>
      <c r="E383">
        <f t="shared" si="169"/>
        <v>144.69962336988715</v>
      </c>
      <c r="F383">
        <f t="shared" si="169"/>
        <v>140.73192835279144</v>
      </c>
      <c r="G383">
        <f t="shared" si="169"/>
        <v>113.49052971954036</v>
      </c>
      <c r="H383">
        <f t="shared" si="169"/>
        <v>102.04767312764665</v>
      </c>
      <c r="I383">
        <f t="shared" si="169"/>
        <v>111.20178930068147</v>
      </c>
      <c r="J383">
        <f t="shared" si="169"/>
        <v>81.645384782743818</v>
      </c>
      <c r="K383">
        <f t="shared" si="169"/>
        <v>77.644592570540524</v>
      </c>
      <c r="L383">
        <f t="shared" si="169"/>
        <v>98.617921730820711</v>
      </c>
      <c r="M383">
        <f t="shared" si="169"/>
        <v>79.883152100563237</v>
      </c>
      <c r="N383">
        <f t="shared" si="169"/>
        <v>41.108796911396169</v>
      </c>
      <c r="O383">
        <f t="shared" si="169"/>
        <v>73.121704811549009</v>
      </c>
      <c r="P383">
        <f t="shared" si="169"/>
        <v>83.244642513292135</v>
      </c>
      <c r="Q383">
        <f t="shared" si="169"/>
        <v>97.285329460636234</v>
      </c>
      <c r="R383">
        <f t="shared" si="169"/>
        <v>116.86848221970996</v>
      </c>
      <c r="S383">
        <f t="shared" si="169"/>
        <v>103.68245066032019</v>
      </c>
      <c r="T383">
        <f t="shared" si="169"/>
        <v>81.294166959878893</v>
      </c>
      <c r="U383">
        <f t="shared" si="169"/>
        <v>80.382642875198371</v>
      </c>
      <c r="V383">
        <f t="shared" si="169"/>
        <v>119.68535371261071</v>
      </c>
      <c r="W383">
        <f t="shared" si="169"/>
        <v>118.1850290298889</v>
      </c>
      <c r="Y383" s="8">
        <f t="shared" si="161"/>
        <v>1918.1276706254841</v>
      </c>
      <c r="Z383">
        <f t="shared" si="162"/>
        <v>-1.9045824784357848</v>
      </c>
    </row>
    <row r="384" spans="1:26" x14ac:dyDescent="0.25">
      <c r="A384" t="s">
        <v>51</v>
      </c>
      <c r="D384">
        <f t="shared" ref="D384:W384" si="170">D10*D180</f>
        <v>35.582654050939261</v>
      </c>
      <c r="E384">
        <f t="shared" si="170"/>
        <v>144.03839456870571</v>
      </c>
      <c r="F384">
        <f t="shared" si="170"/>
        <v>141.76315864371244</v>
      </c>
      <c r="G384">
        <f t="shared" si="170"/>
        <v>150.53809079983787</v>
      </c>
      <c r="H384">
        <f t="shared" si="170"/>
        <v>131.42814731626029</v>
      </c>
      <c r="I384">
        <f t="shared" si="170"/>
        <v>117.717705617061</v>
      </c>
      <c r="J384">
        <f t="shared" si="170"/>
        <v>123.95537228399729</v>
      </c>
      <c r="K384">
        <f t="shared" si="170"/>
        <v>120.07563047677132</v>
      </c>
      <c r="L384">
        <f t="shared" si="170"/>
        <v>98.362718154171716</v>
      </c>
      <c r="M384">
        <f t="shared" si="170"/>
        <v>107.56355311310389</v>
      </c>
      <c r="N384">
        <f t="shared" si="170"/>
        <v>101.90330963080869</v>
      </c>
      <c r="O384">
        <f t="shared" si="170"/>
        <v>103.77452026383799</v>
      </c>
      <c r="P384">
        <f t="shared" si="170"/>
        <v>133.87743885306918</v>
      </c>
      <c r="Q384">
        <f t="shared" si="170"/>
        <v>136.16753728115029</v>
      </c>
      <c r="R384">
        <f t="shared" si="170"/>
        <v>39.59710732848113</v>
      </c>
      <c r="S384">
        <f t="shared" si="170"/>
        <v>39.840407527120028</v>
      </c>
      <c r="T384">
        <f t="shared" si="170"/>
        <v>41.178558619633968</v>
      </c>
      <c r="U384">
        <f t="shared" si="170"/>
        <v>40.327007924397826</v>
      </c>
      <c r="V384">
        <f t="shared" si="170"/>
        <v>160.52966318540533</v>
      </c>
      <c r="W384">
        <f t="shared" si="170"/>
        <v>158.12919619250667</v>
      </c>
      <c r="Y384" s="8">
        <f t="shared" si="161"/>
        <v>2126.3501718309717</v>
      </c>
      <c r="Z384">
        <f t="shared" si="162"/>
        <v>-77.425952434523083</v>
      </c>
    </row>
    <row r="385" spans="1:26" x14ac:dyDescent="0.25">
      <c r="A385" t="s">
        <v>52</v>
      </c>
      <c r="D385">
        <f t="shared" ref="D385:W385" si="171">D11*D181</f>
        <v>157.05720518631168</v>
      </c>
      <c r="E385">
        <f t="shared" si="171"/>
        <v>141.92647305739195</v>
      </c>
      <c r="F385">
        <f t="shared" si="171"/>
        <v>150.57243628306358</v>
      </c>
      <c r="G385">
        <f t="shared" si="171"/>
        <v>127.67823708513977</v>
      </c>
      <c r="H385">
        <f t="shared" si="171"/>
        <v>108.85328339075555</v>
      </c>
      <c r="I385">
        <f t="shared" si="171"/>
        <v>88.801971448119218</v>
      </c>
      <c r="J385">
        <f t="shared" si="171"/>
        <v>94.294028060746413</v>
      </c>
      <c r="K385">
        <f t="shared" si="171"/>
        <v>112.12516285921048</v>
      </c>
      <c r="L385">
        <f t="shared" si="171"/>
        <v>89.919297081171379</v>
      </c>
      <c r="M385">
        <f t="shared" si="171"/>
        <v>105.57102366052585</v>
      </c>
      <c r="N385">
        <f t="shared" si="171"/>
        <v>82.995470866143151</v>
      </c>
      <c r="O385">
        <f t="shared" si="171"/>
        <v>81.26748013892643</v>
      </c>
      <c r="P385">
        <f t="shared" si="171"/>
        <v>90.903079352483076</v>
      </c>
      <c r="Q385">
        <f t="shared" si="171"/>
        <v>100.43442663253381</v>
      </c>
      <c r="R385">
        <f t="shared" si="171"/>
        <v>96.136133699483523</v>
      </c>
      <c r="S385">
        <f t="shared" si="171"/>
        <v>107.74222544753096</v>
      </c>
      <c r="T385">
        <f t="shared" si="171"/>
        <v>112.23252325605094</v>
      </c>
      <c r="U385">
        <f t="shared" si="171"/>
        <v>152.10823991474581</v>
      </c>
      <c r="V385">
        <f t="shared" si="171"/>
        <v>109.44425655920637</v>
      </c>
      <c r="W385">
        <f t="shared" si="171"/>
        <v>107.21779566925917</v>
      </c>
      <c r="Y385" s="8">
        <f t="shared" si="161"/>
        <v>2217.280749648799</v>
      </c>
      <c r="Z385">
        <f t="shared" si="162"/>
        <v>-32.654175223456406</v>
      </c>
    </row>
    <row r="386" spans="1:26" x14ac:dyDescent="0.25">
      <c r="A386" t="s">
        <v>53</v>
      </c>
      <c r="D386">
        <f t="shared" ref="D386:W386" si="172">D12*D182</f>
        <v>164.89698475980484</v>
      </c>
      <c r="E386">
        <f t="shared" si="172"/>
        <v>150.74057083526139</v>
      </c>
      <c r="F386">
        <f t="shared" si="172"/>
        <v>146.73649229709804</v>
      </c>
      <c r="G386">
        <f t="shared" si="172"/>
        <v>91.027690834893761</v>
      </c>
      <c r="H386">
        <f t="shared" si="172"/>
        <v>107.83572708028342</v>
      </c>
      <c r="I386">
        <f t="shared" si="172"/>
        <v>89.098474690425732</v>
      </c>
      <c r="J386">
        <f t="shared" si="172"/>
        <v>101.50235455426436</v>
      </c>
      <c r="K386">
        <f t="shared" si="172"/>
        <v>96.378758362895383</v>
      </c>
      <c r="L386">
        <f t="shared" si="172"/>
        <v>91.73918049175218</v>
      </c>
      <c r="M386">
        <f t="shared" si="172"/>
        <v>112.98536434019903</v>
      </c>
      <c r="N386">
        <f t="shared" si="172"/>
        <v>113.65646887296936</v>
      </c>
      <c r="O386">
        <f t="shared" si="172"/>
        <v>95.140843024015425</v>
      </c>
      <c r="P386">
        <f t="shared" si="172"/>
        <v>97.505198708579215</v>
      </c>
      <c r="Q386">
        <f t="shared" si="172"/>
        <v>99.409728567666747</v>
      </c>
      <c r="R386">
        <f t="shared" si="172"/>
        <v>126.51930565407764</v>
      </c>
      <c r="S386">
        <f t="shared" si="172"/>
        <v>105.91719505811136</v>
      </c>
      <c r="T386">
        <f t="shared" si="172"/>
        <v>115.58601388307217</v>
      </c>
      <c r="U386">
        <f t="shared" si="172"/>
        <v>126.95767889801468</v>
      </c>
      <c r="V386">
        <f t="shared" si="172"/>
        <v>141.95465367164476</v>
      </c>
      <c r="W386">
        <f t="shared" si="172"/>
        <v>127.23192437733923</v>
      </c>
      <c r="Y386" s="8">
        <f t="shared" si="161"/>
        <v>2302.8206089623682</v>
      </c>
      <c r="Z386">
        <f t="shared" si="162"/>
        <v>-33.163863241512956</v>
      </c>
    </row>
    <row r="387" spans="1:26" x14ac:dyDescent="0.25">
      <c r="A387" t="s">
        <v>54</v>
      </c>
      <c r="D387">
        <f t="shared" ref="D387:W387" si="173">D13*D183</f>
        <v>186.38292342498588</v>
      </c>
      <c r="E387">
        <f t="shared" si="173"/>
        <v>99.764896729876412</v>
      </c>
      <c r="F387">
        <f t="shared" si="173"/>
        <v>87.048090490811333</v>
      </c>
      <c r="G387">
        <f t="shared" si="173"/>
        <v>132.86544201143067</v>
      </c>
      <c r="H387">
        <f t="shared" si="173"/>
        <v>112.08824589155741</v>
      </c>
      <c r="I387">
        <f t="shared" si="173"/>
        <v>101.57665299628934</v>
      </c>
      <c r="J387">
        <f t="shared" si="173"/>
        <v>97.011682820457295</v>
      </c>
      <c r="K387">
        <f t="shared" si="173"/>
        <v>82.609909481679253</v>
      </c>
      <c r="L387">
        <f t="shared" si="173"/>
        <v>76.564663010407813</v>
      </c>
      <c r="M387">
        <f t="shared" si="173"/>
        <v>64.018737519406614</v>
      </c>
      <c r="N387">
        <f t="shared" si="173"/>
        <v>67.543997951270953</v>
      </c>
      <c r="O387">
        <f t="shared" si="173"/>
        <v>89.448107273552012</v>
      </c>
      <c r="P387">
        <f t="shared" si="173"/>
        <v>86.295771899960329</v>
      </c>
      <c r="Q387">
        <f t="shared" si="173"/>
        <v>101.68914572746696</v>
      </c>
      <c r="R387">
        <f t="shared" si="173"/>
        <v>55.084276505119128</v>
      </c>
      <c r="S387">
        <f t="shared" si="173"/>
        <v>79.94083928661999</v>
      </c>
      <c r="T387">
        <f t="shared" si="173"/>
        <v>97.285575623250836</v>
      </c>
      <c r="U387">
        <f t="shared" si="173"/>
        <v>96.630338022776527</v>
      </c>
      <c r="V387">
        <f t="shared" si="173"/>
        <v>113.53060595007588</v>
      </c>
      <c r="W387">
        <f t="shared" si="173"/>
        <v>90.940982415645706</v>
      </c>
      <c r="Y387" s="8">
        <f t="shared" si="161"/>
        <v>1918.3208850326403</v>
      </c>
      <c r="Z387">
        <f t="shared" si="162"/>
        <v>-54.332336612255574</v>
      </c>
    </row>
    <row r="388" spans="1:26" x14ac:dyDescent="0.25">
      <c r="A388" t="s">
        <v>55</v>
      </c>
      <c r="D388">
        <f t="shared" ref="D388:W388" si="174">D14*D184</f>
        <v>134.56094685488011</v>
      </c>
      <c r="E388">
        <f t="shared" si="174"/>
        <v>146.66628874364341</v>
      </c>
      <c r="F388">
        <f t="shared" si="174"/>
        <v>135.7438395418597</v>
      </c>
      <c r="G388">
        <f t="shared" si="174"/>
        <v>97.090794081483821</v>
      </c>
      <c r="H388">
        <f t="shared" si="174"/>
        <v>88.392806111529609</v>
      </c>
      <c r="I388">
        <f t="shared" si="174"/>
        <v>67.606546267032286</v>
      </c>
      <c r="J388">
        <f t="shared" si="174"/>
        <v>113.91401584573329</v>
      </c>
      <c r="K388">
        <f t="shared" si="174"/>
        <v>83.7598985026886</v>
      </c>
      <c r="L388">
        <f t="shared" si="174"/>
        <v>68.761974672141861</v>
      </c>
      <c r="M388">
        <f t="shared" si="174"/>
        <v>73.713380845477829</v>
      </c>
      <c r="N388">
        <f t="shared" si="174"/>
        <v>61.66641172444681</v>
      </c>
      <c r="O388">
        <f t="shared" si="174"/>
        <v>65.910451042068274</v>
      </c>
      <c r="P388">
        <f t="shared" si="174"/>
        <v>75.527038064953146</v>
      </c>
      <c r="Q388">
        <f t="shared" si="174"/>
        <v>74.838294097142395</v>
      </c>
      <c r="R388">
        <f t="shared" si="174"/>
        <v>53.48247201870209</v>
      </c>
      <c r="S388">
        <f t="shared" si="174"/>
        <v>80.426064411273217</v>
      </c>
      <c r="T388">
        <f t="shared" si="174"/>
        <v>81.684211891014257</v>
      </c>
      <c r="U388">
        <f t="shared" si="174"/>
        <v>38.684731583585247</v>
      </c>
      <c r="V388">
        <f t="shared" si="174"/>
        <v>75.311832919741278</v>
      </c>
      <c r="W388">
        <f t="shared" si="174"/>
        <v>114.46398810899692</v>
      </c>
      <c r="Y388" s="8">
        <f t="shared" si="161"/>
        <v>1732.2059873283938</v>
      </c>
      <c r="Z388">
        <f t="shared" si="162"/>
        <v>-61.955035345139557</v>
      </c>
    </row>
    <row r="389" spans="1:26" x14ac:dyDescent="0.25">
      <c r="A389" t="s">
        <v>56</v>
      </c>
      <c r="D389">
        <f t="shared" ref="D389:W389" si="175">D15*D185</f>
        <v>121.55184604111598</v>
      </c>
      <c r="E389">
        <f t="shared" si="175"/>
        <v>121.50378731614208</v>
      </c>
      <c r="F389">
        <f t="shared" si="175"/>
        <v>122.30526491385484</v>
      </c>
      <c r="G389">
        <f t="shared" si="175"/>
        <v>102.01479297683123</v>
      </c>
      <c r="H389">
        <f t="shared" si="175"/>
        <v>115.46030221806649</v>
      </c>
      <c r="I389">
        <f t="shared" si="175"/>
        <v>77.560258777612063</v>
      </c>
      <c r="J389">
        <f t="shared" si="175"/>
        <v>78.375527188648661</v>
      </c>
      <c r="K389">
        <f t="shared" si="175"/>
        <v>78.897649886678693</v>
      </c>
      <c r="L389">
        <f t="shared" si="175"/>
        <v>77.108199806193738</v>
      </c>
      <c r="M389">
        <f t="shared" si="175"/>
        <v>64.61144656596943</v>
      </c>
      <c r="N389">
        <f t="shared" si="175"/>
        <v>67.24354336551724</v>
      </c>
      <c r="O389">
        <f t="shared" si="175"/>
        <v>81.027903394220061</v>
      </c>
      <c r="P389">
        <f t="shared" si="175"/>
        <v>78.385778083366162</v>
      </c>
      <c r="Q389">
        <f t="shared" si="175"/>
        <v>61.594994038807855</v>
      </c>
      <c r="R389">
        <f t="shared" si="175"/>
        <v>78.069661507950357</v>
      </c>
      <c r="S389">
        <f t="shared" si="175"/>
        <v>95.54114505799356</v>
      </c>
      <c r="T389">
        <f t="shared" si="175"/>
        <v>105.59761283027439</v>
      </c>
      <c r="U389">
        <f t="shared" si="175"/>
        <v>100.61239629944863</v>
      </c>
      <c r="V389">
        <f t="shared" si="175"/>
        <v>100.02911616391927</v>
      </c>
      <c r="W389">
        <f t="shared" si="175"/>
        <v>116.37041264095836</v>
      </c>
      <c r="Y389" s="8">
        <f t="shared" si="161"/>
        <v>1843.8616390735694</v>
      </c>
      <c r="Z389">
        <f t="shared" si="162"/>
        <v>-18.321424776191595</v>
      </c>
    </row>
    <row r="390" spans="1:26" x14ac:dyDescent="0.25">
      <c r="A390" t="s">
        <v>57</v>
      </c>
      <c r="D390">
        <f t="shared" ref="D390:W390" si="176">D16*D186</f>
        <v>125.21758946231964</v>
      </c>
      <c r="E390">
        <f t="shared" si="176"/>
        <v>101.14339467508023</v>
      </c>
      <c r="F390">
        <f t="shared" si="176"/>
        <v>84.296997534110602</v>
      </c>
      <c r="G390">
        <f t="shared" si="176"/>
        <v>97.763265862684975</v>
      </c>
      <c r="H390">
        <f t="shared" si="176"/>
        <v>71.654647624445701</v>
      </c>
      <c r="I390">
        <f t="shared" si="176"/>
        <v>51.171509849349576</v>
      </c>
      <c r="J390">
        <f t="shared" si="176"/>
        <v>74.364329825269678</v>
      </c>
      <c r="K390">
        <f t="shared" si="176"/>
        <v>76.408834240309361</v>
      </c>
      <c r="L390">
        <f t="shared" si="176"/>
        <v>52.259279798526869</v>
      </c>
      <c r="M390">
        <f t="shared" si="176"/>
        <v>65.997200587293065</v>
      </c>
      <c r="N390">
        <f t="shared" si="176"/>
        <v>86.2457845113681</v>
      </c>
      <c r="O390">
        <f t="shared" si="176"/>
        <v>54.750250641748821</v>
      </c>
      <c r="P390">
        <f t="shared" si="176"/>
        <v>35.153274832263747</v>
      </c>
      <c r="Q390">
        <f t="shared" si="176"/>
        <v>42.286561293594112</v>
      </c>
      <c r="R390">
        <f t="shared" si="176"/>
        <v>37.110824914255566</v>
      </c>
      <c r="S390">
        <f t="shared" si="176"/>
        <v>74.766233604346127</v>
      </c>
      <c r="T390">
        <f t="shared" si="176"/>
        <v>89.687943002444769</v>
      </c>
      <c r="U390">
        <f t="shared" si="176"/>
        <v>76.185745929403467</v>
      </c>
      <c r="V390">
        <f t="shared" si="176"/>
        <v>83.193884428669847</v>
      </c>
      <c r="W390">
        <f t="shared" si="176"/>
        <v>79.635407230948786</v>
      </c>
      <c r="Y390" s="8">
        <f t="shared" si="161"/>
        <v>1459.2929598484334</v>
      </c>
      <c r="Z390">
        <f t="shared" si="162"/>
        <v>-43.119139970249009</v>
      </c>
    </row>
    <row r="391" spans="1:26" x14ac:dyDescent="0.25">
      <c r="A391" t="s">
        <v>58</v>
      </c>
      <c r="D391">
        <f t="shared" ref="D391:W391" si="177">D17*D187</f>
        <v>108.53925146533484</v>
      </c>
      <c r="E391">
        <f t="shared" si="177"/>
        <v>97.53301832866822</v>
      </c>
      <c r="F391">
        <f t="shared" si="177"/>
        <v>81.41343386118298</v>
      </c>
      <c r="G391">
        <f t="shared" si="177"/>
        <v>63.977655639880368</v>
      </c>
      <c r="H391">
        <f t="shared" si="177"/>
        <v>61.828543664348707</v>
      </c>
      <c r="I391">
        <f t="shared" si="177"/>
        <v>76.867712177607729</v>
      </c>
      <c r="J391">
        <f t="shared" si="177"/>
        <v>67.358849999253849</v>
      </c>
      <c r="K391">
        <f t="shared" si="177"/>
        <v>80.109287343971346</v>
      </c>
      <c r="L391">
        <f t="shared" si="177"/>
        <v>74.559091001625717</v>
      </c>
      <c r="M391">
        <f t="shared" si="177"/>
        <v>64.13418800795732</v>
      </c>
      <c r="N391">
        <f t="shared" si="177"/>
        <v>58.356090336061719</v>
      </c>
      <c r="O391">
        <f t="shared" si="177"/>
        <v>57.015475434473032</v>
      </c>
      <c r="P391">
        <f t="shared" si="177"/>
        <v>57.825296999221599</v>
      </c>
      <c r="Q391">
        <f t="shared" si="177"/>
        <v>69.580889233410019</v>
      </c>
      <c r="R391">
        <f t="shared" si="177"/>
        <v>80.81124856539968</v>
      </c>
      <c r="S391">
        <f t="shared" si="177"/>
        <v>59.551253422448212</v>
      </c>
      <c r="T391">
        <f t="shared" si="177"/>
        <v>96.056194158835623</v>
      </c>
      <c r="U391">
        <f t="shared" si="177"/>
        <v>97.280515854933284</v>
      </c>
      <c r="V391">
        <f t="shared" si="177"/>
        <v>66.466864743341816</v>
      </c>
      <c r="W391">
        <f t="shared" si="177"/>
        <v>89.806219509011385</v>
      </c>
      <c r="Y391" s="8">
        <f t="shared" si="161"/>
        <v>1509.0710797469674</v>
      </c>
      <c r="Z391">
        <f t="shared" si="162"/>
        <v>-22.209714451598455</v>
      </c>
    </row>
    <row r="392" spans="1:26" x14ac:dyDescent="0.25">
      <c r="A392" t="s">
        <v>59</v>
      </c>
      <c r="D392">
        <f t="shared" ref="D392:W392" si="178">D18*D188</f>
        <v>129.87169515632519</v>
      </c>
      <c r="E392">
        <f t="shared" si="178"/>
        <v>119.76298393602332</v>
      </c>
      <c r="F392">
        <f t="shared" si="178"/>
        <v>110.80745812107688</v>
      </c>
      <c r="G392">
        <f t="shared" si="178"/>
        <v>96.99126036861486</v>
      </c>
      <c r="H392">
        <f t="shared" si="178"/>
        <v>98.296584154490702</v>
      </c>
      <c r="I392">
        <f t="shared" si="178"/>
        <v>84.527962948477935</v>
      </c>
      <c r="J392">
        <f t="shared" si="178"/>
        <v>80.884912420982928</v>
      </c>
      <c r="K392">
        <f t="shared" si="178"/>
        <v>84.936712407870047</v>
      </c>
      <c r="L392">
        <f t="shared" si="178"/>
        <v>81.202760229770362</v>
      </c>
      <c r="M392">
        <f t="shared" si="178"/>
        <v>64.647952958134383</v>
      </c>
      <c r="N392">
        <f t="shared" si="178"/>
        <v>69.874206453301724</v>
      </c>
      <c r="O392">
        <f t="shared" si="178"/>
        <v>68.073849759328326</v>
      </c>
      <c r="P392">
        <f t="shared" si="178"/>
        <v>83.463898768961116</v>
      </c>
      <c r="Q392">
        <f t="shared" si="178"/>
        <v>80.735231236545374</v>
      </c>
      <c r="R392">
        <f t="shared" si="178"/>
        <v>100.14773128946919</v>
      </c>
      <c r="S392">
        <f t="shared" si="178"/>
        <v>105.33049886875229</v>
      </c>
      <c r="T392">
        <f t="shared" si="178"/>
        <v>104.0696316563121</v>
      </c>
      <c r="U392">
        <f t="shared" si="178"/>
        <v>101.97776244530402</v>
      </c>
      <c r="V392">
        <f t="shared" si="178"/>
        <v>111.94989305568207</v>
      </c>
      <c r="W392">
        <f t="shared" si="178"/>
        <v>115.92486274887433</v>
      </c>
      <c r="Y392" s="8">
        <f t="shared" si="161"/>
        <v>1893.4778489842972</v>
      </c>
      <c r="Z392">
        <f t="shared" si="162"/>
        <v>-14.702581821644198</v>
      </c>
    </row>
    <row r="393" spans="1:26" x14ac:dyDescent="0.25">
      <c r="A393" t="s">
        <v>60</v>
      </c>
      <c r="D393">
        <f t="shared" ref="D393:W393" si="179">D19*D189</f>
        <v>105.58918543574747</v>
      </c>
      <c r="E393">
        <f t="shared" si="179"/>
        <v>84.224047468155916</v>
      </c>
      <c r="F393">
        <f t="shared" si="179"/>
        <v>101.62417930379988</v>
      </c>
      <c r="G393">
        <f t="shared" si="179"/>
        <v>103.95711894867789</v>
      </c>
      <c r="H393">
        <f t="shared" si="179"/>
        <v>99.079239387099861</v>
      </c>
      <c r="I393">
        <f t="shared" si="179"/>
        <v>74.773401818255394</v>
      </c>
      <c r="J393">
        <f t="shared" si="179"/>
        <v>76.027979042836122</v>
      </c>
      <c r="K393">
        <f t="shared" si="179"/>
        <v>91.417162902901111</v>
      </c>
      <c r="L393">
        <f t="shared" si="179"/>
        <v>78.79738816347249</v>
      </c>
      <c r="M393">
        <f t="shared" si="179"/>
        <v>65.293976401121824</v>
      </c>
      <c r="N393">
        <f t="shared" si="179"/>
        <v>70.29439380666436</v>
      </c>
      <c r="O393">
        <f t="shared" si="179"/>
        <v>65.723818080984188</v>
      </c>
      <c r="P393">
        <f t="shared" si="179"/>
        <v>46.362803544862118</v>
      </c>
      <c r="Q393">
        <f t="shared" si="179"/>
        <v>72.301399898946869</v>
      </c>
      <c r="R393">
        <f t="shared" si="179"/>
        <v>100.28774027315866</v>
      </c>
      <c r="S393">
        <f t="shared" si="179"/>
        <v>98.02608532455136</v>
      </c>
      <c r="T393">
        <f t="shared" si="179"/>
        <v>89.325767144091927</v>
      </c>
      <c r="U393">
        <f t="shared" si="179"/>
        <v>95.859884521726713</v>
      </c>
      <c r="V393">
        <f t="shared" si="179"/>
        <v>98.621824200086124</v>
      </c>
      <c r="W393">
        <f t="shared" si="179"/>
        <v>113.26611490941215</v>
      </c>
      <c r="Y393" s="8">
        <f t="shared" si="161"/>
        <v>1730.8535105765527</v>
      </c>
      <c r="Z393">
        <f t="shared" si="162"/>
        <v>-14.786206871606918</v>
      </c>
    </row>
    <row r="394" spans="1:26" x14ac:dyDescent="0.25">
      <c r="A394" t="s">
        <v>61</v>
      </c>
      <c r="D394">
        <f t="shared" ref="D394:W394" si="180">D20*D190</f>
        <v>149.93915726111905</v>
      </c>
      <c r="E394">
        <f t="shared" si="180"/>
        <v>143.11899708744724</v>
      </c>
      <c r="F394">
        <f t="shared" si="180"/>
        <v>134.39412811863841</v>
      </c>
      <c r="G394">
        <f t="shared" si="180"/>
        <v>103.13272274423592</v>
      </c>
      <c r="H394">
        <f t="shared" si="180"/>
        <v>85.677417654797452</v>
      </c>
      <c r="I394">
        <f t="shared" si="180"/>
        <v>67.652806556688788</v>
      </c>
      <c r="J394">
        <f t="shared" si="180"/>
        <v>68.438279189331794</v>
      </c>
      <c r="K394">
        <f t="shared" si="180"/>
        <v>66.793999688118632</v>
      </c>
      <c r="L394">
        <f t="shared" si="180"/>
        <v>65.336505755133189</v>
      </c>
      <c r="M394">
        <f t="shared" si="180"/>
        <v>63.698430498564548</v>
      </c>
      <c r="N394">
        <f t="shared" si="180"/>
        <v>70.784637624131278</v>
      </c>
      <c r="O394">
        <f t="shared" si="180"/>
        <v>67.221577732371472</v>
      </c>
      <c r="P394">
        <f t="shared" si="180"/>
        <v>76.381802371463991</v>
      </c>
      <c r="Q394">
        <f t="shared" si="180"/>
        <v>67.8190697649773</v>
      </c>
      <c r="R394">
        <f t="shared" si="180"/>
        <v>84.525359632459825</v>
      </c>
      <c r="S394">
        <f t="shared" si="180"/>
        <v>103.74501426354028</v>
      </c>
      <c r="T394">
        <f t="shared" si="180"/>
        <v>87.816103079934265</v>
      </c>
      <c r="U394">
        <f t="shared" si="180"/>
        <v>80.703674185275162</v>
      </c>
      <c r="V394">
        <f t="shared" si="180"/>
        <v>86.636405017427677</v>
      </c>
      <c r="W394">
        <f t="shared" si="180"/>
        <v>87.432663251822973</v>
      </c>
      <c r="Y394" s="8">
        <f t="shared" si="161"/>
        <v>1761.2487514774791</v>
      </c>
      <c r="Z394">
        <f t="shared" si="162"/>
        <v>-30.506499066292239</v>
      </c>
    </row>
    <row r="395" spans="1:26" x14ac:dyDescent="0.25">
      <c r="A395" t="s">
        <v>62</v>
      </c>
      <c r="D395">
        <f t="shared" ref="D395:W395" si="181">D21*D191</f>
        <v>117.02779888104293</v>
      </c>
      <c r="E395">
        <f t="shared" si="181"/>
        <v>100.15441214961857</v>
      </c>
      <c r="F395">
        <f t="shared" si="181"/>
        <v>84.27879357733093</v>
      </c>
      <c r="G395">
        <f t="shared" si="181"/>
        <v>85.13304660752074</v>
      </c>
      <c r="H395">
        <f t="shared" si="181"/>
        <v>80.280368715730219</v>
      </c>
      <c r="I395">
        <f t="shared" si="181"/>
        <v>56.336173557328074</v>
      </c>
      <c r="J395">
        <f t="shared" si="181"/>
        <v>71.655818053854986</v>
      </c>
      <c r="K395">
        <f t="shared" si="181"/>
        <v>67.206899466044391</v>
      </c>
      <c r="L395">
        <f t="shared" si="181"/>
        <v>70.894681633433677</v>
      </c>
      <c r="M395">
        <f t="shared" si="181"/>
        <v>53.433322712920074</v>
      </c>
      <c r="N395">
        <f t="shared" si="181"/>
        <v>67.591414155878866</v>
      </c>
      <c r="O395">
        <f t="shared" si="181"/>
        <v>68.901663325689611</v>
      </c>
      <c r="P395">
        <f t="shared" si="181"/>
        <v>66.922186811848846</v>
      </c>
      <c r="Q395">
        <f t="shared" si="181"/>
        <v>74.702531266561792</v>
      </c>
      <c r="R395">
        <f t="shared" si="181"/>
        <v>107.53241595994125</v>
      </c>
      <c r="S395">
        <f t="shared" si="181"/>
        <v>141.54214138268225</v>
      </c>
      <c r="T395">
        <f t="shared" si="181"/>
        <v>147.79827449647246</v>
      </c>
      <c r="U395">
        <f t="shared" si="181"/>
        <v>142.53219124532077</v>
      </c>
      <c r="V395">
        <f t="shared" si="181"/>
        <v>123.92136669457182</v>
      </c>
      <c r="W395">
        <f t="shared" si="181"/>
        <v>134.28346304374554</v>
      </c>
      <c r="Y395" s="8">
        <f t="shared" si="161"/>
        <v>1862.128963737538</v>
      </c>
      <c r="Z395">
        <f t="shared" si="162"/>
        <v>25.415824502281396</v>
      </c>
    </row>
    <row r="396" spans="1:26" x14ac:dyDescent="0.25">
      <c r="A396" t="s">
        <v>63</v>
      </c>
      <c r="D396">
        <f t="shared" ref="D396:W396" si="182">D22*D192</f>
        <v>102.03131376548536</v>
      </c>
      <c r="E396">
        <f t="shared" si="182"/>
        <v>97.490930006009634</v>
      </c>
      <c r="F396">
        <f t="shared" si="182"/>
        <v>99.580372664902072</v>
      </c>
      <c r="G396">
        <f t="shared" si="182"/>
        <v>108.35067367030034</v>
      </c>
      <c r="H396">
        <f t="shared" si="182"/>
        <v>107.2131592295932</v>
      </c>
      <c r="I396">
        <f t="shared" si="182"/>
        <v>58.783925998601418</v>
      </c>
      <c r="J396">
        <f t="shared" si="182"/>
        <v>67.364455443036718</v>
      </c>
      <c r="K396">
        <f t="shared" si="182"/>
        <v>81.894687007293044</v>
      </c>
      <c r="L396">
        <f t="shared" si="182"/>
        <v>67.694485294658563</v>
      </c>
      <c r="M396">
        <f t="shared" si="182"/>
        <v>49.49096075510846</v>
      </c>
      <c r="N396">
        <f t="shared" si="182"/>
        <v>52.53806854156835</v>
      </c>
      <c r="O396">
        <f t="shared" si="182"/>
        <v>57.044417054338972</v>
      </c>
      <c r="P396">
        <f t="shared" si="182"/>
        <v>63.369893361930544</v>
      </c>
      <c r="Q396">
        <f t="shared" si="182"/>
        <v>52.426188451814092</v>
      </c>
      <c r="R396">
        <f t="shared" si="182"/>
        <v>67.05687485394327</v>
      </c>
      <c r="S396">
        <f t="shared" si="182"/>
        <v>99.402844614684312</v>
      </c>
      <c r="T396">
        <f t="shared" si="182"/>
        <v>89.332403512651666</v>
      </c>
      <c r="U396">
        <f t="shared" si="182"/>
        <v>85.241429144088471</v>
      </c>
      <c r="V396">
        <f t="shared" si="182"/>
        <v>103.41237008519388</v>
      </c>
      <c r="W396">
        <f t="shared" si="182"/>
        <v>87.05598542398738</v>
      </c>
      <c r="Y396" s="8">
        <f t="shared" si="161"/>
        <v>1596.7754388791896</v>
      </c>
      <c r="Z396">
        <f t="shared" si="162"/>
        <v>-8.3138482266180684</v>
      </c>
    </row>
    <row r="397" spans="1:26" x14ac:dyDescent="0.25">
      <c r="A397" t="s">
        <v>64</v>
      </c>
      <c r="D397">
        <f t="shared" ref="D397:W397" si="183">D23*D193</f>
        <v>118.04062321493569</v>
      </c>
      <c r="E397">
        <f t="shared" si="183"/>
        <v>125.19094569269843</v>
      </c>
      <c r="F397">
        <f t="shared" si="183"/>
        <v>88.78817500644341</v>
      </c>
      <c r="G397">
        <f t="shared" si="183"/>
        <v>100.90232565051201</v>
      </c>
      <c r="H397">
        <f t="shared" si="183"/>
        <v>82.610460995097895</v>
      </c>
      <c r="I397">
        <f t="shared" si="183"/>
        <v>64.051498223610693</v>
      </c>
      <c r="J397">
        <f t="shared" si="183"/>
        <v>60.51247617776307</v>
      </c>
      <c r="K397">
        <f t="shared" si="183"/>
        <v>77.641673172436256</v>
      </c>
      <c r="L397">
        <f t="shared" si="183"/>
        <v>1.4176734233819244</v>
      </c>
      <c r="M397">
        <f t="shared" si="183"/>
        <v>74.031832979534599</v>
      </c>
      <c r="N397">
        <f t="shared" si="183"/>
        <v>72.322546997893838</v>
      </c>
      <c r="O397">
        <f t="shared" si="183"/>
        <v>33.319575370402482</v>
      </c>
      <c r="P397">
        <f t="shared" si="183"/>
        <v>52.30267134696733</v>
      </c>
      <c r="Q397">
        <f t="shared" si="183"/>
        <v>81.46017664757791</v>
      </c>
      <c r="R397">
        <f t="shared" si="183"/>
        <v>75.86770747796885</v>
      </c>
      <c r="S397">
        <f t="shared" si="183"/>
        <v>77.063780543129894</v>
      </c>
      <c r="T397">
        <f t="shared" si="183"/>
        <v>72.883741310857218</v>
      </c>
      <c r="U397">
        <f t="shared" si="183"/>
        <v>77.564374775080637</v>
      </c>
      <c r="V397">
        <f t="shared" si="183"/>
        <v>117.76038573465244</v>
      </c>
      <c r="W397">
        <f t="shared" si="183"/>
        <v>110.04106279573742</v>
      </c>
      <c r="Y397" s="8">
        <f t="shared" si="161"/>
        <v>1563.7737075366822</v>
      </c>
      <c r="Z397">
        <f t="shared" si="162"/>
        <v>-32.375191524690962</v>
      </c>
    </row>
    <row r="398" spans="1:26" x14ac:dyDescent="0.25">
      <c r="A398" t="s">
        <v>65</v>
      </c>
      <c r="D398">
        <f t="shared" ref="D398:W398" si="184">D24*D194</f>
        <v>163.57581573418676</v>
      </c>
      <c r="E398">
        <f t="shared" si="184"/>
        <v>123.33788658503808</v>
      </c>
      <c r="F398">
        <f t="shared" si="184"/>
        <v>66.207238038498772</v>
      </c>
      <c r="G398">
        <f t="shared" si="184"/>
        <v>114.81694484757085</v>
      </c>
      <c r="H398">
        <f t="shared" si="184"/>
        <v>116.41506793501286</v>
      </c>
      <c r="I398">
        <f t="shared" si="184"/>
        <v>100.93081313705983</v>
      </c>
      <c r="J398">
        <f t="shared" si="184"/>
        <v>71.237740718373487</v>
      </c>
      <c r="K398">
        <f t="shared" si="184"/>
        <v>96.331313732089825</v>
      </c>
      <c r="L398">
        <f t="shared" si="184"/>
        <v>147.66284105269045</v>
      </c>
      <c r="M398">
        <f t="shared" si="184"/>
        <v>92.09534249211174</v>
      </c>
      <c r="N398">
        <f t="shared" si="184"/>
        <v>105.97576095696564</v>
      </c>
      <c r="O398">
        <f t="shared" si="184"/>
        <v>99.263461819591399</v>
      </c>
      <c r="P398">
        <f t="shared" si="184"/>
        <v>98.516607888328664</v>
      </c>
      <c r="Q398">
        <f t="shared" si="184"/>
        <v>101.1581622651432</v>
      </c>
      <c r="R398">
        <f t="shared" si="184"/>
        <v>103.81407815590379</v>
      </c>
      <c r="S398">
        <f t="shared" si="184"/>
        <v>96.970304267525478</v>
      </c>
      <c r="T398">
        <f t="shared" si="184"/>
        <v>100.74119200055395</v>
      </c>
      <c r="U398">
        <f t="shared" si="184"/>
        <v>115.82189839763419</v>
      </c>
      <c r="V398">
        <f t="shared" si="184"/>
        <v>114.35132323658631</v>
      </c>
      <c r="W398">
        <f t="shared" si="184"/>
        <v>122.94629066681748</v>
      </c>
      <c r="Y398" s="8">
        <f t="shared" si="161"/>
        <v>2152.1700839276828</v>
      </c>
      <c r="Z398">
        <f t="shared" si="162"/>
        <v>-41.00537369421474</v>
      </c>
    </row>
    <row r="399" spans="1:26" x14ac:dyDescent="0.25">
      <c r="A399" t="s">
        <v>66</v>
      </c>
      <c r="D399">
        <f t="shared" ref="D399:W399" si="185">D25*D195</f>
        <v>80.468490505442404</v>
      </c>
      <c r="E399">
        <f t="shared" si="185"/>
        <v>81.716085224334023</v>
      </c>
      <c r="F399">
        <f t="shared" si="185"/>
        <v>79.566246687861238</v>
      </c>
      <c r="G399">
        <f t="shared" si="185"/>
        <v>65.091936635738293</v>
      </c>
      <c r="H399">
        <f t="shared" si="185"/>
        <v>80.263183997858334</v>
      </c>
      <c r="I399">
        <f t="shared" si="185"/>
        <v>79.96949366243372</v>
      </c>
      <c r="J399">
        <f t="shared" si="185"/>
        <v>86.433898956711687</v>
      </c>
      <c r="K399">
        <f t="shared" si="185"/>
        <v>91.437848147808836</v>
      </c>
      <c r="L399">
        <f t="shared" si="185"/>
        <v>87.90206439757111</v>
      </c>
      <c r="M399">
        <f t="shared" si="185"/>
        <v>96.594718919233443</v>
      </c>
      <c r="N399">
        <f t="shared" si="185"/>
        <v>86.887362610166917</v>
      </c>
      <c r="O399">
        <f t="shared" si="185"/>
        <v>99.994533289123495</v>
      </c>
      <c r="P399">
        <f t="shared" si="185"/>
        <v>103.72689386421473</v>
      </c>
      <c r="Q399">
        <f t="shared" si="185"/>
        <v>90.181709826006099</v>
      </c>
      <c r="R399">
        <f t="shared" si="185"/>
        <v>109.46809016646657</v>
      </c>
      <c r="S399">
        <f t="shared" si="185"/>
        <v>114.56886078345602</v>
      </c>
      <c r="T399">
        <f t="shared" si="185"/>
        <v>143.08957624423644</v>
      </c>
      <c r="U399">
        <f t="shared" si="185"/>
        <v>124.47654583539463</v>
      </c>
      <c r="V399">
        <f t="shared" si="185"/>
        <v>94.113299632234103</v>
      </c>
      <c r="W399">
        <f t="shared" si="185"/>
        <v>74.902931919352213</v>
      </c>
      <c r="Y399" s="8">
        <f t="shared" si="161"/>
        <v>1870.8537713056444</v>
      </c>
      <c r="Z399">
        <f t="shared" si="162"/>
        <v>3.5361439551633711</v>
      </c>
    </row>
    <row r="400" spans="1:26" x14ac:dyDescent="0.25">
      <c r="A400" t="s">
        <v>67</v>
      </c>
      <c r="D400">
        <f t="shared" ref="D400:W400" si="186">D26*D196</f>
        <v>47.175343163043536</v>
      </c>
      <c r="E400">
        <f t="shared" si="186"/>
        <v>46.355698192086379</v>
      </c>
      <c r="F400">
        <f t="shared" si="186"/>
        <v>42.650126702024238</v>
      </c>
      <c r="G400">
        <f t="shared" si="186"/>
        <v>41.38439263629251</v>
      </c>
      <c r="H400">
        <f t="shared" si="186"/>
        <v>85.056167739364327</v>
      </c>
      <c r="I400">
        <f t="shared" si="186"/>
        <v>88.481099080558053</v>
      </c>
      <c r="J400">
        <f t="shared" si="186"/>
        <v>85.674339931437245</v>
      </c>
      <c r="K400">
        <f t="shared" si="186"/>
        <v>86.883907555881535</v>
      </c>
      <c r="L400">
        <f t="shared" si="186"/>
        <v>73.43584614729447</v>
      </c>
      <c r="M400">
        <f t="shared" si="186"/>
        <v>82.881765802596107</v>
      </c>
      <c r="N400">
        <f t="shared" si="186"/>
        <v>80.847884090955063</v>
      </c>
      <c r="O400">
        <f t="shared" si="186"/>
        <v>79.943016983344606</v>
      </c>
      <c r="P400">
        <f t="shared" si="186"/>
        <v>87.988102775379019</v>
      </c>
      <c r="Q400">
        <f t="shared" si="186"/>
        <v>90.285580976957789</v>
      </c>
      <c r="R400">
        <f t="shared" si="186"/>
        <v>71.078584752086613</v>
      </c>
      <c r="S400">
        <f t="shared" si="186"/>
        <v>62.93508699211008</v>
      </c>
      <c r="T400">
        <f t="shared" si="186"/>
        <v>64.560170216299852</v>
      </c>
      <c r="U400">
        <f t="shared" si="186"/>
        <v>69.167145094502004</v>
      </c>
      <c r="V400">
        <f t="shared" si="186"/>
        <v>115.35167359597639</v>
      </c>
      <c r="W400">
        <f t="shared" si="186"/>
        <v>121.45034059426521</v>
      </c>
      <c r="Y400" s="8">
        <f t="shared" si="161"/>
        <v>1523.5862730224551</v>
      </c>
      <c r="Z400">
        <f t="shared" si="162"/>
        <v>-21.274246442908591</v>
      </c>
    </row>
    <row r="401" spans="1:26" x14ac:dyDescent="0.25">
      <c r="Y401" s="8"/>
    </row>
    <row r="402" spans="1:26" x14ac:dyDescent="0.25">
      <c r="A402" t="s">
        <v>68</v>
      </c>
      <c r="D402">
        <f t="shared" ref="D402:W402" si="187">D28*D198</f>
        <v>123.56764546112683</v>
      </c>
      <c r="E402">
        <f t="shared" si="187"/>
        <v>93.504970923945891</v>
      </c>
      <c r="F402">
        <f t="shared" si="187"/>
        <v>102.0168055005398</v>
      </c>
      <c r="G402">
        <f t="shared" si="187"/>
        <v>103.87659174347858</v>
      </c>
      <c r="H402">
        <f t="shared" si="187"/>
        <v>103.30672278610886</v>
      </c>
      <c r="I402">
        <f t="shared" si="187"/>
        <v>103.30209374738763</v>
      </c>
      <c r="J402">
        <f t="shared" si="187"/>
        <v>99.572579180795941</v>
      </c>
      <c r="K402">
        <f t="shared" si="187"/>
        <v>97.819354254443681</v>
      </c>
      <c r="L402">
        <f t="shared" si="187"/>
        <v>106.10374860768584</v>
      </c>
      <c r="M402">
        <f t="shared" si="187"/>
        <v>67.944397710220841</v>
      </c>
      <c r="N402">
        <f t="shared" si="187"/>
        <v>72.417082102109447</v>
      </c>
      <c r="O402">
        <f t="shared" si="187"/>
        <v>67.072803499212384</v>
      </c>
      <c r="P402">
        <f t="shared" si="187"/>
        <v>68.055805541839561</v>
      </c>
      <c r="Q402">
        <f t="shared" si="187"/>
        <v>75.157535147632132</v>
      </c>
      <c r="R402">
        <f t="shared" si="187"/>
        <v>74.945770810145177</v>
      </c>
      <c r="S402">
        <f t="shared" si="187"/>
        <v>82.519117729595919</v>
      </c>
      <c r="T402">
        <f t="shared" si="187"/>
        <v>101.86000104322221</v>
      </c>
      <c r="U402">
        <f t="shared" si="187"/>
        <v>96.444962153224139</v>
      </c>
      <c r="V402">
        <f t="shared" si="187"/>
        <v>98.039740955307565</v>
      </c>
      <c r="W402">
        <f t="shared" si="187"/>
        <v>106.43584537064355</v>
      </c>
      <c r="Y402" s="8">
        <f t="shared" si="161"/>
        <v>1843.963574268666</v>
      </c>
      <c r="Z402">
        <f>SUMPRODUCT($D$406:$W$406,D402:W402)</f>
        <v>-32.528591599166489</v>
      </c>
    </row>
    <row r="403" spans="1:26" x14ac:dyDescent="0.25">
      <c r="A403" t="s">
        <v>312</v>
      </c>
      <c r="D403">
        <f t="shared" ref="D403:W403" si="188">D29*D199</f>
        <v>138.10872457955961</v>
      </c>
      <c r="E403">
        <f t="shared" si="188"/>
        <v>108.08787016281245</v>
      </c>
      <c r="F403">
        <f t="shared" si="188"/>
        <v>90.055352409655839</v>
      </c>
      <c r="G403">
        <f t="shared" si="188"/>
        <v>97.110787521858313</v>
      </c>
      <c r="H403">
        <f t="shared" si="188"/>
        <v>103.46102663860735</v>
      </c>
      <c r="I403">
        <f t="shared" si="188"/>
        <v>93.574875595417126</v>
      </c>
      <c r="J403">
        <f t="shared" si="188"/>
        <v>80.025200396218708</v>
      </c>
      <c r="K403">
        <f t="shared" si="188"/>
        <v>38.074981015288841</v>
      </c>
      <c r="L403">
        <f t="shared" si="188"/>
        <v>75.140084766263044</v>
      </c>
      <c r="M403">
        <f t="shared" si="188"/>
        <v>75.525652213757979</v>
      </c>
      <c r="N403">
        <f t="shared" si="188"/>
        <v>68.873849697673279</v>
      </c>
      <c r="O403">
        <f t="shared" si="188"/>
        <v>66.809691984119965</v>
      </c>
      <c r="P403">
        <f t="shared" si="188"/>
        <v>76.56</v>
      </c>
      <c r="Q403">
        <f t="shared" si="188"/>
        <v>70.069999999999993</v>
      </c>
      <c r="R403">
        <f t="shared" si="188"/>
        <v>99.36</v>
      </c>
      <c r="S403">
        <f t="shared" si="188"/>
        <v>53.580000000000005</v>
      </c>
      <c r="T403">
        <f t="shared" si="188"/>
        <v>107.80000000000001</v>
      </c>
      <c r="U403">
        <f t="shared" si="188"/>
        <v>99</v>
      </c>
      <c r="V403">
        <f t="shared" si="188"/>
        <v>85.781999999999996</v>
      </c>
      <c r="W403">
        <f t="shared" si="188"/>
        <v>108.12</v>
      </c>
      <c r="Y403" s="8">
        <f t="shared" si="161"/>
        <v>1735.1200969812321</v>
      </c>
      <c r="Z403">
        <f>SUMPRODUCT($D$406:$W$406,D403:W403)</f>
        <v>-27.587712483495366</v>
      </c>
    </row>
    <row r="404" spans="1:26" x14ac:dyDescent="0.25">
      <c r="A404" t="s">
        <v>313</v>
      </c>
      <c r="D404">
        <f t="shared" ref="D404:W404" si="189">D30*D200</f>
        <v>123.69000000000001</v>
      </c>
      <c r="E404">
        <f t="shared" si="189"/>
        <v>107.00999999999999</v>
      </c>
      <c r="F404">
        <f t="shared" si="189"/>
        <v>91.670000000000016</v>
      </c>
      <c r="G404">
        <f t="shared" si="189"/>
        <v>95.88</v>
      </c>
      <c r="H404">
        <f t="shared" si="189"/>
        <v>113.46000000000001</v>
      </c>
      <c r="I404">
        <f t="shared" si="189"/>
        <v>85.36</v>
      </c>
      <c r="J404">
        <f t="shared" si="189"/>
        <v>84.63000000000001</v>
      </c>
      <c r="K404">
        <f t="shared" si="189"/>
        <v>80.34</v>
      </c>
      <c r="L404">
        <f t="shared" si="189"/>
        <v>71.610000000000014</v>
      </c>
      <c r="M404">
        <f t="shared" si="189"/>
        <v>78.02000000000001</v>
      </c>
      <c r="N404">
        <f t="shared" si="189"/>
        <v>76.5</v>
      </c>
      <c r="O404">
        <f t="shared" si="189"/>
        <v>77.190000000000012</v>
      </c>
      <c r="P404">
        <f t="shared" si="189"/>
        <v>77.7929218931082</v>
      </c>
      <c r="Q404">
        <f t="shared" si="189"/>
        <v>75.578640680096171</v>
      </c>
      <c r="R404">
        <f t="shared" si="189"/>
        <v>93.848616106162737</v>
      </c>
      <c r="S404">
        <f t="shared" si="189"/>
        <v>97.69015596260752</v>
      </c>
      <c r="T404">
        <f t="shared" si="189"/>
        <v>103.87355675660584</v>
      </c>
      <c r="U404">
        <f t="shared" si="189"/>
        <v>100.6454023866042</v>
      </c>
      <c r="V404">
        <f t="shared" si="189"/>
        <v>117.92275602815464</v>
      </c>
      <c r="W404">
        <f t="shared" si="189"/>
        <v>113.66382958169184</v>
      </c>
      <c r="Y404" s="8">
        <f t="shared" si="161"/>
        <v>1866.3758793950315</v>
      </c>
      <c r="Z404">
        <f>SUMPRODUCT($D$406:$W$406,D404:W404)</f>
        <v>-18.873033470444749</v>
      </c>
    </row>
    <row r="405" spans="1:26" x14ac:dyDescent="0.25">
      <c r="A405" t="s">
        <v>676</v>
      </c>
      <c r="D405">
        <f t="shared" ref="D405:W405" si="190">D31*D201</f>
        <v>114.89467056657406</v>
      </c>
      <c r="E405">
        <f t="shared" si="190"/>
        <v>90.940614601959041</v>
      </c>
      <c r="F405">
        <f t="shared" si="190"/>
        <v>88.234589984274578</v>
      </c>
      <c r="G405">
        <f t="shared" si="190"/>
        <v>90.219010073640021</v>
      </c>
      <c r="H405">
        <f t="shared" si="190"/>
        <v>99.306214185893012</v>
      </c>
      <c r="I405">
        <f t="shared" si="190"/>
        <v>77.000082968376802</v>
      </c>
      <c r="J405">
        <f t="shared" si="190"/>
        <v>80.363222946478615</v>
      </c>
      <c r="K405">
        <f t="shared" si="190"/>
        <v>83.357319617367196</v>
      </c>
      <c r="L405">
        <f t="shared" si="190"/>
        <v>79.635909380629755</v>
      </c>
      <c r="M405">
        <f t="shared" si="190"/>
        <v>69.203036403131009</v>
      </c>
      <c r="N405">
        <f t="shared" si="190"/>
        <v>69.525190320991726</v>
      </c>
      <c r="O405">
        <f t="shared" si="190"/>
        <v>71.621572881289296</v>
      </c>
      <c r="P405">
        <f t="shared" si="190"/>
        <v>59.378080472376141</v>
      </c>
      <c r="Q405">
        <f t="shared" si="190"/>
        <v>69.896408972374203</v>
      </c>
      <c r="R405">
        <f t="shared" si="190"/>
        <v>88.405582333728191</v>
      </c>
      <c r="S405">
        <f t="shared" si="190"/>
        <v>99.100682943105227</v>
      </c>
      <c r="T405">
        <f t="shared" si="190"/>
        <v>98.553026670364957</v>
      </c>
      <c r="U405">
        <f t="shared" si="190"/>
        <v>99.278961636160346</v>
      </c>
      <c r="V405">
        <f t="shared" si="190"/>
        <v>104.63648546979852</v>
      </c>
      <c r="W405">
        <f t="shared" si="190"/>
        <v>105.67271407186638</v>
      </c>
      <c r="Y405" s="8">
        <f t="shared" ref="Y405" si="191">SUM(D405:W405)</f>
        <v>1739.2233765003793</v>
      </c>
      <c r="Z405">
        <f>SUMPRODUCT($D$406:$W$406,D405:W405)</f>
        <v>-14.756980292000948</v>
      </c>
    </row>
    <row r="406" spans="1:26" x14ac:dyDescent="0.25">
      <c r="A406" s="2" t="s">
        <v>69</v>
      </c>
      <c r="D406" s="3">
        <f>CORREL($B$2:$B$26,D376:D400)</f>
        <v>-0.24763628330270426</v>
      </c>
      <c r="E406" s="3">
        <f t="shared" ref="E406:W406" si="192">CORREL($B$2:$B$26,E376:E400)</f>
        <v>-8.6468860417023535E-2</v>
      </c>
      <c r="F406" s="3">
        <f t="shared" si="192"/>
        <v>3.1445902313533232E-2</v>
      </c>
      <c r="G406" s="3">
        <f t="shared" si="192"/>
        <v>-0.12721818812361241</v>
      </c>
      <c r="H406" s="3">
        <f t="shared" si="192"/>
        <v>3.165870060824208E-2</v>
      </c>
      <c r="I406" s="3">
        <f t="shared" si="192"/>
        <v>-6.3772877576524792E-2</v>
      </c>
      <c r="J406" s="3">
        <f t="shared" si="192"/>
        <v>-0.17300196984961283</v>
      </c>
      <c r="K406" s="3">
        <f t="shared" si="192"/>
        <v>-0.12968661031539944</v>
      </c>
      <c r="L406" s="3">
        <f t="shared" si="192"/>
        <v>2.7078815269655221E-2</v>
      </c>
      <c r="M406" s="3">
        <f t="shared" si="192"/>
        <v>-0.18954668872019412</v>
      </c>
      <c r="N406" s="3">
        <f t="shared" si="192"/>
        <v>-0.23334894122772876</v>
      </c>
      <c r="O406" s="3">
        <f t="shared" si="192"/>
        <v>-6.6133995266987433E-2</v>
      </c>
      <c r="P406" s="3">
        <f t="shared" si="192"/>
        <v>4.6804169431380743E-2</v>
      </c>
      <c r="Q406" s="3">
        <f t="shared" si="192"/>
        <v>-0.11153753056213386</v>
      </c>
      <c r="R406" s="3">
        <f t="shared" si="192"/>
        <v>0.20775924828285328</v>
      </c>
      <c r="S406" s="3">
        <f t="shared" si="192"/>
        <v>0.21545277115906969</v>
      </c>
      <c r="T406" s="3">
        <f t="shared" si="192"/>
        <v>0.16174801013657938</v>
      </c>
      <c r="U406" s="3">
        <f t="shared" si="192"/>
        <v>0.23020696270222124</v>
      </c>
      <c r="V406" s="3">
        <f t="shared" si="192"/>
        <v>0.18663880683611131</v>
      </c>
      <c r="W406" s="3">
        <f t="shared" si="192"/>
        <v>-4.1296253186236864E-2</v>
      </c>
      <c r="X406" s="3"/>
    </row>
    <row r="409" spans="1:26" x14ac:dyDescent="0.25">
      <c r="D409" t="s">
        <v>148</v>
      </c>
      <c r="E409" t="s">
        <v>149</v>
      </c>
      <c r="F409" t="s">
        <v>150</v>
      </c>
      <c r="G409" t="s">
        <v>151</v>
      </c>
      <c r="H409" t="s">
        <v>152</v>
      </c>
      <c r="I409" t="s">
        <v>153</v>
      </c>
      <c r="J409" t="s">
        <v>154</v>
      </c>
      <c r="K409" t="s">
        <v>155</v>
      </c>
      <c r="L409" t="s">
        <v>327</v>
      </c>
      <c r="M409" t="s">
        <v>379</v>
      </c>
      <c r="N409" t="s">
        <v>380</v>
      </c>
      <c r="O409" t="s">
        <v>381</v>
      </c>
      <c r="P409" t="s">
        <v>500</v>
      </c>
      <c r="Q409" t="s">
        <v>501</v>
      </c>
      <c r="R409" t="s">
        <v>502</v>
      </c>
      <c r="S409" t="s">
        <v>503</v>
      </c>
      <c r="T409" t="s">
        <v>612</v>
      </c>
      <c r="U409" t="s">
        <v>613</v>
      </c>
      <c r="V409" t="s">
        <v>614</v>
      </c>
      <c r="W409" t="s">
        <v>615</v>
      </c>
      <c r="Y409" t="s">
        <v>156</v>
      </c>
      <c r="Z409" t="s">
        <v>157</v>
      </c>
    </row>
    <row r="410" spans="1:26" x14ac:dyDescent="0.25">
      <c r="A410" t="s">
        <v>43</v>
      </c>
      <c r="D410">
        <f t="shared" ref="D410:W410" si="193">D2*D206</f>
        <v>149.5769475209583</v>
      </c>
      <c r="E410">
        <f t="shared" si="193"/>
        <v>126.59849792780426</v>
      </c>
      <c r="F410">
        <f t="shared" si="193"/>
        <v>136.68391871902432</v>
      </c>
      <c r="G410">
        <f t="shared" si="193"/>
        <v>200.36617058222666</v>
      </c>
      <c r="H410">
        <f t="shared" si="193"/>
        <v>184.3520203085655</v>
      </c>
      <c r="I410">
        <f t="shared" si="193"/>
        <v>83.725187011704335</v>
      </c>
      <c r="J410">
        <f t="shared" si="193"/>
        <v>80.971228948582436</v>
      </c>
      <c r="K410">
        <f t="shared" si="193"/>
        <v>94.405013330174313</v>
      </c>
      <c r="L410">
        <f t="shared" si="193"/>
        <v>90.50957363086188</v>
      </c>
      <c r="M410">
        <f t="shared" si="193"/>
        <v>52.345251840285016</v>
      </c>
      <c r="N410">
        <f t="shared" si="193"/>
        <v>81.369015199143789</v>
      </c>
      <c r="O410">
        <f t="shared" si="193"/>
        <v>132.20123410734766</v>
      </c>
      <c r="P410">
        <f t="shared" si="193"/>
        <v>110.96494479157802</v>
      </c>
      <c r="Q410">
        <f t="shared" si="193"/>
        <v>98.337191510722135</v>
      </c>
      <c r="R410">
        <f t="shared" si="193"/>
        <v>107.52515134181995</v>
      </c>
      <c r="S410">
        <f t="shared" si="193"/>
        <v>122.12332087923836</v>
      </c>
      <c r="T410">
        <f t="shared" si="193"/>
        <v>100.59761744449482</v>
      </c>
      <c r="U410">
        <f t="shared" si="193"/>
        <v>105.74746136605994</v>
      </c>
      <c r="V410">
        <f t="shared" si="193"/>
        <v>134.81998913124031</v>
      </c>
      <c r="W410">
        <f t="shared" si="193"/>
        <v>160.48045609972087</v>
      </c>
      <c r="Y410" s="8">
        <f t="shared" ref="Y410:Y438" si="194">SUM(D410:W410)</f>
        <v>2353.7001916915528</v>
      </c>
      <c r="Z410">
        <f t="shared" ref="Z410:Z434" si="195">SUMPRODUCT($D$440:$W$440,D410:W410)</f>
        <v>10.161575140974364</v>
      </c>
    </row>
    <row r="411" spans="1:26" x14ac:dyDescent="0.25">
      <c r="A411" t="s">
        <v>44</v>
      </c>
      <c r="D411">
        <f t="shared" ref="D411:W411" si="196">D3*D207</f>
        <v>157.71171756174925</v>
      </c>
      <c r="E411">
        <f t="shared" si="196"/>
        <v>136.66244837021179</v>
      </c>
      <c r="F411">
        <f t="shared" si="196"/>
        <v>117.98422318966999</v>
      </c>
      <c r="G411">
        <f t="shared" si="196"/>
        <v>119.14235723010898</v>
      </c>
      <c r="H411">
        <f t="shared" si="196"/>
        <v>123.9313749589864</v>
      </c>
      <c r="I411">
        <f t="shared" si="196"/>
        <v>92.624464705234303</v>
      </c>
      <c r="J411">
        <f t="shared" si="196"/>
        <v>94.555197494670409</v>
      </c>
      <c r="K411">
        <f t="shared" si="196"/>
        <v>125.02991148126475</v>
      </c>
      <c r="L411">
        <f t="shared" si="196"/>
        <v>91.592572004239344</v>
      </c>
      <c r="M411">
        <f t="shared" si="196"/>
        <v>114.28887802258498</v>
      </c>
      <c r="N411">
        <f t="shared" si="196"/>
        <v>82.900170927664078</v>
      </c>
      <c r="O411">
        <f t="shared" si="196"/>
        <v>162.35843060565713</v>
      </c>
      <c r="P411">
        <f t="shared" si="196"/>
        <v>89.509000095259907</v>
      </c>
      <c r="Q411">
        <f t="shared" si="196"/>
        <v>116.87516093712151</v>
      </c>
      <c r="R411">
        <f t="shared" si="196"/>
        <v>141.72131237298692</v>
      </c>
      <c r="S411">
        <f t="shared" si="196"/>
        <v>107.83941348869759</v>
      </c>
      <c r="T411">
        <f t="shared" si="196"/>
        <v>103.58953533846179</v>
      </c>
      <c r="U411">
        <f t="shared" si="196"/>
        <v>98.949202834133217</v>
      </c>
      <c r="V411">
        <f t="shared" si="196"/>
        <v>109.46720904577748</v>
      </c>
      <c r="W411">
        <f t="shared" si="196"/>
        <v>150.18190474870488</v>
      </c>
      <c r="Y411" s="8">
        <f t="shared" si="194"/>
        <v>2336.9144854131841</v>
      </c>
      <c r="Z411">
        <f t="shared" si="195"/>
        <v>37.196680755690032</v>
      </c>
    </row>
    <row r="412" spans="1:26" x14ac:dyDescent="0.25">
      <c r="A412" t="s">
        <v>45</v>
      </c>
      <c r="D412">
        <f t="shared" ref="D412:W412" si="197">D4*D208</f>
        <v>173.29489728728603</v>
      </c>
      <c r="E412">
        <f t="shared" si="197"/>
        <v>157.9168881070739</v>
      </c>
      <c r="F412">
        <f t="shared" si="197"/>
        <v>159.01577285188773</v>
      </c>
      <c r="G412">
        <f t="shared" si="197"/>
        <v>134.65943082951614</v>
      </c>
      <c r="H412">
        <f t="shared" si="197"/>
        <v>100.72962819772491</v>
      </c>
      <c r="I412">
        <f t="shared" si="197"/>
        <v>99.687660233044667</v>
      </c>
      <c r="J412">
        <f t="shared" si="197"/>
        <v>84.065976328835319</v>
      </c>
      <c r="K412">
        <f t="shared" si="197"/>
        <v>77.966948750843713</v>
      </c>
      <c r="L412">
        <f t="shared" si="197"/>
        <v>100.61124748385645</v>
      </c>
      <c r="M412">
        <f t="shared" si="197"/>
        <v>153.8348680735117</v>
      </c>
      <c r="N412">
        <f t="shared" si="197"/>
        <v>108.45924412792924</v>
      </c>
      <c r="O412">
        <f t="shared" si="197"/>
        <v>134.71758632478389</v>
      </c>
      <c r="P412">
        <f t="shared" si="197"/>
        <v>138.46137152472025</v>
      </c>
      <c r="Q412">
        <f t="shared" si="197"/>
        <v>126.86822664170474</v>
      </c>
      <c r="R412">
        <f t="shared" si="197"/>
        <v>85.126971074242974</v>
      </c>
      <c r="S412">
        <f t="shared" si="197"/>
        <v>106.37004669035528</v>
      </c>
      <c r="T412">
        <f t="shared" si="197"/>
        <v>136.22227638601669</v>
      </c>
      <c r="U412">
        <f t="shared" si="197"/>
        <v>121.85866955072085</v>
      </c>
      <c r="V412">
        <f t="shared" si="197"/>
        <v>167.31257579907222</v>
      </c>
      <c r="W412">
        <f t="shared" si="197"/>
        <v>169.79298348161166</v>
      </c>
      <c r="Y412" s="8">
        <f t="shared" si="194"/>
        <v>2536.9732697447389</v>
      </c>
      <c r="Z412">
        <f t="shared" si="195"/>
        <v>1.2470132065144623</v>
      </c>
    </row>
    <row r="413" spans="1:26" x14ac:dyDescent="0.25">
      <c r="A413" t="s">
        <v>46</v>
      </c>
      <c r="D413">
        <f t="shared" ref="D413:W413" si="198">D5*D209</f>
        <v>196.5154298235401</v>
      </c>
      <c r="E413">
        <f t="shared" si="198"/>
        <v>141.94626557517245</v>
      </c>
      <c r="F413">
        <f t="shared" si="198"/>
        <v>130.28777064988691</v>
      </c>
      <c r="G413">
        <f t="shared" si="198"/>
        <v>131.29682678353592</v>
      </c>
      <c r="H413">
        <f t="shared" si="198"/>
        <v>129.48636183681106</v>
      </c>
      <c r="I413">
        <f t="shared" si="198"/>
        <v>99.499768102651231</v>
      </c>
      <c r="J413">
        <f t="shared" si="198"/>
        <v>100.47001648416561</v>
      </c>
      <c r="K413">
        <f t="shared" si="198"/>
        <v>139.66301562911582</v>
      </c>
      <c r="L413">
        <f t="shared" si="198"/>
        <v>123.96200942541495</v>
      </c>
      <c r="M413">
        <f t="shared" si="198"/>
        <v>72.660800767788487</v>
      </c>
      <c r="N413">
        <f t="shared" si="198"/>
        <v>103.45628967019829</v>
      </c>
      <c r="O413">
        <f t="shared" si="198"/>
        <v>122.09895948426312</v>
      </c>
      <c r="P413">
        <f t="shared" si="198"/>
        <v>173.80393129662642</v>
      </c>
      <c r="Q413">
        <f t="shared" si="198"/>
        <v>150.7460216735104</v>
      </c>
      <c r="R413">
        <f t="shared" si="198"/>
        <v>130.58816155451228</v>
      </c>
      <c r="S413">
        <f t="shared" si="198"/>
        <v>88.77387691878198</v>
      </c>
      <c r="T413">
        <f t="shared" si="198"/>
        <v>98.848077024248255</v>
      </c>
      <c r="U413">
        <f t="shared" si="198"/>
        <v>114.43834053832171</v>
      </c>
      <c r="V413">
        <f t="shared" si="198"/>
        <v>163.36167101922848</v>
      </c>
      <c r="W413">
        <f t="shared" si="198"/>
        <v>123.69464756833908</v>
      </c>
      <c r="Y413" s="8">
        <f t="shared" si="194"/>
        <v>2535.5982418261124</v>
      </c>
      <c r="Z413">
        <f t="shared" si="195"/>
        <v>15.397726187122734</v>
      </c>
    </row>
    <row r="414" spans="1:26" x14ac:dyDescent="0.25">
      <c r="A414" t="s">
        <v>47</v>
      </c>
      <c r="D414">
        <f t="shared" ref="D414:W414" si="199">D6*D210</f>
        <v>112.20009782801719</v>
      </c>
      <c r="E414">
        <f t="shared" si="199"/>
        <v>80.411407204910887</v>
      </c>
      <c r="F414">
        <f t="shared" si="199"/>
        <v>118.75351365613965</v>
      </c>
      <c r="G414">
        <f t="shared" si="199"/>
        <v>119.40261662797857</v>
      </c>
      <c r="H414">
        <f t="shared" si="199"/>
        <v>105.0336302194923</v>
      </c>
      <c r="I414">
        <f t="shared" si="199"/>
        <v>50.943610855369286</v>
      </c>
      <c r="J414">
        <f t="shared" si="199"/>
        <v>64.15666068435543</v>
      </c>
      <c r="K414">
        <f t="shared" si="199"/>
        <v>62.19452195198631</v>
      </c>
      <c r="L414">
        <f t="shared" si="199"/>
        <v>30.051549936337338</v>
      </c>
      <c r="M414">
        <f t="shared" si="199"/>
        <v>31.134172255400792</v>
      </c>
      <c r="N414">
        <f t="shared" si="199"/>
        <v>28.931513824116401</v>
      </c>
      <c r="O414">
        <f t="shared" si="199"/>
        <v>37.425086102651861</v>
      </c>
      <c r="P414">
        <f t="shared" si="199"/>
        <v>47.935315501715813</v>
      </c>
      <c r="Q414">
        <f t="shared" si="199"/>
        <v>28.013774339850624</v>
      </c>
      <c r="R414">
        <f t="shared" si="199"/>
        <v>80.032866294576294</v>
      </c>
      <c r="S414">
        <f t="shared" si="199"/>
        <v>35.59862011726301</v>
      </c>
      <c r="T414">
        <f t="shared" si="199"/>
        <v>55.342636684111696</v>
      </c>
      <c r="U414">
        <f t="shared" si="199"/>
        <v>70.606001457652326</v>
      </c>
      <c r="V414">
        <f t="shared" si="199"/>
        <v>48.250155972412522</v>
      </c>
      <c r="W414">
        <f t="shared" si="199"/>
        <v>110.79111735937072</v>
      </c>
      <c r="Y414" s="8">
        <f t="shared" si="194"/>
        <v>1317.2088688737092</v>
      </c>
      <c r="Z414">
        <f t="shared" si="195"/>
        <v>-8.4807932762871925</v>
      </c>
    </row>
    <row r="415" spans="1:26" x14ac:dyDescent="0.25">
      <c r="A415" t="s">
        <v>48</v>
      </c>
      <c r="D415">
        <f t="shared" ref="D415:W415" si="200">D7*D211</f>
        <v>154.67096052892214</v>
      </c>
      <c r="E415">
        <f t="shared" si="200"/>
        <v>129.58559525559113</v>
      </c>
      <c r="F415">
        <f t="shared" si="200"/>
        <v>127.67744206461326</v>
      </c>
      <c r="G415">
        <f t="shared" si="200"/>
        <v>141.91413286193554</v>
      </c>
      <c r="H415">
        <f t="shared" si="200"/>
        <v>104.34359944933361</v>
      </c>
      <c r="I415">
        <f t="shared" si="200"/>
        <v>74.256987625432316</v>
      </c>
      <c r="J415">
        <f t="shared" si="200"/>
        <v>72.941359579819249</v>
      </c>
      <c r="K415">
        <f t="shared" si="200"/>
        <v>62.076201746235199</v>
      </c>
      <c r="L415">
        <f t="shared" si="200"/>
        <v>35.837634117752735</v>
      </c>
      <c r="M415">
        <f t="shared" si="200"/>
        <v>36.811833807423682</v>
      </c>
      <c r="N415">
        <f t="shared" si="200"/>
        <v>23.330351263680626</v>
      </c>
      <c r="O415">
        <f t="shared" si="200"/>
        <v>29.736732846817009</v>
      </c>
      <c r="P415">
        <f t="shared" si="200"/>
        <v>46.117949593718514</v>
      </c>
      <c r="Q415">
        <f t="shared" si="200"/>
        <v>52.976925735851573</v>
      </c>
      <c r="R415">
        <f t="shared" si="200"/>
        <v>63.460397532745837</v>
      </c>
      <c r="S415">
        <f t="shared" si="200"/>
        <v>54.332618688641581</v>
      </c>
      <c r="T415">
        <f t="shared" si="200"/>
        <v>76.13945026578655</v>
      </c>
      <c r="U415">
        <f t="shared" si="200"/>
        <v>51.318758129968529</v>
      </c>
      <c r="V415">
        <f t="shared" si="200"/>
        <v>87.003393345130888</v>
      </c>
      <c r="W415">
        <f t="shared" si="200"/>
        <v>102.12038081374986</v>
      </c>
      <c r="Y415" s="8">
        <f t="shared" si="194"/>
        <v>1526.6527052531499</v>
      </c>
      <c r="Z415">
        <f t="shared" si="195"/>
        <v>-37.807075555094563</v>
      </c>
    </row>
    <row r="416" spans="1:26" x14ac:dyDescent="0.25">
      <c r="A416" t="s">
        <v>49</v>
      </c>
      <c r="D416">
        <f t="shared" ref="D416:W416" si="201">D8*D212</f>
        <v>130.2076958132283</v>
      </c>
      <c r="E416">
        <f t="shared" si="201"/>
        <v>116.17724807675297</v>
      </c>
      <c r="F416">
        <f t="shared" si="201"/>
        <v>87.3324229401493</v>
      </c>
      <c r="G416">
        <f t="shared" si="201"/>
        <v>102.28152111226198</v>
      </c>
      <c r="H416">
        <f t="shared" si="201"/>
        <v>50.968836516637673</v>
      </c>
      <c r="I416">
        <f t="shared" si="201"/>
        <v>75.001016286381287</v>
      </c>
      <c r="J416">
        <f t="shared" si="201"/>
        <v>59.670672705227872</v>
      </c>
      <c r="K416">
        <f t="shared" si="201"/>
        <v>47.632938458128805</v>
      </c>
      <c r="L416">
        <f t="shared" si="201"/>
        <v>38.272114694453983</v>
      </c>
      <c r="M416">
        <f t="shared" si="201"/>
        <v>37.904353870322083</v>
      </c>
      <c r="N416">
        <f t="shared" si="201"/>
        <v>25.870972972616375</v>
      </c>
      <c r="O416">
        <f t="shared" si="201"/>
        <v>15.292628387171888</v>
      </c>
      <c r="P416">
        <f t="shared" si="201"/>
        <v>48.776174389251274</v>
      </c>
      <c r="Q416">
        <f t="shared" si="201"/>
        <v>22.85550880289027</v>
      </c>
      <c r="R416">
        <f t="shared" si="201"/>
        <v>31.967151392086237</v>
      </c>
      <c r="S416">
        <f t="shared" si="201"/>
        <v>56.696357470870787</v>
      </c>
      <c r="T416">
        <f t="shared" si="201"/>
        <v>39.926486339283151</v>
      </c>
      <c r="U416">
        <f t="shared" si="201"/>
        <v>58.182655075616573</v>
      </c>
      <c r="V416">
        <f t="shared" si="201"/>
        <v>90.440056946466299</v>
      </c>
      <c r="W416">
        <f t="shared" si="201"/>
        <v>91.792859553774477</v>
      </c>
      <c r="Y416" s="8">
        <f t="shared" si="194"/>
        <v>1227.2496718035716</v>
      </c>
      <c r="Z416">
        <f t="shared" si="195"/>
        <v>-40.929109942542254</v>
      </c>
    </row>
    <row r="417" spans="1:26" x14ac:dyDescent="0.25">
      <c r="A417" t="s">
        <v>50</v>
      </c>
      <c r="D417">
        <f t="shared" ref="D417:W417" si="202">D9*D213</f>
        <v>35.90134816912542</v>
      </c>
      <c r="E417">
        <f t="shared" si="202"/>
        <v>65.399579738205617</v>
      </c>
      <c r="F417">
        <f t="shared" si="202"/>
        <v>70.880468527646102</v>
      </c>
      <c r="G417">
        <f t="shared" si="202"/>
        <v>53.739176772658446</v>
      </c>
      <c r="H417">
        <f t="shared" si="202"/>
        <v>30.922341081722386</v>
      </c>
      <c r="I417">
        <f t="shared" si="202"/>
        <v>59.947333843986883</v>
      </c>
      <c r="J417">
        <f t="shared" si="202"/>
        <v>53.726336843994851</v>
      </c>
      <c r="K417">
        <f t="shared" si="202"/>
        <v>52.546849576575767</v>
      </c>
      <c r="L417">
        <f t="shared" si="202"/>
        <v>65.580766636283542</v>
      </c>
      <c r="M417">
        <f t="shared" si="202"/>
        <v>44.848856167041596</v>
      </c>
      <c r="N417">
        <f t="shared" si="202"/>
        <v>21.609791737636741</v>
      </c>
      <c r="O417">
        <f t="shared" si="202"/>
        <v>46.851908171589848</v>
      </c>
      <c r="P417">
        <f t="shared" si="202"/>
        <v>48.905094454034526</v>
      </c>
      <c r="Q417">
        <f t="shared" si="202"/>
        <v>70.842181305532563</v>
      </c>
      <c r="R417">
        <f t="shared" si="202"/>
        <v>90.775305887661972</v>
      </c>
      <c r="S417">
        <f t="shared" si="202"/>
        <v>69.411741523848164</v>
      </c>
      <c r="T417">
        <f t="shared" si="202"/>
        <v>55.063737476878579</v>
      </c>
      <c r="U417">
        <f t="shared" si="202"/>
        <v>54.938190686758702</v>
      </c>
      <c r="V417">
        <f t="shared" si="202"/>
        <v>76.505322023494273</v>
      </c>
      <c r="W417">
        <f t="shared" si="202"/>
        <v>87.386999154220078</v>
      </c>
      <c r="Y417" s="8">
        <f t="shared" si="194"/>
        <v>1155.7833297788961</v>
      </c>
      <c r="Z417">
        <f t="shared" si="195"/>
        <v>45.12283058586042</v>
      </c>
    </row>
    <row r="418" spans="1:26" x14ac:dyDescent="0.25">
      <c r="A418" t="s">
        <v>51</v>
      </c>
      <c r="D418">
        <f t="shared" ref="D418:W418" si="203">D10*D214</f>
        <v>35.582654050939261</v>
      </c>
      <c r="E418">
        <f t="shared" si="203"/>
        <v>65.027196662102469</v>
      </c>
      <c r="F418">
        <f t="shared" si="203"/>
        <v>62.52559289733793</v>
      </c>
      <c r="G418">
        <f t="shared" si="203"/>
        <v>60.499751119616299</v>
      </c>
      <c r="H418">
        <f t="shared" si="203"/>
        <v>55.523867528340453</v>
      </c>
      <c r="I418">
        <f t="shared" si="203"/>
        <v>44.306830260607271</v>
      </c>
      <c r="J418">
        <f t="shared" si="203"/>
        <v>48.286900751876871</v>
      </c>
      <c r="K418">
        <f t="shared" si="203"/>
        <v>55.248539369066748</v>
      </c>
      <c r="L418">
        <f t="shared" si="203"/>
        <v>35.39716244198722</v>
      </c>
      <c r="M418">
        <f t="shared" si="203"/>
        <v>50.465153649890162</v>
      </c>
      <c r="N418">
        <f t="shared" si="203"/>
        <v>35.609566316194993</v>
      </c>
      <c r="O418">
        <f t="shared" si="203"/>
        <v>36.847360676231162</v>
      </c>
      <c r="P418">
        <f t="shared" si="203"/>
        <v>51.226615140366675</v>
      </c>
      <c r="Q418">
        <f t="shared" si="203"/>
        <v>50.512811126988133</v>
      </c>
      <c r="R418">
        <f t="shared" si="203"/>
        <v>76.044397107500046</v>
      </c>
      <c r="S418">
        <f t="shared" si="203"/>
        <v>85.860002782714332</v>
      </c>
      <c r="T418">
        <f t="shared" si="203"/>
        <v>97.585903819959668</v>
      </c>
      <c r="U418">
        <f t="shared" si="203"/>
        <v>94.968028302132907</v>
      </c>
      <c r="V418">
        <f t="shared" si="203"/>
        <v>72.230219301621091</v>
      </c>
      <c r="W418">
        <f t="shared" si="203"/>
        <v>107.35709894917331</v>
      </c>
      <c r="Y418" s="8">
        <f t="shared" si="194"/>
        <v>1221.1056522546469</v>
      </c>
      <c r="Z418">
        <f t="shared" si="195"/>
        <v>58.05383059365915</v>
      </c>
    </row>
    <row r="419" spans="1:26" x14ac:dyDescent="0.25">
      <c r="A419" t="s">
        <v>52</v>
      </c>
      <c r="D419">
        <f t="shared" ref="D419:W419" si="204">D11*D215</f>
        <v>104.63504938194754</v>
      </c>
      <c r="E419">
        <f t="shared" si="204"/>
        <v>102.07828493072348</v>
      </c>
      <c r="F419">
        <f t="shared" si="204"/>
        <v>115.4686126113964</v>
      </c>
      <c r="G419">
        <f t="shared" si="204"/>
        <v>80.520104022737073</v>
      </c>
      <c r="H419">
        <f t="shared" si="204"/>
        <v>74.482416537491375</v>
      </c>
      <c r="I419">
        <f t="shared" si="204"/>
        <v>50.712975129177991</v>
      </c>
      <c r="J419">
        <f t="shared" si="204"/>
        <v>47.376344514135681</v>
      </c>
      <c r="K419">
        <f t="shared" si="204"/>
        <v>72.261889332605108</v>
      </c>
      <c r="L419">
        <f t="shared" si="204"/>
        <v>56.181701017040325</v>
      </c>
      <c r="M419">
        <f t="shared" si="204"/>
        <v>51.513411981295278</v>
      </c>
      <c r="N419">
        <f t="shared" si="204"/>
        <v>40.094610734053987</v>
      </c>
      <c r="O419">
        <f t="shared" si="204"/>
        <v>25.304544539056675</v>
      </c>
      <c r="P419">
        <f t="shared" si="204"/>
        <v>24.396147217860584</v>
      </c>
      <c r="Q419">
        <f t="shared" si="204"/>
        <v>53.242314343369387</v>
      </c>
      <c r="R419">
        <f t="shared" si="204"/>
        <v>36.681740647407771</v>
      </c>
      <c r="S419">
        <f t="shared" si="204"/>
        <v>57.808567698812212</v>
      </c>
      <c r="T419">
        <f t="shared" si="204"/>
        <v>56.509477384170658</v>
      </c>
      <c r="U419">
        <f t="shared" si="204"/>
        <v>72.525800392543843</v>
      </c>
      <c r="V419">
        <f t="shared" si="204"/>
        <v>65.742413220625778</v>
      </c>
      <c r="W419">
        <f t="shared" si="204"/>
        <v>72.001924106585236</v>
      </c>
      <c r="Y419" s="8">
        <f t="shared" si="194"/>
        <v>1259.5383297430362</v>
      </c>
      <c r="Z419">
        <f t="shared" si="195"/>
        <v>-20.533119508793412</v>
      </c>
    </row>
    <row r="420" spans="1:26" x14ac:dyDescent="0.25">
      <c r="A420" t="s">
        <v>53</v>
      </c>
      <c r="D420">
        <f t="shared" ref="D420:W420" si="205">D12*D216</f>
        <v>119.85743742377336</v>
      </c>
      <c r="E420">
        <f t="shared" si="205"/>
        <v>117.17010315085562</v>
      </c>
      <c r="F420">
        <f t="shared" si="205"/>
        <v>102.61004525220258</v>
      </c>
      <c r="G420">
        <f t="shared" si="205"/>
        <v>60.849363977727577</v>
      </c>
      <c r="H420">
        <f t="shared" si="205"/>
        <v>73.737487158612083</v>
      </c>
      <c r="I420">
        <f t="shared" si="205"/>
        <v>41.731489379954809</v>
      </c>
      <c r="J420">
        <f t="shared" si="205"/>
        <v>41.793861202222999</v>
      </c>
      <c r="K420">
        <f t="shared" si="205"/>
        <v>45.430194253221416</v>
      </c>
      <c r="L420">
        <f t="shared" si="205"/>
        <v>47.687593151044233</v>
      </c>
      <c r="M420">
        <f t="shared" si="205"/>
        <v>58.535267442882081</v>
      </c>
      <c r="N420">
        <f t="shared" si="205"/>
        <v>70.589345538242853</v>
      </c>
      <c r="O420">
        <f t="shared" si="205"/>
        <v>41.342042846825564</v>
      </c>
      <c r="P420">
        <f t="shared" si="205"/>
        <v>46.896740588557073</v>
      </c>
      <c r="Q420">
        <f t="shared" si="205"/>
        <v>70.482214544564115</v>
      </c>
      <c r="R420">
        <f t="shared" si="205"/>
        <v>72.484504129447544</v>
      </c>
      <c r="S420">
        <f t="shared" si="205"/>
        <v>60.82163461253235</v>
      </c>
      <c r="T420">
        <f t="shared" si="205"/>
        <v>79.3421482465249</v>
      </c>
      <c r="U420">
        <f t="shared" si="205"/>
        <v>74.518002866296911</v>
      </c>
      <c r="V420">
        <f t="shared" si="205"/>
        <v>86.179654574888133</v>
      </c>
      <c r="W420">
        <f t="shared" si="205"/>
        <v>74.807135650719985</v>
      </c>
      <c r="Y420" s="8">
        <f t="shared" si="194"/>
        <v>1386.8662659910963</v>
      </c>
      <c r="Z420">
        <f t="shared" si="195"/>
        <v>0.84158121309667666</v>
      </c>
    </row>
    <row r="421" spans="1:26" x14ac:dyDescent="0.25">
      <c r="A421" t="s">
        <v>54</v>
      </c>
      <c r="D421">
        <f t="shared" ref="D421:W421" si="206">D13*D217</f>
        <v>175.10116785123637</v>
      </c>
      <c r="E421">
        <f t="shared" si="206"/>
        <v>116.47231721357821</v>
      </c>
      <c r="F421">
        <f t="shared" si="206"/>
        <v>93.89353936404207</v>
      </c>
      <c r="G421">
        <f t="shared" si="206"/>
        <v>131.76552320426362</v>
      </c>
      <c r="H421">
        <f t="shared" si="206"/>
        <v>47.55342499648021</v>
      </c>
      <c r="I421">
        <f t="shared" si="206"/>
        <v>101.99733166695346</v>
      </c>
      <c r="J421">
        <f t="shared" si="206"/>
        <v>62.868043391054513</v>
      </c>
      <c r="K421">
        <f t="shared" si="206"/>
        <v>52.434954741514865</v>
      </c>
      <c r="L421">
        <f t="shared" si="206"/>
        <v>29.370801275766997</v>
      </c>
      <c r="M421">
        <f t="shared" si="206"/>
        <v>97.661248247514166</v>
      </c>
      <c r="N421">
        <f t="shared" si="206"/>
        <v>37.864823163026777</v>
      </c>
      <c r="O421">
        <f t="shared" si="206"/>
        <v>39.965349680663536</v>
      </c>
      <c r="P421">
        <f t="shared" si="206"/>
        <v>155.87157225161155</v>
      </c>
      <c r="Q421">
        <f t="shared" si="206"/>
        <v>72.287030020307512</v>
      </c>
      <c r="R421">
        <f t="shared" si="206"/>
        <v>89.398246850052303</v>
      </c>
      <c r="S421">
        <f t="shared" si="206"/>
        <v>130.58816155451228</v>
      </c>
      <c r="T421">
        <f t="shared" si="206"/>
        <v>125.14931822417451</v>
      </c>
      <c r="U421">
        <f t="shared" si="206"/>
        <v>124.66777190929655</v>
      </c>
      <c r="V421">
        <f t="shared" si="206"/>
        <v>117.08784053924077</v>
      </c>
      <c r="W421">
        <f t="shared" si="206"/>
        <v>104.25558926465395</v>
      </c>
      <c r="Y421" s="8">
        <f t="shared" si="194"/>
        <v>1906.2540554099442</v>
      </c>
      <c r="Z421">
        <f t="shared" si="195"/>
        <v>37.560493431625538</v>
      </c>
    </row>
    <row r="422" spans="1:26" x14ac:dyDescent="0.25">
      <c r="A422" t="s">
        <v>55</v>
      </c>
      <c r="D422">
        <f t="shared" ref="D422:W422" si="207">D14*D218</f>
        <v>143.30476360433408</v>
      </c>
      <c r="E422">
        <f t="shared" si="207"/>
        <v>133.48178847499472</v>
      </c>
      <c r="F422">
        <f t="shared" si="207"/>
        <v>110.03484614592584</v>
      </c>
      <c r="G422">
        <f t="shared" si="207"/>
        <v>107.67057824955965</v>
      </c>
      <c r="H422">
        <f t="shared" si="207"/>
        <v>79.336564588706807</v>
      </c>
      <c r="I422">
        <f t="shared" si="207"/>
        <v>85.065160563167552</v>
      </c>
      <c r="J422">
        <f t="shared" si="207"/>
        <v>111.23300186653424</v>
      </c>
      <c r="K422">
        <f t="shared" si="207"/>
        <v>74.736742034302225</v>
      </c>
      <c r="L422">
        <f t="shared" si="207"/>
        <v>91.272859113772867</v>
      </c>
      <c r="M422">
        <f t="shared" si="207"/>
        <v>91.184108549480243</v>
      </c>
      <c r="N422">
        <f t="shared" si="207"/>
        <v>94.92925256099754</v>
      </c>
      <c r="O422">
        <f t="shared" si="207"/>
        <v>100.80275299518478</v>
      </c>
      <c r="P422">
        <f t="shared" si="207"/>
        <v>94.587267301920249</v>
      </c>
      <c r="Q422">
        <f t="shared" si="207"/>
        <v>108.09362209403366</v>
      </c>
      <c r="R422">
        <f t="shared" si="207"/>
        <v>36.555854845494864</v>
      </c>
      <c r="S422">
        <f t="shared" si="207"/>
        <v>40.327007924397826</v>
      </c>
      <c r="T422">
        <f t="shared" si="207"/>
        <v>36.190904547536512</v>
      </c>
      <c r="U422">
        <f t="shared" si="207"/>
        <v>38.684731583585247</v>
      </c>
      <c r="V422">
        <f t="shared" si="207"/>
        <v>75.931351057242296</v>
      </c>
      <c r="W422">
        <f t="shared" si="207"/>
        <v>118.13357739716523</v>
      </c>
      <c r="Y422" s="8">
        <f t="shared" si="194"/>
        <v>1771.5567354983366</v>
      </c>
      <c r="Z422">
        <f t="shared" si="195"/>
        <v>-66.877933964749062</v>
      </c>
    </row>
    <row r="423" spans="1:26" x14ac:dyDescent="0.25">
      <c r="A423" t="s">
        <v>56</v>
      </c>
      <c r="D423">
        <f t="shared" ref="D423:W423" si="208">D15*D219</f>
        <v>137.97455385664648</v>
      </c>
      <c r="E423">
        <f t="shared" si="208"/>
        <v>139.86920857160754</v>
      </c>
      <c r="F423">
        <f t="shared" si="208"/>
        <v>115.26190945489621</v>
      </c>
      <c r="G423">
        <f t="shared" si="208"/>
        <v>127.00355576130359</v>
      </c>
      <c r="H423">
        <f t="shared" si="208"/>
        <v>154.41623214265076</v>
      </c>
      <c r="I423">
        <f t="shared" si="208"/>
        <v>119.2866079943535</v>
      </c>
      <c r="J423">
        <f t="shared" si="208"/>
        <v>124.95409325048571</v>
      </c>
      <c r="K423">
        <f t="shared" si="208"/>
        <v>140.38134695987071</v>
      </c>
      <c r="L423">
        <f t="shared" si="208"/>
        <v>119.33786341012612</v>
      </c>
      <c r="M423">
        <f t="shared" si="208"/>
        <v>83.845839569024733</v>
      </c>
      <c r="N423">
        <f t="shared" si="208"/>
        <v>151.51732450261224</v>
      </c>
      <c r="O423">
        <f t="shared" si="208"/>
        <v>106.5682293298442</v>
      </c>
      <c r="P423">
        <f t="shared" si="208"/>
        <v>97.745994164821397</v>
      </c>
      <c r="Q423">
        <f t="shared" si="208"/>
        <v>93.6285352871529</v>
      </c>
      <c r="R423">
        <f t="shared" si="208"/>
        <v>121.47604754797095</v>
      </c>
      <c r="S423">
        <f t="shared" si="208"/>
        <v>125.15928701733483</v>
      </c>
      <c r="T423">
        <f t="shared" si="208"/>
        <v>138.57286539863529</v>
      </c>
      <c r="U423">
        <f t="shared" si="208"/>
        <v>143.16504368178809</v>
      </c>
      <c r="V423">
        <f t="shared" si="208"/>
        <v>169.0394407893109</v>
      </c>
      <c r="W423">
        <f t="shared" si="208"/>
        <v>123.50220579993764</v>
      </c>
      <c r="Y423" s="8">
        <f t="shared" si="194"/>
        <v>2532.7061844903742</v>
      </c>
      <c r="Z423">
        <f t="shared" si="195"/>
        <v>22.428572456102131</v>
      </c>
    </row>
    <row r="424" spans="1:26" x14ac:dyDescent="0.25">
      <c r="A424" t="s">
        <v>57</v>
      </c>
      <c r="D424">
        <f t="shared" ref="D424:W424" si="209">D16*D220</f>
        <v>143.0853180456802</v>
      </c>
      <c r="E424">
        <f t="shared" si="209"/>
        <v>96.863991020632184</v>
      </c>
      <c r="F424">
        <f t="shared" si="209"/>
        <v>95.437990668131931</v>
      </c>
      <c r="G424">
        <f t="shared" si="209"/>
        <v>91.594437752896724</v>
      </c>
      <c r="H424">
        <f t="shared" si="209"/>
        <v>85.367781801272741</v>
      </c>
      <c r="I424">
        <f t="shared" si="209"/>
        <v>69.121923975924886</v>
      </c>
      <c r="J424">
        <f t="shared" si="209"/>
        <v>90.08839600145852</v>
      </c>
      <c r="K424">
        <f t="shared" si="209"/>
        <v>60.533374186877431</v>
      </c>
      <c r="L424">
        <f t="shared" si="209"/>
        <v>78.920299566384756</v>
      </c>
      <c r="M424">
        <f t="shared" si="209"/>
        <v>84.089635360975663</v>
      </c>
      <c r="N424">
        <f t="shared" si="209"/>
        <v>102.65719318153312</v>
      </c>
      <c r="O424">
        <f t="shared" si="209"/>
        <v>82.261190472762479</v>
      </c>
      <c r="P424">
        <f t="shared" si="209"/>
        <v>42.415264995515344</v>
      </c>
      <c r="Q424">
        <f t="shared" si="209"/>
        <v>60.192107715247879</v>
      </c>
      <c r="R424">
        <f t="shared" si="209"/>
        <v>45.08860957467305</v>
      </c>
      <c r="S424">
        <f t="shared" si="209"/>
        <v>68.898251409001219</v>
      </c>
      <c r="T424">
        <f t="shared" si="209"/>
        <v>96.603530105668142</v>
      </c>
      <c r="U424">
        <f t="shared" si="209"/>
        <v>92.836452872581106</v>
      </c>
      <c r="V424">
        <f t="shared" si="209"/>
        <v>64.129051169569053</v>
      </c>
      <c r="W424">
        <f t="shared" si="209"/>
        <v>81.705776442552335</v>
      </c>
      <c r="Y424" s="8">
        <f t="shared" si="194"/>
        <v>1631.8905763193386</v>
      </c>
      <c r="Z424">
        <f t="shared" si="195"/>
        <v>-23.918146510367446</v>
      </c>
    </row>
    <row r="425" spans="1:26" x14ac:dyDescent="0.25">
      <c r="A425" t="s">
        <v>58</v>
      </c>
      <c r="D425">
        <f t="shared" ref="D425:W425" si="210">D17*D221</f>
        <v>145.56758017976259</v>
      </c>
      <c r="E425">
        <f t="shared" si="210"/>
        <v>102.0765328564359</v>
      </c>
      <c r="F425">
        <f t="shared" si="210"/>
        <v>90.539398670814762</v>
      </c>
      <c r="G425">
        <f t="shared" si="210"/>
        <v>69.294191981918203</v>
      </c>
      <c r="H425">
        <f t="shared" si="210"/>
        <v>89.076690859260992</v>
      </c>
      <c r="I425">
        <f t="shared" si="210"/>
        <v>103.98567407806848</v>
      </c>
      <c r="J425">
        <f t="shared" si="210"/>
        <v>108.43278823903231</v>
      </c>
      <c r="K425">
        <f t="shared" si="210"/>
        <v>89.518170370789434</v>
      </c>
      <c r="L425">
        <f t="shared" si="210"/>
        <v>58.641919137537847</v>
      </c>
      <c r="M425">
        <f t="shared" si="210"/>
        <v>79.08750673434929</v>
      </c>
      <c r="N425">
        <f t="shared" si="210"/>
        <v>85.178810247809722</v>
      </c>
      <c r="O425">
        <f t="shared" si="210"/>
        <v>83.210389166719864</v>
      </c>
      <c r="P425">
        <f t="shared" si="210"/>
        <v>60.739858205500155</v>
      </c>
      <c r="Q425">
        <f t="shared" si="210"/>
        <v>82.208340713675923</v>
      </c>
      <c r="R425">
        <f t="shared" si="210"/>
        <v>98.426146885211381</v>
      </c>
      <c r="S425">
        <f t="shared" si="210"/>
        <v>110.10524692227143</v>
      </c>
      <c r="T425">
        <f t="shared" si="210"/>
        <v>115.71804606833267</v>
      </c>
      <c r="U425">
        <f t="shared" si="210"/>
        <v>124.31710666448737</v>
      </c>
      <c r="V425">
        <f t="shared" si="210"/>
        <v>94.701994256819816</v>
      </c>
      <c r="W425">
        <f t="shared" si="210"/>
        <v>134.65335462115971</v>
      </c>
      <c r="Y425" s="8">
        <f t="shared" si="194"/>
        <v>1925.4797468599577</v>
      </c>
      <c r="Z425">
        <f t="shared" si="195"/>
        <v>30.695506107073953</v>
      </c>
    </row>
    <row r="426" spans="1:26" x14ac:dyDescent="0.25">
      <c r="A426" t="s">
        <v>59</v>
      </c>
      <c r="D426">
        <f t="shared" ref="D426:W426" si="211">D18*D222</f>
        <v>111.38378340899692</v>
      </c>
      <c r="E426">
        <f t="shared" si="211"/>
        <v>105.63044503908031</v>
      </c>
      <c r="F426">
        <f t="shared" si="211"/>
        <v>96.856141491015705</v>
      </c>
      <c r="G426">
        <f t="shared" si="211"/>
        <v>86.458055032566662</v>
      </c>
      <c r="H426">
        <f t="shared" si="211"/>
        <v>86.581203957433317</v>
      </c>
      <c r="I426">
        <f t="shared" si="211"/>
        <v>78.07638484586505</v>
      </c>
      <c r="J426">
        <f t="shared" si="211"/>
        <v>73.230362034422754</v>
      </c>
      <c r="K426">
        <f t="shared" si="211"/>
        <v>74.721118927039086</v>
      </c>
      <c r="L426">
        <f t="shared" si="211"/>
        <v>70.537685921403892</v>
      </c>
      <c r="M426">
        <f t="shared" si="211"/>
        <v>65.570437519213073</v>
      </c>
      <c r="N426">
        <f t="shared" si="211"/>
        <v>66.958933861512563</v>
      </c>
      <c r="O426">
        <f t="shared" si="211"/>
        <v>68.888216164499084</v>
      </c>
      <c r="P426">
        <f t="shared" si="211"/>
        <v>89.226646946848717</v>
      </c>
      <c r="Q426">
        <f t="shared" si="211"/>
        <v>89.567678871507042</v>
      </c>
      <c r="R426">
        <f t="shared" si="211"/>
        <v>101.14563815921886</v>
      </c>
      <c r="S426">
        <f t="shared" si="211"/>
        <v>104.14616843395773</v>
      </c>
      <c r="T426">
        <f t="shared" si="211"/>
        <v>95.495089543417777</v>
      </c>
      <c r="U426">
        <f t="shared" si="211"/>
        <v>99.754555966183872</v>
      </c>
      <c r="V426">
        <f t="shared" si="211"/>
        <v>92.671479443290636</v>
      </c>
      <c r="W426">
        <f t="shared" si="211"/>
        <v>108.51833395588874</v>
      </c>
      <c r="Y426" s="8">
        <f t="shared" si="194"/>
        <v>1765.4183595233619</v>
      </c>
      <c r="Z426">
        <f t="shared" si="195"/>
        <v>36.473938223408339</v>
      </c>
    </row>
    <row r="427" spans="1:26" x14ac:dyDescent="0.25">
      <c r="A427" t="s">
        <v>60</v>
      </c>
      <c r="D427">
        <f t="shared" ref="D427:W427" si="212">D19*D223</f>
        <v>85.984995719833975</v>
      </c>
      <c r="E427">
        <f t="shared" si="212"/>
        <v>75.990033458004959</v>
      </c>
      <c r="F427">
        <f t="shared" si="212"/>
        <v>92.780262908246073</v>
      </c>
      <c r="G427">
        <f t="shared" si="212"/>
        <v>88.220934052192874</v>
      </c>
      <c r="H427">
        <f t="shared" si="212"/>
        <v>89.294115956639217</v>
      </c>
      <c r="I427">
        <f t="shared" si="212"/>
        <v>71.077440958814762</v>
      </c>
      <c r="J427">
        <f t="shared" si="212"/>
        <v>69.938879996628359</v>
      </c>
      <c r="K427">
        <f t="shared" si="212"/>
        <v>80.000663730736704</v>
      </c>
      <c r="L427">
        <f t="shared" si="212"/>
        <v>66.405188399405745</v>
      </c>
      <c r="M427">
        <f t="shared" si="212"/>
        <v>83.330324498838863</v>
      </c>
      <c r="N427">
        <f t="shared" si="212"/>
        <v>84.181694214468237</v>
      </c>
      <c r="O427">
        <f t="shared" si="212"/>
        <v>82.206052842149603</v>
      </c>
      <c r="P427">
        <f t="shared" si="212"/>
        <v>65.680868911880438</v>
      </c>
      <c r="Q427">
        <f t="shared" si="212"/>
        <v>115.90220021728032</v>
      </c>
      <c r="R427">
        <f t="shared" si="212"/>
        <v>119.29720332546077</v>
      </c>
      <c r="S427">
        <f t="shared" si="212"/>
        <v>101.11294738843272</v>
      </c>
      <c r="T427">
        <f t="shared" si="212"/>
        <v>100.96719402386994</v>
      </c>
      <c r="U427">
        <f t="shared" si="212"/>
        <v>111.80151964294893</v>
      </c>
      <c r="V427">
        <f t="shared" si="212"/>
        <v>83.166712320901851</v>
      </c>
      <c r="W427">
        <f t="shared" si="212"/>
        <v>108.02877756210276</v>
      </c>
      <c r="Y427" s="8">
        <f t="shared" si="194"/>
        <v>1775.3680101288369</v>
      </c>
      <c r="Z427">
        <f t="shared" si="195"/>
        <v>60.620616755479901</v>
      </c>
    </row>
    <row r="428" spans="1:26" x14ac:dyDescent="0.25">
      <c r="A428" t="s">
        <v>61</v>
      </c>
      <c r="D428">
        <f t="shared" ref="D428:W428" si="213">D20*D224</f>
        <v>149.04637081950085</v>
      </c>
      <c r="E428">
        <f t="shared" si="213"/>
        <v>128.63562593292534</v>
      </c>
      <c r="F428">
        <f t="shared" si="213"/>
        <v>111.0375893427037</v>
      </c>
      <c r="G428">
        <f t="shared" si="213"/>
        <v>118.65136766720522</v>
      </c>
      <c r="H428">
        <f t="shared" si="213"/>
        <v>80.598481917065442</v>
      </c>
      <c r="I428">
        <f t="shared" si="213"/>
        <v>85.124676653305116</v>
      </c>
      <c r="J428">
        <f t="shared" si="213"/>
        <v>86.177042147007867</v>
      </c>
      <c r="K428">
        <f t="shared" si="213"/>
        <v>88.833472013688933</v>
      </c>
      <c r="L428">
        <f t="shared" si="213"/>
        <v>89.346858422957709</v>
      </c>
      <c r="M428">
        <f t="shared" si="213"/>
        <v>83.774476594414224</v>
      </c>
      <c r="N428">
        <f t="shared" si="213"/>
        <v>71.302818871307849</v>
      </c>
      <c r="O428">
        <f t="shared" si="213"/>
        <v>80.044000067093037</v>
      </c>
      <c r="P428">
        <f t="shared" si="213"/>
        <v>101.83524184664215</v>
      </c>
      <c r="Q428">
        <f t="shared" si="213"/>
        <v>106.76207911394448</v>
      </c>
      <c r="R428">
        <f t="shared" si="213"/>
        <v>120.75853590401354</v>
      </c>
      <c r="S428">
        <f t="shared" si="213"/>
        <v>140.09200438245924</v>
      </c>
      <c r="T428">
        <f t="shared" si="213"/>
        <v>98.688258118355193</v>
      </c>
      <c r="U428">
        <f t="shared" si="213"/>
        <v>92.677225160134199</v>
      </c>
      <c r="V428">
        <f t="shared" si="213"/>
        <v>81.328510924439783</v>
      </c>
      <c r="W428">
        <f t="shared" si="213"/>
        <v>110.37227462292498</v>
      </c>
      <c r="Y428" s="8">
        <f t="shared" si="194"/>
        <v>2025.0869105220891</v>
      </c>
      <c r="Z428">
        <f t="shared" si="195"/>
        <v>37.606759494008323</v>
      </c>
    </row>
    <row r="429" spans="1:26" x14ac:dyDescent="0.25">
      <c r="A429" t="s">
        <v>62</v>
      </c>
      <c r="D429">
        <f t="shared" ref="D429:W429" si="214">D21*D225</f>
        <v>93.857192092588278</v>
      </c>
      <c r="E429">
        <f t="shared" si="214"/>
        <v>72.247007454499382</v>
      </c>
      <c r="F429">
        <f t="shared" si="214"/>
        <v>79.009459898368519</v>
      </c>
      <c r="G429">
        <f t="shared" si="214"/>
        <v>75.642951201549266</v>
      </c>
      <c r="H429">
        <f t="shared" si="214"/>
        <v>79.452648439891917</v>
      </c>
      <c r="I429">
        <f t="shared" si="214"/>
        <v>53.311785660998666</v>
      </c>
      <c r="J429">
        <f t="shared" si="214"/>
        <v>70.068897728862581</v>
      </c>
      <c r="K429">
        <f t="shared" si="214"/>
        <v>73.187813918800572</v>
      </c>
      <c r="L429">
        <f t="shared" si="214"/>
        <v>68.373947142343468</v>
      </c>
      <c r="M429">
        <f t="shared" si="214"/>
        <v>64.721726956021257</v>
      </c>
      <c r="N429">
        <f t="shared" si="214"/>
        <v>72.768682009381465</v>
      </c>
      <c r="O429">
        <f t="shared" si="214"/>
        <v>70.382990069964109</v>
      </c>
      <c r="P429">
        <f t="shared" si="214"/>
        <v>67.587874130595168</v>
      </c>
      <c r="Q429">
        <f t="shared" si="214"/>
        <v>79.182627336714944</v>
      </c>
      <c r="R429">
        <f t="shared" si="214"/>
        <v>84.83952067327597</v>
      </c>
      <c r="S429">
        <f t="shared" si="214"/>
        <v>113.04921417266816</v>
      </c>
      <c r="T429">
        <f t="shared" si="214"/>
        <v>103.40941824201319</v>
      </c>
      <c r="U429">
        <f t="shared" si="214"/>
        <v>119.47248409716235</v>
      </c>
      <c r="V429">
        <f t="shared" si="214"/>
        <v>106.31171828417484</v>
      </c>
      <c r="W429">
        <f t="shared" si="214"/>
        <v>115.45043937746459</v>
      </c>
      <c r="Y429" s="8">
        <f t="shared" si="194"/>
        <v>1662.3283988873386</v>
      </c>
      <c r="Z429">
        <f t="shared" si="195"/>
        <v>51.329584962011566</v>
      </c>
    </row>
    <row r="430" spans="1:26" x14ac:dyDescent="0.25">
      <c r="A430" t="s">
        <v>63</v>
      </c>
      <c r="D430">
        <f t="shared" ref="D430:W430" si="215">D22*D226</f>
        <v>85.290514291690371</v>
      </c>
      <c r="E430">
        <f t="shared" si="215"/>
        <v>89.409426628003274</v>
      </c>
      <c r="F430">
        <f t="shared" si="215"/>
        <v>92.121586007128229</v>
      </c>
      <c r="G430">
        <f t="shared" si="215"/>
        <v>88.363088696668143</v>
      </c>
      <c r="H430">
        <f t="shared" si="215"/>
        <v>85.306464548814873</v>
      </c>
      <c r="I430">
        <f t="shared" si="215"/>
        <v>58.380048913142197</v>
      </c>
      <c r="J430">
        <f t="shared" si="215"/>
        <v>66.059718215457011</v>
      </c>
      <c r="K430">
        <f t="shared" si="215"/>
        <v>66.459767509900217</v>
      </c>
      <c r="L430">
        <f t="shared" si="215"/>
        <v>61.723833988881651</v>
      </c>
      <c r="M430">
        <f t="shared" si="215"/>
        <v>42.440140462964862</v>
      </c>
      <c r="N430">
        <f t="shared" si="215"/>
        <v>53.65733942408734</v>
      </c>
      <c r="O430">
        <f t="shared" si="215"/>
        <v>62.976377553988854</v>
      </c>
      <c r="P430">
        <f t="shared" si="215"/>
        <v>81.01218677922725</v>
      </c>
      <c r="Q430">
        <f t="shared" si="215"/>
        <v>66.104120670853291</v>
      </c>
      <c r="R430">
        <f t="shared" si="215"/>
        <v>68.251798292178961</v>
      </c>
      <c r="S430">
        <f t="shared" si="215"/>
        <v>78.731496061342384</v>
      </c>
      <c r="T430">
        <f t="shared" si="215"/>
        <v>77.15694872391677</v>
      </c>
      <c r="U430">
        <f t="shared" si="215"/>
        <v>86.526118393001653</v>
      </c>
      <c r="V430">
        <f t="shared" si="215"/>
        <v>76.121113028193463</v>
      </c>
      <c r="W430">
        <f t="shared" si="215"/>
        <v>74.541186754083142</v>
      </c>
      <c r="Y430" s="8">
        <f t="shared" si="194"/>
        <v>1460.6332749435239</v>
      </c>
      <c r="Z430">
        <f t="shared" si="195"/>
        <v>17.796394533206239</v>
      </c>
    </row>
    <row r="431" spans="1:26" x14ac:dyDescent="0.25">
      <c r="A431" t="s">
        <v>64</v>
      </c>
      <c r="D431">
        <f t="shared" ref="D431:W431" si="216">D23*D227</f>
        <v>103.54095041064969</v>
      </c>
      <c r="E431">
        <f t="shared" si="216"/>
        <v>122.00067614410598</v>
      </c>
      <c r="F431">
        <f t="shared" si="216"/>
        <v>73.843042949054862</v>
      </c>
      <c r="G431">
        <f t="shared" si="216"/>
        <v>77.785150943027915</v>
      </c>
      <c r="H431">
        <f t="shared" si="216"/>
        <v>73.625985827757518</v>
      </c>
      <c r="I431">
        <f t="shared" si="216"/>
        <v>61.709633423797257</v>
      </c>
      <c r="J431">
        <f t="shared" si="216"/>
        <v>61.190668534196753</v>
      </c>
      <c r="K431">
        <f t="shared" si="216"/>
        <v>73.551138431473873</v>
      </c>
      <c r="L431">
        <f t="shared" si="216"/>
        <v>1.3321313995597202</v>
      </c>
      <c r="M431">
        <f t="shared" si="216"/>
        <v>75.591451960949897</v>
      </c>
      <c r="N431">
        <f t="shared" si="216"/>
        <v>70.31873112145702</v>
      </c>
      <c r="O431">
        <f t="shared" si="216"/>
        <v>33.724248826502631</v>
      </c>
      <c r="P431">
        <f t="shared" si="216"/>
        <v>49.964703992701168</v>
      </c>
      <c r="Q431">
        <f t="shared" si="216"/>
        <v>76.542593993550184</v>
      </c>
      <c r="R431">
        <f t="shared" si="216"/>
        <v>89.46343965150011</v>
      </c>
      <c r="S431">
        <f t="shared" si="216"/>
        <v>93.608261249207729</v>
      </c>
      <c r="T431">
        <f t="shared" si="216"/>
        <v>88.347818167433672</v>
      </c>
      <c r="U431">
        <f t="shared" si="216"/>
        <v>94.045117242324025</v>
      </c>
      <c r="V431">
        <f t="shared" si="216"/>
        <v>98.020869471671517</v>
      </c>
      <c r="W431">
        <f t="shared" si="216"/>
        <v>107.18411982074974</v>
      </c>
      <c r="Y431" s="8">
        <f t="shared" si="194"/>
        <v>1525.3907335616714</v>
      </c>
      <c r="Z431">
        <f t="shared" si="195"/>
        <v>27.665263404618369</v>
      </c>
    </row>
    <row r="432" spans="1:26" x14ac:dyDescent="0.25">
      <c r="A432" t="s">
        <v>65</v>
      </c>
      <c r="D432">
        <f t="shared" ref="D432:W432" si="217">D24*D228</f>
        <v>134.25604469669099</v>
      </c>
      <c r="E432">
        <f t="shared" si="217"/>
        <v>139.56233481743996</v>
      </c>
      <c r="F432">
        <f t="shared" si="217"/>
        <v>72.593086394856684</v>
      </c>
      <c r="G432">
        <f t="shared" si="217"/>
        <v>113.96410978972632</v>
      </c>
      <c r="H432">
        <f t="shared" si="217"/>
        <v>111.93526202626794</v>
      </c>
      <c r="I432">
        <f t="shared" si="217"/>
        <v>95.680111209312699</v>
      </c>
      <c r="J432">
        <f t="shared" si="217"/>
        <v>61.485726091009624</v>
      </c>
      <c r="K432">
        <f t="shared" si="217"/>
        <v>75.274848091101788</v>
      </c>
      <c r="L432">
        <f t="shared" si="217"/>
        <v>108.42490831644703</v>
      </c>
      <c r="M432">
        <f t="shared" si="217"/>
        <v>70.964424266676417</v>
      </c>
      <c r="N432">
        <f t="shared" si="217"/>
        <v>85.283243416752612</v>
      </c>
      <c r="O432">
        <f t="shared" si="217"/>
        <v>83.189755473004354</v>
      </c>
      <c r="P432">
        <f t="shared" si="217"/>
        <v>86.58439237036103</v>
      </c>
      <c r="Q432">
        <f t="shared" si="217"/>
        <v>86.616245602115839</v>
      </c>
      <c r="R432">
        <f t="shared" si="217"/>
        <v>87.077736649527552</v>
      </c>
      <c r="S432">
        <f t="shared" si="217"/>
        <v>84.919758175993479</v>
      </c>
      <c r="T432">
        <f t="shared" si="217"/>
        <v>89.574761363975469</v>
      </c>
      <c r="U432">
        <f t="shared" si="217"/>
        <v>99.106386292117861</v>
      </c>
      <c r="V432">
        <f t="shared" si="217"/>
        <v>89.538813187702516</v>
      </c>
      <c r="W432">
        <f t="shared" si="217"/>
        <v>98.431177451852392</v>
      </c>
      <c r="Y432" s="8">
        <f t="shared" si="194"/>
        <v>1874.463125682933</v>
      </c>
      <c r="Z432">
        <f t="shared" si="195"/>
        <v>0.6931353512694246</v>
      </c>
    </row>
    <row r="433" spans="1:26" x14ac:dyDescent="0.25">
      <c r="A433" t="s">
        <v>66</v>
      </c>
      <c r="D433">
        <f t="shared" ref="D433:W433" si="218">D25*D229</f>
        <v>58.262135768111243</v>
      </c>
      <c r="E433">
        <f t="shared" si="218"/>
        <v>56.457574541361701</v>
      </c>
      <c r="F433">
        <f t="shared" si="218"/>
        <v>58.945749449186728</v>
      </c>
      <c r="G433">
        <f t="shared" si="218"/>
        <v>49.734560201737224</v>
      </c>
      <c r="H433">
        <f t="shared" si="218"/>
        <v>70.1372989181977</v>
      </c>
      <c r="I433">
        <f t="shared" si="218"/>
        <v>72.559485038838417</v>
      </c>
      <c r="J433">
        <f t="shared" si="218"/>
        <v>71.541960088563144</v>
      </c>
      <c r="K433">
        <f t="shared" si="218"/>
        <v>78.177929031479891</v>
      </c>
      <c r="L433">
        <f t="shared" si="218"/>
        <v>67.627856679919077</v>
      </c>
      <c r="M433">
        <f t="shared" si="218"/>
        <v>77.791025354475025</v>
      </c>
      <c r="N433">
        <f t="shared" si="218"/>
        <v>65.796108478547794</v>
      </c>
      <c r="O433">
        <f t="shared" si="218"/>
        <v>77.132329444184862</v>
      </c>
      <c r="P433">
        <f t="shared" si="218"/>
        <v>77.198251797966435</v>
      </c>
      <c r="Q433">
        <f t="shared" si="218"/>
        <v>74.577792903339642</v>
      </c>
      <c r="R433">
        <f t="shared" si="218"/>
        <v>78.889066903066421</v>
      </c>
      <c r="S433">
        <f t="shared" si="218"/>
        <v>85.686334534215334</v>
      </c>
      <c r="T433">
        <f t="shared" si="218"/>
        <v>102.51226262857155</v>
      </c>
      <c r="U433">
        <f t="shared" si="218"/>
        <v>90.681477288354415</v>
      </c>
      <c r="V433">
        <f t="shared" si="218"/>
        <v>86.550811894602532</v>
      </c>
      <c r="W433">
        <f t="shared" si="218"/>
        <v>75.797346074372072</v>
      </c>
      <c r="Y433" s="8">
        <f t="shared" si="194"/>
        <v>1476.0573570190913</v>
      </c>
      <c r="Z433">
        <f t="shared" si="195"/>
        <v>50.772462878333748</v>
      </c>
    </row>
    <row r="434" spans="1:26" x14ac:dyDescent="0.25">
      <c r="A434" t="s">
        <v>67</v>
      </c>
      <c r="D434">
        <f t="shared" ref="D434:W434" si="219">D26*D230</f>
        <v>40.528757037857069</v>
      </c>
      <c r="E434">
        <f t="shared" si="219"/>
        <v>38.175388994982107</v>
      </c>
      <c r="F434">
        <f t="shared" si="219"/>
        <v>36.875320962460613</v>
      </c>
      <c r="G434">
        <f t="shared" si="219"/>
        <v>34.987034627301057</v>
      </c>
      <c r="H434">
        <f t="shared" si="219"/>
        <v>72.960420927443707</v>
      </c>
      <c r="I434">
        <f t="shared" si="219"/>
        <v>75.106281581831723</v>
      </c>
      <c r="J434">
        <f t="shared" si="219"/>
        <v>65.797036418018976</v>
      </c>
      <c r="K434">
        <f t="shared" si="219"/>
        <v>73.402053182305494</v>
      </c>
      <c r="L434">
        <f t="shared" si="219"/>
        <v>60.673420667376014</v>
      </c>
      <c r="M434">
        <f t="shared" si="219"/>
        <v>75.827615172332784</v>
      </c>
      <c r="N434">
        <f t="shared" si="219"/>
        <v>76.01966585246204</v>
      </c>
      <c r="O434">
        <f t="shared" si="219"/>
        <v>68.347205591576937</v>
      </c>
      <c r="P434">
        <f t="shared" si="219"/>
        <v>73.284470766187624</v>
      </c>
      <c r="Q434">
        <f t="shared" si="219"/>
        <v>71.132276101355259</v>
      </c>
      <c r="R434">
        <f t="shared" si="219"/>
        <v>47.780383899447479</v>
      </c>
      <c r="S434">
        <f t="shared" si="219"/>
        <v>47.832823672490584</v>
      </c>
      <c r="T434">
        <f t="shared" si="219"/>
        <v>48.921606725483628</v>
      </c>
      <c r="U434">
        <f t="shared" si="219"/>
        <v>53.318084882498546</v>
      </c>
      <c r="V434">
        <f t="shared" si="219"/>
        <v>90.697975668685757</v>
      </c>
      <c r="W434">
        <f t="shared" si="219"/>
        <v>100.664868231602</v>
      </c>
      <c r="Y434" s="8">
        <f t="shared" si="194"/>
        <v>1252.3326909636994</v>
      </c>
      <c r="Z434">
        <f t="shared" si="195"/>
        <v>13.023480809573204</v>
      </c>
    </row>
    <row r="435" spans="1:26" x14ac:dyDescent="0.25">
      <c r="Y435" s="8"/>
    </row>
    <row r="436" spans="1:26" x14ac:dyDescent="0.25">
      <c r="A436" t="s">
        <v>68</v>
      </c>
      <c r="D436">
        <f t="shared" ref="D436:W436" si="220">D28*D232</f>
        <v>98.021934211288851</v>
      </c>
      <c r="E436">
        <f t="shared" si="220"/>
        <v>88.743625126034061</v>
      </c>
      <c r="F436">
        <f t="shared" si="220"/>
        <v>102.49474696804535</v>
      </c>
      <c r="G436">
        <f t="shared" si="220"/>
        <v>96.029634878247137</v>
      </c>
      <c r="H436">
        <f t="shared" si="220"/>
        <v>91.201845867612789</v>
      </c>
      <c r="I436">
        <f t="shared" si="220"/>
        <v>50.948969555718385</v>
      </c>
      <c r="J436">
        <f t="shared" si="220"/>
        <v>48.02786279160447</v>
      </c>
      <c r="K436">
        <f t="shared" si="220"/>
        <v>54.589602388432496</v>
      </c>
      <c r="L436">
        <f t="shared" si="220"/>
        <v>54.272084873106323</v>
      </c>
      <c r="M436">
        <f t="shared" si="220"/>
        <v>76.238279883038871</v>
      </c>
      <c r="N436">
        <f t="shared" si="220"/>
        <v>80.683997975395897</v>
      </c>
      <c r="O436">
        <f t="shared" si="220"/>
        <v>71.905659225733046</v>
      </c>
      <c r="P436">
        <f t="shared" si="220"/>
        <v>78.896414123063536</v>
      </c>
      <c r="Q436">
        <f t="shared" si="220"/>
        <v>86.65674665337859</v>
      </c>
      <c r="R436">
        <f t="shared" si="220"/>
        <v>89.44571984017567</v>
      </c>
      <c r="S436">
        <f t="shared" si="220"/>
        <v>100.53328931304237</v>
      </c>
      <c r="T436">
        <f t="shared" si="220"/>
        <v>98.796883197160184</v>
      </c>
      <c r="U436">
        <f t="shared" si="220"/>
        <v>103.14213263557917</v>
      </c>
      <c r="V436">
        <f t="shared" si="220"/>
        <v>92.83229152410442</v>
      </c>
      <c r="W436">
        <f t="shared" si="220"/>
        <v>108.4242001810568</v>
      </c>
      <c r="Y436" s="8">
        <f t="shared" si="194"/>
        <v>1671.8859212118184</v>
      </c>
      <c r="Z436">
        <f>SUMPRODUCT($D$440:$W$440,D436:W436)</f>
        <v>38.531787717595108</v>
      </c>
    </row>
    <row r="437" spans="1:26" x14ac:dyDescent="0.25">
      <c r="A437" t="s">
        <v>312</v>
      </c>
      <c r="D437">
        <f t="shared" ref="D437:W437" si="221">D29*D233</f>
        <v>113.99822054862422</v>
      </c>
      <c r="E437">
        <f t="shared" si="221"/>
        <v>92.62845029471427</v>
      </c>
      <c r="F437">
        <f t="shared" si="221"/>
        <v>92.01047907104234</v>
      </c>
      <c r="G437">
        <f t="shared" si="221"/>
        <v>101.45132834002291</v>
      </c>
      <c r="H437">
        <f t="shared" si="221"/>
        <v>110.23922616208462</v>
      </c>
      <c r="I437">
        <f t="shared" si="221"/>
        <v>96.826400398357933</v>
      </c>
      <c r="J437">
        <f t="shared" si="221"/>
        <v>73.888848703260095</v>
      </c>
      <c r="K437">
        <f t="shared" si="221"/>
        <v>36.76225704375409</v>
      </c>
      <c r="L437">
        <f t="shared" si="221"/>
        <v>56.836386765262326</v>
      </c>
      <c r="M437">
        <f t="shared" si="221"/>
        <v>59.373056081369249</v>
      </c>
      <c r="N437">
        <f t="shared" si="221"/>
        <v>50.789627449354462</v>
      </c>
      <c r="O437">
        <f t="shared" si="221"/>
        <v>76.670637250397562</v>
      </c>
      <c r="P437">
        <f t="shared" si="221"/>
        <v>120.56</v>
      </c>
      <c r="Q437">
        <f t="shared" si="221"/>
        <v>130.9</v>
      </c>
      <c r="R437">
        <f t="shared" si="221"/>
        <v>118.67999999999999</v>
      </c>
      <c r="S437">
        <f t="shared" si="221"/>
        <v>68.62</v>
      </c>
      <c r="T437">
        <f t="shared" si="221"/>
        <v>94.08</v>
      </c>
      <c r="U437">
        <f t="shared" si="221"/>
        <v>101.19999999999999</v>
      </c>
      <c r="V437">
        <f t="shared" si="221"/>
        <v>82.418000000000006</v>
      </c>
      <c r="W437">
        <f t="shared" si="221"/>
        <v>97.308000000000007</v>
      </c>
      <c r="Y437" s="8">
        <f t="shared" si="194"/>
        <v>1775.2409181082439</v>
      </c>
      <c r="Z437">
        <f>SUMPRODUCT($D$440:$W$440,D437:W437)</f>
        <v>38.542179157223572</v>
      </c>
    </row>
    <row r="438" spans="1:26" x14ac:dyDescent="0.25">
      <c r="A438" t="s">
        <v>313</v>
      </c>
      <c r="D438">
        <f t="shared" ref="D438:W438" si="222">D30*D234</f>
        <v>99.51</v>
      </c>
      <c r="E438">
        <f t="shared" si="222"/>
        <v>109.61999999999999</v>
      </c>
      <c r="F438">
        <f t="shared" si="222"/>
        <v>719.12</v>
      </c>
      <c r="G438">
        <f t="shared" si="222"/>
        <v>99.64</v>
      </c>
      <c r="H438">
        <f t="shared" si="222"/>
        <v>105.09000000000002</v>
      </c>
      <c r="I438">
        <f t="shared" si="222"/>
        <v>92.4</v>
      </c>
      <c r="J438">
        <f t="shared" si="222"/>
        <v>80.08</v>
      </c>
      <c r="K438">
        <f t="shared" si="222"/>
        <v>56.16</v>
      </c>
      <c r="L438">
        <f t="shared" si="222"/>
        <v>56.21</v>
      </c>
      <c r="M438">
        <f t="shared" si="222"/>
        <v>59.760000000000005</v>
      </c>
      <c r="N438">
        <f t="shared" si="222"/>
        <v>56.699999999999996</v>
      </c>
      <c r="O438">
        <f t="shared" si="222"/>
        <v>81.840000000000018</v>
      </c>
      <c r="P438">
        <f t="shared" si="222"/>
        <v>77.50101039920068</v>
      </c>
      <c r="Q438">
        <f t="shared" si="222"/>
        <v>83.493281822784667</v>
      </c>
      <c r="R438">
        <f t="shared" si="222"/>
        <v>83.634985240898288</v>
      </c>
      <c r="S438">
        <f t="shared" si="222"/>
        <v>94.764645031982681</v>
      </c>
      <c r="T438">
        <f t="shared" si="222"/>
        <v>99.907263031570565</v>
      </c>
      <c r="U438">
        <f t="shared" si="222"/>
        <v>91.219964675420499</v>
      </c>
      <c r="V438">
        <f t="shared" si="222"/>
        <v>92.009158804920048</v>
      </c>
      <c r="W438">
        <f t="shared" si="222"/>
        <v>93.0187146112291</v>
      </c>
      <c r="Y438" s="8">
        <f t="shared" si="194"/>
        <v>2331.6790236180063</v>
      </c>
      <c r="Z438">
        <f>SUMPRODUCT($D$440:$W$440,D438:W438)</f>
        <v>-35.665715509390978</v>
      </c>
    </row>
    <row r="439" spans="1:26" x14ac:dyDescent="0.25">
      <c r="A439" t="s">
        <v>676</v>
      </c>
      <c r="D439">
        <f t="shared" ref="D439:W439" si="223">D31*D235</f>
        <v>91.039406585265979</v>
      </c>
      <c r="E439">
        <f t="shared" si="223"/>
        <v>92.292079442855695</v>
      </c>
      <c r="F439">
        <f t="shared" si="223"/>
        <v>84.399756601010637</v>
      </c>
      <c r="G439">
        <f t="shared" si="223"/>
        <v>84.666373045546777</v>
      </c>
      <c r="H439">
        <f t="shared" si="223"/>
        <v>87.46440758686586</v>
      </c>
      <c r="I439">
        <f t="shared" si="223"/>
        <v>75.830748512768608</v>
      </c>
      <c r="J439">
        <f t="shared" si="223"/>
        <v>78.029858194882024</v>
      </c>
      <c r="K439">
        <f t="shared" si="223"/>
        <v>77.276066982867533</v>
      </c>
      <c r="L439">
        <f t="shared" si="223"/>
        <v>71.829760124475939</v>
      </c>
      <c r="M439">
        <f t="shared" si="223"/>
        <v>70.927320009444486</v>
      </c>
      <c r="N439">
        <f t="shared" si="223"/>
        <v>68.402255316228846</v>
      </c>
      <c r="O439">
        <f t="shared" si="223"/>
        <v>74.006923729867353</v>
      </c>
      <c r="P439">
        <f t="shared" si="223"/>
        <v>74.664644165767911</v>
      </c>
      <c r="Q439">
        <f t="shared" si="223"/>
        <v>95.174235725998543</v>
      </c>
      <c r="R439">
        <f t="shared" si="223"/>
        <v>88.574074332716478</v>
      </c>
      <c r="S439">
        <f t="shared" si="223"/>
        <v>98.941962718742388</v>
      </c>
      <c r="T439">
        <f t="shared" si="223"/>
        <v>96.491951026218814</v>
      </c>
      <c r="U439">
        <f t="shared" si="223"/>
        <v>103.32729990327852</v>
      </c>
      <c r="V439">
        <f t="shared" si="223"/>
        <v>91.237096690638424</v>
      </c>
      <c r="W439">
        <f t="shared" si="223"/>
        <v>105.35286349191655</v>
      </c>
      <c r="Y439" s="8">
        <f t="shared" ref="Y439" si="224">SUM(D439:W439)</f>
        <v>1709.9290841873578</v>
      </c>
      <c r="Z439">
        <f>SUMPRODUCT($D$440:$W$440,D439:W439)</f>
        <v>36.863687904197292</v>
      </c>
    </row>
    <row r="440" spans="1:26" x14ac:dyDescent="0.25">
      <c r="A440" s="2" t="s">
        <v>69</v>
      </c>
      <c r="D440" s="3">
        <f>CORREL($B$2:$B$26,D410:D434)</f>
        <v>-0.21204862426905152</v>
      </c>
      <c r="E440" s="3">
        <f t="shared" ref="E440:W440" si="225">CORREL($B$2:$B$26,E410:E434)</f>
        <v>-0.21936685171457393</v>
      </c>
      <c r="F440" s="3">
        <f t="shared" si="225"/>
        <v>-8.9448552710094928E-2</v>
      </c>
      <c r="G440" s="3">
        <f t="shared" si="225"/>
        <v>-0.13153074986285254</v>
      </c>
      <c r="H440" s="3">
        <f t="shared" si="225"/>
        <v>-9.2186989438115693E-2</v>
      </c>
      <c r="I440" s="3">
        <f t="shared" si="225"/>
        <v>-0.1244335711858261</v>
      </c>
      <c r="J440" s="3">
        <f t="shared" si="225"/>
        <v>-0.15543870669913418</v>
      </c>
      <c r="K440" s="3">
        <f t="shared" si="225"/>
        <v>7.6196992538590122E-2</v>
      </c>
      <c r="L440" s="3">
        <f t="shared" si="225"/>
        <v>-6.3386320765034962E-2</v>
      </c>
      <c r="M440" s="3">
        <f t="shared" si="225"/>
        <v>-1.3030350170430771E-2</v>
      </c>
      <c r="N440" s="3">
        <f t="shared" si="225"/>
        <v>-0.17517243888683778</v>
      </c>
      <c r="O440" s="3">
        <f t="shared" si="225"/>
        <v>7.6707874527054645E-2</v>
      </c>
      <c r="P440" s="3">
        <f t="shared" si="225"/>
        <v>7.9033985431112772E-2</v>
      </c>
      <c r="Q440" s="3">
        <f t="shared" si="225"/>
        <v>7.4638932107542785E-2</v>
      </c>
      <c r="R440" s="3">
        <f t="shared" si="225"/>
        <v>0.52292865985159476</v>
      </c>
      <c r="S440" s="3">
        <f t="shared" si="225"/>
        <v>0.29154166208430399</v>
      </c>
      <c r="T440" s="3">
        <f t="shared" si="225"/>
        <v>0.21416407549180469</v>
      </c>
      <c r="U440" s="3">
        <f t="shared" si="225"/>
        <v>0.21569001406707153</v>
      </c>
      <c r="V440" s="3">
        <f t="shared" si="225"/>
        <v>-7.8423410222460601E-3</v>
      </c>
      <c r="W440" s="3">
        <f t="shared" si="225"/>
        <v>2.0640848857267193E-3</v>
      </c>
      <c r="X440" s="3"/>
    </row>
    <row r="443" spans="1:26" x14ac:dyDescent="0.25">
      <c r="D443" t="s">
        <v>158</v>
      </c>
      <c r="E443" t="s">
        <v>159</v>
      </c>
      <c r="F443" t="s">
        <v>160</v>
      </c>
      <c r="G443" t="s">
        <v>161</v>
      </c>
      <c r="H443" t="s">
        <v>162</v>
      </c>
      <c r="I443" t="s">
        <v>163</v>
      </c>
      <c r="J443" t="s">
        <v>164</v>
      </c>
      <c r="K443" t="s">
        <v>165</v>
      </c>
      <c r="L443" t="s">
        <v>328</v>
      </c>
      <c r="M443" t="s">
        <v>382</v>
      </c>
      <c r="N443" t="s">
        <v>383</v>
      </c>
      <c r="O443" t="s">
        <v>384</v>
      </c>
      <c r="P443" t="s">
        <v>504</v>
      </c>
      <c r="Q443" t="s">
        <v>505</v>
      </c>
      <c r="R443" t="s">
        <v>506</v>
      </c>
      <c r="S443" t="s">
        <v>507</v>
      </c>
      <c r="T443" t="s">
        <v>616</v>
      </c>
      <c r="U443" t="s">
        <v>617</v>
      </c>
      <c r="V443" t="s">
        <v>618</v>
      </c>
      <c r="W443" t="s">
        <v>619</v>
      </c>
      <c r="Y443" t="s">
        <v>166</v>
      </c>
      <c r="Z443" t="s">
        <v>167</v>
      </c>
    </row>
    <row r="444" spans="1:26" x14ac:dyDescent="0.25">
      <c r="A444" t="s">
        <v>43</v>
      </c>
      <c r="D444">
        <f t="shared" ref="D444:W444" si="226">D36*D70</f>
        <v>613.64795918367349</v>
      </c>
      <c r="E444">
        <f t="shared" si="226"/>
        <v>589.89795918367338</v>
      </c>
      <c r="F444">
        <f t="shared" si="226"/>
        <v>577.7704081632653</v>
      </c>
      <c r="G444">
        <f t="shared" si="226"/>
        <v>464.08163265306126</v>
      </c>
      <c r="H444">
        <f t="shared" si="226"/>
        <v>382.31020408163266</v>
      </c>
      <c r="I444">
        <f t="shared" si="226"/>
        <v>316.80612244897964</v>
      </c>
      <c r="J444">
        <f t="shared" si="226"/>
        <v>288.75</v>
      </c>
      <c r="K444">
        <f t="shared" si="226"/>
        <v>295.36734693877548</v>
      </c>
      <c r="L444">
        <f t="shared" si="226"/>
        <v>413.0859375</v>
      </c>
      <c r="M444">
        <f t="shared" si="226"/>
        <v>356.4591836734694</v>
      </c>
      <c r="N444">
        <f t="shared" si="226"/>
        <v>324.91836734693879</v>
      </c>
      <c r="O444">
        <f t="shared" si="226"/>
        <v>379.66836734693874</v>
      </c>
      <c r="P444">
        <f t="shared" si="226"/>
        <v>326.0204081632653</v>
      </c>
      <c r="Q444">
        <f t="shared" si="226"/>
        <v>414.80102040816325</v>
      </c>
      <c r="R444">
        <f t="shared" si="226"/>
        <v>306.25</v>
      </c>
      <c r="S444">
        <f t="shared" si="226"/>
        <v>360.71428571428572</v>
      </c>
      <c r="T444">
        <f t="shared" si="226"/>
        <v>487.98469387755102</v>
      </c>
      <c r="U444">
        <f t="shared" si="226"/>
        <v>417.67346938775512</v>
      </c>
      <c r="V444">
        <f t="shared" si="226"/>
        <v>427.36224489795921</v>
      </c>
      <c r="W444">
        <f t="shared" si="226"/>
        <v>444.82142857142856</v>
      </c>
      <c r="Y444" s="8">
        <f t="shared" ref="Y444:Y472" si="227">SUM(D444:W444)</f>
        <v>8188.3910395408157</v>
      </c>
      <c r="Z444">
        <f t="shared" ref="Z444:Z468" si="228">SUMPRODUCT($D$474:$W$474,D444:W444)</f>
        <v>-414.6472631428432</v>
      </c>
    </row>
    <row r="445" spans="1:26" x14ac:dyDescent="0.25">
      <c r="A445" t="s">
        <v>44</v>
      </c>
      <c r="D445">
        <f t="shared" ref="D445:W445" si="229">D37*D71</f>
        <v>749.75510204081627</v>
      </c>
      <c r="E445">
        <f t="shared" si="229"/>
        <v>685.63265306122446</v>
      </c>
      <c r="F445">
        <f t="shared" si="229"/>
        <v>615.76530612244892</v>
      </c>
      <c r="G445">
        <f t="shared" si="229"/>
        <v>471.15918367346944</v>
      </c>
      <c r="H445">
        <f t="shared" si="229"/>
        <v>480.19897959183675</v>
      </c>
      <c r="I445">
        <f t="shared" si="229"/>
        <v>495.38775510204084</v>
      </c>
      <c r="J445">
        <f t="shared" si="229"/>
        <v>528.97959183673458</v>
      </c>
      <c r="K445">
        <f t="shared" si="229"/>
        <v>499.94897959183675</v>
      </c>
      <c r="L445">
        <f t="shared" si="229"/>
        <v>468.64197530864197</v>
      </c>
      <c r="M445">
        <f t="shared" si="229"/>
        <v>387.75510204081633</v>
      </c>
      <c r="N445">
        <f t="shared" si="229"/>
        <v>313.71428571428572</v>
      </c>
      <c r="O445">
        <f t="shared" si="229"/>
        <v>375.66326530612241</v>
      </c>
      <c r="P445">
        <f t="shared" si="229"/>
        <v>417.11734693877548</v>
      </c>
      <c r="Q445">
        <f t="shared" si="229"/>
        <v>486.04591836734693</v>
      </c>
      <c r="R445">
        <f t="shared" si="229"/>
        <v>396.61734693877554</v>
      </c>
      <c r="S445">
        <f t="shared" si="229"/>
        <v>457.76530612244898</v>
      </c>
      <c r="T445">
        <f t="shared" si="229"/>
        <v>549.46938775510205</v>
      </c>
      <c r="U445">
        <f t="shared" si="229"/>
        <v>590.93877551020398</v>
      </c>
      <c r="V445">
        <f t="shared" si="229"/>
        <v>620.8112244897959</v>
      </c>
      <c r="W445">
        <f t="shared" si="229"/>
        <v>627.30612244897952</v>
      </c>
      <c r="Y445" s="8">
        <f t="shared" si="227"/>
        <v>10218.673607961704</v>
      </c>
      <c r="Z445">
        <f t="shared" si="228"/>
        <v>-306.39232004387122</v>
      </c>
    </row>
    <row r="446" spans="1:26" x14ac:dyDescent="0.25">
      <c r="A446" t="s">
        <v>45</v>
      </c>
      <c r="D446">
        <f t="shared" ref="D446:W446" si="230">D38*D72</f>
        <v>820.83673469387759</v>
      </c>
      <c r="E446">
        <f t="shared" si="230"/>
        <v>763.32142857142856</v>
      </c>
      <c r="F446">
        <f t="shared" si="230"/>
        <v>776.98979591836735</v>
      </c>
      <c r="G446">
        <f t="shared" si="230"/>
        <v>698.40816326530614</v>
      </c>
      <c r="H446">
        <f t="shared" si="230"/>
        <v>616.66326530612253</v>
      </c>
      <c r="I446">
        <f t="shared" si="230"/>
        <v>582.35714285714278</v>
      </c>
      <c r="J446">
        <f t="shared" si="230"/>
        <v>524.24489795918373</v>
      </c>
      <c r="K446">
        <f t="shared" si="230"/>
        <v>493.87755102040813</v>
      </c>
      <c r="L446">
        <f t="shared" si="230"/>
        <v>363.125</v>
      </c>
      <c r="M446">
        <f t="shared" si="230"/>
        <v>468.25510204081633</v>
      </c>
      <c r="N446">
        <f t="shared" si="230"/>
        <v>556.12244897959181</v>
      </c>
      <c r="O446">
        <f t="shared" si="230"/>
        <v>465.75</v>
      </c>
      <c r="P446">
        <f t="shared" si="230"/>
        <v>534.4591836734694</v>
      </c>
      <c r="Q446">
        <f t="shared" si="230"/>
        <v>506.61224489795927</v>
      </c>
      <c r="R446">
        <f t="shared" si="230"/>
        <v>562.79591836734699</v>
      </c>
      <c r="S446">
        <f t="shared" si="230"/>
        <v>511.16326530612247</v>
      </c>
      <c r="T446">
        <f t="shared" si="230"/>
        <v>432.36734693877554</v>
      </c>
      <c r="U446">
        <f t="shared" si="230"/>
        <v>432.65306122448982</v>
      </c>
      <c r="V446">
        <f t="shared" si="230"/>
        <v>543.75</v>
      </c>
      <c r="W446">
        <f t="shared" si="230"/>
        <v>566.89285714285711</v>
      </c>
      <c r="Y446" s="8">
        <f t="shared" si="227"/>
        <v>11220.645408163266</v>
      </c>
      <c r="Z446">
        <f t="shared" si="228"/>
        <v>-483.44419143836996</v>
      </c>
    </row>
    <row r="447" spans="1:26" x14ac:dyDescent="0.25">
      <c r="A447" t="s">
        <v>46</v>
      </c>
      <c r="D447">
        <f t="shared" ref="D447:W447" si="231">D39*D73</f>
        <v>707.77551020408168</v>
      </c>
      <c r="E447">
        <f t="shared" si="231"/>
        <v>647.75510204081627</v>
      </c>
      <c r="F447">
        <f t="shared" si="231"/>
        <v>661.83673469387747</v>
      </c>
      <c r="G447">
        <f t="shared" si="231"/>
        <v>648.55102040816337</v>
      </c>
      <c r="H447">
        <f t="shared" si="231"/>
        <v>662.04591836734687</v>
      </c>
      <c r="I447">
        <f t="shared" si="231"/>
        <v>629.17346938775506</v>
      </c>
      <c r="J447">
        <f t="shared" si="231"/>
        <v>507.57142857142856</v>
      </c>
      <c r="K447">
        <f t="shared" si="231"/>
        <v>499.07142857142856</v>
      </c>
      <c r="L447">
        <f t="shared" si="231"/>
        <v>455</v>
      </c>
      <c r="M447">
        <f t="shared" si="231"/>
        <v>297.5</v>
      </c>
      <c r="N447">
        <f t="shared" si="231"/>
        <v>328.20408163265307</v>
      </c>
      <c r="O447">
        <f t="shared" si="231"/>
        <v>397.6163265306123</v>
      </c>
      <c r="P447">
        <f t="shared" si="231"/>
        <v>599.77040816326542</v>
      </c>
      <c r="Q447">
        <f t="shared" si="231"/>
        <v>345.42857142857144</v>
      </c>
      <c r="R447">
        <f t="shared" si="231"/>
        <v>435</v>
      </c>
      <c r="S447">
        <f t="shared" si="231"/>
        <v>381.85714285714283</v>
      </c>
      <c r="T447">
        <f t="shared" si="231"/>
        <v>503.95408163265313</v>
      </c>
      <c r="U447">
        <f t="shared" si="231"/>
        <v>465.67857142857144</v>
      </c>
      <c r="V447">
        <f t="shared" si="231"/>
        <v>576.59693877551013</v>
      </c>
      <c r="W447">
        <f t="shared" si="231"/>
        <v>647.67857142857144</v>
      </c>
      <c r="Y447" s="8">
        <f t="shared" si="227"/>
        <v>10398.065306122449</v>
      </c>
      <c r="Z447">
        <f t="shared" si="228"/>
        <v>-286.56566770249958</v>
      </c>
    </row>
    <row r="448" spans="1:26" x14ac:dyDescent="0.25">
      <c r="A448" t="s">
        <v>47</v>
      </c>
      <c r="D448">
        <f t="shared" ref="D448:W448" si="232">D40*D74</f>
        <v>747.2959183673471</v>
      </c>
      <c r="E448">
        <f t="shared" si="232"/>
        <v>618.85714285714278</v>
      </c>
      <c r="F448">
        <f t="shared" si="232"/>
        <v>697.86734693877543</v>
      </c>
      <c r="G448">
        <f t="shared" si="232"/>
        <v>717.32142857142867</v>
      </c>
      <c r="H448">
        <f t="shared" si="232"/>
        <v>663.5204081632653</v>
      </c>
      <c r="I448">
        <f t="shared" si="232"/>
        <v>556.84693877551024</v>
      </c>
      <c r="J448">
        <f t="shared" si="232"/>
        <v>559.26530612244903</v>
      </c>
      <c r="K448">
        <f t="shared" si="232"/>
        <v>438.03571428571428</v>
      </c>
      <c r="L448">
        <f t="shared" si="232"/>
        <v>321.9375</v>
      </c>
      <c r="M448">
        <f t="shared" si="232"/>
        <v>370.28571428571428</v>
      </c>
      <c r="N448">
        <f t="shared" si="232"/>
        <v>366.40816326530614</v>
      </c>
      <c r="O448">
        <f t="shared" si="232"/>
        <v>445.71428571428572</v>
      </c>
      <c r="P448">
        <f t="shared" si="232"/>
        <v>541.83673469387759</v>
      </c>
      <c r="Q448">
        <f t="shared" si="232"/>
        <v>391.63265306122452</v>
      </c>
      <c r="R448">
        <f t="shared" si="232"/>
        <v>474.42857142857144</v>
      </c>
      <c r="S448">
        <f t="shared" si="232"/>
        <v>397.9591836734694</v>
      </c>
      <c r="T448">
        <f t="shared" si="232"/>
        <v>431.55102040816325</v>
      </c>
      <c r="U448">
        <f t="shared" si="232"/>
        <v>565.05102040816325</v>
      </c>
      <c r="V448">
        <f t="shared" si="232"/>
        <v>463.80612244897958</v>
      </c>
      <c r="W448">
        <f t="shared" si="232"/>
        <v>693.85204081632662</v>
      </c>
      <c r="Y448" s="8">
        <f t="shared" si="227"/>
        <v>10463.473214285716</v>
      </c>
      <c r="Z448">
        <f t="shared" si="228"/>
        <v>-317.55452341898859</v>
      </c>
    </row>
    <row r="449" spans="1:26" x14ac:dyDescent="0.25">
      <c r="A449" t="s">
        <v>48</v>
      </c>
      <c r="D449">
        <f t="shared" ref="D449:W449" si="233">D41*D75</f>
        <v>839.0612244897959</v>
      </c>
      <c r="E449">
        <f t="shared" si="233"/>
        <v>776.25</v>
      </c>
      <c r="F449">
        <f t="shared" si="233"/>
        <v>787.73469387755097</v>
      </c>
      <c r="G449">
        <f t="shared" si="233"/>
        <v>731.07142857142856</v>
      </c>
      <c r="H449">
        <f t="shared" si="233"/>
        <v>702</v>
      </c>
      <c r="I449">
        <f t="shared" si="233"/>
        <v>567.75510204081638</v>
      </c>
      <c r="J449">
        <f t="shared" si="233"/>
        <v>560.57142857142856</v>
      </c>
      <c r="K449">
        <f t="shared" si="233"/>
        <v>529.89183673469381</v>
      </c>
      <c r="L449">
        <f t="shared" si="233"/>
        <v>465.09375</v>
      </c>
      <c r="M449">
        <f t="shared" si="233"/>
        <v>455.29591836734693</v>
      </c>
      <c r="N449">
        <f t="shared" si="233"/>
        <v>417.21428571428572</v>
      </c>
      <c r="O449">
        <f t="shared" si="233"/>
        <v>417.21428571428572</v>
      </c>
      <c r="P449">
        <f t="shared" si="233"/>
        <v>493.62244897959192</v>
      </c>
      <c r="Q449">
        <f t="shared" si="233"/>
        <v>565</v>
      </c>
      <c r="R449">
        <f t="shared" si="233"/>
        <v>530.91836734693879</v>
      </c>
      <c r="S449">
        <f t="shared" si="233"/>
        <v>494.21938775510205</v>
      </c>
      <c r="T449">
        <f t="shared" si="233"/>
        <v>561.20408163265313</v>
      </c>
      <c r="U449">
        <f t="shared" si="233"/>
        <v>504.24489795918367</v>
      </c>
      <c r="V449">
        <f t="shared" si="233"/>
        <v>569.96938775510193</v>
      </c>
      <c r="W449">
        <f t="shared" si="233"/>
        <v>619.01020408163265</v>
      </c>
      <c r="Y449" s="8">
        <f t="shared" si="227"/>
        <v>11587.342729591835</v>
      </c>
      <c r="Z449">
        <f t="shared" si="228"/>
        <v>-497.22962884204196</v>
      </c>
    </row>
    <row r="450" spans="1:26" x14ac:dyDescent="0.25">
      <c r="A450" t="s">
        <v>49</v>
      </c>
      <c r="D450">
        <f t="shared" ref="D450:W450" si="234">D42*D76</f>
        <v>700.30102040816314</v>
      </c>
      <c r="E450">
        <f t="shared" si="234"/>
        <v>664.5</v>
      </c>
      <c r="F450">
        <f t="shared" si="234"/>
        <v>682.63775510204084</v>
      </c>
      <c r="G450">
        <f t="shared" si="234"/>
        <v>641.89795918367338</v>
      </c>
      <c r="H450">
        <f t="shared" si="234"/>
        <v>534.4591836734694</v>
      </c>
      <c r="I450">
        <f t="shared" si="234"/>
        <v>560.75510204081627</v>
      </c>
      <c r="J450">
        <f t="shared" si="234"/>
        <v>497.84693877551024</v>
      </c>
      <c r="K450">
        <f t="shared" si="234"/>
        <v>442.67346938775506</v>
      </c>
      <c r="L450">
        <f t="shared" si="234"/>
        <v>418.671875</v>
      </c>
      <c r="M450">
        <f t="shared" si="234"/>
        <v>482.51020408163265</v>
      </c>
      <c r="N450">
        <f t="shared" si="234"/>
        <v>439.22448979591837</v>
      </c>
      <c r="O450">
        <f t="shared" si="234"/>
        <v>300.51020408163265</v>
      </c>
      <c r="P450">
        <f t="shared" si="234"/>
        <v>507.30510204081634</v>
      </c>
      <c r="Q450">
        <f t="shared" si="234"/>
        <v>389.38775510204084</v>
      </c>
      <c r="R450">
        <f t="shared" si="234"/>
        <v>418.22448979591837</v>
      </c>
      <c r="S450">
        <f t="shared" si="234"/>
        <v>490.28571428571428</v>
      </c>
      <c r="T450">
        <f t="shared" si="234"/>
        <v>426.71428571428567</v>
      </c>
      <c r="U450">
        <f t="shared" si="234"/>
        <v>557.00510204081627</v>
      </c>
      <c r="V450">
        <f t="shared" si="234"/>
        <v>683.41836734693879</v>
      </c>
      <c r="W450">
        <f t="shared" si="234"/>
        <v>721.46938775510205</v>
      </c>
      <c r="Y450" s="8">
        <f t="shared" si="227"/>
        <v>10559.798405612242</v>
      </c>
      <c r="Z450">
        <f t="shared" si="228"/>
        <v>-288.79218231480343</v>
      </c>
    </row>
    <row r="451" spans="1:26" x14ac:dyDescent="0.25">
      <c r="A451" t="s">
        <v>50</v>
      </c>
      <c r="D451">
        <f t="shared" ref="D451:W451" si="235">D43*D77</f>
        <v>6.3673469387755102</v>
      </c>
      <c r="E451">
        <f t="shared" si="235"/>
        <v>628.58163265306132</v>
      </c>
      <c r="F451">
        <f t="shared" si="235"/>
        <v>605.27448979591827</v>
      </c>
      <c r="G451">
        <f t="shared" si="235"/>
        <v>481.35918367346937</v>
      </c>
      <c r="H451">
        <f t="shared" si="235"/>
        <v>409.980612244898</v>
      </c>
      <c r="I451">
        <f t="shared" si="235"/>
        <v>494.03061224489795</v>
      </c>
      <c r="J451">
        <f t="shared" si="235"/>
        <v>430.48979591836729</v>
      </c>
      <c r="K451">
        <f t="shared" si="235"/>
        <v>418.7704081632653</v>
      </c>
      <c r="L451">
        <f t="shared" si="235"/>
        <v>395.64453125</v>
      </c>
      <c r="M451">
        <f t="shared" si="235"/>
        <v>389.87755102040813</v>
      </c>
      <c r="N451">
        <f t="shared" si="235"/>
        <v>324.13775510204084</v>
      </c>
      <c r="O451">
        <f t="shared" si="235"/>
        <v>370.25510204081633</v>
      </c>
      <c r="P451">
        <f t="shared" si="235"/>
        <v>392.85714285714289</v>
      </c>
      <c r="Q451">
        <f t="shared" si="235"/>
        <v>449.03571428571428</v>
      </c>
      <c r="R451">
        <f t="shared" si="235"/>
        <v>564.25</v>
      </c>
      <c r="S451">
        <f t="shared" si="235"/>
        <v>547.19387755102036</v>
      </c>
      <c r="T451">
        <f t="shared" si="235"/>
        <v>537.18367346938783</v>
      </c>
      <c r="U451">
        <f t="shared" si="235"/>
        <v>505.75000000000006</v>
      </c>
      <c r="V451">
        <f t="shared" si="235"/>
        <v>678.57142857142867</v>
      </c>
      <c r="W451">
        <f t="shared" si="235"/>
        <v>629.97448979591832</v>
      </c>
      <c r="Y451" s="8">
        <f t="shared" si="227"/>
        <v>9259.5853475765325</v>
      </c>
      <c r="Z451">
        <f t="shared" si="228"/>
        <v>-95.818263910294633</v>
      </c>
    </row>
    <row r="452" spans="1:26" x14ac:dyDescent="0.25">
      <c r="A452" t="s">
        <v>51</v>
      </c>
      <c r="D452">
        <f t="shared" ref="D452:W452" si="236">D44*D78</f>
        <v>720.63865306122455</v>
      </c>
      <c r="E452">
        <f t="shared" si="236"/>
        <v>595.28571428571422</v>
      </c>
      <c r="F452">
        <f t="shared" si="236"/>
        <v>594.55102040816325</v>
      </c>
      <c r="G452">
        <f t="shared" si="236"/>
        <v>593.77551020408168</v>
      </c>
      <c r="H452">
        <f t="shared" si="236"/>
        <v>548.72448979591843</v>
      </c>
      <c r="I452">
        <f t="shared" si="236"/>
        <v>486.9591836734694</v>
      </c>
      <c r="J452">
        <f t="shared" si="236"/>
        <v>527.38775510204084</v>
      </c>
      <c r="K452">
        <f t="shared" si="236"/>
        <v>497.66122448979593</v>
      </c>
      <c r="L452">
        <f t="shared" si="236"/>
        <v>422.49374999999998</v>
      </c>
      <c r="M452">
        <f t="shared" si="236"/>
        <v>413.75510204081633</v>
      </c>
      <c r="N452">
        <f t="shared" si="236"/>
        <v>381.07653061224494</v>
      </c>
      <c r="O452">
        <f t="shared" si="236"/>
        <v>333.37244897959181</v>
      </c>
      <c r="P452">
        <f t="shared" si="236"/>
        <v>473.30612244897964</v>
      </c>
      <c r="Q452">
        <f t="shared" si="236"/>
        <v>431.78571428571428</v>
      </c>
      <c r="R452">
        <f t="shared" si="236"/>
        <v>435.91070486908387</v>
      </c>
      <c r="S452">
        <f t="shared" si="236"/>
        <v>491.59835321288631</v>
      </c>
      <c r="T452">
        <f t="shared" si="236"/>
        <v>523.99177789137912</v>
      </c>
      <c r="U452">
        <f t="shared" si="236"/>
        <v>593.61258436494052</v>
      </c>
      <c r="V452">
        <f t="shared" si="236"/>
        <v>463.77551020408168</v>
      </c>
      <c r="W452">
        <f t="shared" si="236"/>
        <v>761.14285714285711</v>
      </c>
      <c r="Y452" s="8">
        <f t="shared" si="227"/>
        <v>10290.805007072984</v>
      </c>
      <c r="Z452">
        <f t="shared" si="228"/>
        <v>-322.75352502899329</v>
      </c>
    </row>
    <row r="453" spans="1:26" x14ac:dyDescent="0.25">
      <c r="A453" t="s">
        <v>52</v>
      </c>
      <c r="D453">
        <f t="shared" ref="D453:W453" si="237">D45*D79</f>
        <v>627.94897959183675</v>
      </c>
      <c r="E453">
        <f t="shared" si="237"/>
        <v>644.57142857142856</v>
      </c>
      <c r="F453">
        <f t="shared" si="237"/>
        <v>651.0408163265306</v>
      </c>
      <c r="G453">
        <f t="shared" si="237"/>
        <v>573.93367346938771</v>
      </c>
      <c r="H453">
        <f t="shared" si="237"/>
        <v>531.03061224489795</v>
      </c>
      <c r="I453">
        <f t="shared" si="237"/>
        <v>502.62244897959187</v>
      </c>
      <c r="J453">
        <f t="shared" si="237"/>
        <v>476.84693877551024</v>
      </c>
      <c r="K453">
        <f t="shared" si="237"/>
        <v>577.92857142857144</v>
      </c>
      <c r="L453">
        <f t="shared" si="237"/>
        <v>522.63271604938279</v>
      </c>
      <c r="M453">
        <f t="shared" si="237"/>
        <v>477.71428571428572</v>
      </c>
      <c r="N453">
        <f t="shared" si="237"/>
        <v>466.80612244897964</v>
      </c>
      <c r="O453">
        <f t="shared" si="237"/>
        <v>355.40816326530614</v>
      </c>
      <c r="P453">
        <f t="shared" si="237"/>
        <v>357.5</v>
      </c>
      <c r="Q453">
        <f t="shared" si="237"/>
        <v>490.51020408163259</v>
      </c>
      <c r="R453">
        <f t="shared" si="237"/>
        <v>451.07142857142861</v>
      </c>
      <c r="S453">
        <f t="shared" si="237"/>
        <v>541.53061224489795</v>
      </c>
      <c r="T453">
        <f t="shared" si="237"/>
        <v>507.07142857142861</v>
      </c>
      <c r="U453">
        <f t="shared" si="237"/>
        <v>582.85714285714289</v>
      </c>
      <c r="V453">
        <f t="shared" si="237"/>
        <v>623.90816326530614</v>
      </c>
      <c r="W453">
        <f t="shared" si="237"/>
        <v>690.96938775510205</v>
      </c>
      <c r="Y453" s="8">
        <f t="shared" si="227"/>
        <v>10653.903124212649</v>
      </c>
      <c r="Z453">
        <f t="shared" si="228"/>
        <v>-403.02407416439166</v>
      </c>
    </row>
    <row r="454" spans="1:26" x14ac:dyDescent="0.25">
      <c r="A454" t="s">
        <v>53</v>
      </c>
      <c r="D454">
        <f t="shared" ref="D454:W454" si="238">D46*D80</f>
        <v>798.42857142857144</v>
      </c>
      <c r="E454">
        <f t="shared" si="238"/>
        <v>760.17857142857144</v>
      </c>
      <c r="F454">
        <f t="shared" si="238"/>
        <v>689.77551020408157</v>
      </c>
      <c r="G454">
        <f t="shared" si="238"/>
        <v>572.44897959183675</v>
      </c>
      <c r="H454">
        <f t="shared" si="238"/>
        <v>574.61734693877543</v>
      </c>
      <c r="I454">
        <f t="shared" si="238"/>
        <v>514.14285714285711</v>
      </c>
      <c r="J454">
        <f t="shared" si="238"/>
        <v>448.53061224489801</v>
      </c>
      <c r="K454">
        <f t="shared" si="238"/>
        <v>426.16326530612241</v>
      </c>
      <c r="L454">
        <f t="shared" si="238"/>
        <v>467</v>
      </c>
      <c r="M454">
        <f t="shared" si="238"/>
        <v>489.48979591836735</v>
      </c>
      <c r="N454">
        <f t="shared" si="238"/>
        <v>541.19387755102036</v>
      </c>
      <c r="O454">
        <f t="shared" si="238"/>
        <v>381.07142857142861</v>
      </c>
      <c r="P454">
        <f t="shared" si="238"/>
        <v>416</v>
      </c>
      <c r="Q454">
        <f t="shared" si="238"/>
        <v>559.83673469387759</v>
      </c>
      <c r="R454">
        <f t="shared" si="238"/>
        <v>553.5</v>
      </c>
      <c r="S454">
        <f t="shared" si="238"/>
        <v>510.16326530612247</v>
      </c>
      <c r="T454">
        <f t="shared" si="238"/>
        <v>504.18367346938766</v>
      </c>
      <c r="U454">
        <f t="shared" si="238"/>
        <v>572.65714285714284</v>
      </c>
      <c r="V454">
        <f t="shared" si="238"/>
        <v>589.9591836734694</v>
      </c>
      <c r="W454">
        <f t="shared" si="238"/>
        <v>593.66326530612241</v>
      </c>
      <c r="Y454" s="8">
        <f t="shared" si="227"/>
        <v>10963.004081632653</v>
      </c>
      <c r="Z454">
        <f t="shared" si="228"/>
        <v>-457.74739733224192</v>
      </c>
    </row>
    <row r="455" spans="1:26" x14ac:dyDescent="0.25">
      <c r="A455" t="s">
        <v>54</v>
      </c>
      <c r="D455">
        <f t="shared" ref="D455:W455" si="239">D47*D81</f>
        <v>805.05612244897964</v>
      </c>
      <c r="E455">
        <f t="shared" si="239"/>
        <v>787.53673469387752</v>
      </c>
      <c r="F455">
        <f t="shared" si="239"/>
        <v>734.69387755102036</v>
      </c>
      <c r="G455">
        <f t="shared" si="239"/>
        <v>788.57142857142856</v>
      </c>
      <c r="H455">
        <f t="shared" si="239"/>
        <v>559.78571428571433</v>
      </c>
      <c r="I455">
        <f t="shared" si="239"/>
        <v>529.42857142857144</v>
      </c>
      <c r="J455">
        <f t="shared" si="239"/>
        <v>511.63265306122446</v>
      </c>
      <c r="K455">
        <f t="shared" si="239"/>
        <v>466.80612244897964</v>
      </c>
      <c r="L455">
        <f t="shared" si="239"/>
        <v>441.40625</v>
      </c>
      <c r="M455">
        <f t="shared" si="239"/>
        <v>321.42857142857144</v>
      </c>
      <c r="N455">
        <f t="shared" si="239"/>
        <v>415.32142857142856</v>
      </c>
      <c r="O455">
        <f t="shared" si="239"/>
        <v>453.11224489795921</v>
      </c>
      <c r="P455">
        <f t="shared" si="239"/>
        <v>533.66326530612241</v>
      </c>
      <c r="Q455">
        <f t="shared" si="239"/>
        <v>549.94387755102048</v>
      </c>
      <c r="R455">
        <f t="shared" si="239"/>
        <v>386.67857142857144</v>
      </c>
      <c r="S455">
        <f t="shared" si="239"/>
        <v>442</v>
      </c>
      <c r="T455">
        <f t="shared" si="239"/>
        <v>473.57142857142861</v>
      </c>
      <c r="U455">
        <f t="shared" si="239"/>
        <v>647.67857142857144</v>
      </c>
      <c r="V455">
        <f t="shared" si="239"/>
        <v>768.12755102040808</v>
      </c>
      <c r="W455">
        <f t="shared" si="239"/>
        <v>858.58673469387759</v>
      </c>
      <c r="Y455" s="8">
        <f t="shared" si="227"/>
        <v>11475.029719387754</v>
      </c>
      <c r="Z455">
        <f t="shared" si="228"/>
        <v>-298.09423351260432</v>
      </c>
    </row>
    <row r="456" spans="1:26" x14ac:dyDescent="0.25">
      <c r="A456" t="s">
        <v>55</v>
      </c>
      <c r="D456">
        <f t="shared" ref="D456:W456" si="240">D48*D82</f>
        <v>580.79999999999995</v>
      </c>
      <c r="E456">
        <f t="shared" si="240"/>
        <v>620.24489795918373</v>
      </c>
      <c r="F456">
        <f t="shared" si="240"/>
        <v>595.0612244897959</v>
      </c>
      <c r="G456">
        <f t="shared" si="240"/>
        <v>559.28571428571433</v>
      </c>
      <c r="H456">
        <f t="shared" si="240"/>
        <v>547.29795918367347</v>
      </c>
      <c r="I456">
        <f t="shared" si="240"/>
        <v>418.08979591836743</v>
      </c>
      <c r="J456">
        <f t="shared" si="240"/>
        <v>424.2342857142857</v>
      </c>
      <c r="K456">
        <f t="shared" si="240"/>
        <v>412.37877551020404</v>
      </c>
      <c r="L456">
        <f t="shared" si="240"/>
        <v>451.22</v>
      </c>
      <c r="M456">
        <f t="shared" si="240"/>
        <v>389.91836734693885</v>
      </c>
      <c r="N456">
        <f t="shared" si="240"/>
        <v>360.12244897959187</v>
      </c>
      <c r="O456">
        <f t="shared" si="240"/>
        <v>370.72653061224491</v>
      </c>
      <c r="P456">
        <f t="shared" si="240"/>
        <v>351.76163265306127</v>
      </c>
      <c r="Q456">
        <f t="shared" si="240"/>
        <v>373.80734693877559</v>
      </c>
      <c r="R456">
        <f t="shared" si="240"/>
        <v>434.20365895162723</v>
      </c>
      <c r="S456">
        <f t="shared" si="240"/>
        <v>492.25631701076935</v>
      </c>
      <c r="T456">
        <f t="shared" si="240"/>
        <v>520.32958648182307</v>
      </c>
      <c r="U456">
        <f t="shared" si="240"/>
        <v>591.15421239104239</v>
      </c>
      <c r="V456">
        <f t="shared" si="240"/>
        <v>282.46530612244902</v>
      </c>
      <c r="W456">
        <f t="shared" si="240"/>
        <v>431.31428571428569</v>
      </c>
      <c r="Y456" s="8">
        <f t="shared" si="227"/>
        <v>9206.6723462638365</v>
      </c>
      <c r="Z456">
        <f t="shared" si="228"/>
        <v>-449.43658359828464</v>
      </c>
    </row>
    <row r="457" spans="1:26" x14ac:dyDescent="0.25">
      <c r="A457" t="s">
        <v>56</v>
      </c>
      <c r="D457">
        <f t="shared" ref="D457:W457" si="241">D49*D83</f>
        <v>765.19591836734696</v>
      </c>
      <c r="E457">
        <f t="shared" si="241"/>
        <v>664.50857142857149</v>
      </c>
      <c r="F457">
        <f t="shared" si="241"/>
        <v>638.68163265306123</v>
      </c>
      <c r="G457">
        <f t="shared" si="241"/>
        <v>490.36</v>
      </c>
      <c r="H457">
        <f t="shared" si="241"/>
        <v>589.63591836734702</v>
      </c>
      <c r="I457">
        <f t="shared" si="241"/>
        <v>483.6571428571429</v>
      </c>
      <c r="J457">
        <f t="shared" si="241"/>
        <v>397.92734693877554</v>
      </c>
      <c r="K457">
        <f t="shared" si="241"/>
        <v>477.90857142857141</v>
      </c>
      <c r="L457">
        <f t="shared" si="241"/>
        <v>483.05185185185184</v>
      </c>
      <c r="M457">
        <f t="shared" si="241"/>
        <v>406.10775510204087</v>
      </c>
      <c r="N457">
        <f t="shared" si="241"/>
        <v>389.64244897959185</v>
      </c>
      <c r="O457">
        <f t="shared" si="241"/>
        <v>482.70448979591833</v>
      </c>
      <c r="P457">
        <f t="shared" si="241"/>
        <v>564.04408163265316</v>
      </c>
      <c r="Q457">
        <f t="shared" si="241"/>
        <v>478.4751020408163</v>
      </c>
      <c r="R457">
        <f t="shared" si="241"/>
        <v>427.98775510204081</v>
      </c>
      <c r="S457">
        <f t="shared" si="241"/>
        <v>453.14938775510211</v>
      </c>
      <c r="T457">
        <f t="shared" si="241"/>
        <v>525.3257142857143</v>
      </c>
      <c r="U457">
        <f t="shared" si="241"/>
        <v>623.34693877551013</v>
      </c>
      <c r="V457">
        <f t="shared" si="241"/>
        <v>494.91265306122449</v>
      </c>
      <c r="W457">
        <f t="shared" si="241"/>
        <v>518.06040816326538</v>
      </c>
      <c r="Y457" s="8">
        <f t="shared" si="227"/>
        <v>10354.683688586547</v>
      </c>
      <c r="Z457">
        <f t="shared" si="228"/>
        <v>-414.47881107954015</v>
      </c>
    </row>
    <row r="458" spans="1:26" x14ac:dyDescent="0.25">
      <c r="A458" t="s">
        <v>57</v>
      </c>
      <c r="D458">
        <f t="shared" ref="D458:W458" si="242">D50*D84</f>
        <v>666.54367346938773</v>
      </c>
      <c r="E458">
        <f t="shared" si="242"/>
        <v>662.37061224489787</v>
      </c>
      <c r="F458">
        <f t="shared" si="242"/>
        <v>552</v>
      </c>
      <c r="G458">
        <f t="shared" si="242"/>
        <v>594.63183673469393</v>
      </c>
      <c r="H458">
        <f t="shared" si="242"/>
        <v>531.8938775510203</v>
      </c>
      <c r="I458">
        <f t="shared" si="242"/>
        <v>417.72244897959177</v>
      </c>
      <c r="J458">
        <f t="shared" si="242"/>
        <v>526.09795918367354</v>
      </c>
      <c r="K458">
        <f t="shared" si="242"/>
        <v>518.30204081632667</v>
      </c>
      <c r="L458">
        <f t="shared" si="242"/>
        <v>460.15375</v>
      </c>
      <c r="M458">
        <f t="shared" si="242"/>
        <v>433.25224489795914</v>
      </c>
      <c r="N458">
        <f t="shared" si="242"/>
        <v>501.79428571428576</v>
      </c>
      <c r="O458">
        <f t="shared" si="242"/>
        <v>359.91428571428571</v>
      </c>
      <c r="P458">
        <f t="shared" si="242"/>
        <v>286.14612244897955</v>
      </c>
      <c r="Q458">
        <f t="shared" si="242"/>
        <v>433.79265306122448</v>
      </c>
      <c r="R458">
        <f t="shared" si="242"/>
        <v>384.92081632653066</v>
      </c>
      <c r="S458">
        <f t="shared" si="242"/>
        <v>583.07428571428568</v>
      </c>
      <c r="T458">
        <f t="shared" si="242"/>
        <v>605.6130612244898</v>
      </c>
      <c r="U458">
        <f t="shared" si="242"/>
        <v>531.37632653061246</v>
      </c>
      <c r="V458">
        <f t="shared" si="242"/>
        <v>741.29632653061219</v>
      </c>
      <c r="W458">
        <f t="shared" si="242"/>
        <v>691.62448979591829</v>
      </c>
      <c r="Y458" s="8">
        <f t="shared" si="227"/>
        <v>10482.521096938775</v>
      </c>
      <c r="Z458">
        <f t="shared" si="228"/>
        <v>-356.1908421352183</v>
      </c>
    </row>
    <row r="459" spans="1:26" x14ac:dyDescent="0.25">
      <c r="A459" t="s">
        <v>58</v>
      </c>
      <c r="D459">
        <f t="shared" ref="D459:W459" si="243">D51*D85</f>
        <v>585.23428571428576</v>
      </c>
      <c r="E459">
        <f t="shared" si="243"/>
        <v>615.37142857142851</v>
      </c>
      <c r="F459">
        <f t="shared" si="243"/>
        <v>622.83428571428556</v>
      </c>
      <c r="G459">
        <f t="shared" si="243"/>
        <v>574.58938775510194</v>
      </c>
      <c r="H459">
        <f t="shared" si="243"/>
        <v>502.36897959183671</v>
      </c>
      <c r="I459">
        <f t="shared" si="243"/>
        <v>465.61714285714294</v>
      </c>
      <c r="J459">
        <f t="shared" si="243"/>
        <v>493.40571428571428</v>
      </c>
      <c r="K459">
        <f t="shared" si="243"/>
        <v>459.39673469387748</v>
      </c>
      <c r="L459">
        <f t="shared" si="243"/>
        <v>451.84875000000005</v>
      </c>
      <c r="M459">
        <f t="shared" si="243"/>
        <v>465.76979591836738</v>
      </c>
      <c r="N459">
        <f t="shared" si="243"/>
        <v>512.47020408163257</v>
      </c>
      <c r="O459">
        <f t="shared" si="243"/>
        <v>477.74204081632655</v>
      </c>
      <c r="P459">
        <f t="shared" si="243"/>
        <v>476.05551020408166</v>
      </c>
      <c r="Q459">
        <f t="shared" si="243"/>
        <v>426.21551020408168</v>
      </c>
      <c r="R459">
        <f t="shared" si="243"/>
        <v>419.52</v>
      </c>
      <c r="S459">
        <f t="shared" si="243"/>
        <v>420.36897959183671</v>
      </c>
      <c r="T459">
        <f t="shared" si="243"/>
        <v>532.89795918367349</v>
      </c>
      <c r="U459">
        <f t="shared" si="243"/>
        <v>607.08571428571429</v>
      </c>
      <c r="V459">
        <f t="shared" si="243"/>
        <v>543.01224489795914</v>
      </c>
      <c r="W459">
        <f t="shared" si="243"/>
        <v>533.97551020408162</v>
      </c>
      <c r="Y459" s="8">
        <f t="shared" si="227"/>
        <v>10185.780178571427</v>
      </c>
      <c r="Z459">
        <f t="shared" si="228"/>
        <v>-404.41265851606613</v>
      </c>
    </row>
    <row r="460" spans="1:26" x14ac:dyDescent="0.25">
      <c r="A460" t="s">
        <v>59</v>
      </c>
      <c r="D460">
        <f t="shared" ref="D460:W460" si="244">D52*D86</f>
        <v>591.67466888796332</v>
      </c>
      <c r="E460">
        <f t="shared" si="244"/>
        <v>639.34987088713046</v>
      </c>
      <c r="F460">
        <f t="shared" si="244"/>
        <v>589.33089546022495</v>
      </c>
      <c r="G460">
        <f t="shared" si="244"/>
        <v>545.22209912536448</v>
      </c>
      <c r="H460">
        <f t="shared" si="244"/>
        <v>546.53632653061209</v>
      </c>
      <c r="I460">
        <f t="shared" si="244"/>
        <v>527.83234485630987</v>
      </c>
      <c r="J460">
        <f t="shared" si="244"/>
        <v>522.23319450229087</v>
      </c>
      <c r="K460">
        <f t="shared" si="244"/>
        <v>492.11766597251147</v>
      </c>
      <c r="L460">
        <f t="shared" si="244"/>
        <v>405.22417274052481</v>
      </c>
      <c r="M460">
        <f t="shared" si="244"/>
        <v>408.18251895043738</v>
      </c>
      <c r="N460">
        <f t="shared" si="244"/>
        <v>410.91241399416913</v>
      </c>
      <c r="O460">
        <f t="shared" si="244"/>
        <v>399.2875510204081</v>
      </c>
      <c r="P460">
        <f t="shared" si="244"/>
        <v>434.87564431486874</v>
      </c>
      <c r="Q460">
        <f t="shared" si="244"/>
        <v>423.69496209912535</v>
      </c>
      <c r="R460">
        <f t="shared" si="244"/>
        <v>457.06663556851311</v>
      </c>
      <c r="S460">
        <f t="shared" si="244"/>
        <v>511.25492711370259</v>
      </c>
      <c r="T460">
        <f t="shared" si="244"/>
        <v>531.66857142857145</v>
      </c>
      <c r="U460">
        <f t="shared" si="244"/>
        <v>576.59634702988342</v>
      </c>
      <c r="V460">
        <f t="shared" si="244"/>
        <v>672.42087463556845</v>
      </c>
      <c r="W460">
        <f t="shared" si="244"/>
        <v>684.09606122448986</v>
      </c>
      <c r="Y460" s="8">
        <f t="shared" si="227"/>
        <v>10369.577746342668</v>
      </c>
      <c r="Z460">
        <f t="shared" si="228"/>
        <v>-242.55180606388871</v>
      </c>
    </row>
    <row r="461" spans="1:26" x14ac:dyDescent="0.25">
      <c r="A461" t="s">
        <v>60</v>
      </c>
      <c r="D461">
        <f t="shared" ref="D461:W461" si="245">D53*D87</f>
        <v>600.49609329446059</v>
      </c>
      <c r="E461">
        <f t="shared" si="245"/>
        <v>638.92664723032078</v>
      </c>
      <c r="F461">
        <f t="shared" si="245"/>
        <v>597.508250728863</v>
      </c>
      <c r="G461">
        <f t="shared" si="245"/>
        <v>546.23387755102033</v>
      </c>
      <c r="H461">
        <f t="shared" si="245"/>
        <v>553.92571428571409</v>
      </c>
      <c r="I461">
        <f t="shared" si="245"/>
        <v>555.55084548104946</v>
      </c>
      <c r="J461">
        <f t="shared" si="245"/>
        <v>550.3995626822159</v>
      </c>
      <c r="K461">
        <f t="shared" si="245"/>
        <v>520.71905830903779</v>
      </c>
      <c r="L461">
        <f t="shared" si="245"/>
        <v>420.16380102040819</v>
      </c>
      <c r="M461">
        <f t="shared" si="245"/>
        <v>366.69061224489792</v>
      </c>
      <c r="N461">
        <f t="shared" si="245"/>
        <v>361.08</v>
      </c>
      <c r="O461">
        <f t="shared" si="245"/>
        <v>278.91510204081629</v>
      </c>
      <c r="P461">
        <f t="shared" si="245"/>
        <v>372.20326530612243</v>
      </c>
      <c r="Q461">
        <f t="shared" si="245"/>
        <v>360.9763265306122</v>
      </c>
      <c r="R461">
        <f t="shared" si="245"/>
        <v>387.21999999999997</v>
      </c>
      <c r="S461">
        <f t="shared" si="245"/>
        <v>383.37795918367351</v>
      </c>
      <c r="T461">
        <f t="shared" si="245"/>
        <v>296.38285714285712</v>
      </c>
      <c r="U461">
        <f t="shared" si="245"/>
        <v>582.68734693877536</v>
      </c>
      <c r="V461">
        <f t="shared" si="245"/>
        <v>698.52166180758013</v>
      </c>
      <c r="W461">
        <f t="shared" si="245"/>
        <v>721.52539358600586</v>
      </c>
      <c r="Y461" s="8">
        <f t="shared" si="227"/>
        <v>9793.5043753644313</v>
      </c>
      <c r="Z461">
        <f t="shared" si="228"/>
        <v>-193.0171757779863</v>
      </c>
    </row>
    <row r="462" spans="1:26" x14ac:dyDescent="0.25">
      <c r="A462" t="s">
        <v>61</v>
      </c>
      <c r="D462">
        <f t="shared" ref="D462:W462" si="246">D54*D88</f>
        <v>569.56571428571431</v>
      </c>
      <c r="E462">
        <f t="shared" si="246"/>
        <v>622.93877551020421</v>
      </c>
      <c r="F462">
        <f t="shared" si="246"/>
        <v>590.18367346938783</v>
      </c>
      <c r="G462">
        <f t="shared" si="246"/>
        <v>549.34285714285716</v>
      </c>
      <c r="H462">
        <f t="shared" si="246"/>
        <v>507.75428571428563</v>
      </c>
      <c r="I462">
        <f t="shared" si="246"/>
        <v>343.25387755102037</v>
      </c>
      <c r="J462">
        <f t="shared" si="246"/>
        <v>335.07265306122451</v>
      </c>
      <c r="K462">
        <f t="shared" si="246"/>
        <v>311.91795918367347</v>
      </c>
      <c r="L462">
        <f t="shared" si="246"/>
        <v>276.8409375</v>
      </c>
      <c r="M462">
        <f t="shared" si="246"/>
        <v>406</v>
      </c>
      <c r="N462">
        <f t="shared" si="246"/>
        <v>375.55551020408166</v>
      </c>
      <c r="O462">
        <f t="shared" si="246"/>
        <v>287.96938775510205</v>
      </c>
      <c r="P462">
        <f t="shared" si="246"/>
        <v>365.16122448979593</v>
      </c>
      <c r="Q462">
        <f t="shared" si="246"/>
        <v>350.04244897959182</v>
      </c>
      <c r="R462">
        <f t="shared" si="246"/>
        <v>445.28000000000003</v>
      </c>
      <c r="S462">
        <f t="shared" si="246"/>
        <v>530.91836734693868</v>
      </c>
      <c r="T462">
        <f t="shared" si="246"/>
        <v>581.57142857142856</v>
      </c>
      <c r="U462">
        <f t="shared" si="246"/>
        <v>626.76122448979584</v>
      </c>
      <c r="V462">
        <f t="shared" si="246"/>
        <v>534.87428571428563</v>
      </c>
      <c r="W462">
        <f t="shared" si="246"/>
        <v>531.24775510204074</v>
      </c>
      <c r="Y462" s="8">
        <f t="shared" si="227"/>
        <v>9142.2523660714269</v>
      </c>
      <c r="Z462">
        <f t="shared" si="228"/>
        <v>-259.1908957957524</v>
      </c>
    </row>
    <row r="463" spans="1:26" x14ac:dyDescent="0.25">
      <c r="A463" t="s">
        <v>62</v>
      </c>
      <c r="D463">
        <f t="shared" ref="D463:W463" si="247">D55*D89</f>
        <v>547.85714285714289</v>
      </c>
      <c r="E463">
        <f t="shared" si="247"/>
        <v>1047.5102040816325</v>
      </c>
      <c r="F463">
        <f t="shared" si="247"/>
        <v>572.12244897959192</v>
      </c>
      <c r="G463">
        <f t="shared" si="247"/>
        <v>450</v>
      </c>
      <c r="H463">
        <f t="shared" si="247"/>
        <v>488.63571428571436</v>
      </c>
      <c r="I463">
        <f t="shared" si="247"/>
        <v>531.84489795918364</v>
      </c>
      <c r="J463">
        <f t="shared" si="247"/>
        <v>507.16836734693874</v>
      </c>
      <c r="K463">
        <f t="shared" si="247"/>
        <v>444.65306122448976</v>
      </c>
      <c r="L463">
        <f t="shared" si="247"/>
        <v>397.56122448979596</v>
      </c>
      <c r="M463">
        <f t="shared" si="247"/>
        <v>438.90000000000003</v>
      </c>
      <c r="N463">
        <f t="shared" si="247"/>
        <v>421.65306122448982</v>
      </c>
      <c r="O463">
        <f t="shared" si="247"/>
        <v>420.24489795918362</v>
      </c>
      <c r="P463">
        <f t="shared" si="247"/>
        <v>427.80612244897964</v>
      </c>
      <c r="Q463">
        <f t="shared" si="247"/>
        <v>423.63265306122452</v>
      </c>
      <c r="R463">
        <f t="shared" si="247"/>
        <v>522.19387755102036</v>
      </c>
      <c r="S463">
        <f t="shared" si="247"/>
        <v>573.39285714285711</v>
      </c>
      <c r="T463">
        <f t="shared" si="247"/>
        <v>592.65306122448976</v>
      </c>
      <c r="U463">
        <f t="shared" si="247"/>
        <v>590.14285714285711</v>
      </c>
      <c r="V463">
        <f t="shared" si="247"/>
        <v>716.32653061224494</v>
      </c>
      <c r="W463">
        <f t="shared" si="247"/>
        <v>746.37040816326544</v>
      </c>
      <c r="Y463" s="8">
        <f t="shared" si="227"/>
        <v>10860.669387755101</v>
      </c>
      <c r="Z463">
        <f t="shared" si="228"/>
        <v>-179.23537406756211</v>
      </c>
    </row>
    <row r="464" spans="1:26" x14ac:dyDescent="0.25">
      <c r="A464" t="s">
        <v>63</v>
      </c>
      <c r="D464">
        <f t="shared" ref="D464:W464" si="248">D56*D90</f>
        <v>525.88775510204084</v>
      </c>
      <c r="E464">
        <f t="shared" si="248"/>
        <v>458.11224489795916</v>
      </c>
      <c r="F464">
        <f t="shared" si="248"/>
        <v>452.34693877551018</v>
      </c>
      <c r="G464">
        <f t="shared" si="248"/>
        <v>445.35714285714289</v>
      </c>
      <c r="H464">
        <f t="shared" si="248"/>
        <v>494.69387755102042</v>
      </c>
      <c r="I464">
        <f t="shared" si="248"/>
        <v>547.57653061224482</v>
      </c>
      <c r="J464">
        <f t="shared" si="248"/>
        <v>484.12244897959192</v>
      </c>
      <c r="K464">
        <f t="shared" si="248"/>
        <v>441.42857142857139</v>
      </c>
      <c r="L464">
        <f t="shared" si="248"/>
        <v>374.015625</v>
      </c>
      <c r="M464">
        <f t="shared" si="248"/>
        <v>314.72142857142859</v>
      </c>
      <c r="N464">
        <f t="shared" si="248"/>
        <v>395.34285714285716</v>
      </c>
      <c r="O464">
        <f t="shared" si="248"/>
        <v>380.05102040816325</v>
      </c>
      <c r="P464">
        <f t="shared" si="248"/>
        <v>393.79591836734693</v>
      </c>
      <c r="Q464">
        <f t="shared" si="248"/>
        <v>357.76530612244898</v>
      </c>
      <c r="R464">
        <f t="shared" si="248"/>
        <v>323.64285714285711</v>
      </c>
      <c r="S464">
        <f t="shared" si="248"/>
        <v>470.33877551020407</v>
      </c>
      <c r="T464">
        <f t="shared" si="248"/>
        <v>490.51020408163265</v>
      </c>
      <c r="U464">
        <f t="shared" si="248"/>
        <v>561.26953125</v>
      </c>
      <c r="V464">
        <f t="shared" si="248"/>
        <v>636.03061224489784</v>
      </c>
      <c r="W464">
        <f t="shared" si="248"/>
        <v>660.92857142857144</v>
      </c>
      <c r="Y464" s="8">
        <f t="shared" si="227"/>
        <v>9207.9382174744878</v>
      </c>
      <c r="Z464">
        <f t="shared" si="228"/>
        <v>-144.32091234510926</v>
      </c>
    </row>
    <row r="465" spans="1:26" x14ac:dyDescent="0.25">
      <c r="A465" t="s">
        <v>64</v>
      </c>
      <c r="D465">
        <f t="shared" ref="D465:W465" si="249">D57*D91</f>
        <v>645.08163265306121</v>
      </c>
      <c r="E465">
        <f t="shared" si="249"/>
        <v>581.87755102040819</v>
      </c>
      <c r="F465">
        <f t="shared" si="249"/>
        <v>627.05408163265315</v>
      </c>
      <c r="G465">
        <f t="shared" si="249"/>
        <v>632.75510204081627</v>
      </c>
      <c r="H465">
        <f t="shared" si="249"/>
        <v>623.41795918367347</v>
      </c>
      <c r="I465">
        <f t="shared" si="249"/>
        <v>547.86428571428576</v>
      </c>
      <c r="J465">
        <f t="shared" si="249"/>
        <v>543.11632653061224</v>
      </c>
      <c r="K465">
        <f t="shared" si="249"/>
        <v>549.96428571428567</v>
      </c>
      <c r="L465">
        <f t="shared" si="249"/>
        <v>553.39453125</v>
      </c>
      <c r="M465">
        <f t="shared" si="249"/>
        <v>468.98571428571432</v>
      </c>
      <c r="N465">
        <f t="shared" si="249"/>
        <v>487.10204081632656</v>
      </c>
      <c r="O465">
        <f t="shared" si="249"/>
        <v>436</v>
      </c>
      <c r="P465">
        <f t="shared" si="249"/>
        <v>446.51020408163265</v>
      </c>
      <c r="Q465">
        <f t="shared" si="249"/>
        <v>422.43367346938777</v>
      </c>
      <c r="R465">
        <f t="shared" si="249"/>
        <v>522.33163265306132</v>
      </c>
      <c r="S465">
        <f t="shared" si="249"/>
        <v>510.39693877551025</v>
      </c>
      <c r="T465">
        <f t="shared" si="249"/>
        <v>502.88775510204084</v>
      </c>
      <c r="U465">
        <f t="shared" si="249"/>
        <v>522.5632653061225</v>
      </c>
      <c r="V465">
        <f t="shared" si="249"/>
        <v>854.16428571428582</v>
      </c>
      <c r="W465">
        <f t="shared" si="249"/>
        <v>828.68061224489793</v>
      </c>
      <c r="Y465" s="8">
        <f t="shared" si="227"/>
        <v>11306.581878188776</v>
      </c>
      <c r="Z465">
        <f t="shared" si="228"/>
        <v>-303.48655627683371</v>
      </c>
    </row>
    <row r="466" spans="1:26" x14ac:dyDescent="0.25">
      <c r="A466" t="s">
        <v>65</v>
      </c>
      <c r="D466">
        <f t="shared" ref="D466:W466" si="250">D58*D92</f>
        <v>671.32653061224494</v>
      </c>
      <c r="E466">
        <f t="shared" si="250"/>
        <v>662.46530612244908</v>
      </c>
      <c r="F466">
        <f t="shared" si="250"/>
        <v>732.36428571428576</v>
      </c>
      <c r="G466">
        <f t="shared" si="250"/>
        <v>663.09795918367354</v>
      </c>
      <c r="H466">
        <f t="shared" si="250"/>
        <v>597.80510204081634</v>
      </c>
      <c r="I466">
        <f t="shared" si="250"/>
        <v>564.57142857142867</v>
      </c>
      <c r="J466">
        <f t="shared" si="250"/>
        <v>626.64285714285722</v>
      </c>
      <c r="K466">
        <f t="shared" si="250"/>
        <v>616.66326530612253</v>
      </c>
      <c r="L466">
        <f t="shared" si="250"/>
        <v>335.46428571428578</v>
      </c>
      <c r="M466">
        <f t="shared" si="250"/>
        <v>422.82612244897962</v>
      </c>
      <c r="N466">
        <f t="shared" si="250"/>
        <v>391.92857142857144</v>
      </c>
      <c r="O466">
        <f t="shared" si="250"/>
        <v>496.08163265306121</v>
      </c>
      <c r="P466">
        <f t="shared" si="250"/>
        <v>534.4989795918367</v>
      </c>
      <c r="Q466">
        <f t="shared" si="250"/>
        <v>585.48979591836735</v>
      </c>
      <c r="R466">
        <f t="shared" si="250"/>
        <v>523.4591836734694</v>
      </c>
      <c r="S466">
        <f t="shared" si="250"/>
        <v>516.55102040816325</v>
      </c>
      <c r="T466">
        <f t="shared" si="250"/>
        <v>558.13775510204084</v>
      </c>
      <c r="U466">
        <f t="shared" si="250"/>
        <v>578.67346938775506</v>
      </c>
      <c r="V466">
        <f t="shared" si="250"/>
        <v>649.03469387755092</v>
      </c>
      <c r="W466">
        <f t="shared" si="250"/>
        <v>682.84285714285704</v>
      </c>
      <c r="Y466" s="8">
        <f t="shared" si="227"/>
        <v>11409.925102040817</v>
      </c>
      <c r="Z466">
        <f t="shared" si="228"/>
        <v>-316.1441062792145</v>
      </c>
    </row>
    <row r="467" spans="1:26" x14ac:dyDescent="0.25">
      <c r="A467" t="s">
        <v>66</v>
      </c>
      <c r="D467">
        <f t="shared" ref="D467:W467" si="251">D59*D93</f>
        <v>524.57142857142856</v>
      </c>
      <c r="E467">
        <f t="shared" si="251"/>
        <v>527</v>
      </c>
      <c r="F467">
        <f t="shared" si="251"/>
        <v>560.73979591836735</v>
      </c>
      <c r="G467">
        <f t="shared" si="251"/>
        <v>546.92857142857144</v>
      </c>
      <c r="H467">
        <f t="shared" si="251"/>
        <v>565.33163265306121</v>
      </c>
      <c r="I467">
        <f t="shared" si="251"/>
        <v>529.21428571428578</v>
      </c>
      <c r="J467">
        <f t="shared" si="251"/>
        <v>557.06632653061217</v>
      </c>
      <c r="K467">
        <f t="shared" si="251"/>
        <v>565.4078571428571</v>
      </c>
      <c r="L467">
        <f t="shared" si="251"/>
        <v>474.3984375</v>
      </c>
      <c r="M467">
        <f t="shared" si="251"/>
        <v>323.64183673469392</v>
      </c>
      <c r="N467">
        <f t="shared" si="251"/>
        <v>304.68857142857144</v>
      </c>
      <c r="O467">
        <f t="shared" si="251"/>
        <v>339.38653061224488</v>
      </c>
      <c r="P467">
        <f t="shared" si="251"/>
        <v>425.41836734693879</v>
      </c>
      <c r="Q467">
        <f t="shared" si="251"/>
        <v>449.9591836734694</v>
      </c>
      <c r="R467">
        <f t="shared" si="251"/>
        <v>666.06285714285718</v>
      </c>
      <c r="S467">
        <f t="shared" si="251"/>
        <v>688.48653061224491</v>
      </c>
      <c r="T467">
        <f t="shared" si="251"/>
        <v>702.39795918367361</v>
      </c>
      <c r="U467">
        <f t="shared" si="251"/>
        <v>754.46428571428578</v>
      </c>
      <c r="V467">
        <f t="shared" si="251"/>
        <v>722.5542857142857</v>
      </c>
      <c r="W467">
        <f t="shared" si="251"/>
        <v>735.33673469387759</v>
      </c>
      <c r="Y467" s="8">
        <f t="shared" si="227"/>
        <v>10963.055478316328</v>
      </c>
      <c r="Z467">
        <f t="shared" si="228"/>
        <v>-118.7415949758994</v>
      </c>
    </row>
    <row r="468" spans="1:26" x14ac:dyDescent="0.25">
      <c r="A468" t="s">
        <v>67</v>
      </c>
      <c r="D468">
        <f t="shared" ref="D468:W468" si="252">D60*D94</f>
        <v>671.08877551020419</v>
      </c>
      <c r="E468">
        <f t="shared" si="252"/>
        <v>515.5612244897959</v>
      </c>
      <c r="F468">
        <f t="shared" si="252"/>
        <v>516.94897959183675</v>
      </c>
      <c r="G468">
        <f t="shared" si="252"/>
        <v>506.92040816326522</v>
      </c>
      <c r="H468">
        <f t="shared" si="252"/>
        <v>518.27448979591827</v>
      </c>
      <c r="I468">
        <f t="shared" si="252"/>
        <v>638.49999999999989</v>
      </c>
      <c r="J468">
        <f t="shared" si="252"/>
        <v>615.36836734693884</v>
      </c>
      <c r="K468">
        <f t="shared" si="252"/>
        <v>526.09183673469386</v>
      </c>
      <c r="L468">
        <f t="shared" si="252"/>
        <v>438.02589285714282</v>
      </c>
      <c r="M468">
        <f t="shared" si="252"/>
        <v>330.19897959183675</v>
      </c>
      <c r="N468">
        <f t="shared" si="252"/>
        <v>303.17346938775512</v>
      </c>
      <c r="O468">
        <f t="shared" si="252"/>
        <v>371.23469387755102</v>
      </c>
      <c r="P468">
        <f t="shared" si="252"/>
        <v>345.20408163265301</v>
      </c>
      <c r="Q468">
        <f t="shared" si="252"/>
        <v>330.62040816326532</v>
      </c>
      <c r="R468">
        <f t="shared" si="252"/>
        <v>247.55612244897958</v>
      </c>
      <c r="S468">
        <f t="shared" si="252"/>
        <v>267.34693877551024</v>
      </c>
      <c r="T468">
        <f t="shared" si="252"/>
        <v>267.9591836734694</v>
      </c>
      <c r="U468">
        <f t="shared" si="252"/>
        <v>308.41836734693874</v>
      </c>
      <c r="V468">
        <f t="shared" si="252"/>
        <v>598.5</v>
      </c>
      <c r="W468">
        <f t="shared" si="252"/>
        <v>745.13265306122446</v>
      </c>
      <c r="Y468" s="8">
        <f t="shared" si="227"/>
        <v>9062.1248724489778</v>
      </c>
      <c r="Z468">
        <f t="shared" si="228"/>
        <v>-245.03564887317816</v>
      </c>
    </row>
    <row r="469" spans="1:26" x14ac:dyDescent="0.25">
      <c r="Y469" s="8"/>
    </row>
    <row r="470" spans="1:26" x14ac:dyDescent="0.25">
      <c r="A470" t="s">
        <v>68</v>
      </c>
      <c r="D470">
        <f t="shared" ref="D470:W470" si="253">D62*D96</f>
        <v>450.88775510204033</v>
      </c>
      <c r="E470">
        <f t="shared" si="253"/>
        <v>386.51020408163134</v>
      </c>
      <c r="F470">
        <f t="shared" si="253"/>
        <v>412.95918367347025</v>
      </c>
      <c r="G470">
        <f t="shared" si="253"/>
        <v>680.69387755102173</v>
      </c>
      <c r="H470">
        <f t="shared" si="253"/>
        <v>451.93877551020364</v>
      </c>
      <c r="I470">
        <f t="shared" si="253"/>
        <v>692.78571428571422</v>
      </c>
      <c r="J470">
        <f t="shared" si="253"/>
        <v>572.23469387754972</v>
      </c>
      <c r="K470">
        <f t="shared" si="253"/>
        <v>423.68954081632779</v>
      </c>
      <c r="L470">
        <f t="shared" si="253"/>
        <v>324.09878954475249</v>
      </c>
      <c r="M470">
        <f t="shared" si="253"/>
        <v>397.17892211085609</v>
      </c>
      <c r="N470">
        <f t="shared" si="253"/>
        <v>320.44319354115186</v>
      </c>
      <c r="O470">
        <f t="shared" si="253"/>
        <v>309.04620456466677</v>
      </c>
      <c r="P470">
        <f t="shared" si="253"/>
        <v>429.95439277519984</v>
      </c>
      <c r="Q470">
        <f t="shared" si="253"/>
        <v>431.68653913433508</v>
      </c>
      <c r="R470">
        <f t="shared" si="253"/>
        <v>453.33076888856186</v>
      </c>
      <c r="S470">
        <f t="shared" si="253"/>
        <v>506.0549519976708</v>
      </c>
      <c r="T470">
        <f t="shared" si="253"/>
        <v>530.95815574167284</v>
      </c>
      <c r="U470">
        <f t="shared" si="253"/>
        <v>599.89336834168807</v>
      </c>
      <c r="V470">
        <f t="shared" si="253"/>
        <v>631.89787260732089</v>
      </c>
      <c r="W470">
        <f t="shared" si="253"/>
        <v>659.02372760363664</v>
      </c>
      <c r="Y470" s="8">
        <f t="shared" si="227"/>
        <v>9665.2666317494732</v>
      </c>
      <c r="Z470">
        <f>SUMPRODUCT($D$474:$W$474,D470:W470)</f>
        <v>-89.316231651809176</v>
      </c>
    </row>
    <row r="471" spans="1:26" x14ac:dyDescent="0.25">
      <c r="A471" t="s">
        <v>312</v>
      </c>
      <c r="D471">
        <f t="shared" ref="D471:W471" si="254">D63*D97</f>
        <v>636.77142857142849</v>
      </c>
      <c r="E471">
        <f t="shared" si="254"/>
        <v>567.89183673469392</v>
      </c>
      <c r="F471">
        <f t="shared" si="254"/>
        <v>376.2151020408163</v>
      </c>
      <c r="G471">
        <f t="shared" si="254"/>
        <v>385.89591836734701</v>
      </c>
      <c r="H471">
        <f t="shared" si="254"/>
        <v>446.9387755102041</v>
      </c>
      <c r="I471">
        <f t="shared" si="254"/>
        <v>396.05102040816325</v>
      </c>
      <c r="J471">
        <f t="shared" si="254"/>
        <v>393.6367346938776</v>
      </c>
      <c r="K471">
        <f t="shared" si="254"/>
        <v>109.32244897959183</v>
      </c>
      <c r="L471">
        <f t="shared" si="254"/>
        <v>249.94828125000001</v>
      </c>
      <c r="M471">
        <f t="shared" si="254"/>
        <v>259.33714285714279</v>
      </c>
      <c r="N471">
        <f t="shared" si="254"/>
        <v>176.95612244897961</v>
      </c>
      <c r="O471">
        <f t="shared" si="254"/>
        <v>226.62857142857143</v>
      </c>
      <c r="P471">
        <f t="shared" si="254"/>
        <v>252.48</v>
      </c>
      <c r="Q471">
        <f t="shared" si="254"/>
        <v>315</v>
      </c>
      <c r="R471">
        <f t="shared" si="254"/>
        <v>301.91999999999996</v>
      </c>
      <c r="S471">
        <f t="shared" si="254"/>
        <v>100.98</v>
      </c>
      <c r="T471">
        <f t="shared" si="254"/>
        <v>314.58000000000004</v>
      </c>
      <c r="U471">
        <f t="shared" si="254"/>
        <v>440.2</v>
      </c>
      <c r="V471">
        <f t="shared" si="254"/>
        <v>694.98</v>
      </c>
      <c r="W471">
        <f t="shared" si="254"/>
        <v>638.82000000000005</v>
      </c>
      <c r="Y471" s="8">
        <f t="shared" si="227"/>
        <v>7284.553383290815</v>
      </c>
      <c r="Z471">
        <f>SUMPRODUCT($D$474:$W$474,D471:W471)</f>
        <v>-21.058187245813684</v>
      </c>
    </row>
    <row r="472" spans="1:26" x14ac:dyDescent="0.25">
      <c r="A472" t="s">
        <v>313</v>
      </c>
      <c r="D472">
        <f t="shared" ref="D472:W472" si="255">D64*D98</f>
        <v>590.64</v>
      </c>
      <c r="E472">
        <f t="shared" si="255"/>
        <v>609.39</v>
      </c>
      <c r="F472">
        <f t="shared" si="255"/>
        <v>375.15000000000003</v>
      </c>
      <c r="G472">
        <f t="shared" si="255"/>
        <v>357.08000000000004</v>
      </c>
      <c r="H472">
        <f t="shared" si="255"/>
        <v>431.12</v>
      </c>
      <c r="I472">
        <f t="shared" si="255"/>
        <v>434.52</v>
      </c>
      <c r="J472">
        <f t="shared" si="255"/>
        <v>414.70000000000005</v>
      </c>
      <c r="K472">
        <f t="shared" si="255"/>
        <v>170.33999999999997</v>
      </c>
      <c r="L472">
        <f t="shared" si="255"/>
        <v>278.24</v>
      </c>
      <c r="M472">
        <f t="shared" si="255"/>
        <v>237.72000000000003</v>
      </c>
      <c r="N472">
        <f t="shared" si="255"/>
        <v>213.31</v>
      </c>
      <c r="O472">
        <f t="shared" si="255"/>
        <v>214.61999999999998</v>
      </c>
      <c r="P472">
        <f t="shared" si="255"/>
        <v>432.47637838400681</v>
      </c>
      <c r="Q472">
        <f t="shared" si="255"/>
        <v>444.46921750196674</v>
      </c>
      <c r="R472">
        <f t="shared" si="255"/>
        <v>453.49636816080516</v>
      </c>
      <c r="S472">
        <f t="shared" si="255"/>
        <v>502.4469963754554</v>
      </c>
      <c r="T472">
        <f t="shared" si="255"/>
        <v>519.31521587171881</v>
      </c>
      <c r="U472">
        <f t="shared" si="255"/>
        <v>585.04111669940994</v>
      </c>
      <c r="V472">
        <f t="shared" si="255"/>
        <v>618.11748555496058</v>
      </c>
      <c r="W472">
        <f t="shared" si="255"/>
        <v>663.28265132583647</v>
      </c>
      <c r="Y472" s="8">
        <f t="shared" si="227"/>
        <v>8545.4754298741609</v>
      </c>
      <c r="Z472">
        <f>SUMPRODUCT($D$474:$W$474,D472:W472)</f>
        <v>25.967081057437412</v>
      </c>
    </row>
    <row r="473" spans="1:26" x14ac:dyDescent="0.25">
      <c r="A473" t="s">
        <v>676</v>
      </c>
      <c r="D473">
        <f t="shared" ref="D473:W473" si="256">D65*D99</f>
        <v>637.90938775510187</v>
      </c>
      <c r="E473">
        <f t="shared" si="256"/>
        <v>659.21142857142866</v>
      </c>
      <c r="F473">
        <f t="shared" si="256"/>
        <v>654.35551020408161</v>
      </c>
      <c r="G473">
        <f t="shared" si="256"/>
        <v>673.30857142857155</v>
      </c>
      <c r="H473">
        <f t="shared" si="256"/>
        <v>661.83428571428578</v>
      </c>
      <c r="I473">
        <f t="shared" si="256"/>
        <v>514.1943014815256</v>
      </c>
      <c r="J473">
        <f t="shared" si="256"/>
        <v>492.38887334358975</v>
      </c>
      <c r="K473">
        <f t="shared" si="256"/>
        <v>477.00932145619606</v>
      </c>
      <c r="L473">
        <f t="shared" si="256"/>
        <v>433.70017632203513</v>
      </c>
      <c r="M473">
        <f t="shared" si="256"/>
        <v>416.16056673806548</v>
      </c>
      <c r="N473">
        <f t="shared" si="256"/>
        <v>408.53580942464436</v>
      </c>
      <c r="O473">
        <f t="shared" si="256"/>
        <v>400.42554828345334</v>
      </c>
      <c r="P473">
        <f t="shared" si="256"/>
        <v>388.31863533527701</v>
      </c>
      <c r="Q473">
        <f t="shared" si="256"/>
        <v>408.53977329446064</v>
      </c>
      <c r="R473">
        <f t="shared" si="256"/>
        <v>452.88000000000005</v>
      </c>
      <c r="S473">
        <f t="shared" si="256"/>
        <v>476.96258503401356</v>
      </c>
      <c r="T473">
        <f t="shared" si="256"/>
        <v>514.8756153767099</v>
      </c>
      <c r="U473">
        <f t="shared" si="256"/>
        <v>587.35791119661644</v>
      </c>
      <c r="V473">
        <f t="shared" si="256"/>
        <v>621.6739467646056</v>
      </c>
      <c r="W473">
        <f t="shared" si="256"/>
        <v>644.43945560561895</v>
      </c>
      <c r="Y473" s="8">
        <f t="shared" ref="Y473" si="257">SUM(D473:W473)</f>
        <v>10524.081703330281</v>
      </c>
      <c r="Z473">
        <f>SUMPRODUCT($D$474:$W$474,D473:W473)</f>
        <v>-352.2053209706898</v>
      </c>
    </row>
    <row r="474" spans="1:26" x14ac:dyDescent="0.25">
      <c r="A474" s="2" t="s">
        <v>69</v>
      </c>
      <c r="D474" s="3">
        <f>CORREL($B$2:$B$26,D444:D468)</f>
        <v>-0.19916936544584896</v>
      </c>
      <c r="E474" s="3">
        <f t="shared" ref="E474:W474" si="258">CORREL($B$2:$B$26,E444:E468)</f>
        <v>-2.062351484390831E-2</v>
      </c>
      <c r="F474" s="3">
        <f t="shared" si="258"/>
        <v>-0.19631161701382915</v>
      </c>
      <c r="G474" s="3">
        <f t="shared" si="258"/>
        <v>-0.23381924391056885</v>
      </c>
      <c r="H474" s="3">
        <f t="shared" si="258"/>
        <v>-9.3769569047220266E-2</v>
      </c>
      <c r="I474" s="3">
        <f t="shared" si="258"/>
        <v>0.22788803726940998</v>
      </c>
      <c r="J474" s="3">
        <f t="shared" si="258"/>
        <v>9.7118683600408359E-2</v>
      </c>
      <c r="K474" s="3">
        <f t="shared" si="258"/>
        <v>-0.14949563594915324</v>
      </c>
      <c r="L474" s="3">
        <f t="shared" si="258"/>
        <v>-0.4155077610639471</v>
      </c>
      <c r="M474" s="3">
        <f t="shared" si="258"/>
        <v>-0.30196788888178566</v>
      </c>
      <c r="N474" s="3">
        <f t="shared" si="258"/>
        <v>-0.24321923690878069</v>
      </c>
      <c r="O474" s="3">
        <f t="shared" si="258"/>
        <v>-0.14349168517626443</v>
      </c>
      <c r="P474" s="3">
        <f t="shared" si="258"/>
        <v>0.16491880654395805</v>
      </c>
      <c r="Q474" s="3">
        <f t="shared" si="258"/>
        <v>-0.17301980603675296</v>
      </c>
      <c r="R474" s="3">
        <f t="shared" si="258"/>
        <v>0.1088932011580436</v>
      </c>
      <c r="S474" s="3">
        <f t="shared" si="258"/>
        <v>2.8019958652650317E-2</v>
      </c>
      <c r="T474" s="3">
        <f t="shared" si="258"/>
        <v>-2.5076736065713718E-2</v>
      </c>
      <c r="U474" s="3">
        <f t="shared" si="258"/>
        <v>0.20130846817403428</v>
      </c>
      <c r="V474" s="3">
        <f t="shared" si="258"/>
        <v>0.31059438562699376</v>
      </c>
      <c r="W474" s="3">
        <f t="shared" si="258"/>
        <v>0.23422764412718783</v>
      </c>
      <c r="X474" s="3"/>
    </row>
    <row r="477" spans="1:26" x14ac:dyDescent="0.25">
      <c r="D477" t="s">
        <v>168</v>
      </c>
      <c r="E477" t="s">
        <v>169</v>
      </c>
      <c r="F477" t="s">
        <v>170</v>
      </c>
      <c r="G477" t="s">
        <v>171</v>
      </c>
      <c r="H477" t="s">
        <v>172</v>
      </c>
      <c r="I477" t="s">
        <v>173</v>
      </c>
      <c r="J477" t="s">
        <v>174</v>
      </c>
      <c r="K477" t="s">
        <v>175</v>
      </c>
      <c r="L477" t="s">
        <v>329</v>
      </c>
      <c r="M477" t="s">
        <v>385</v>
      </c>
      <c r="N477" t="s">
        <v>386</v>
      </c>
      <c r="O477" t="s">
        <v>387</v>
      </c>
      <c r="P477" t="s">
        <v>508</v>
      </c>
      <c r="Q477" t="s">
        <v>509</v>
      </c>
      <c r="R477" t="s">
        <v>510</v>
      </c>
      <c r="S477" t="s">
        <v>511</v>
      </c>
      <c r="T477" t="s">
        <v>620</v>
      </c>
      <c r="U477" t="s">
        <v>621</v>
      </c>
      <c r="V477" t="s">
        <v>622</v>
      </c>
      <c r="W477" t="s">
        <v>623</v>
      </c>
      <c r="Y477" t="s">
        <v>176</v>
      </c>
      <c r="Z477" t="s">
        <v>177</v>
      </c>
    </row>
    <row r="478" spans="1:26" x14ac:dyDescent="0.25">
      <c r="A478" t="s">
        <v>43</v>
      </c>
      <c r="D478">
        <f t="shared" ref="D478:W478" si="259">D36*D104</f>
        <v>2128.2011547444558</v>
      </c>
      <c r="E478">
        <f t="shared" si="259"/>
        <v>1565.3381095006725</v>
      </c>
      <c r="F478">
        <f t="shared" si="259"/>
        <v>1683.7339371600142</v>
      </c>
      <c r="G478">
        <f t="shared" si="259"/>
        <v>2673.9920622427326</v>
      </c>
      <c r="H478">
        <f t="shared" si="259"/>
        <v>2008.5084843074976</v>
      </c>
      <c r="I478">
        <f t="shared" si="259"/>
        <v>1965.0825818034205</v>
      </c>
      <c r="J478">
        <f t="shared" si="259"/>
        <v>1732.988346288251</v>
      </c>
      <c r="K478">
        <f t="shared" si="259"/>
        <v>2044.2057930949179</v>
      </c>
      <c r="L478">
        <f t="shared" si="259"/>
        <v>1597.8219193160046</v>
      </c>
      <c r="M478">
        <f t="shared" si="259"/>
        <v>1592.3520947942643</v>
      </c>
      <c r="N478">
        <f t="shared" si="259"/>
        <v>1747.1901730990357</v>
      </c>
      <c r="O478">
        <f t="shared" si="259"/>
        <v>1895.3957907459583</v>
      </c>
      <c r="P478">
        <f t="shared" si="259"/>
        <v>1483.9535443164318</v>
      </c>
      <c r="Q478">
        <f t="shared" si="259"/>
        <v>2071.9376390964162</v>
      </c>
      <c r="R478">
        <f t="shared" si="259"/>
        <v>5514.3389447420441</v>
      </c>
      <c r="S478">
        <f t="shared" si="259"/>
        <v>1875.5044809700337</v>
      </c>
      <c r="T478">
        <f t="shared" si="259"/>
        <v>1849.5343720564329</v>
      </c>
      <c r="U478">
        <f t="shared" si="259"/>
        <v>1697.1476815705635</v>
      </c>
      <c r="V478">
        <f t="shared" si="259"/>
        <v>2123.5711867162959</v>
      </c>
      <c r="W478">
        <f t="shared" si="259"/>
        <v>1948.5745380893356</v>
      </c>
      <c r="Y478" s="8">
        <f t="shared" ref="Y478:Y506" si="260">SUM(D478:W478)</f>
        <v>41199.37283465478</v>
      </c>
      <c r="Z478">
        <f t="shared" ref="Z478:Z502" si="261">SUMPRODUCT($D$508:$W$508,D478:W478)</f>
        <v>-986.11501644588134</v>
      </c>
    </row>
    <row r="479" spans="1:26" x14ac:dyDescent="0.25">
      <c r="A479" t="s">
        <v>44</v>
      </c>
      <c r="D479">
        <f t="shared" ref="D479:W479" si="262">D37*D105</f>
        <v>1852.3354414852874</v>
      </c>
      <c r="E479">
        <f t="shared" si="262"/>
        <v>1985.6730757521366</v>
      </c>
      <c r="F479">
        <f t="shared" si="262"/>
        <v>1913.8821874971168</v>
      </c>
      <c r="G479">
        <f t="shared" si="262"/>
        <v>2271.8211972351487</v>
      </c>
      <c r="H479">
        <f t="shared" si="262"/>
        <v>1964.0919208122232</v>
      </c>
      <c r="I479">
        <f t="shared" si="262"/>
        <v>1907.5300902741089</v>
      </c>
      <c r="J479">
        <f t="shared" si="262"/>
        <v>1706.3061317062891</v>
      </c>
      <c r="K479">
        <f t="shared" si="262"/>
        <v>2021.9729385945041</v>
      </c>
      <c r="L479">
        <f t="shared" si="262"/>
        <v>1840.9339666036581</v>
      </c>
      <c r="M479">
        <f t="shared" si="262"/>
        <v>2059.8801015981335</v>
      </c>
      <c r="N479">
        <f t="shared" si="262"/>
        <v>1726.1811629061647</v>
      </c>
      <c r="O479">
        <f t="shared" si="262"/>
        <v>1893.2903629803075</v>
      </c>
      <c r="P479">
        <f t="shared" si="262"/>
        <v>1834.0994916062816</v>
      </c>
      <c r="Q479">
        <f t="shared" si="262"/>
        <v>2011.9057606786664</v>
      </c>
      <c r="R479">
        <f t="shared" si="262"/>
        <v>1626.6496909416817</v>
      </c>
      <c r="S479">
        <f t="shared" si="262"/>
        <v>1847.7681754362848</v>
      </c>
      <c r="T479">
        <f t="shared" si="262"/>
        <v>1671.9664519344178</v>
      </c>
      <c r="U479">
        <f t="shared" si="262"/>
        <v>1881.9342268999346</v>
      </c>
      <c r="V479">
        <f t="shared" si="262"/>
        <v>2108.8557275555995</v>
      </c>
      <c r="W479">
        <f t="shared" si="262"/>
        <v>2343.3114668473795</v>
      </c>
      <c r="Y479" s="8">
        <f t="shared" si="260"/>
        <v>38470.389569345323</v>
      </c>
      <c r="Z479">
        <f t="shared" si="261"/>
        <v>-298.90627147806038</v>
      </c>
    </row>
    <row r="480" spans="1:26" x14ac:dyDescent="0.25">
      <c r="A480" t="s">
        <v>45</v>
      </c>
      <c r="D480">
        <f t="shared" ref="D480:W480" si="263">D38*D106</f>
        <v>1947.8265746586162</v>
      </c>
      <c r="E480">
        <f t="shared" si="263"/>
        <v>1732.1861704642897</v>
      </c>
      <c r="F480">
        <f t="shared" si="263"/>
        <v>1885.4526351780196</v>
      </c>
      <c r="G480">
        <f t="shared" si="263"/>
        <v>2127.72170073188</v>
      </c>
      <c r="H480">
        <f t="shared" si="263"/>
        <v>2226.5329119558523</v>
      </c>
      <c r="I480">
        <f t="shared" si="263"/>
        <v>1695.9804376363409</v>
      </c>
      <c r="J480">
        <f t="shared" si="263"/>
        <v>1765.7248388180926</v>
      </c>
      <c r="K480">
        <f t="shared" si="263"/>
        <v>1827.1581879225366</v>
      </c>
      <c r="L480">
        <f t="shared" si="263"/>
        <v>2082.1593701537718</v>
      </c>
      <c r="M480">
        <f t="shared" si="263"/>
        <v>1661.7468688532178</v>
      </c>
      <c r="N480">
        <f t="shared" si="263"/>
        <v>1355.1400690466946</v>
      </c>
      <c r="O480">
        <f t="shared" si="263"/>
        <v>1978.0879839706579</v>
      </c>
      <c r="P480">
        <f t="shared" si="263"/>
        <v>2223.6310395848604</v>
      </c>
      <c r="Q480">
        <f t="shared" si="263"/>
        <v>1906.7705737216054</v>
      </c>
      <c r="R480">
        <f t="shared" si="263"/>
        <v>2133.3171331283852</v>
      </c>
      <c r="S480">
        <f t="shared" si="263"/>
        <v>2182.1097969818479</v>
      </c>
      <c r="T480">
        <f t="shared" si="263"/>
        <v>1870.7685598411865</v>
      </c>
      <c r="U480">
        <f t="shared" si="263"/>
        <v>2169.8857837323244</v>
      </c>
      <c r="V480">
        <f t="shared" si="263"/>
        <v>1855.6580836829055</v>
      </c>
      <c r="W480">
        <f t="shared" si="263"/>
        <v>2221.1333869689429</v>
      </c>
      <c r="Y480" s="8">
        <f t="shared" si="260"/>
        <v>38848.992107032027</v>
      </c>
      <c r="Z480">
        <f t="shared" si="261"/>
        <v>-33.381829081893216</v>
      </c>
    </row>
    <row r="481" spans="1:26" x14ac:dyDescent="0.25">
      <c r="A481" t="s">
        <v>46</v>
      </c>
      <c r="D481">
        <f t="shared" ref="D481:W481" si="264">D39*D107</f>
        <v>2327.8910169259725</v>
      </c>
      <c r="E481">
        <f t="shared" si="264"/>
        <v>2202.5683751239849</v>
      </c>
      <c r="F481">
        <f t="shared" si="264"/>
        <v>2172.3155369842202</v>
      </c>
      <c r="G481">
        <f t="shared" si="264"/>
        <v>2131.6923736712606</v>
      </c>
      <c r="H481">
        <f t="shared" si="264"/>
        <v>1837.8722153120186</v>
      </c>
      <c r="I481">
        <f t="shared" si="264"/>
        <v>2291.8248674021311</v>
      </c>
      <c r="J481">
        <f t="shared" si="264"/>
        <v>2036.4055218664639</v>
      </c>
      <c r="K481">
        <f t="shared" si="264"/>
        <v>1899.2434452860382</v>
      </c>
      <c r="L481">
        <f t="shared" si="264"/>
        <v>2010.7774071935291</v>
      </c>
      <c r="M481">
        <f t="shared" si="264"/>
        <v>1198.5417408933729</v>
      </c>
      <c r="N481">
        <f t="shared" si="264"/>
        <v>1571.8227405274295</v>
      </c>
      <c r="O481">
        <f t="shared" si="264"/>
        <v>1557.769863672213</v>
      </c>
      <c r="P481">
        <f t="shared" si="264"/>
        <v>1926.2913090261491</v>
      </c>
      <c r="Q481">
        <f t="shared" si="264"/>
        <v>2040.7557946012191</v>
      </c>
      <c r="R481">
        <f t="shared" si="264"/>
        <v>1953.2827343658037</v>
      </c>
      <c r="S481">
        <f t="shared" si="264"/>
        <v>1390.5878783536716</v>
      </c>
      <c r="T481">
        <f t="shared" si="264"/>
        <v>1914.5162861397362</v>
      </c>
      <c r="U481">
        <f t="shared" si="264"/>
        <v>2087.2139614606363</v>
      </c>
      <c r="V481">
        <f t="shared" si="264"/>
        <v>1851.1697534028372</v>
      </c>
      <c r="W481">
        <f t="shared" si="264"/>
        <v>1926.7194706977393</v>
      </c>
      <c r="Y481" s="8">
        <f t="shared" si="260"/>
        <v>38329.262292906424</v>
      </c>
      <c r="Z481">
        <f t="shared" si="261"/>
        <v>-291.4512587428942</v>
      </c>
    </row>
    <row r="482" spans="1:26" x14ac:dyDescent="0.25">
      <c r="A482" t="s">
        <v>47</v>
      </c>
      <c r="D482">
        <f t="shared" ref="D482:W482" si="265">D40*D108</f>
        <v>2131.8243004531428</v>
      </c>
      <c r="E482">
        <f t="shared" si="265"/>
        <v>2393.6307860295901</v>
      </c>
      <c r="F482">
        <f t="shared" si="265"/>
        <v>2536.3081954044874</v>
      </c>
      <c r="G482">
        <f t="shared" si="265"/>
        <v>2403.0454932582875</v>
      </c>
      <c r="H482">
        <f t="shared" si="265"/>
        <v>2239.6032101239157</v>
      </c>
      <c r="I482">
        <f t="shared" si="265"/>
        <v>2028.3679762155912</v>
      </c>
      <c r="J482">
        <f t="shared" si="265"/>
        <v>2595.3586594959584</v>
      </c>
      <c r="K482">
        <f t="shared" si="265"/>
        <v>2241.3034254579306</v>
      </c>
      <c r="L482">
        <f t="shared" si="265"/>
        <v>1665.4174868738671</v>
      </c>
      <c r="M482">
        <f t="shared" si="265"/>
        <v>2020.1249964299539</v>
      </c>
      <c r="N482">
        <f t="shared" si="265"/>
        <v>1829.3129818754201</v>
      </c>
      <c r="O482">
        <f t="shared" si="265"/>
        <v>1790.1258547835771</v>
      </c>
      <c r="P482">
        <f t="shared" si="265"/>
        <v>2395.2318645509531</v>
      </c>
      <c r="Q482">
        <f t="shared" si="265"/>
        <v>2158.5790343257049</v>
      </c>
      <c r="R482">
        <f t="shared" si="265"/>
        <v>2074.2155952307917</v>
      </c>
      <c r="S482">
        <f t="shared" si="265"/>
        <v>1681.7344436467374</v>
      </c>
      <c r="T482">
        <f t="shared" si="265"/>
        <v>2033.0400122262106</v>
      </c>
      <c r="U482">
        <f t="shared" si="265"/>
        <v>2345.6307590049264</v>
      </c>
      <c r="V482">
        <f t="shared" si="265"/>
        <v>2138.9634876255495</v>
      </c>
      <c r="W482">
        <f t="shared" si="265"/>
        <v>1707.5268370373556</v>
      </c>
      <c r="Y482" s="8">
        <f t="shared" si="260"/>
        <v>42409.345400049941</v>
      </c>
      <c r="Z482">
        <f t="shared" si="261"/>
        <v>-243.55790798491182</v>
      </c>
    </row>
    <row r="483" spans="1:26" x14ac:dyDescent="0.25">
      <c r="A483" t="s">
        <v>48</v>
      </c>
      <c r="D483">
        <f t="shared" ref="D483:W483" si="266">D41*D109</f>
        <v>2189.6751099469666</v>
      </c>
      <c r="E483">
        <f t="shared" si="266"/>
        <v>1765.2236794877199</v>
      </c>
      <c r="F483">
        <f t="shared" si="266"/>
        <v>1778.0858006564129</v>
      </c>
      <c r="G483">
        <f t="shared" si="266"/>
        <v>2519.8620704410828</v>
      </c>
      <c r="H483">
        <f t="shared" si="266"/>
        <v>1840.8909809718261</v>
      </c>
      <c r="I483">
        <f t="shared" si="266"/>
        <v>2082.3067270030142</v>
      </c>
      <c r="J483">
        <f t="shared" si="266"/>
        <v>2113.6302449627719</v>
      </c>
      <c r="K483">
        <f t="shared" si="266"/>
        <v>1889.0893352842547</v>
      </c>
      <c r="L483">
        <f t="shared" si="266"/>
        <v>1888.0627106664124</v>
      </c>
      <c r="M483">
        <f t="shared" si="266"/>
        <v>2005.2027066256546</v>
      </c>
      <c r="N483">
        <f t="shared" si="266"/>
        <v>2032.3716271651867</v>
      </c>
      <c r="O483">
        <f t="shared" si="266"/>
        <v>1776.9492304679743</v>
      </c>
      <c r="P483">
        <f t="shared" si="266"/>
        <v>1784.0574387087133</v>
      </c>
      <c r="Q483">
        <f t="shared" si="266"/>
        <v>1391.4131545206121</v>
      </c>
      <c r="R483">
        <f t="shared" si="266"/>
        <v>1574.0283972860941</v>
      </c>
      <c r="S483">
        <f t="shared" si="266"/>
        <v>2168.3258026020508</v>
      </c>
      <c r="T483">
        <f t="shared" si="266"/>
        <v>1540.5574395982285</v>
      </c>
      <c r="U483">
        <f t="shared" si="266"/>
        <v>1618.5241169007006</v>
      </c>
      <c r="V483">
        <f t="shared" si="266"/>
        <v>2044.4444302217264</v>
      </c>
      <c r="W483">
        <f t="shared" si="266"/>
        <v>2128.7533283735702</v>
      </c>
      <c r="Y483" s="8">
        <f t="shared" si="260"/>
        <v>38131.454331890971</v>
      </c>
      <c r="Z483">
        <f t="shared" si="261"/>
        <v>-489.34046527040982</v>
      </c>
    </row>
    <row r="484" spans="1:26" x14ac:dyDescent="0.25">
      <c r="A484" t="s">
        <v>49</v>
      </c>
      <c r="D484">
        <f t="shared" ref="D484:W484" si="267">D42*D110</f>
        <v>2228.0857025482192</v>
      </c>
      <c r="E484">
        <f t="shared" si="267"/>
        <v>2166.0882695765617</v>
      </c>
      <c r="F484">
        <f t="shared" si="267"/>
        <v>2493.5962497714536</v>
      </c>
      <c r="G484">
        <f t="shared" si="267"/>
        <v>2742.2682352921361</v>
      </c>
      <c r="H484">
        <f t="shared" si="267"/>
        <v>2927.8219650445917</v>
      </c>
      <c r="I484">
        <f t="shared" si="267"/>
        <v>2644.1091003249517</v>
      </c>
      <c r="J484">
        <f t="shared" si="267"/>
        <v>2458.3076607630619</v>
      </c>
      <c r="K484">
        <f t="shared" si="267"/>
        <v>2025.7317501075281</v>
      </c>
      <c r="L484">
        <f t="shared" si="267"/>
        <v>2113.1004399835806</v>
      </c>
      <c r="M484">
        <f t="shared" si="267"/>
        <v>2170.9777907490825</v>
      </c>
      <c r="N484">
        <f t="shared" si="267"/>
        <v>2278.4258283344311</v>
      </c>
      <c r="O484">
        <f t="shared" si="267"/>
        <v>1959.3921598314796</v>
      </c>
      <c r="P484">
        <f t="shared" si="267"/>
        <v>2210.0720639590513</v>
      </c>
      <c r="Q484">
        <f t="shared" si="267"/>
        <v>2286.6760289874519</v>
      </c>
      <c r="R484">
        <f t="shared" si="267"/>
        <v>2711.4101439347851</v>
      </c>
      <c r="S484">
        <f t="shared" si="267"/>
        <v>2442.8630750676793</v>
      </c>
      <c r="T484">
        <f t="shared" si="267"/>
        <v>1744.3527399110617</v>
      </c>
      <c r="U484">
        <f t="shared" si="267"/>
        <v>2043.4964799374295</v>
      </c>
      <c r="V484">
        <f t="shared" si="267"/>
        <v>1862.7151256970137</v>
      </c>
      <c r="W484">
        <f t="shared" si="267"/>
        <v>2499.8163548820039</v>
      </c>
      <c r="Y484" s="8">
        <f t="shared" si="260"/>
        <v>46009.307164703554</v>
      </c>
      <c r="Z484">
        <f t="shared" si="261"/>
        <v>-681.39839774313668</v>
      </c>
    </row>
    <row r="485" spans="1:26" x14ac:dyDescent="0.25">
      <c r="A485" t="s">
        <v>50</v>
      </c>
      <c r="D485">
        <f t="shared" ref="D485:W485" si="268">D43*D111</f>
        <v>363.08573503039014</v>
      </c>
      <c r="E485">
        <f t="shared" si="268"/>
        <v>2547.0116343383556</v>
      </c>
      <c r="F485">
        <f t="shared" si="268"/>
        <v>2415.5053088848076</v>
      </c>
      <c r="G485">
        <f t="shared" si="268"/>
        <v>2005.9384688142809</v>
      </c>
      <c r="H485">
        <f t="shared" si="268"/>
        <v>2163.4797824461916</v>
      </c>
      <c r="I485">
        <f t="shared" si="268"/>
        <v>2247.6458104396779</v>
      </c>
      <c r="J485">
        <f t="shared" si="268"/>
        <v>1824.2331480165499</v>
      </c>
      <c r="K485">
        <f t="shared" si="268"/>
        <v>1899.7737651235475</v>
      </c>
      <c r="L485">
        <f t="shared" si="268"/>
        <v>2023.4493544707059</v>
      </c>
      <c r="M485">
        <f t="shared" si="268"/>
        <v>1946.3048089326001</v>
      </c>
      <c r="N485">
        <f t="shared" si="268"/>
        <v>1674.6178882159929</v>
      </c>
      <c r="O485">
        <f t="shared" si="268"/>
        <v>1830.9597167993982</v>
      </c>
      <c r="P485">
        <f t="shared" si="268"/>
        <v>1920.0841384792</v>
      </c>
      <c r="Q485">
        <f t="shared" si="268"/>
        <v>1839.6072889512152</v>
      </c>
      <c r="R485">
        <f t="shared" si="268"/>
        <v>2211.6331405241035</v>
      </c>
      <c r="S485">
        <f t="shared" si="268"/>
        <v>2288.8272197515325</v>
      </c>
      <c r="T485">
        <f t="shared" si="268"/>
        <v>2125.05110094779</v>
      </c>
      <c r="U485">
        <f t="shared" si="268"/>
        <v>2138.5441507741175</v>
      </c>
      <c r="V485">
        <f t="shared" si="268"/>
        <v>2756.5333060877515</v>
      </c>
      <c r="W485">
        <f t="shared" si="268"/>
        <v>2524.8984119246757</v>
      </c>
      <c r="Y485" s="8">
        <f t="shared" si="260"/>
        <v>40747.184178952884</v>
      </c>
      <c r="Z485">
        <f t="shared" si="261"/>
        <v>625.18226452267413</v>
      </c>
    </row>
    <row r="486" spans="1:26" x14ac:dyDescent="0.25">
      <c r="A486" t="s">
        <v>51</v>
      </c>
      <c r="D486">
        <f t="shared" ref="D486:W486" si="269">D44*D112</f>
        <v>2332.3899836750761</v>
      </c>
      <c r="E486">
        <f t="shared" si="269"/>
        <v>2465.2451755880338</v>
      </c>
      <c r="F486">
        <f t="shared" si="269"/>
        <v>2575.790367734729</v>
      </c>
      <c r="G486">
        <f t="shared" si="269"/>
        <v>2677.369026887598</v>
      </c>
      <c r="H486">
        <f t="shared" si="269"/>
        <v>2472.0492953814846</v>
      </c>
      <c r="I486">
        <f t="shared" si="269"/>
        <v>2395.8944893693738</v>
      </c>
      <c r="J486">
        <f t="shared" si="269"/>
        <v>2510.3864239211025</v>
      </c>
      <c r="K486">
        <f t="shared" si="269"/>
        <v>2467.5454818765907</v>
      </c>
      <c r="L486">
        <f t="shared" si="269"/>
        <v>2336.7161633757864</v>
      </c>
      <c r="M486">
        <f t="shared" si="269"/>
        <v>2247.6990919297041</v>
      </c>
      <c r="N486">
        <f t="shared" si="269"/>
        <v>2133.7493904720595</v>
      </c>
      <c r="O486">
        <f t="shared" si="269"/>
        <v>2120.5498480171427</v>
      </c>
      <c r="P486">
        <f t="shared" si="269"/>
        <v>2522.0419678842395</v>
      </c>
      <c r="Q486">
        <f t="shared" si="269"/>
        <v>4454.4330557002913</v>
      </c>
      <c r="R486">
        <f t="shared" si="269"/>
        <v>1670.8354390666486</v>
      </c>
      <c r="S486">
        <f t="shared" si="269"/>
        <v>1870.0141945362273</v>
      </c>
      <c r="T486">
        <f t="shared" si="269"/>
        <v>1746.6730861460881</v>
      </c>
      <c r="U486">
        <f t="shared" si="269"/>
        <v>1932.1577820457919</v>
      </c>
      <c r="V486">
        <f t="shared" si="269"/>
        <v>2521.3488596221673</v>
      </c>
      <c r="W486">
        <f t="shared" si="269"/>
        <v>3050.7332950943883</v>
      </c>
      <c r="Y486" s="8">
        <f t="shared" si="260"/>
        <v>48503.622418324529</v>
      </c>
      <c r="Z486">
        <f t="shared" si="261"/>
        <v>-536.6197455929389</v>
      </c>
    </row>
    <row r="487" spans="1:26" x14ac:dyDescent="0.25">
      <c r="A487" t="s">
        <v>52</v>
      </c>
      <c r="D487">
        <f t="shared" ref="D487:W487" si="270">D45*D113</f>
        <v>2615.5670582817233</v>
      </c>
      <c r="E487">
        <f t="shared" si="270"/>
        <v>2395.7654996763044</v>
      </c>
      <c r="F487">
        <f t="shared" si="270"/>
        <v>2431.5680997535924</v>
      </c>
      <c r="G487">
        <f t="shared" si="270"/>
        <v>2460.214349854487</v>
      </c>
      <c r="H487">
        <f t="shared" si="270"/>
        <v>2178.5401422355708</v>
      </c>
      <c r="I487">
        <f t="shared" si="270"/>
        <v>2051.314614111177</v>
      </c>
      <c r="J487">
        <f t="shared" si="270"/>
        <v>2052.2401758392471</v>
      </c>
      <c r="K487">
        <f t="shared" si="270"/>
        <v>2152.53262846603</v>
      </c>
      <c r="L487">
        <f t="shared" si="270"/>
        <v>2147.0881940492186</v>
      </c>
      <c r="M487">
        <f t="shared" si="270"/>
        <v>2344.7394985018636</v>
      </c>
      <c r="N487">
        <f t="shared" si="270"/>
        <v>2295.9273808718931</v>
      </c>
      <c r="O487">
        <f t="shared" si="270"/>
        <v>2167.1312312514419</v>
      </c>
      <c r="P487">
        <f t="shared" si="270"/>
        <v>2267.9735447864578</v>
      </c>
      <c r="Q487">
        <f t="shared" si="270"/>
        <v>2273.806815847468</v>
      </c>
      <c r="R487">
        <f t="shared" si="270"/>
        <v>2398.0387475826724</v>
      </c>
      <c r="S487">
        <f t="shared" si="270"/>
        <v>2508.3206982662405</v>
      </c>
      <c r="T487">
        <f t="shared" si="270"/>
        <v>2350.7322085424162</v>
      </c>
      <c r="U487">
        <f t="shared" si="270"/>
        <v>2600.6961371526827</v>
      </c>
      <c r="V487">
        <f t="shared" si="270"/>
        <v>2474.6791246947464</v>
      </c>
      <c r="W487">
        <f t="shared" si="270"/>
        <v>2626.8497822629879</v>
      </c>
      <c r="Y487" s="8">
        <f t="shared" si="260"/>
        <v>46793.725932028225</v>
      </c>
      <c r="Z487">
        <f t="shared" si="261"/>
        <v>-399.06955653678352</v>
      </c>
    </row>
    <row r="488" spans="1:26" x14ac:dyDescent="0.25">
      <c r="A488" t="s">
        <v>53</v>
      </c>
      <c r="D488">
        <f t="shared" ref="D488:W488" si="271">D46*D114</f>
        <v>2723.0124829097422</v>
      </c>
      <c r="E488">
        <f t="shared" si="271"/>
        <v>2542.3030367524348</v>
      </c>
      <c r="F488">
        <f t="shared" si="271"/>
        <v>2714.3429317746431</v>
      </c>
      <c r="G488">
        <f t="shared" si="271"/>
        <v>2231.3963743334252</v>
      </c>
      <c r="H488">
        <f t="shared" si="271"/>
        <v>2406.8406348764529</v>
      </c>
      <c r="I488">
        <f t="shared" si="271"/>
        <v>2461.5675384221513</v>
      </c>
      <c r="J488">
        <f t="shared" si="271"/>
        <v>2400.3547979928812</v>
      </c>
      <c r="K488">
        <f t="shared" si="271"/>
        <v>2324.8668288111594</v>
      </c>
      <c r="L488">
        <f t="shared" si="271"/>
        <v>2293.5400046199466</v>
      </c>
      <c r="M488">
        <f t="shared" si="271"/>
        <v>2367.3559027985966</v>
      </c>
      <c r="N488">
        <f t="shared" si="271"/>
        <v>2275.3672427949127</v>
      </c>
      <c r="O488">
        <f t="shared" si="271"/>
        <v>2085.4436740931892</v>
      </c>
      <c r="P488">
        <f t="shared" si="271"/>
        <v>2208.2715700250901</v>
      </c>
      <c r="Q488">
        <f t="shared" si="271"/>
        <v>2223.1704435221491</v>
      </c>
      <c r="R488">
        <f t="shared" si="271"/>
        <v>2454.3433021940946</v>
      </c>
      <c r="S488">
        <f t="shared" si="271"/>
        <v>2391.9234243313249</v>
      </c>
      <c r="T488">
        <f t="shared" si="271"/>
        <v>2261.6840226481931</v>
      </c>
      <c r="U488">
        <f t="shared" si="271"/>
        <v>2572.4850021258239</v>
      </c>
      <c r="V488">
        <f t="shared" si="271"/>
        <v>2449.2133800955889</v>
      </c>
      <c r="W488">
        <f t="shared" si="271"/>
        <v>2584.8018529284491</v>
      </c>
      <c r="Y488" s="8">
        <f t="shared" si="260"/>
        <v>47972.284448050254</v>
      </c>
      <c r="Z488">
        <f t="shared" si="261"/>
        <v>-404.8129219741831</v>
      </c>
    </row>
    <row r="489" spans="1:26" x14ac:dyDescent="0.25">
      <c r="A489" t="s">
        <v>54</v>
      </c>
      <c r="D489">
        <f t="shared" ref="D489:W489" si="272">D47*D115</f>
        <v>2753.9289638311639</v>
      </c>
      <c r="E489">
        <f t="shared" si="272"/>
        <v>1781.5498588412363</v>
      </c>
      <c r="F489">
        <f t="shared" si="272"/>
        <v>1886.4332125547803</v>
      </c>
      <c r="G489">
        <f t="shared" si="272"/>
        <v>2275.738798796961</v>
      </c>
      <c r="H489">
        <f t="shared" si="272"/>
        <v>2532.4771670463651</v>
      </c>
      <c r="I489">
        <f t="shared" si="272"/>
        <v>2039.4225654655174</v>
      </c>
      <c r="J489">
        <f t="shared" si="272"/>
        <v>2203.0898428055875</v>
      </c>
      <c r="K489">
        <f t="shared" si="272"/>
        <v>1907.6615774506295</v>
      </c>
      <c r="L489">
        <f t="shared" si="272"/>
        <v>1949.1177917351752</v>
      </c>
      <c r="M489">
        <f t="shared" si="272"/>
        <v>1703.924431586677</v>
      </c>
      <c r="N489">
        <f t="shared" si="272"/>
        <v>1563.3559696099617</v>
      </c>
      <c r="O489">
        <f t="shared" si="272"/>
        <v>1995.5854274571861</v>
      </c>
      <c r="P489">
        <f t="shared" si="272"/>
        <v>1952.9891703678188</v>
      </c>
      <c r="Q489">
        <f t="shared" si="272"/>
        <v>2142.3758211655459</v>
      </c>
      <c r="R489">
        <f t="shared" si="272"/>
        <v>1408.1458061106625</v>
      </c>
      <c r="S489">
        <f t="shared" si="272"/>
        <v>1984.7148703211155</v>
      </c>
      <c r="T489">
        <f t="shared" si="272"/>
        <v>2109.2400549578597</v>
      </c>
      <c r="U489">
        <f t="shared" si="272"/>
        <v>1884.5993696751161</v>
      </c>
      <c r="V489">
        <f t="shared" si="272"/>
        <v>1995.1583175136082</v>
      </c>
      <c r="W489">
        <f t="shared" si="272"/>
        <v>1783.6271768962145</v>
      </c>
      <c r="Y489" s="8">
        <f t="shared" si="260"/>
        <v>39853.136194189196</v>
      </c>
      <c r="Z489">
        <f t="shared" si="261"/>
        <v>-176.39332409620499</v>
      </c>
    </row>
    <row r="490" spans="1:26" x14ac:dyDescent="0.25">
      <c r="A490" t="s">
        <v>55</v>
      </c>
      <c r="D490">
        <f t="shared" ref="D490:W490" si="273">D48*D116</f>
        <v>2383.6268293551948</v>
      </c>
      <c r="E490">
        <f t="shared" si="273"/>
        <v>2698.2245394488136</v>
      </c>
      <c r="F490">
        <f t="shared" si="273"/>
        <v>2365.2568262245773</v>
      </c>
      <c r="G490">
        <f t="shared" si="273"/>
        <v>1927.9894146742054</v>
      </c>
      <c r="H490">
        <f t="shared" si="273"/>
        <v>1755.6630356430574</v>
      </c>
      <c r="I490">
        <f t="shared" si="273"/>
        <v>1553.2876832018308</v>
      </c>
      <c r="J490">
        <f t="shared" si="273"/>
        <v>1577.0169826586587</v>
      </c>
      <c r="K490">
        <f t="shared" si="273"/>
        <v>1775.4698525082576</v>
      </c>
      <c r="L490">
        <f t="shared" si="273"/>
        <v>1587.5681804904771</v>
      </c>
      <c r="M490">
        <f t="shared" si="273"/>
        <v>1646.8239477813165</v>
      </c>
      <c r="N490">
        <f t="shared" si="273"/>
        <v>1614.470935172156</v>
      </c>
      <c r="O490">
        <f t="shared" si="273"/>
        <v>1467.109002186839</v>
      </c>
      <c r="P490">
        <f t="shared" si="273"/>
        <v>1559.2501382118187</v>
      </c>
      <c r="Q490">
        <f t="shared" si="273"/>
        <v>1848.2647394453998</v>
      </c>
      <c r="R490">
        <f t="shared" si="273"/>
        <v>1977.2125321981796</v>
      </c>
      <c r="S490">
        <f t="shared" si="273"/>
        <v>2033.6034881067678</v>
      </c>
      <c r="T490">
        <f t="shared" si="273"/>
        <v>529.60684816777348</v>
      </c>
      <c r="U490">
        <f t="shared" si="273"/>
        <v>2298.3604203915306</v>
      </c>
      <c r="V490">
        <f t="shared" si="273"/>
        <v>1624.3949201921089</v>
      </c>
      <c r="W490">
        <f t="shared" si="273"/>
        <v>2283.9732893549558</v>
      </c>
      <c r="Y490" s="8">
        <f t="shared" si="260"/>
        <v>36507.173605413926</v>
      </c>
      <c r="Z490">
        <f t="shared" si="261"/>
        <v>-1269.7313426493849</v>
      </c>
    </row>
    <row r="491" spans="1:26" x14ac:dyDescent="0.25">
      <c r="A491" t="s">
        <v>56</v>
      </c>
      <c r="D491">
        <f t="shared" ref="D491:W491" si="274">D49*D117</f>
        <v>1992.722787375681</v>
      </c>
      <c r="E491">
        <f t="shared" si="274"/>
        <v>2403.9166275310054</v>
      </c>
      <c r="F491">
        <f t="shared" si="274"/>
        <v>2191.4650853457983</v>
      </c>
      <c r="G491">
        <f t="shared" si="274"/>
        <v>2179.7571166885346</v>
      </c>
      <c r="H491">
        <f t="shared" si="274"/>
        <v>2195.6990898494669</v>
      </c>
      <c r="I491">
        <f t="shared" si="274"/>
        <v>1664.0566636997269</v>
      </c>
      <c r="J491">
        <f t="shared" si="274"/>
        <v>1863.6779336356315</v>
      </c>
      <c r="K491">
        <f t="shared" si="274"/>
        <v>1832.5831567454493</v>
      </c>
      <c r="L491">
        <f t="shared" si="274"/>
        <v>1665.6710076245129</v>
      </c>
      <c r="M491">
        <f t="shared" si="274"/>
        <v>1475.6496559397738</v>
      </c>
      <c r="N491">
        <f t="shared" si="274"/>
        <v>1834.5212133342441</v>
      </c>
      <c r="O491">
        <f t="shared" si="274"/>
        <v>1970.384901073372</v>
      </c>
      <c r="P491">
        <f t="shared" si="274"/>
        <v>1652.4468229501531</v>
      </c>
      <c r="Q491">
        <f t="shared" si="274"/>
        <v>1502.8151964387862</v>
      </c>
      <c r="R491">
        <f t="shared" si="274"/>
        <v>1631.5913905840403</v>
      </c>
      <c r="S491">
        <f t="shared" si="274"/>
        <v>1990.0697629172198</v>
      </c>
      <c r="T491">
        <f t="shared" si="274"/>
        <v>1944.8019002441513</v>
      </c>
      <c r="U491">
        <f t="shared" si="274"/>
        <v>1850.050898961741</v>
      </c>
      <c r="V491">
        <f t="shared" si="274"/>
        <v>2000.1742472934013</v>
      </c>
      <c r="W491">
        <f t="shared" si="274"/>
        <v>2003.4904833104065</v>
      </c>
      <c r="Y491" s="8">
        <f t="shared" si="260"/>
        <v>37845.545941543096</v>
      </c>
      <c r="Z491">
        <f t="shared" si="261"/>
        <v>-263.70412185394957</v>
      </c>
    </row>
    <row r="492" spans="1:26" x14ac:dyDescent="0.25">
      <c r="A492" t="s">
        <v>57</v>
      </c>
      <c r="D492">
        <f t="shared" ref="D492:W492" si="275">D50*D118</f>
        <v>2036.5679640689948</v>
      </c>
      <c r="E492">
        <f t="shared" si="275"/>
        <v>1767.6274494226086</v>
      </c>
      <c r="F492">
        <f t="shared" si="275"/>
        <v>1637.7764053482413</v>
      </c>
      <c r="G492">
        <f t="shared" si="275"/>
        <v>2095.1307084459486</v>
      </c>
      <c r="H492">
        <f t="shared" si="275"/>
        <v>1480.6432818295268</v>
      </c>
      <c r="I492">
        <f t="shared" si="275"/>
        <v>1231.3121623019997</v>
      </c>
      <c r="J492">
        <f t="shared" si="275"/>
        <v>1727.8094339523564</v>
      </c>
      <c r="K492">
        <f t="shared" si="275"/>
        <v>1868.09309097492</v>
      </c>
      <c r="L492">
        <f t="shared" si="275"/>
        <v>1358.5628003247932</v>
      </c>
      <c r="M492">
        <f t="shared" si="275"/>
        <v>1543.4007257934893</v>
      </c>
      <c r="N492">
        <f t="shared" si="275"/>
        <v>1832.5198237199297</v>
      </c>
      <c r="O492">
        <f t="shared" si="275"/>
        <v>1439.5689796705435</v>
      </c>
      <c r="P492">
        <f t="shared" si="275"/>
        <v>957.19383587856009</v>
      </c>
      <c r="Q492">
        <f t="shared" si="275"/>
        <v>897.11752735617711</v>
      </c>
      <c r="R492">
        <f t="shared" si="275"/>
        <v>1053.1352692284183</v>
      </c>
      <c r="S492">
        <f t="shared" si="275"/>
        <v>1390.6434102537351</v>
      </c>
      <c r="T492">
        <f t="shared" si="275"/>
        <v>1616.8302452983269</v>
      </c>
      <c r="U492">
        <f t="shared" si="275"/>
        <v>1252.927021870257</v>
      </c>
      <c r="V492">
        <f t="shared" si="275"/>
        <v>1589.7481393928597</v>
      </c>
      <c r="W492">
        <f t="shared" si="275"/>
        <v>1705.120880124274</v>
      </c>
      <c r="Y492" s="8">
        <f t="shared" si="260"/>
        <v>30481.729155255965</v>
      </c>
      <c r="Z492">
        <f t="shared" si="261"/>
        <v>-602.23832297829699</v>
      </c>
    </row>
    <row r="493" spans="1:26" x14ac:dyDescent="0.25">
      <c r="A493" t="s">
        <v>58</v>
      </c>
      <c r="D493">
        <f t="shared" ref="D493:W493" si="276">D51*D119</f>
        <v>2134.2409865581576</v>
      </c>
      <c r="E493">
        <f t="shared" si="276"/>
        <v>2187.1525435660737</v>
      </c>
      <c r="F493">
        <f t="shared" si="276"/>
        <v>1635.458000595778</v>
      </c>
      <c r="G493">
        <f t="shared" si="276"/>
        <v>1521.5772484304503</v>
      </c>
      <c r="H493">
        <f t="shared" si="276"/>
        <v>1421.0760686751676</v>
      </c>
      <c r="I493">
        <f t="shared" si="276"/>
        <v>1713.4698392393832</v>
      </c>
      <c r="J493">
        <f t="shared" si="276"/>
        <v>1353.9253955078118</v>
      </c>
      <c r="K493">
        <f t="shared" si="276"/>
        <v>1877.6630506347399</v>
      </c>
      <c r="L493">
        <f t="shared" si="276"/>
        <v>1794.7449571430952</v>
      </c>
      <c r="M493">
        <f t="shared" si="276"/>
        <v>1299.6267707637087</v>
      </c>
      <c r="N493">
        <f t="shared" si="276"/>
        <v>1242.4275719201914</v>
      </c>
      <c r="O493">
        <f t="shared" si="276"/>
        <v>1181.5753686986723</v>
      </c>
      <c r="P493">
        <f t="shared" si="276"/>
        <v>1478.7826649710671</v>
      </c>
      <c r="Q493">
        <f t="shared" si="276"/>
        <v>1609.6266619233402</v>
      </c>
      <c r="R493">
        <f t="shared" si="276"/>
        <v>1570.7492096865444</v>
      </c>
      <c r="S493">
        <f t="shared" si="276"/>
        <v>1432.1213875180254</v>
      </c>
      <c r="T493">
        <f t="shared" si="276"/>
        <v>1910.5059414475124</v>
      </c>
      <c r="U493">
        <f t="shared" si="276"/>
        <v>1765.9636078645401</v>
      </c>
      <c r="V493">
        <f t="shared" si="276"/>
        <v>1083.4709597685014</v>
      </c>
      <c r="W493">
        <f t="shared" si="276"/>
        <v>1871.7126408295928</v>
      </c>
      <c r="Y493" s="8">
        <f t="shared" si="260"/>
        <v>32085.870875742348</v>
      </c>
      <c r="Z493">
        <f t="shared" si="261"/>
        <v>-199.32930444819101</v>
      </c>
    </row>
    <row r="494" spans="1:26" x14ac:dyDescent="0.25">
      <c r="A494" t="s">
        <v>59</v>
      </c>
      <c r="D494">
        <f t="shared" ref="D494:W494" si="277">D52*D120</f>
        <v>1885.3280565943064</v>
      </c>
      <c r="E494">
        <f t="shared" si="277"/>
        <v>2222.574485122786</v>
      </c>
      <c r="F494">
        <f t="shared" si="277"/>
        <v>1784.3282474114073</v>
      </c>
      <c r="G494">
        <f t="shared" si="277"/>
        <v>1782.4562008684441</v>
      </c>
      <c r="H494">
        <f t="shared" si="277"/>
        <v>1732.8491397259463</v>
      </c>
      <c r="I494">
        <f t="shared" si="277"/>
        <v>1873.5979229673678</v>
      </c>
      <c r="J494">
        <f t="shared" si="277"/>
        <v>1728.9612204091009</v>
      </c>
      <c r="K494">
        <f t="shared" si="277"/>
        <v>1797.8980322615726</v>
      </c>
      <c r="L494">
        <f t="shared" si="277"/>
        <v>1811.2771697268806</v>
      </c>
      <c r="M494">
        <f t="shared" si="277"/>
        <v>1593.7445262917854</v>
      </c>
      <c r="N494">
        <f t="shared" si="277"/>
        <v>1673.170830128563</v>
      </c>
      <c r="O494">
        <f t="shared" si="277"/>
        <v>1717.731522436241</v>
      </c>
      <c r="P494">
        <f t="shared" si="277"/>
        <v>1709.1408537860073</v>
      </c>
      <c r="Q494">
        <f t="shared" si="277"/>
        <v>1610.213735246359</v>
      </c>
      <c r="R494">
        <f t="shared" si="277"/>
        <v>1777.3341272189282</v>
      </c>
      <c r="S494">
        <f t="shared" si="277"/>
        <v>1898.9590111015727</v>
      </c>
      <c r="T494">
        <f t="shared" si="277"/>
        <v>1908.3014642540177</v>
      </c>
      <c r="U494">
        <f t="shared" si="277"/>
        <v>1795.5630173912687</v>
      </c>
      <c r="V494">
        <f t="shared" si="277"/>
        <v>2047.8921808064972</v>
      </c>
      <c r="W494">
        <f t="shared" si="277"/>
        <v>1913.3308704036099</v>
      </c>
      <c r="Y494" s="8">
        <f t="shared" si="260"/>
        <v>36264.652614152663</v>
      </c>
      <c r="Z494">
        <f t="shared" si="261"/>
        <v>-16.654758857878335</v>
      </c>
    </row>
    <row r="495" spans="1:26" x14ac:dyDescent="0.25">
      <c r="A495" t="s">
        <v>60</v>
      </c>
      <c r="D495">
        <f t="shared" ref="D495:W495" si="278">D53*D121</f>
        <v>1800.4355388917054</v>
      </c>
      <c r="E495">
        <f t="shared" si="278"/>
        <v>2111.3056918047296</v>
      </c>
      <c r="F495">
        <f t="shared" si="278"/>
        <v>1715.6725129881988</v>
      </c>
      <c r="G495">
        <f t="shared" si="278"/>
        <v>1776.0315099480704</v>
      </c>
      <c r="H495">
        <f t="shared" si="278"/>
        <v>1724.9086549808662</v>
      </c>
      <c r="I495">
        <f t="shared" si="278"/>
        <v>1886.2966884079324</v>
      </c>
      <c r="J495">
        <f t="shared" si="278"/>
        <v>1740.1839389428162</v>
      </c>
      <c r="K495">
        <f t="shared" si="278"/>
        <v>1754.629149781689</v>
      </c>
      <c r="L495">
        <f t="shared" si="278"/>
        <v>1790.8193678958471</v>
      </c>
      <c r="M495">
        <f t="shared" si="278"/>
        <v>1701.5637049015186</v>
      </c>
      <c r="N495">
        <f t="shared" si="278"/>
        <v>1588.7184982767108</v>
      </c>
      <c r="O495">
        <f t="shared" si="278"/>
        <v>1785.5748718453765</v>
      </c>
      <c r="P495">
        <f t="shared" si="278"/>
        <v>1796.1161184710299</v>
      </c>
      <c r="Q495">
        <f t="shared" si="278"/>
        <v>1703.2612106929066</v>
      </c>
      <c r="R495">
        <f t="shared" si="278"/>
        <v>2476.5232329942291</v>
      </c>
      <c r="S495">
        <f t="shared" si="278"/>
        <v>2471.4970106937421</v>
      </c>
      <c r="T495">
        <f t="shared" si="278"/>
        <v>2202.0610384663928</v>
      </c>
      <c r="U495">
        <f t="shared" si="278"/>
        <v>1991.838410811099</v>
      </c>
      <c r="V495">
        <f t="shared" si="278"/>
        <v>2075.119923321296</v>
      </c>
      <c r="W495">
        <f t="shared" si="278"/>
        <v>1973.9029825280343</v>
      </c>
      <c r="Y495" s="8">
        <f t="shared" si="260"/>
        <v>38066.460056644202</v>
      </c>
      <c r="Z495">
        <f t="shared" si="261"/>
        <v>152.92000369301286</v>
      </c>
    </row>
    <row r="496" spans="1:26" x14ac:dyDescent="0.25">
      <c r="A496" t="s">
        <v>61</v>
      </c>
      <c r="D496">
        <f t="shared" ref="D496:W496" si="279">D54*D122</f>
        <v>2441.924876694763</v>
      </c>
      <c r="E496">
        <f t="shared" si="279"/>
        <v>2696.8766929827584</v>
      </c>
      <c r="F496">
        <f t="shared" si="279"/>
        <v>2324.1830730456577</v>
      </c>
      <c r="G496">
        <f t="shared" si="279"/>
        <v>1848.880146883075</v>
      </c>
      <c r="H496">
        <f t="shared" si="279"/>
        <v>1792.1558203743102</v>
      </c>
      <c r="I496">
        <f t="shared" si="279"/>
        <v>1718.6405863015734</v>
      </c>
      <c r="J496">
        <f t="shared" si="279"/>
        <v>1586.8345886616373</v>
      </c>
      <c r="K496">
        <f t="shared" si="279"/>
        <v>1960.2500433161504</v>
      </c>
      <c r="L496">
        <f t="shared" si="279"/>
        <v>1678.6320633314035</v>
      </c>
      <c r="M496">
        <f t="shared" si="279"/>
        <v>1645.4869689395578</v>
      </c>
      <c r="N496">
        <f t="shared" si="279"/>
        <v>1656.5869933016932</v>
      </c>
      <c r="O496">
        <f t="shared" si="279"/>
        <v>1964.7430788679249</v>
      </c>
      <c r="P496">
        <f t="shared" si="279"/>
        <v>1875.3737366977768</v>
      </c>
      <c r="Q496">
        <f t="shared" si="279"/>
        <v>1716.9676640969174</v>
      </c>
      <c r="R496">
        <f t="shared" si="279"/>
        <v>2129.4218235567587</v>
      </c>
      <c r="S496">
        <f t="shared" si="279"/>
        <v>2774.4715826064689</v>
      </c>
      <c r="T496">
        <f t="shared" si="279"/>
        <v>2646.5824190993817</v>
      </c>
      <c r="U496">
        <f t="shared" si="279"/>
        <v>1559.4179724158212</v>
      </c>
      <c r="V496">
        <f t="shared" si="279"/>
        <v>1893.6605707778465</v>
      </c>
      <c r="W496">
        <f t="shared" si="279"/>
        <v>1617.0219135365485</v>
      </c>
      <c r="Y496" s="8">
        <f t="shared" si="260"/>
        <v>39528.112615488026</v>
      </c>
      <c r="Z496">
        <f t="shared" si="261"/>
        <v>130.55045497025304</v>
      </c>
    </row>
    <row r="497" spans="1:26" x14ac:dyDescent="0.25">
      <c r="A497" t="s">
        <v>62</v>
      </c>
      <c r="D497">
        <f t="shared" ref="D497:W497" si="280">D55*D123</f>
        <v>1609.8735500027306</v>
      </c>
      <c r="E497">
        <f t="shared" si="280"/>
        <v>3280.0642859484983</v>
      </c>
      <c r="F497">
        <f t="shared" si="280"/>
        <v>1463.3706616812167</v>
      </c>
      <c r="G497">
        <f t="shared" si="280"/>
        <v>1453.7862824874717</v>
      </c>
      <c r="H497">
        <f t="shared" si="280"/>
        <v>1413.1270051604645</v>
      </c>
      <c r="I497">
        <f t="shared" si="280"/>
        <v>1956.0993750915741</v>
      </c>
      <c r="J497">
        <f t="shared" si="280"/>
        <v>1786.9732768443205</v>
      </c>
      <c r="K497">
        <f t="shared" si="280"/>
        <v>1667.7085283155507</v>
      </c>
      <c r="L497">
        <f t="shared" si="280"/>
        <v>1757.5324483398215</v>
      </c>
      <c r="M497">
        <f t="shared" si="280"/>
        <v>1492.7898149540515</v>
      </c>
      <c r="N497">
        <f t="shared" si="280"/>
        <v>1731.7987867857294</v>
      </c>
      <c r="O497">
        <f t="shared" si="280"/>
        <v>1749.729669202274</v>
      </c>
      <c r="P497">
        <f t="shared" si="280"/>
        <v>1842.4110752377085</v>
      </c>
      <c r="Q497">
        <f t="shared" si="280"/>
        <v>1759.4086474667756</v>
      </c>
      <c r="R497">
        <f t="shared" si="280"/>
        <v>1909.0421467697975</v>
      </c>
      <c r="S497">
        <f t="shared" si="280"/>
        <v>1912.9707257051816</v>
      </c>
      <c r="T497">
        <f t="shared" si="280"/>
        <v>2036.5265322387488</v>
      </c>
      <c r="U497">
        <f t="shared" si="280"/>
        <v>2138.8854072422814</v>
      </c>
      <c r="V497">
        <f t="shared" si="280"/>
        <v>2096.7647338349998</v>
      </c>
      <c r="W497">
        <f t="shared" si="280"/>
        <v>2237.914594674633</v>
      </c>
      <c r="Y497" s="8">
        <f t="shared" si="260"/>
        <v>37296.777547983838</v>
      </c>
      <c r="Z497">
        <f t="shared" si="261"/>
        <v>187.97528105454313</v>
      </c>
    </row>
    <row r="498" spans="1:26" x14ac:dyDescent="0.25">
      <c r="A498" t="s">
        <v>63</v>
      </c>
      <c r="D498">
        <f t="shared" ref="D498:W498" si="281">D56*D124</f>
        <v>1835.3803683304595</v>
      </c>
      <c r="E498">
        <f t="shared" si="281"/>
        <v>1444.1770403308337</v>
      </c>
      <c r="F498">
        <f t="shared" si="281"/>
        <v>1544.6284845026619</v>
      </c>
      <c r="G498">
        <f t="shared" si="281"/>
        <v>1681.00554734912</v>
      </c>
      <c r="H498">
        <f t="shared" si="281"/>
        <v>1662.7939229535909</v>
      </c>
      <c r="I498">
        <f t="shared" si="281"/>
        <v>1775.1374499597537</v>
      </c>
      <c r="J498">
        <f t="shared" si="281"/>
        <v>1774.3202804188174</v>
      </c>
      <c r="K498">
        <f t="shared" si="281"/>
        <v>2033.4266742711125</v>
      </c>
      <c r="L498">
        <f t="shared" si="281"/>
        <v>2152.224292076166</v>
      </c>
      <c r="M498">
        <f t="shared" si="281"/>
        <v>1449.2896561008856</v>
      </c>
      <c r="N498">
        <f t="shared" si="281"/>
        <v>1511.9219478086764</v>
      </c>
      <c r="O498">
        <f t="shared" si="281"/>
        <v>1523.6002753853577</v>
      </c>
      <c r="P498">
        <f t="shared" si="281"/>
        <v>1553.8369094592283</v>
      </c>
      <c r="Q498">
        <f t="shared" si="281"/>
        <v>1397.0621960683663</v>
      </c>
      <c r="R498">
        <f t="shared" si="281"/>
        <v>1546.8955016433702</v>
      </c>
      <c r="S498">
        <f t="shared" si="281"/>
        <v>1854.9541597351006</v>
      </c>
      <c r="T498">
        <f t="shared" si="281"/>
        <v>1835.7624582111457</v>
      </c>
      <c r="U498">
        <f t="shared" si="281"/>
        <v>1830.2056597546127</v>
      </c>
      <c r="V498">
        <f t="shared" si="281"/>
        <v>1896.7241446365974</v>
      </c>
      <c r="W498">
        <f t="shared" si="281"/>
        <v>1817.3369021819044</v>
      </c>
      <c r="Y498" s="8">
        <f t="shared" si="260"/>
        <v>34120.683871177767</v>
      </c>
      <c r="Z498">
        <f t="shared" si="261"/>
        <v>131.32508590152662</v>
      </c>
    </row>
    <row r="499" spans="1:26" x14ac:dyDescent="0.25">
      <c r="A499" t="s">
        <v>64</v>
      </c>
      <c r="D499">
        <f t="shared" ref="D499:W499" si="282">D57*D125</f>
        <v>1792.2727351037363</v>
      </c>
      <c r="E499">
        <f t="shared" si="282"/>
        <v>1980.7093988675117</v>
      </c>
      <c r="F499">
        <f t="shared" si="282"/>
        <v>1749.4690924274382</v>
      </c>
      <c r="G499">
        <f t="shared" si="282"/>
        <v>2165.9400635433476</v>
      </c>
      <c r="H499">
        <f t="shared" si="282"/>
        <v>1768.3828769889731</v>
      </c>
      <c r="I499">
        <f t="shared" si="282"/>
        <v>1894.4958179117</v>
      </c>
      <c r="J499">
        <f t="shared" si="282"/>
        <v>1704.7287130869099</v>
      </c>
      <c r="K499">
        <f t="shared" si="282"/>
        <v>1794.8918372091193</v>
      </c>
      <c r="L499">
        <f t="shared" si="282"/>
        <v>1777.0328943381903</v>
      </c>
      <c r="M499">
        <f t="shared" si="282"/>
        <v>1762.408940069135</v>
      </c>
      <c r="N499">
        <f t="shared" si="282"/>
        <v>1859.9805467293984</v>
      </c>
      <c r="O499">
        <f t="shared" si="282"/>
        <v>1866.2521666480077</v>
      </c>
      <c r="P499">
        <f t="shared" si="282"/>
        <v>1713.4025209551135</v>
      </c>
      <c r="Q499">
        <f t="shared" si="282"/>
        <v>1669.8618028034423</v>
      </c>
      <c r="R499">
        <f t="shared" si="282"/>
        <v>1742.480047764393</v>
      </c>
      <c r="S499">
        <f t="shared" si="282"/>
        <v>1680.4853931694158</v>
      </c>
      <c r="T499">
        <f t="shared" si="282"/>
        <v>1784.9290137122794</v>
      </c>
      <c r="U499">
        <f t="shared" si="282"/>
        <v>1745.8844288482833</v>
      </c>
      <c r="V499">
        <f t="shared" si="282"/>
        <v>2290.0096018334466</v>
      </c>
      <c r="W499">
        <f t="shared" si="282"/>
        <v>1914.9017900963972</v>
      </c>
      <c r="Y499" s="8">
        <f t="shared" si="260"/>
        <v>36658.519682106242</v>
      </c>
      <c r="Z499">
        <f t="shared" si="261"/>
        <v>-159.08059194977966</v>
      </c>
    </row>
    <row r="500" spans="1:26" x14ac:dyDescent="0.25">
      <c r="A500" t="s">
        <v>65</v>
      </c>
      <c r="D500">
        <f t="shared" ref="D500:W500" si="283">D58*D126</f>
        <v>1939.1591724036709</v>
      </c>
      <c r="E500">
        <f t="shared" si="283"/>
        <v>2223.6072052235404</v>
      </c>
      <c r="F500">
        <f t="shared" si="283"/>
        <v>1881.7334420774621</v>
      </c>
      <c r="G500">
        <f t="shared" si="283"/>
        <v>1866.5164768836655</v>
      </c>
      <c r="H500">
        <f t="shared" si="283"/>
        <v>1955.0312914006458</v>
      </c>
      <c r="I500">
        <f t="shared" si="283"/>
        <v>2193.7816710370048</v>
      </c>
      <c r="J500">
        <f t="shared" si="283"/>
        <v>1836.1103571349797</v>
      </c>
      <c r="K500">
        <f t="shared" si="283"/>
        <v>1799.1978111876142</v>
      </c>
      <c r="L500">
        <f t="shared" si="283"/>
        <v>1792.9698460901975</v>
      </c>
      <c r="M500">
        <f t="shared" si="283"/>
        <v>1650.0772364565908</v>
      </c>
      <c r="N500">
        <f t="shared" si="283"/>
        <v>1678.1303063641378</v>
      </c>
      <c r="O500">
        <f t="shared" si="283"/>
        <v>1585.3247739774686</v>
      </c>
      <c r="P500">
        <f t="shared" si="283"/>
        <v>1528.1280359465939</v>
      </c>
      <c r="Q500">
        <f t="shared" si="283"/>
        <v>1530.4441810783294</v>
      </c>
      <c r="R500">
        <f t="shared" si="283"/>
        <v>1733.85438257901</v>
      </c>
      <c r="S500">
        <f t="shared" si="283"/>
        <v>1494.060929119106</v>
      </c>
      <c r="T500">
        <f t="shared" si="283"/>
        <v>1533.3543983521208</v>
      </c>
      <c r="U500">
        <f t="shared" si="283"/>
        <v>1689.2398110058371</v>
      </c>
      <c r="V500">
        <f t="shared" si="283"/>
        <v>2083.3593476289129</v>
      </c>
      <c r="W500">
        <f t="shared" si="283"/>
        <v>2031.5693724191483</v>
      </c>
      <c r="Y500" s="8">
        <f t="shared" si="260"/>
        <v>36025.650048366035</v>
      </c>
      <c r="Z500">
        <f t="shared" si="261"/>
        <v>-323.80413772230901</v>
      </c>
    </row>
    <row r="501" spans="1:26" x14ac:dyDescent="0.25">
      <c r="A501" t="s">
        <v>66</v>
      </c>
      <c r="D501">
        <f t="shared" ref="D501:W501" si="284">D59*D127</f>
        <v>1555.8742145602346</v>
      </c>
      <c r="E501">
        <f t="shared" si="284"/>
        <v>1818.5545583833641</v>
      </c>
      <c r="F501">
        <f t="shared" si="284"/>
        <v>1797.8307028456782</v>
      </c>
      <c r="G501">
        <f t="shared" si="284"/>
        <v>1725.3222192456524</v>
      </c>
      <c r="H501">
        <f t="shared" si="284"/>
        <v>1809.8937712198442</v>
      </c>
      <c r="I501">
        <f t="shared" si="284"/>
        <v>1409.8195336985264</v>
      </c>
      <c r="J501">
        <f t="shared" si="284"/>
        <v>1471.9782340433533</v>
      </c>
      <c r="K501">
        <f t="shared" si="284"/>
        <v>1476.4444401012677</v>
      </c>
      <c r="L501">
        <f t="shared" si="284"/>
        <v>1583.3243384062412</v>
      </c>
      <c r="M501">
        <f t="shared" si="284"/>
        <v>1474.6632591156667</v>
      </c>
      <c r="N501">
        <f t="shared" si="284"/>
        <v>1410.7045100828975</v>
      </c>
      <c r="O501">
        <f t="shared" si="284"/>
        <v>1648.0320745445833</v>
      </c>
      <c r="P501">
        <f t="shared" si="284"/>
        <v>1713.1494667247794</v>
      </c>
      <c r="Q501">
        <f t="shared" si="284"/>
        <v>1393.1167517017914</v>
      </c>
      <c r="R501">
        <f t="shared" si="284"/>
        <v>1448.9873745729712</v>
      </c>
      <c r="S501">
        <f t="shared" si="284"/>
        <v>1574.5298778683182</v>
      </c>
      <c r="T501">
        <f t="shared" si="284"/>
        <v>1781.61733799133</v>
      </c>
      <c r="U501">
        <f t="shared" si="284"/>
        <v>1699.7833610371995</v>
      </c>
      <c r="V501">
        <f t="shared" si="284"/>
        <v>1718.8437876123141</v>
      </c>
      <c r="W501">
        <f t="shared" si="284"/>
        <v>1695.096915898589</v>
      </c>
      <c r="Y501" s="8">
        <f t="shared" si="260"/>
        <v>32207.566729654602</v>
      </c>
      <c r="Z501">
        <f t="shared" si="261"/>
        <v>27.22645663220726</v>
      </c>
    </row>
    <row r="502" spans="1:26" x14ac:dyDescent="0.25">
      <c r="A502" t="s">
        <v>67</v>
      </c>
      <c r="D502">
        <f t="shared" ref="D502:W502" si="285">D60*D128</f>
        <v>1624.2685628039487</v>
      </c>
      <c r="E502">
        <f t="shared" si="285"/>
        <v>1663.3134786313155</v>
      </c>
      <c r="F502">
        <f t="shared" si="285"/>
        <v>1768.5993965265745</v>
      </c>
      <c r="G502">
        <f t="shared" si="285"/>
        <v>1628.2188848325272</v>
      </c>
      <c r="H502">
        <f t="shared" si="285"/>
        <v>1648.2348906785294</v>
      </c>
      <c r="I502">
        <f t="shared" si="285"/>
        <v>1686.1489577080454</v>
      </c>
      <c r="J502">
        <f t="shared" si="285"/>
        <v>1678.8340883794872</v>
      </c>
      <c r="K502">
        <f t="shared" si="285"/>
        <v>1506.3368844034246</v>
      </c>
      <c r="L502">
        <f t="shared" si="285"/>
        <v>1494.2826096242916</v>
      </c>
      <c r="M502">
        <f t="shared" si="285"/>
        <v>1606.5218715699111</v>
      </c>
      <c r="N502">
        <f t="shared" si="285"/>
        <v>1486.7134991119724</v>
      </c>
      <c r="O502">
        <f t="shared" si="285"/>
        <v>1674.7872047588041</v>
      </c>
      <c r="P502">
        <f t="shared" si="285"/>
        <v>1452.4024162590626</v>
      </c>
      <c r="Q502">
        <f t="shared" si="285"/>
        <v>1438.8705446758759</v>
      </c>
      <c r="R502">
        <f t="shared" si="285"/>
        <v>1420.6371059873381</v>
      </c>
      <c r="S502">
        <f t="shared" si="285"/>
        <v>1450.5308965174725</v>
      </c>
      <c r="T502">
        <f t="shared" si="285"/>
        <v>1524.2994537204954</v>
      </c>
      <c r="U502">
        <f t="shared" si="285"/>
        <v>1543.9735555014577</v>
      </c>
      <c r="V502">
        <f t="shared" si="285"/>
        <v>1964.7787344134965</v>
      </c>
      <c r="W502">
        <f t="shared" si="285"/>
        <v>1944.7933553524679</v>
      </c>
      <c r="Y502" s="8">
        <f t="shared" si="260"/>
        <v>32206.546391456497</v>
      </c>
      <c r="Z502">
        <f t="shared" si="261"/>
        <v>-162.0775028777789</v>
      </c>
    </row>
    <row r="503" spans="1:26" x14ac:dyDescent="0.25">
      <c r="Y503" s="8"/>
    </row>
    <row r="504" spans="1:26" x14ac:dyDescent="0.25">
      <c r="A504" t="s">
        <v>68</v>
      </c>
      <c r="D504">
        <f t="shared" ref="D504:W504" si="286">D62*D130</f>
        <v>1789.1444793053079</v>
      </c>
      <c r="E504">
        <f t="shared" si="286"/>
        <v>1661.1952675633006</v>
      </c>
      <c r="F504">
        <f t="shared" si="286"/>
        <v>1596.4122064970384</v>
      </c>
      <c r="G504">
        <f t="shared" si="286"/>
        <v>1720.6004225619522</v>
      </c>
      <c r="H504">
        <f t="shared" si="286"/>
        <v>1714.0974644659841</v>
      </c>
      <c r="I504">
        <f t="shared" si="286"/>
        <v>1425.1267567982111</v>
      </c>
      <c r="J504">
        <f t="shared" si="286"/>
        <v>1309.2196659511312</v>
      </c>
      <c r="K504">
        <f t="shared" si="286"/>
        <v>1247.6142598688223</v>
      </c>
      <c r="L504">
        <f t="shared" si="286"/>
        <v>1294.1947188153081</v>
      </c>
      <c r="M504">
        <f t="shared" si="286"/>
        <v>1572.9780199524953</v>
      </c>
      <c r="N504">
        <f t="shared" si="286"/>
        <v>1630.9471932699494</v>
      </c>
      <c r="O504">
        <f t="shared" si="286"/>
        <v>1684.5161371176603</v>
      </c>
      <c r="P504">
        <f t="shared" si="286"/>
        <v>1639.7777677157665</v>
      </c>
      <c r="Q504">
        <f t="shared" si="286"/>
        <v>1599.1398358601414</v>
      </c>
      <c r="R504">
        <f t="shared" si="286"/>
        <v>1720.1917693842602</v>
      </c>
      <c r="S504">
        <f t="shared" si="286"/>
        <v>1882.3190241988632</v>
      </c>
      <c r="T504">
        <f t="shared" si="286"/>
        <v>2155.2866872617737</v>
      </c>
      <c r="U504">
        <f t="shared" si="286"/>
        <v>1807.310945335458</v>
      </c>
      <c r="V504">
        <f t="shared" si="286"/>
        <v>1882.6036827398884</v>
      </c>
      <c r="W504">
        <f t="shared" si="286"/>
        <v>1579.9212654592723</v>
      </c>
      <c r="Y504" s="8">
        <f t="shared" si="260"/>
        <v>32912.597570122583</v>
      </c>
      <c r="Z504">
        <f>SUMPRODUCT($D$508:$W$508,D504:W504)</f>
        <v>34.133754652402672</v>
      </c>
    </row>
    <row r="505" spans="1:26" x14ac:dyDescent="0.25">
      <c r="A505" t="s">
        <v>312</v>
      </c>
      <c r="D505">
        <f t="shared" ref="D505:W505" si="287">D63*D131</f>
        <v>2644.3087371521078</v>
      </c>
      <c r="E505">
        <f t="shared" si="287"/>
        <v>2659.0810754822237</v>
      </c>
      <c r="F505">
        <f t="shared" si="287"/>
        <v>2102.6496486448214</v>
      </c>
      <c r="G505">
        <f t="shared" si="287"/>
        <v>2489.2911744822527</v>
      </c>
      <c r="H505">
        <f t="shared" si="287"/>
        <v>2697.0482744355036</v>
      </c>
      <c r="I505">
        <f t="shared" si="287"/>
        <v>2680.546991462546</v>
      </c>
      <c r="J505">
        <f t="shared" si="287"/>
        <v>2727.4611712332344</v>
      </c>
      <c r="K505">
        <f t="shared" si="287"/>
        <v>1523.5103896198527</v>
      </c>
      <c r="L505">
        <f t="shared" si="287"/>
        <v>2059.470306155109</v>
      </c>
      <c r="M505">
        <f t="shared" si="287"/>
        <v>1951.859067010645</v>
      </c>
      <c r="N505">
        <f t="shared" si="287"/>
        <v>1734.9092608389551</v>
      </c>
      <c r="O505">
        <f t="shared" si="287"/>
        <v>2217.8574849787583</v>
      </c>
      <c r="P505">
        <f t="shared" si="287"/>
        <v>2314.4</v>
      </c>
      <c r="Q505">
        <f t="shared" si="287"/>
        <v>2547</v>
      </c>
      <c r="R505">
        <f t="shared" si="287"/>
        <v>2369.12</v>
      </c>
      <c r="S505">
        <f t="shared" si="287"/>
        <v>714.5100000000001</v>
      </c>
      <c r="T505">
        <f t="shared" si="287"/>
        <v>2507.0099999999998</v>
      </c>
      <c r="U505">
        <f t="shared" si="287"/>
        <v>1736</v>
      </c>
      <c r="V505">
        <f t="shared" si="287"/>
        <v>1969.1100000000001</v>
      </c>
      <c r="W505">
        <f t="shared" si="287"/>
        <v>1561.95</v>
      </c>
      <c r="Y505" s="8">
        <f t="shared" si="260"/>
        <v>43207.09358149601</v>
      </c>
      <c r="Z505">
        <f>SUMPRODUCT($D$508:$W$508,D505:W505)</f>
        <v>-183.4663072995869</v>
      </c>
    </row>
    <row r="506" spans="1:26" x14ac:dyDescent="0.25">
      <c r="A506" t="s">
        <v>313</v>
      </c>
      <c r="D506">
        <f t="shared" ref="D506:W506" si="288">D64*D132</f>
        <v>2092.92</v>
      </c>
      <c r="E506">
        <f t="shared" si="288"/>
        <v>2673.99</v>
      </c>
      <c r="F506">
        <f t="shared" si="288"/>
        <v>2174.65</v>
      </c>
      <c r="G506">
        <f t="shared" si="288"/>
        <v>2347.88</v>
      </c>
      <c r="H506">
        <f t="shared" si="288"/>
        <v>2621.59</v>
      </c>
      <c r="I506">
        <f t="shared" si="288"/>
        <v>2466.36</v>
      </c>
      <c r="J506">
        <f t="shared" si="288"/>
        <v>2618.6999999999998</v>
      </c>
      <c r="K506">
        <f t="shared" si="288"/>
        <v>1538.07</v>
      </c>
      <c r="L506">
        <f t="shared" si="288"/>
        <v>2225.92</v>
      </c>
      <c r="M506">
        <f t="shared" si="288"/>
        <v>1964.0200000000002</v>
      </c>
      <c r="N506">
        <f t="shared" si="288"/>
        <v>1806.7099999999998</v>
      </c>
      <c r="O506">
        <f t="shared" si="288"/>
        <v>2275.56</v>
      </c>
      <c r="P506">
        <f t="shared" si="288"/>
        <v>1653.0977043386463</v>
      </c>
      <c r="Q506">
        <f t="shared" si="288"/>
        <v>1573.6935349457842</v>
      </c>
      <c r="R506">
        <f t="shared" si="288"/>
        <v>1709.9808457133595</v>
      </c>
      <c r="S506">
        <f t="shared" si="288"/>
        <v>1740.9961188276739</v>
      </c>
      <c r="T506">
        <f t="shared" si="288"/>
        <v>1778.6597683000296</v>
      </c>
      <c r="U506">
        <f t="shared" si="288"/>
        <v>1880.6236099699306</v>
      </c>
      <c r="V506">
        <f t="shared" si="288"/>
        <v>1948.2932176438349</v>
      </c>
      <c r="W506">
        <f t="shared" si="288"/>
        <v>1914.7759128569346</v>
      </c>
      <c r="Y506" s="8">
        <f t="shared" si="260"/>
        <v>41006.490712596198</v>
      </c>
      <c r="Z506">
        <f>SUMPRODUCT($D$508:$W$508,D506:W506)</f>
        <v>-251.16960206194389</v>
      </c>
    </row>
    <row r="507" spans="1:26" x14ac:dyDescent="0.25">
      <c r="A507" t="s">
        <v>676</v>
      </c>
      <c r="D507">
        <f t="shared" ref="D507:W507" si="289">D65*D133</f>
        <v>1810.6079108109682</v>
      </c>
      <c r="E507">
        <f t="shared" si="289"/>
        <v>1615.778303770154</v>
      </c>
      <c r="F507">
        <f t="shared" si="289"/>
        <v>1619.3814306368238</v>
      </c>
      <c r="G507">
        <f t="shared" si="289"/>
        <v>1706.0504198920744</v>
      </c>
      <c r="H507">
        <f t="shared" si="289"/>
        <v>1707.7194273889015</v>
      </c>
      <c r="I507">
        <f t="shared" si="289"/>
        <v>1838.1996588593661</v>
      </c>
      <c r="J507">
        <f t="shared" si="289"/>
        <v>1665.0183935048851</v>
      </c>
      <c r="K507">
        <f t="shared" si="289"/>
        <v>1797.0333848853679</v>
      </c>
      <c r="L507">
        <f t="shared" si="289"/>
        <v>1803.0856625252418</v>
      </c>
      <c r="M507">
        <f t="shared" si="289"/>
        <v>1597.9302983623704</v>
      </c>
      <c r="N507">
        <f t="shared" si="289"/>
        <v>1581.5050365343818</v>
      </c>
      <c r="O507">
        <f t="shared" si="289"/>
        <v>1668.7753309477023</v>
      </c>
      <c r="P507">
        <f t="shared" si="289"/>
        <v>1733.2483595709405</v>
      </c>
      <c r="Q507">
        <f t="shared" si="289"/>
        <v>1707.6432429735321</v>
      </c>
      <c r="R507">
        <f t="shared" si="289"/>
        <v>1783.98</v>
      </c>
      <c r="S507">
        <f t="shared" si="289"/>
        <v>1882.412335600907</v>
      </c>
      <c r="T507">
        <f t="shared" si="289"/>
        <v>1948.1208160240947</v>
      </c>
      <c r="U507">
        <f t="shared" si="289"/>
        <v>1774.7506941307313</v>
      </c>
      <c r="V507">
        <f t="shared" si="289"/>
        <v>1847.4717577875831</v>
      </c>
      <c r="W507">
        <f t="shared" si="289"/>
        <v>1872.8646373570548</v>
      </c>
      <c r="Y507" s="8">
        <f t="shared" ref="Y507" si="290">SUM(D507:W507)</f>
        <v>34961.577101563074</v>
      </c>
      <c r="Z507">
        <f>SUMPRODUCT($D$508:$W$508,D507:W507)</f>
        <v>68.799865394541541</v>
      </c>
    </row>
    <row r="508" spans="1:26" x14ac:dyDescent="0.25">
      <c r="A508" s="2" t="s">
        <v>69</v>
      </c>
      <c r="D508" s="3">
        <f>CORREL($B$2:$B$26,D478:D502)</f>
        <v>-0.3871024795732394</v>
      </c>
      <c r="E508" s="3">
        <f t="shared" ref="E508:W508" si="291">CORREL($B$2:$B$26,E478:E502)</f>
        <v>-1.9603721522861578E-2</v>
      </c>
      <c r="F508" s="3">
        <f t="shared" si="291"/>
        <v>-0.11826709164404456</v>
      </c>
      <c r="G508" s="3">
        <f t="shared" si="291"/>
        <v>-0.26026056189923952</v>
      </c>
      <c r="H508" s="3">
        <f t="shared" si="291"/>
        <v>-1.0873075397446468E-2</v>
      </c>
      <c r="I508" s="3">
        <f t="shared" si="291"/>
        <v>0.10939153602147036</v>
      </c>
      <c r="J508" s="3">
        <f t="shared" si="291"/>
        <v>2.4313986548747446E-2</v>
      </c>
      <c r="K508" s="3">
        <f t="shared" si="291"/>
        <v>3.7367344562493181E-2</v>
      </c>
      <c r="L508" s="3">
        <f t="shared" si="291"/>
        <v>0.20431832944115982</v>
      </c>
      <c r="M508" s="3">
        <f t="shared" si="291"/>
        <v>-5.069194480593088E-2</v>
      </c>
      <c r="N508" s="3">
        <f t="shared" si="291"/>
        <v>-0.2450761854285643</v>
      </c>
      <c r="O508" s="3">
        <f t="shared" si="291"/>
        <v>8.6426583721738934E-2</v>
      </c>
      <c r="P508" s="3">
        <f t="shared" si="291"/>
        <v>0.22137631700678218</v>
      </c>
      <c r="Q508" s="3">
        <f t="shared" si="291"/>
        <v>-2.9427320475241266E-2</v>
      </c>
      <c r="R508" s="3">
        <f t="shared" si="291"/>
        <v>-0.14808274102624172</v>
      </c>
      <c r="S508" s="3">
        <f t="shared" si="291"/>
        <v>0.12432319863237287</v>
      </c>
      <c r="T508" s="3">
        <f t="shared" si="291"/>
        <v>0.46625519241675945</v>
      </c>
      <c r="U508" s="3">
        <f t="shared" si="291"/>
        <v>-3.3897949046605882E-2</v>
      </c>
      <c r="V508" s="3">
        <f t="shared" si="291"/>
        <v>0.15995741543812367</v>
      </c>
      <c r="W508" s="3">
        <f t="shared" si="291"/>
        <v>-0.18381567751227071</v>
      </c>
    </row>
    <row r="511" spans="1:26" x14ac:dyDescent="0.25">
      <c r="D511" t="s">
        <v>178</v>
      </c>
      <c r="E511" t="s">
        <v>179</v>
      </c>
      <c r="F511" t="s">
        <v>180</v>
      </c>
      <c r="G511" t="s">
        <v>181</v>
      </c>
      <c r="H511" t="s">
        <v>182</v>
      </c>
      <c r="I511" t="s">
        <v>183</v>
      </c>
      <c r="J511" t="s">
        <v>184</v>
      </c>
      <c r="K511" t="s">
        <v>185</v>
      </c>
      <c r="L511" t="s">
        <v>330</v>
      </c>
      <c r="M511" t="s">
        <v>388</v>
      </c>
      <c r="N511" t="s">
        <v>389</v>
      </c>
      <c r="O511" t="s">
        <v>390</v>
      </c>
      <c r="P511" t="s">
        <v>512</v>
      </c>
      <c r="Q511" t="s">
        <v>513</v>
      </c>
      <c r="R511" t="s">
        <v>514</v>
      </c>
      <c r="S511" t="s">
        <v>515</v>
      </c>
      <c r="T511" t="s">
        <v>624</v>
      </c>
      <c r="U511" t="s">
        <v>625</v>
      </c>
      <c r="V511" t="s">
        <v>626</v>
      </c>
      <c r="W511" t="s">
        <v>627</v>
      </c>
      <c r="Y511" t="s">
        <v>186</v>
      </c>
      <c r="Z511" t="s">
        <v>187</v>
      </c>
    </row>
    <row r="512" spans="1:26" x14ac:dyDescent="0.25">
      <c r="A512" t="s">
        <v>43</v>
      </c>
      <c r="D512">
        <f t="shared" ref="D512:W512" si="292">D36*D138</f>
        <v>1523.6193466435486</v>
      </c>
      <c r="E512">
        <f t="shared" si="292"/>
        <v>1343.5853318173088</v>
      </c>
      <c r="F512">
        <f t="shared" si="292"/>
        <v>1555.9879916076836</v>
      </c>
      <c r="G512">
        <f t="shared" si="292"/>
        <v>2006.7134735872735</v>
      </c>
      <c r="H512">
        <f t="shared" si="292"/>
        <v>1971.2418460120148</v>
      </c>
      <c r="I512">
        <f t="shared" si="292"/>
        <v>1074.3735995827758</v>
      </c>
      <c r="J512">
        <f t="shared" si="292"/>
        <v>1388.6695421358158</v>
      </c>
      <c r="K512">
        <f t="shared" si="292"/>
        <v>1126.9881462333974</v>
      </c>
      <c r="L512">
        <f t="shared" si="292"/>
        <v>1123.5043328082927</v>
      </c>
      <c r="M512">
        <f t="shared" si="292"/>
        <v>971.25409027682883</v>
      </c>
      <c r="N512">
        <f t="shared" si="292"/>
        <v>1100.9300484119774</v>
      </c>
      <c r="O512">
        <f t="shared" si="292"/>
        <v>1446.6812684883371</v>
      </c>
      <c r="P512">
        <f t="shared" si="292"/>
        <v>1287.6519468030087</v>
      </c>
      <c r="Q512">
        <f t="shared" si="292"/>
        <v>1164.736957697568</v>
      </c>
      <c r="R512">
        <f t="shared" si="292"/>
        <v>1238.7259715776504</v>
      </c>
      <c r="S512">
        <f t="shared" si="292"/>
        <v>1409.2786599004755</v>
      </c>
      <c r="T512">
        <f t="shared" si="292"/>
        <v>1280.4690342444933</v>
      </c>
      <c r="U512">
        <f t="shared" si="292"/>
        <v>1271.9996276132094</v>
      </c>
      <c r="V512">
        <f t="shared" si="292"/>
        <v>1585.945421734375</v>
      </c>
      <c r="W512">
        <f t="shared" si="292"/>
        <v>1710.8199056469637</v>
      </c>
      <c r="Y512" s="8">
        <f t="shared" ref="Y512:Y540" si="293">SUM(D512:W512)</f>
        <v>27583.176542822996</v>
      </c>
      <c r="Z512">
        <f t="shared" ref="Z512:Z536" si="294">SUMPRODUCT($D$542:$W$542,D512:W512)</f>
        <v>-435.46260025978461</v>
      </c>
    </row>
    <row r="513" spans="1:26" x14ac:dyDescent="0.25">
      <c r="A513" t="s">
        <v>44</v>
      </c>
      <c r="D513">
        <f t="shared" ref="D513:W513" si="295">D37*D139</f>
        <v>1446.0558235733031</v>
      </c>
      <c r="E513">
        <f t="shared" si="295"/>
        <v>1262.6507660614145</v>
      </c>
      <c r="F513">
        <f t="shared" si="295"/>
        <v>1155.8502435470982</v>
      </c>
      <c r="G513">
        <f t="shared" si="295"/>
        <v>1313.9322934319905</v>
      </c>
      <c r="H513">
        <f t="shared" si="295"/>
        <v>1341.9382079093514</v>
      </c>
      <c r="I513">
        <f t="shared" si="295"/>
        <v>962.76656071699756</v>
      </c>
      <c r="J513">
        <f t="shared" si="295"/>
        <v>1019.5073792562541</v>
      </c>
      <c r="K513">
        <f t="shared" si="295"/>
        <v>1430.0095106763708</v>
      </c>
      <c r="L513">
        <f t="shared" si="295"/>
        <v>988.41186909622888</v>
      </c>
      <c r="M513">
        <f t="shared" si="295"/>
        <v>1511.5223805732744</v>
      </c>
      <c r="N513">
        <f t="shared" si="295"/>
        <v>850.25153715105023</v>
      </c>
      <c r="O513">
        <f t="shared" si="295"/>
        <v>1697.6220251504265</v>
      </c>
      <c r="P513">
        <f t="shared" si="295"/>
        <v>875.0762477191978</v>
      </c>
      <c r="Q513">
        <f t="shared" si="295"/>
        <v>1130.3937554445379</v>
      </c>
      <c r="R513">
        <f t="shared" si="295"/>
        <v>1487.960732117612</v>
      </c>
      <c r="S513">
        <f t="shared" si="295"/>
        <v>1116.5544765543759</v>
      </c>
      <c r="T513">
        <f t="shared" si="295"/>
        <v>1019.0230731290113</v>
      </c>
      <c r="U513">
        <f t="shared" si="295"/>
        <v>870.8370791821967</v>
      </c>
      <c r="V513">
        <f t="shared" si="295"/>
        <v>1047.3081115221285</v>
      </c>
      <c r="W513">
        <f t="shared" si="295"/>
        <v>1506.5720906344825</v>
      </c>
      <c r="Y513" s="8">
        <f t="shared" si="293"/>
        <v>24034.244163447303</v>
      </c>
      <c r="Z513">
        <f t="shared" si="294"/>
        <v>-15.206367752989451</v>
      </c>
    </row>
    <row r="514" spans="1:26" x14ac:dyDescent="0.25">
      <c r="A514" t="s">
        <v>45</v>
      </c>
      <c r="D514">
        <f t="shared" ref="D514:W514" si="296">D38*D140</f>
        <v>1498.5623618566492</v>
      </c>
      <c r="E514">
        <f t="shared" si="296"/>
        <v>1438.919861893479</v>
      </c>
      <c r="F514">
        <f t="shared" si="296"/>
        <v>1431.7622362687548</v>
      </c>
      <c r="G514">
        <f t="shared" si="296"/>
        <v>1209.3810522854708</v>
      </c>
      <c r="H514">
        <f t="shared" si="296"/>
        <v>1070.159854757065</v>
      </c>
      <c r="I514">
        <f t="shared" si="296"/>
        <v>976.44089249076978</v>
      </c>
      <c r="J514">
        <f t="shared" si="296"/>
        <v>912.63856859399857</v>
      </c>
      <c r="K514">
        <f t="shared" si="296"/>
        <v>869.30395561485443</v>
      </c>
      <c r="L514">
        <f t="shared" si="296"/>
        <v>1069.7816514498825</v>
      </c>
      <c r="M514">
        <f t="shared" si="296"/>
        <v>1486.800966226278</v>
      </c>
      <c r="N514">
        <f t="shared" si="296"/>
        <v>1022.7927999956669</v>
      </c>
      <c r="O514">
        <f t="shared" si="296"/>
        <v>1258.1459133677404</v>
      </c>
      <c r="P514">
        <f t="shared" si="296"/>
        <v>1300.6882644384743</v>
      </c>
      <c r="Q514">
        <f t="shared" si="296"/>
        <v>1337.0026054336279</v>
      </c>
      <c r="R514">
        <f t="shared" si="296"/>
        <v>1175.8382178405666</v>
      </c>
      <c r="S514">
        <f t="shared" si="296"/>
        <v>1509.2990534619576</v>
      </c>
      <c r="T514">
        <f t="shared" si="296"/>
        <v>1401.7454028750878</v>
      </c>
      <c r="U514">
        <f t="shared" si="296"/>
        <v>1532.3698099001217</v>
      </c>
      <c r="V514">
        <f t="shared" si="296"/>
        <v>1414.0548382351922</v>
      </c>
      <c r="W514">
        <f t="shared" si="296"/>
        <v>1514.3289672613948</v>
      </c>
      <c r="Y514" s="8">
        <f t="shared" si="293"/>
        <v>25430.017274247028</v>
      </c>
      <c r="Z514">
        <f t="shared" si="294"/>
        <v>-249.6364000885045</v>
      </c>
    </row>
    <row r="515" spans="1:26" x14ac:dyDescent="0.25">
      <c r="A515" t="s">
        <v>46</v>
      </c>
      <c r="D515">
        <f t="shared" ref="D515:W515" si="297">D39*D141</f>
        <v>1846.443596570509</v>
      </c>
      <c r="E515">
        <f t="shared" si="297"/>
        <v>1378.8208468570647</v>
      </c>
      <c r="F515">
        <f t="shared" si="297"/>
        <v>1236.6072827133969</v>
      </c>
      <c r="G515">
        <f t="shared" si="297"/>
        <v>1354.4716981873867</v>
      </c>
      <c r="H515">
        <f t="shared" si="297"/>
        <v>1268.8944258883716</v>
      </c>
      <c r="I515">
        <f t="shared" si="297"/>
        <v>1021.9529647940633</v>
      </c>
      <c r="J515">
        <f t="shared" si="297"/>
        <v>1052.0777097205421</v>
      </c>
      <c r="K515">
        <f t="shared" si="297"/>
        <v>1446.5199574242504</v>
      </c>
      <c r="L515">
        <f t="shared" si="297"/>
        <v>1530.2776324221616</v>
      </c>
      <c r="M515">
        <f t="shared" si="297"/>
        <v>949.50922109124087</v>
      </c>
      <c r="N515">
        <f t="shared" si="297"/>
        <v>1233.5963464268202</v>
      </c>
      <c r="O515">
        <f t="shared" si="297"/>
        <v>1315.0887217501295</v>
      </c>
      <c r="P515">
        <f t="shared" si="297"/>
        <v>1585.0268656349415</v>
      </c>
      <c r="Q515">
        <f t="shared" si="297"/>
        <v>1554.9243337766561</v>
      </c>
      <c r="R515">
        <f t="shared" si="297"/>
        <v>1284.512707000614</v>
      </c>
      <c r="S515">
        <f t="shared" si="297"/>
        <v>1024.9508491193792</v>
      </c>
      <c r="T515">
        <f t="shared" si="297"/>
        <v>1010.8793873041595</v>
      </c>
      <c r="U515">
        <f t="shared" si="297"/>
        <v>1287.8039110358161</v>
      </c>
      <c r="V515">
        <f t="shared" si="297"/>
        <v>1516.5574816120445</v>
      </c>
      <c r="W515">
        <f t="shared" si="297"/>
        <v>1174.9530837726825</v>
      </c>
      <c r="Y515" s="8">
        <f t="shared" si="293"/>
        <v>26073.869023102226</v>
      </c>
      <c r="Z515">
        <f t="shared" si="294"/>
        <v>-327.73408980487284</v>
      </c>
    </row>
    <row r="516" spans="1:26" x14ac:dyDescent="0.25">
      <c r="A516" t="s">
        <v>47</v>
      </c>
      <c r="D516">
        <f t="shared" ref="D516:W516" si="298">D40*D142</f>
        <v>960.64537495515549</v>
      </c>
      <c r="E516">
        <f t="shared" si="298"/>
        <v>742.6046190427893</v>
      </c>
      <c r="F516">
        <f t="shared" si="298"/>
        <v>1083.2433343614598</v>
      </c>
      <c r="G516">
        <f t="shared" si="298"/>
        <v>1226.0169712200318</v>
      </c>
      <c r="H516">
        <f t="shared" si="298"/>
        <v>1024.5345995280541</v>
      </c>
      <c r="I516">
        <f t="shared" si="298"/>
        <v>521.34050064845212</v>
      </c>
      <c r="J516">
        <f t="shared" si="298"/>
        <v>628.45177002570085</v>
      </c>
      <c r="K516">
        <f t="shared" si="298"/>
        <v>685.29551914273566</v>
      </c>
      <c r="L516">
        <f t="shared" si="298"/>
        <v>333.60134728626247</v>
      </c>
      <c r="M516">
        <f t="shared" si="298"/>
        <v>321.78041177731245</v>
      </c>
      <c r="N516">
        <f t="shared" si="298"/>
        <v>318.4019542855595</v>
      </c>
      <c r="O516">
        <f t="shared" si="298"/>
        <v>371.09956272778555</v>
      </c>
      <c r="P516">
        <f t="shared" si="298"/>
        <v>477.50425156125397</v>
      </c>
      <c r="Q516">
        <f t="shared" si="298"/>
        <v>467.3222924178877</v>
      </c>
      <c r="R516">
        <f t="shared" si="298"/>
        <v>899.79727096665931</v>
      </c>
      <c r="S516">
        <f t="shared" si="298"/>
        <v>356.36739167925202</v>
      </c>
      <c r="T516">
        <f t="shared" si="298"/>
        <v>540.39359868310055</v>
      </c>
      <c r="U516">
        <f t="shared" si="298"/>
        <v>637.60481037577233</v>
      </c>
      <c r="V516">
        <f t="shared" si="298"/>
        <v>463.90468274473034</v>
      </c>
      <c r="W516">
        <f t="shared" si="298"/>
        <v>1067.4560354465359</v>
      </c>
      <c r="Y516" s="8">
        <f t="shared" si="293"/>
        <v>13127.36629887649</v>
      </c>
      <c r="Z516">
        <f t="shared" si="294"/>
        <v>-298.89356829609483</v>
      </c>
    </row>
    <row r="517" spans="1:26" x14ac:dyDescent="0.25">
      <c r="A517" t="s">
        <v>48</v>
      </c>
      <c r="D517">
        <f t="shared" ref="D517:W517" si="299">D41*D143</f>
        <v>1344.7916208761437</v>
      </c>
      <c r="E517">
        <f t="shared" si="299"/>
        <v>1138.3261463864035</v>
      </c>
      <c r="F517">
        <f t="shared" si="299"/>
        <v>1174.3912361177693</v>
      </c>
      <c r="G517">
        <f t="shared" si="299"/>
        <v>1492.4811600320024</v>
      </c>
      <c r="H517">
        <f t="shared" si="299"/>
        <v>985.77328223135476</v>
      </c>
      <c r="I517">
        <f t="shared" si="299"/>
        <v>858.50965600049631</v>
      </c>
      <c r="J517">
        <f t="shared" si="299"/>
        <v>721.43216690345889</v>
      </c>
      <c r="K517">
        <f t="shared" si="299"/>
        <v>641.19655558501665</v>
      </c>
      <c r="L517">
        <f t="shared" si="299"/>
        <v>383.71344632468538</v>
      </c>
      <c r="M517">
        <f t="shared" si="299"/>
        <v>435.57512893714812</v>
      </c>
      <c r="N517">
        <f t="shared" si="299"/>
        <v>311.15215800137571</v>
      </c>
      <c r="O517">
        <f t="shared" si="299"/>
        <v>348.75308329187749</v>
      </c>
      <c r="P517">
        <f t="shared" si="299"/>
        <v>488.72407716928114</v>
      </c>
      <c r="Q517">
        <f t="shared" si="299"/>
        <v>551.71285493868072</v>
      </c>
      <c r="R517">
        <f t="shared" si="299"/>
        <v>621.48087123782341</v>
      </c>
      <c r="S517">
        <f t="shared" si="299"/>
        <v>560.6960157905994</v>
      </c>
      <c r="T517">
        <f t="shared" si="299"/>
        <v>777.57175579815339</v>
      </c>
      <c r="U517">
        <f t="shared" si="299"/>
        <v>552.49744171974066</v>
      </c>
      <c r="V517">
        <f t="shared" si="299"/>
        <v>783.97268941894106</v>
      </c>
      <c r="W517">
        <f t="shared" si="299"/>
        <v>969.03866922597024</v>
      </c>
      <c r="Y517" s="8">
        <f t="shared" si="293"/>
        <v>15141.790015986924</v>
      </c>
      <c r="Z517">
        <f t="shared" si="294"/>
        <v>-600.96308540639882</v>
      </c>
    </row>
    <row r="518" spans="1:26" x14ac:dyDescent="0.25">
      <c r="A518" t="s">
        <v>49</v>
      </c>
      <c r="D518">
        <f t="shared" ref="D518:W518" si="300">D42*D144</f>
        <v>1224.7361396611839</v>
      </c>
      <c r="E518">
        <f t="shared" si="300"/>
        <v>1112.8674253508377</v>
      </c>
      <c r="F518">
        <f t="shared" si="300"/>
        <v>1398.5904173328643</v>
      </c>
      <c r="G518">
        <f t="shared" si="300"/>
        <v>1010.3485085507887</v>
      </c>
      <c r="H518">
        <f t="shared" si="300"/>
        <v>540.4559082276121</v>
      </c>
      <c r="I518">
        <f t="shared" si="300"/>
        <v>826.15791614647958</v>
      </c>
      <c r="J518">
        <f t="shared" si="300"/>
        <v>633.44245818822299</v>
      </c>
      <c r="K518">
        <f t="shared" si="300"/>
        <v>533.99290070902396</v>
      </c>
      <c r="L518">
        <f t="shared" si="300"/>
        <v>454.67946676360918</v>
      </c>
      <c r="M518">
        <f t="shared" si="300"/>
        <v>502.73090434112248</v>
      </c>
      <c r="N518">
        <f t="shared" si="300"/>
        <v>450.05897335083631</v>
      </c>
      <c r="O518">
        <f t="shared" si="300"/>
        <v>187.73673096451182</v>
      </c>
      <c r="P518">
        <f t="shared" si="300"/>
        <v>515.21156426345192</v>
      </c>
      <c r="Q518">
        <f t="shared" si="300"/>
        <v>253.65776551303949</v>
      </c>
      <c r="R518">
        <f t="shared" si="300"/>
        <v>345.39023859263875</v>
      </c>
      <c r="S518">
        <f t="shared" si="300"/>
        <v>566.95574776373144</v>
      </c>
      <c r="T518">
        <f t="shared" si="300"/>
        <v>409.95045955014092</v>
      </c>
      <c r="U518">
        <f t="shared" si="300"/>
        <v>577.69735171157424</v>
      </c>
      <c r="V518">
        <f t="shared" si="300"/>
        <v>860.05286551385643</v>
      </c>
      <c r="W518">
        <f t="shared" si="300"/>
        <v>868.97625692052713</v>
      </c>
      <c r="Y518" s="8">
        <f t="shared" si="293"/>
        <v>13273.689999416056</v>
      </c>
      <c r="Z518">
        <f t="shared" si="294"/>
        <v>-665.15116987119245</v>
      </c>
    </row>
    <row r="519" spans="1:26" x14ac:dyDescent="0.25">
      <c r="A519" t="s">
        <v>50</v>
      </c>
      <c r="D519">
        <f t="shared" ref="D519:W519" si="301">D43*D145</f>
        <v>143.38290751333344</v>
      </c>
      <c r="E519">
        <f t="shared" si="301"/>
        <v>752.754099686534</v>
      </c>
      <c r="F519">
        <f t="shared" si="301"/>
        <v>800.8480616654299</v>
      </c>
      <c r="G519">
        <f t="shared" si="301"/>
        <v>591.47613497403211</v>
      </c>
      <c r="H519">
        <f t="shared" si="301"/>
        <v>374.16874710177598</v>
      </c>
      <c r="I519">
        <f t="shared" si="301"/>
        <v>683.72085959751587</v>
      </c>
      <c r="J519">
        <f t="shared" si="301"/>
        <v>614.44796265405955</v>
      </c>
      <c r="K519">
        <f t="shared" si="301"/>
        <v>644.54690827546449</v>
      </c>
      <c r="L519">
        <f t="shared" si="301"/>
        <v>760.18933289730501</v>
      </c>
      <c r="M519">
        <f t="shared" si="301"/>
        <v>572.49561902224502</v>
      </c>
      <c r="N519">
        <f t="shared" si="301"/>
        <v>456.05326382924864</v>
      </c>
      <c r="O519">
        <f t="shared" si="301"/>
        <v>684.09257649349206</v>
      </c>
      <c r="P519">
        <f t="shared" si="301"/>
        <v>591.96522158603454</v>
      </c>
      <c r="Q519">
        <f t="shared" si="301"/>
        <v>821.57239677389282</v>
      </c>
      <c r="R519">
        <f t="shared" si="301"/>
        <v>1006.1236142001318</v>
      </c>
      <c r="S519">
        <f t="shared" si="301"/>
        <v>840.21755532861368</v>
      </c>
      <c r="T519">
        <f t="shared" si="301"/>
        <v>791.42174407349444</v>
      </c>
      <c r="U519">
        <f t="shared" si="301"/>
        <v>823.50965351819809</v>
      </c>
      <c r="V519">
        <f t="shared" si="301"/>
        <v>861.10009639062503</v>
      </c>
      <c r="W519">
        <f t="shared" si="301"/>
        <v>1025.685116987288</v>
      </c>
      <c r="Y519" s="8">
        <f t="shared" si="293"/>
        <v>13839.771872568714</v>
      </c>
      <c r="Z519">
        <f t="shared" si="294"/>
        <v>264.57290334585332</v>
      </c>
    </row>
    <row r="520" spans="1:26" x14ac:dyDescent="0.25">
      <c r="A520" t="s">
        <v>51</v>
      </c>
      <c r="D520">
        <f t="shared" ref="D520:W520" si="302">D44*D146</f>
        <v>1434.5422361640606</v>
      </c>
      <c r="E520">
        <f t="shared" si="302"/>
        <v>630.29191972170315</v>
      </c>
      <c r="F520">
        <f t="shared" si="302"/>
        <v>622.62035066385977</v>
      </c>
      <c r="G520">
        <f t="shared" si="302"/>
        <v>618.99699090386116</v>
      </c>
      <c r="H520">
        <f t="shared" si="302"/>
        <v>572.36563725539895</v>
      </c>
      <c r="I520">
        <f t="shared" si="302"/>
        <v>487.67998711002969</v>
      </c>
      <c r="J520">
        <f t="shared" si="302"/>
        <v>534.79988152003136</v>
      </c>
      <c r="K520">
        <f t="shared" si="302"/>
        <v>622.1654076893293</v>
      </c>
      <c r="L520">
        <f t="shared" si="302"/>
        <v>452.6580253720013</v>
      </c>
      <c r="M520">
        <f t="shared" si="302"/>
        <v>621.96900713474713</v>
      </c>
      <c r="N520">
        <f t="shared" si="302"/>
        <v>408.94658593477391</v>
      </c>
      <c r="O520">
        <f t="shared" si="302"/>
        <v>453.91728708781233</v>
      </c>
      <c r="P520">
        <f t="shared" si="302"/>
        <v>536.66999329200542</v>
      </c>
      <c r="Q520">
        <f t="shared" si="302"/>
        <v>564.4569759255553</v>
      </c>
      <c r="R520">
        <f t="shared" si="302"/>
        <v>894.88030878511381</v>
      </c>
      <c r="S520">
        <f t="shared" si="302"/>
        <v>986.84545384568708</v>
      </c>
      <c r="T520">
        <f t="shared" si="302"/>
        <v>1053.7120129162058</v>
      </c>
      <c r="U520">
        <f t="shared" si="302"/>
        <v>1053.2789006897813</v>
      </c>
      <c r="V520">
        <f t="shared" si="302"/>
        <v>944.87295422428554</v>
      </c>
      <c r="W520">
        <f t="shared" si="302"/>
        <v>1190.5769717606465</v>
      </c>
      <c r="Y520" s="8">
        <f t="shared" si="293"/>
        <v>14686.246887996889</v>
      </c>
      <c r="Z520">
        <f t="shared" si="294"/>
        <v>-210.34667611235761</v>
      </c>
    </row>
    <row r="521" spans="1:26" x14ac:dyDescent="0.25">
      <c r="A521" t="s">
        <v>52</v>
      </c>
      <c r="D521">
        <f t="shared" ref="D521:W521" si="303">D45*D147</f>
        <v>1062.7101606670819</v>
      </c>
      <c r="E521">
        <f t="shared" si="303"/>
        <v>1038.0288338775761</v>
      </c>
      <c r="F521">
        <f t="shared" si="303"/>
        <v>1239.1457447195298</v>
      </c>
      <c r="G521">
        <f t="shared" si="303"/>
        <v>876.98282990230496</v>
      </c>
      <c r="H521">
        <f t="shared" si="303"/>
        <v>779.24854705603354</v>
      </c>
      <c r="I521">
        <f t="shared" si="303"/>
        <v>591.83257775822972</v>
      </c>
      <c r="J521">
        <f t="shared" si="303"/>
        <v>501.94416853568151</v>
      </c>
      <c r="K521">
        <f t="shared" si="303"/>
        <v>835.25975156041818</v>
      </c>
      <c r="L521">
        <f t="shared" si="303"/>
        <v>711.50813819048506</v>
      </c>
      <c r="M521">
        <f t="shared" si="303"/>
        <v>547.47682690880606</v>
      </c>
      <c r="N521">
        <f t="shared" si="303"/>
        <v>563.4417022777252</v>
      </c>
      <c r="O521">
        <f t="shared" si="303"/>
        <v>305.35792694896656</v>
      </c>
      <c r="P521">
        <f t="shared" si="303"/>
        <v>268.46713740953976</v>
      </c>
      <c r="Q521">
        <f t="shared" si="303"/>
        <v>595.25815550127788</v>
      </c>
      <c r="R521">
        <f t="shared" si="303"/>
        <v>401.96659441647643</v>
      </c>
      <c r="S521">
        <f t="shared" si="303"/>
        <v>658.3591993877867</v>
      </c>
      <c r="T521">
        <f t="shared" si="303"/>
        <v>533.38789831122961</v>
      </c>
      <c r="U521">
        <f t="shared" si="303"/>
        <v>712.30933659523782</v>
      </c>
      <c r="V521">
        <f t="shared" si="303"/>
        <v>768.93370824619115</v>
      </c>
      <c r="W521">
        <f t="shared" si="303"/>
        <v>971.5121731832586</v>
      </c>
      <c r="Y521" s="8">
        <f t="shared" si="293"/>
        <v>13963.13141145384</v>
      </c>
      <c r="Z521">
        <f t="shared" si="294"/>
        <v>-504.96668275468949</v>
      </c>
    </row>
    <row r="522" spans="1:26" x14ac:dyDescent="0.25">
      <c r="A522" t="s">
        <v>53</v>
      </c>
      <c r="D522">
        <f t="shared" ref="D522:W522" si="304">D46*D148</f>
        <v>1248.2021980233476</v>
      </c>
      <c r="E522">
        <f t="shared" si="304"/>
        <v>1239.3483577907373</v>
      </c>
      <c r="F522">
        <f t="shared" si="304"/>
        <v>1104.0755605589038</v>
      </c>
      <c r="G522">
        <f t="shared" si="304"/>
        <v>799.4604341346178</v>
      </c>
      <c r="H522">
        <f t="shared" si="304"/>
        <v>944.14902614568234</v>
      </c>
      <c r="I522">
        <f t="shared" si="304"/>
        <v>639.72133324471042</v>
      </c>
      <c r="J522">
        <f t="shared" si="304"/>
        <v>514.48217239459746</v>
      </c>
      <c r="K522">
        <f t="shared" si="304"/>
        <v>556.31008505368879</v>
      </c>
      <c r="L522">
        <f t="shared" si="304"/>
        <v>587.90662619790339</v>
      </c>
      <c r="M522">
        <f t="shared" si="304"/>
        <v>662.54326130444258</v>
      </c>
      <c r="N522">
        <f t="shared" si="304"/>
        <v>752.03869789630494</v>
      </c>
      <c r="O522">
        <f t="shared" si="304"/>
        <v>466.79442025365182</v>
      </c>
      <c r="P522">
        <f t="shared" si="304"/>
        <v>504.14071026096974</v>
      </c>
      <c r="Q522">
        <f t="shared" si="304"/>
        <v>816.59049043902598</v>
      </c>
      <c r="R522">
        <f t="shared" si="304"/>
        <v>677.61426248553812</v>
      </c>
      <c r="S522">
        <f t="shared" si="304"/>
        <v>689.54299716013588</v>
      </c>
      <c r="T522">
        <f t="shared" si="304"/>
        <v>864.41741342898808</v>
      </c>
      <c r="U522">
        <f t="shared" si="304"/>
        <v>720.83591855619318</v>
      </c>
      <c r="V522">
        <f t="shared" si="304"/>
        <v>856.71982412295904</v>
      </c>
      <c r="W522">
        <f t="shared" si="304"/>
        <v>798.72805755583181</v>
      </c>
      <c r="Y522" s="8">
        <f t="shared" si="293"/>
        <v>15443.621847008229</v>
      </c>
      <c r="Z522">
        <f t="shared" si="294"/>
        <v>-468.38814187371014</v>
      </c>
    </row>
    <row r="523" spans="1:26" x14ac:dyDescent="0.25">
      <c r="A523" t="s">
        <v>54</v>
      </c>
      <c r="D523">
        <f t="shared" ref="D523:W523" si="305">D47*D149</f>
        <v>1884.3847749284164</v>
      </c>
      <c r="E523">
        <f t="shared" si="305"/>
        <v>1170.3396459190431</v>
      </c>
      <c r="F523">
        <f t="shared" si="305"/>
        <v>1102.501283899119</v>
      </c>
      <c r="G523">
        <f t="shared" si="305"/>
        <v>1384.5692039180803</v>
      </c>
      <c r="H523">
        <f t="shared" si="305"/>
        <v>590.26799674623499</v>
      </c>
      <c r="I523">
        <f t="shared" si="305"/>
        <v>1035.2829332602118</v>
      </c>
      <c r="J523">
        <f t="shared" si="305"/>
        <v>715.48932459167338</v>
      </c>
      <c r="K523">
        <f t="shared" si="305"/>
        <v>622.9775542373643</v>
      </c>
      <c r="L523">
        <f t="shared" si="305"/>
        <v>346.9781786754528</v>
      </c>
      <c r="M523">
        <f t="shared" si="305"/>
        <v>1204.5388580051756</v>
      </c>
      <c r="N523">
        <f t="shared" si="305"/>
        <v>436.73498907569126</v>
      </c>
      <c r="O523">
        <f t="shared" si="305"/>
        <v>433.48603958972774</v>
      </c>
      <c r="P523">
        <f t="shared" si="305"/>
        <v>1497.7610658423739</v>
      </c>
      <c r="Q523">
        <f t="shared" si="305"/>
        <v>710.01348116104941</v>
      </c>
      <c r="R523">
        <f t="shared" si="305"/>
        <v>1055.6828001897516</v>
      </c>
      <c r="S523">
        <f t="shared" si="305"/>
        <v>1305.1830264236123</v>
      </c>
      <c r="T523">
        <f t="shared" si="305"/>
        <v>1309.6310959686266</v>
      </c>
      <c r="U523">
        <f t="shared" si="305"/>
        <v>1257.7809058749642</v>
      </c>
      <c r="V523">
        <f t="shared" si="305"/>
        <v>1158.7030773337094</v>
      </c>
      <c r="W523">
        <f t="shared" si="305"/>
        <v>1008.0135702379847</v>
      </c>
      <c r="Y523" s="8">
        <f t="shared" si="293"/>
        <v>20230.319805878262</v>
      </c>
      <c r="Z523">
        <f t="shared" si="294"/>
        <v>-425.02568044609529</v>
      </c>
    </row>
    <row r="524" spans="1:26" x14ac:dyDescent="0.25">
      <c r="A524" t="s">
        <v>55</v>
      </c>
      <c r="D524">
        <f t="shared" ref="D524:W524" si="306">D48*D150</f>
        <v>1543.0242969042729</v>
      </c>
      <c r="E524">
        <f t="shared" si="306"/>
        <v>1374.8217480698245</v>
      </c>
      <c r="F524">
        <f t="shared" si="306"/>
        <v>1074.2951284745097</v>
      </c>
      <c r="G524">
        <f t="shared" si="306"/>
        <v>1262.1227115024362</v>
      </c>
      <c r="H524">
        <f t="shared" si="306"/>
        <v>803.7965826912623</v>
      </c>
      <c r="I524">
        <f t="shared" si="306"/>
        <v>968.68051893583402</v>
      </c>
      <c r="J524">
        <f t="shared" si="306"/>
        <v>847.72843788491809</v>
      </c>
      <c r="K524">
        <f t="shared" si="306"/>
        <v>860.55913741954646</v>
      </c>
      <c r="L524">
        <f t="shared" si="306"/>
        <v>1139.6776424849529</v>
      </c>
      <c r="M524">
        <f t="shared" si="306"/>
        <v>1070.8559165854754</v>
      </c>
      <c r="N524">
        <f t="shared" si="306"/>
        <v>1204.029564526983</v>
      </c>
      <c r="O524">
        <f t="shared" si="306"/>
        <v>1147.1888510302133</v>
      </c>
      <c r="P524">
        <f t="shared" si="306"/>
        <v>1210.3678111921922</v>
      </c>
      <c r="Q524">
        <f t="shared" si="306"/>
        <v>1347.6083322247555</v>
      </c>
      <c r="R524">
        <f t="shared" si="306"/>
        <v>1181.5591616372983</v>
      </c>
      <c r="S524">
        <f t="shared" si="306"/>
        <v>1267.8734795137373</v>
      </c>
      <c r="T524">
        <f t="shared" si="306"/>
        <v>1197.1644400640976</v>
      </c>
      <c r="U524">
        <f t="shared" si="306"/>
        <v>1212.2548996453911</v>
      </c>
      <c r="V524">
        <f t="shared" si="306"/>
        <v>1098.6294321493515</v>
      </c>
      <c r="W524">
        <f t="shared" si="306"/>
        <v>1339.4137275936289</v>
      </c>
      <c r="Y524" s="8">
        <f t="shared" si="293"/>
        <v>23151.651820530686</v>
      </c>
      <c r="Z524">
        <f t="shared" si="294"/>
        <v>-296.61301938219765</v>
      </c>
    </row>
    <row r="525" spans="1:26" x14ac:dyDescent="0.25">
      <c r="A525" t="s">
        <v>56</v>
      </c>
      <c r="D525">
        <f t="shared" ref="D525:W525" si="307">D49*D151</f>
        <v>1336.4996290590357</v>
      </c>
      <c r="E525">
        <f t="shared" si="307"/>
        <v>1454.3677943598527</v>
      </c>
      <c r="F525">
        <f t="shared" si="307"/>
        <v>1225.7316527691059</v>
      </c>
      <c r="G525">
        <f t="shared" si="307"/>
        <v>1326.3043965805273</v>
      </c>
      <c r="H525">
        <f t="shared" si="307"/>
        <v>1726.1973084441026</v>
      </c>
      <c r="I525">
        <f t="shared" si="307"/>
        <v>1312.8494924851636</v>
      </c>
      <c r="J525">
        <f t="shared" si="307"/>
        <v>1433.2864115771486</v>
      </c>
      <c r="K525">
        <f t="shared" si="307"/>
        <v>1614.0625695211877</v>
      </c>
      <c r="L525">
        <f t="shared" si="307"/>
        <v>1434.2797048840832</v>
      </c>
      <c r="M525">
        <f t="shared" si="307"/>
        <v>1058.8386636034904</v>
      </c>
      <c r="N525">
        <f t="shared" si="307"/>
        <v>1892.1372409515727</v>
      </c>
      <c r="O525">
        <f t="shared" si="307"/>
        <v>1260.4929062171566</v>
      </c>
      <c r="P525">
        <f t="shared" si="307"/>
        <v>1093.0160333752838</v>
      </c>
      <c r="Q525">
        <f t="shared" si="307"/>
        <v>1124.6516857552042</v>
      </c>
      <c r="R525">
        <f t="shared" si="307"/>
        <v>1343.1941083478387</v>
      </c>
      <c r="S525">
        <f t="shared" si="307"/>
        <v>1375.0326329600364</v>
      </c>
      <c r="T525">
        <f t="shared" si="307"/>
        <v>1450.8971713720443</v>
      </c>
      <c r="U525">
        <f t="shared" si="307"/>
        <v>1536.7109506991824</v>
      </c>
      <c r="V525">
        <f t="shared" si="307"/>
        <v>1662.8633110715082</v>
      </c>
      <c r="W525">
        <f t="shared" si="307"/>
        <v>1243.9553262788072</v>
      </c>
      <c r="Y525" s="8">
        <f t="shared" si="293"/>
        <v>27905.368990312334</v>
      </c>
      <c r="Z525">
        <f t="shared" si="294"/>
        <v>-333.81464203455334</v>
      </c>
    </row>
    <row r="526" spans="1:26" x14ac:dyDescent="0.25">
      <c r="A526" t="s">
        <v>57</v>
      </c>
      <c r="D526">
        <f t="shared" ref="D526:W526" si="308">D50*D152</f>
        <v>1428.0370175214382</v>
      </c>
      <c r="E526">
        <f t="shared" si="308"/>
        <v>974.0757619035669</v>
      </c>
      <c r="F526">
        <f t="shared" si="308"/>
        <v>977.47536868053771</v>
      </c>
      <c r="G526">
        <f t="shared" si="308"/>
        <v>999.94586792232906</v>
      </c>
      <c r="H526">
        <f t="shared" si="308"/>
        <v>996.96802980598443</v>
      </c>
      <c r="I526">
        <f t="shared" si="308"/>
        <v>818.20607676126201</v>
      </c>
      <c r="J526">
        <f t="shared" si="308"/>
        <v>1121.438790999661</v>
      </c>
      <c r="K526">
        <f t="shared" si="308"/>
        <v>733.64631109251843</v>
      </c>
      <c r="L526">
        <f t="shared" si="308"/>
        <v>1076.9935092761013</v>
      </c>
      <c r="M526">
        <f t="shared" si="308"/>
        <v>1082.4485989320658</v>
      </c>
      <c r="N526">
        <f t="shared" si="308"/>
        <v>1200.8002353734119</v>
      </c>
      <c r="O526">
        <f t="shared" si="308"/>
        <v>1230.4179780760942</v>
      </c>
      <c r="P526">
        <f t="shared" si="308"/>
        <v>544.22235683702763</v>
      </c>
      <c r="Q526">
        <f t="shared" si="308"/>
        <v>665.88394939789828</v>
      </c>
      <c r="R526">
        <f t="shared" si="308"/>
        <v>700.55557842184248</v>
      </c>
      <c r="S526">
        <f t="shared" si="308"/>
        <v>640.24293408899871</v>
      </c>
      <c r="T526">
        <f t="shared" si="308"/>
        <v>985.14728340616819</v>
      </c>
      <c r="U526">
        <f t="shared" si="308"/>
        <v>889.69631827901526</v>
      </c>
      <c r="V526">
        <f t="shared" si="308"/>
        <v>643.20998321419063</v>
      </c>
      <c r="W526">
        <f t="shared" si="308"/>
        <v>1125.4073935591841</v>
      </c>
      <c r="Y526" s="8">
        <f t="shared" si="293"/>
        <v>18834.819343549298</v>
      </c>
      <c r="Z526">
        <f t="shared" si="294"/>
        <v>-528.319365020227</v>
      </c>
    </row>
    <row r="527" spans="1:26" x14ac:dyDescent="0.25">
      <c r="A527" t="s">
        <v>58</v>
      </c>
      <c r="D527">
        <f t="shared" ref="D527:W527" si="309">D51*D153</f>
        <v>1512.7960573598812</v>
      </c>
      <c r="E527">
        <f t="shared" si="309"/>
        <v>1151.5476529176451</v>
      </c>
      <c r="F527">
        <f t="shared" si="309"/>
        <v>1148.698043216018</v>
      </c>
      <c r="G527">
        <f t="shared" si="309"/>
        <v>983.77695770030743</v>
      </c>
      <c r="H527">
        <f t="shared" si="309"/>
        <v>1062.3400684470098</v>
      </c>
      <c r="I527">
        <f t="shared" si="309"/>
        <v>1168.1228665264264</v>
      </c>
      <c r="J527">
        <f t="shared" si="309"/>
        <v>1238.8386095797425</v>
      </c>
      <c r="K527">
        <f t="shared" si="309"/>
        <v>1015.0025584524436</v>
      </c>
      <c r="L527">
        <f t="shared" si="309"/>
        <v>801.19685051154272</v>
      </c>
      <c r="M527">
        <f t="shared" si="309"/>
        <v>925.89942971552318</v>
      </c>
      <c r="N527">
        <f t="shared" si="309"/>
        <v>956.62028789425767</v>
      </c>
      <c r="O527">
        <f t="shared" si="309"/>
        <v>933.01938233264559</v>
      </c>
      <c r="P527">
        <f t="shared" si="309"/>
        <v>692.21933924972166</v>
      </c>
      <c r="Q527">
        <f t="shared" si="309"/>
        <v>1073.0951877468567</v>
      </c>
      <c r="R527">
        <f t="shared" si="309"/>
        <v>1074.6985858549187</v>
      </c>
      <c r="S527">
        <f t="shared" si="309"/>
        <v>1568.4601620180933</v>
      </c>
      <c r="T527">
        <f t="shared" si="309"/>
        <v>1371.1424552660458</v>
      </c>
      <c r="U527">
        <f t="shared" si="309"/>
        <v>1400.7100525205813</v>
      </c>
      <c r="V527">
        <f t="shared" si="309"/>
        <v>929.70346725516788</v>
      </c>
      <c r="W527">
        <f t="shared" si="309"/>
        <v>1438.7797152045218</v>
      </c>
      <c r="Y527" s="8">
        <f t="shared" si="293"/>
        <v>22446.66772976935</v>
      </c>
      <c r="Z527">
        <f t="shared" si="294"/>
        <v>-310.70421533656742</v>
      </c>
    </row>
    <row r="528" spans="1:26" x14ac:dyDescent="0.25">
      <c r="A528" t="s">
        <v>59</v>
      </c>
      <c r="D528">
        <f t="shared" ref="D528:W528" si="310">D52*D154</f>
        <v>1235.9559751869976</v>
      </c>
      <c r="E528">
        <f t="shared" si="310"/>
        <v>1505.9609205082925</v>
      </c>
      <c r="F528">
        <f t="shared" si="310"/>
        <v>1182.8901231225823</v>
      </c>
      <c r="G528">
        <f t="shared" si="310"/>
        <v>1158.2710823418656</v>
      </c>
      <c r="H528">
        <f t="shared" si="310"/>
        <v>1106.6706103590993</v>
      </c>
      <c r="I528">
        <f t="shared" si="310"/>
        <v>1085.9466686120031</v>
      </c>
      <c r="J528">
        <f t="shared" si="310"/>
        <v>1049.0768211237021</v>
      </c>
      <c r="K528">
        <f t="shared" si="310"/>
        <v>1039.7183082871584</v>
      </c>
      <c r="L528">
        <f t="shared" si="310"/>
        <v>1091.2839881637381</v>
      </c>
      <c r="M528">
        <f t="shared" si="310"/>
        <v>973.9766832000754</v>
      </c>
      <c r="N528">
        <f t="shared" si="310"/>
        <v>966.22496594644383</v>
      </c>
      <c r="O528">
        <f t="shared" si="310"/>
        <v>1020.2100442062493</v>
      </c>
      <c r="P528">
        <f t="shared" si="310"/>
        <v>1064.2135654944404</v>
      </c>
      <c r="Q528">
        <f t="shared" si="310"/>
        <v>1048.5252265492318</v>
      </c>
      <c r="R528">
        <f t="shared" si="310"/>
        <v>1105.667311135848</v>
      </c>
      <c r="S528">
        <f t="shared" si="310"/>
        <v>1144.7199855616427</v>
      </c>
      <c r="T528">
        <f t="shared" si="310"/>
        <v>1074.6373444111077</v>
      </c>
      <c r="U528">
        <f t="shared" si="310"/>
        <v>1106.5593911361443</v>
      </c>
      <c r="V528">
        <f t="shared" si="310"/>
        <v>1207.9095610324612</v>
      </c>
      <c r="W528">
        <f t="shared" si="310"/>
        <v>1260.5551015454557</v>
      </c>
      <c r="Y528" s="8">
        <f t="shared" si="293"/>
        <v>22428.973677924532</v>
      </c>
      <c r="Z528">
        <f t="shared" si="294"/>
        <v>-241.70147433880888</v>
      </c>
    </row>
    <row r="529" spans="1:26" x14ac:dyDescent="0.25">
      <c r="A529" t="s">
        <v>60</v>
      </c>
      <c r="D529">
        <f t="shared" ref="D529:W529" si="311">D53*D155</f>
        <v>1138.8163212294164</v>
      </c>
      <c r="E529">
        <f t="shared" si="311"/>
        <v>1440.4819909461698</v>
      </c>
      <c r="F529">
        <f t="shared" si="311"/>
        <v>1182.0937059055325</v>
      </c>
      <c r="G529">
        <f t="shared" si="311"/>
        <v>1107.1163490170488</v>
      </c>
      <c r="H529">
        <f t="shared" si="311"/>
        <v>1119.8533325560866</v>
      </c>
      <c r="I529">
        <f t="shared" si="311"/>
        <v>1066.7741533143098</v>
      </c>
      <c r="J529">
        <f t="shared" si="311"/>
        <v>1049.0149475386941</v>
      </c>
      <c r="K529">
        <f t="shared" si="311"/>
        <v>998.74646920986186</v>
      </c>
      <c r="L529">
        <f t="shared" si="311"/>
        <v>1010.4995212581799</v>
      </c>
      <c r="M529">
        <f t="shared" si="311"/>
        <v>1029.9486173405473</v>
      </c>
      <c r="N529">
        <f t="shared" si="311"/>
        <v>917.58514458989691</v>
      </c>
      <c r="O529">
        <f t="shared" si="311"/>
        <v>969.56177861382128</v>
      </c>
      <c r="P529">
        <f t="shared" si="311"/>
        <v>1176.3501161664283</v>
      </c>
      <c r="Q529">
        <f t="shared" si="311"/>
        <v>1332.2470999840266</v>
      </c>
      <c r="R529">
        <f t="shared" si="311"/>
        <v>1359.135710617398</v>
      </c>
      <c r="S529">
        <f t="shared" si="311"/>
        <v>1224.1681471541519</v>
      </c>
      <c r="T529">
        <f t="shared" si="311"/>
        <v>1029.0764257935778</v>
      </c>
      <c r="U529">
        <f t="shared" si="311"/>
        <v>1213.4514828340182</v>
      </c>
      <c r="V529">
        <f t="shared" si="311"/>
        <v>1246.5775261817323</v>
      </c>
      <c r="W529">
        <f t="shared" si="311"/>
        <v>1296.596224853191</v>
      </c>
      <c r="Y529" s="8">
        <f t="shared" si="293"/>
        <v>22908.095065104088</v>
      </c>
      <c r="Z529">
        <f t="shared" si="294"/>
        <v>-57.071760979061871</v>
      </c>
    </row>
    <row r="530" spans="1:26" x14ac:dyDescent="0.25">
      <c r="A530" t="s">
        <v>61</v>
      </c>
      <c r="D530">
        <f t="shared" ref="D530:W530" si="312">D54*D156</f>
        <v>1481.6572381479525</v>
      </c>
      <c r="E530">
        <f t="shared" si="312"/>
        <v>1337.7238877657187</v>
      </c>
      <c r="F530">
        <f t="shared" si="312"/>
        <v>1084.8204569672171</v>
      </c>
      <c r="G530">
        <f t="shared" si="312"/>
        <v>1259.3640757884318</v>
      </c>
      <c r="H530">
        <f t="shared" si="312"/>
        <v>910.05003169875363</v>
      </c>
      <c r="I530">
        <f t="shared" si="312"/>
        <v>1100.0914746178109</v>
      </c>
      <c r="J530">
        <f t="shared" si="312"/>
        <v>972.72582078401911</v>
      </c>
      <c r="K530">
        <f t="shared" si="312"/>
        <v>1228.0382412846934</v>
      </c>
      <c r="L530">
        <f t="shared" si="312"/>
        <v>1236.8691034299329</v>
      </c>
      <c r="M530">
        <f t="shared" si="312"/>
        <v>1095.4068055299729</v>
      </c>
      <c r="N530">
        <f t="shared" si="312"/>
        <v>839.52477237774781</v>
      </c>
      <c r="O530">
        <f t="shared" si="312"/>
        <v>989.68367911661937</v>
      </c>
      <c r="P530">
        <f t="shared" si="312"/>
        <v>1162.2434039750958</v>
      </c>
      <c r="Q530">
        <f t="shared" si="312"/>
        <v>1341.2323908751514</v>
      </c>
      <c r="R530">
        <f t="shared" si="312"/>
        <v>1487.4122259178878</v>
      </c>
      <c r="S530">
        <f t="shared" si="312"/>
        <v>1623.1695102630222</v>
      </c>
      <c r="T530">
        <f t="shared" si="312"/>
        <v>1187.688571538353</v>
      </c>
      <c r="U530">
        <f t="shared" si="312"/>
        <v>1077.4343696036121</v>
      </c>
      <c r="V530">
        <f t="shared" si="312"/>
        <v>1150.8974460602165</v>
      </c>
      <c r="W530">
        <f t="shared" si="312"/>
        <v>1441.9713244294255</v>
      </c>
      <c r="Y530" s="8">
        <f t="shared" si="293"/>
        <v>24008.004830171634</v>
      </c>
      <c r="Z530">
        <f t="shared" si="294"/>
        <v>-53.040903210451923</v>
      </c>
    </row>
    <row r="531" spans="1:26" x14ac:dyDescent="0.25">
      <c r="A531" t="s">
        <v>62</v>
      </c>
      <c r="D531">
        <f t="shared" ref="D531:W531" si="313">D55*D157</f>
        <v>1066.0554064361834</v>
      </c>
      <c r="E531">
        <f t="shared" si="313"/>
        <v>1831.4587835274108</v>
      </c>
      <c r="F531">
        <f t="shared" si="313"/>
        <v>1129.0754144052669</v>
      </c>
      <c r="G531">
        <f t="shared" si="313"/>
        <v>1084.7192416452533</v>
      </c>
      <c r="H531">
        <f t="shared" si="313"/>
        <v>1059.3932792621763</v>
      </c>
      <c r="I531">
        <f t="shared" si="313"/>
        <v>841.68542344235561</v>
      </c>
      <c r="J531">
        <f t="shared" si="313"/>
        <v>999.69905557888387</v>
      </c>
      <c r="K531">
        <f t="shared" si="313"/>
        <v>988.89653052908466</v>
      </c>
      <c r="L531">
        <f t="shared" si="313"/>
        <v>925.79540111049778</v>
      </c>
      <c r="M531">
        <f t="shared" si="313"/>
        <v>1081.7769819014766</v>
      </c>
      <c r="N531">
        <f t="shared" si="313"/>
        <v>1070.844190516377</v>
      </c>
      <c r="O531">
        <f t="shared" si="313"/>
        <v>1055.7546698508502</v>
      </c>
      <c r="P531">
        <f t="shared" si="313"/>
        <v>1029.0657043386173</v>
      </c>
      <c r="Q531">
        <f t="shared" si="313"/>
        <v>1089.7088125322562</v>
      </c>
      <c r="R531">
        <f t="shared" si="313"/>
        <v>1131.5470539865926</v>
      </c>
      <c r="S531">
        <f t="shared" si="313"/>
        <v>1129.3880951462925</v>
      </c>
      <c r="T531">
        <f t="shared" si="313"/>
        <v>1092.2666293539617</v>
      </c>
      <c r="U531">
        <f t="shared" si="313"/>
        <v>1149.3240407473677</v>
      </c>
      <c r="V531">
        <f t="shared" si="313"/>
        <v>1389.229713626688</v>
      </c>
      <c r="W531">
        <f t="shared" si="313"/>
        <v>1256.2365832219798</v>
      </c>
      <c r="Y531" s="8">
        <f t="shared" si="293"/>
        <v>22401.921011159568</v>
      </c>
      <c r="Z531">
        <f t="shared" si="294"/>
        <v>-177.59545807407531</v>
      </c>
    </row>
    <row r="532" spans="1:26" x14ac:dyDescent="0.25">
      <c r="A532" t="s">
        <v>63</v>
      </c>
      <c r="D532">
        <f t="shared" ref="D532:W532" si="314">D56*D158</f>
        <v>987.18150692719723</v>
      </c>
      <c r="E532">
        <f t="shared" si="314"/>
        <v>1071.638466056361</v>
      </c>
      <c r="F532">
        <f t="shared" si="314"/>
        <v>1112.8841297859835</v>
      </c>
      <c r="G532">
        <f t="shared" si="314"/>
        <v>1002.6175452390934</v>
      </c>
      <c r="H532">
        <f t="shared" si="314"/>
        <v>1011.7408666350985</v>
      </c>
      <c r="I532">
        <f t="shared" si="314"/>
        <v>994.43766431991264</v>
      </c>
      <c r="J532">
        <f t="shared" si="314"/>
        <v>947.66566654405119</v>
      </c>
      <c r="K532">
        <f t="shared" si="314"/>
        <v>855.61922391338464</v>
      </c>
      <c r="L532">
        <f t="shared" si="314"/>
        <v>1034.5793926332792</v>
      </c>
      <c r="M532">
        <f t="shared" si="314"/>
        <v>782.16176434867032</v>
      </c>
      <c r="N532">
        <f t="shared" si="314"/>
        <v>884.8427639784361</v>
      </c>
      <c r="O532">
        <f t="shared" si="314"/>
        <v>1012.1649775201877</v>
      </c>
      <c r="P532">
        <f t="shared" si="314"/>
        <v>1019.3048685975047</v>
      </c>
      <c r="Q532">
        <f t="shared" si="314"/>
        <v>928.42333723197089</v>
      </c>
      <c r="R532">
        <f t="shared" si="314"/>
        <v>926.02808829447713</v>
      </c>
      <c r="S532">
        <f t="shared" si="314"/>
        <v>1032.6747084197525</v>
      </c>
      <c r="T532">
        <f t="shared" si="314"/>
        <v>1039.4762866178251</v>
      </c>
      <c r="U532">
        <f t="shared" si="314"/>
        <v>1119.3212169904157</v>
      </c>
      <c r="V532">
        <f t="shared" si="314"/>
        <v>996.25354734587734</v>
      </c>
      <c r="W532">
        <f t="shared" si="314"/>
        <v>1088.5130437251494</v>
      </c>
      <c r="Y532" s="8">
        <f t="shared" si="293"/>
        <v>19847.529065124629</v>
      </c>
      <c r="Z532">
        <f t="shared" si="294"/>
        <v>-196.94997887997403</v>
      </c>
    </row>
    <row r="533" spans="1:26" x14ac:dyDescent="0.25">
      <c r="A533" t="s">
        <v>64</v>
      </c>
      <c r="D533">
        <f t="shared" ref="D533:W533" si="315">D57*D159</f>
        <v>1082.4778106054912</v>
      </c>
      <c r="E533">
        <f t="shared" si="315"/>
        <v>1353.4567909699419</v>
      </c>
      <c r="F533">
        <f t="shared" si="315"/>
        <v>1002.051925494368</v>
      </c>
      <c r="G533">
        <f t="shared" si="315"/>
        <v>1107.9124962084015</v>
      </c>
      <c r="H533">
        <f t="shared" si="315"/>
        <v>1159.5010232438808</v>
      </c>
      <c r="I533">
        <f t="shared" si="315"/>
        <v>967.59425922195805</v>
      </c>
      <c r="J533">
        <f t="shared" si="315"/>
        <v>899.63511052814056</v>
      </c>
      <c r="K533">
        <f t="shared" si="315"/>
        <v>882.36478250755522</v>
      </c>
      <c r="L533">
        <f t="shared" si="315"/>
        <v>940.69100813723435</v>
      </c>
      <c r="M533">
        <f t="shared" si="315"/>
        <v>1000.6214683053151</v>
      </c>
      <c r="N533">
        <f t="shared" si="315"/>
        <v>1015.0634055220329</v>
      </c>
      <c r="O533">
        <f t="shared" si="315"/>
        <v>1030.2258225105834</v>
      </c>
      <c r="P533">
        <f t="shared" si="315"/>
        <v>930.03454385878649</v>
      </c>
      <c r="Q533">
        <f t="shared" si="315"/>
        <v>865.6409666101722</v>
      </c>
      <c r="R533">
        <f t="shared" si="315"/>
        <v>1034.6127302454347</v>
      </c>
      <c r="S533">
        <f t="shared" si="315"/>
        <v>961.23449895562965</v>
      </c>
      <c r="T533">
        <f t="shared" si="315"/>
        <v>1033.3449460348525</v>
      </c>
      <c r="U533">
        <f t="shared" si="315"/>
        <v>1022.4657822776811</v>
      </c>
      <c r="V533">
        <f t="shared" si="315"/>
        <v>1303.2495203150768</v>
      </c>
      <c r="W533">
        <f t="shared" si="315"/>
        <v>1338.3310920716383</v>
      </c>
      <c r="Y533" s="8">
        <f t="shared" si="293"/>
        <v>20930.509983624175</v>
      </c>
      <c r="Z533">
        <f t="shared" si="294"/>
        <v>-215.30376023783583</v>
      </c>
    </row>
    <row r="534" spans="1:26" x14ac:dyDescent="0.25">
      <c r="A534" t="s">
        <v>65</v>
      </c>
      <c r="D534">
        <f t="shared" ref="D534:W534" si="316">D58*D160</f>
        <v>1582.760741723095</v>
      </c>
      <c r="E534">
        <f t="shared" si="316"/>
        <v>1973.2180519299184</v>
      </c>
      <c r="F534">
        <f t="shared" si="316"/>
        <v>1576.868661140709</v>
      </c>
      <c r="G534">
        <f t="shared" si="316"/>
        <v>1400.0884673526143</v>
      </c>
      <c r="H534">
        <f t="shared" si="316"/>
        <v>1349.523761698782</v>
      </c>
      <c r="I534">
        <f t="shared" si="316"/>
        <v>1371.6498290019356</v>
      </c>
      <c r="J534">
        <f t="shared" si="316"/>
        <v>1297.2894135890685</v>
      </c>
      <c r="K534">
        <f t="shared" si="316"/>
        <v>1236.5597610663885</v>
      </c>
      <c r="L534">
        <f t="shared" si="316"/>
        <v>1218.2268675658829</v>
      </c>
      <c r="M534">
        <f t="shared" si="316"/>
        <v>928.23343108225254</v>
      </c>
      <c r="N534">
        <f t="shared" si="316"/>
        <v>1060.740866842513</v>
      </c>
      <c r="O534">
        <f t="shared" si="316"/>
        <v>1064.8041705102464</v>
      </c>
      <c r="P534">
        <f t="shared" si="316"/>
        <v>1153.8839744125266</v>
      </c>
      <c r="Q534">
        <f t="shared" si="316"/>
        <v>1008.8749426275677</v>
      </c>
      <c r="R534">
        <f t="shared" si="316"/>
        <v>1064.2518230709056</v>
      </c>
      <c r="S534">
        <f t="shared" si="316"/>
        <v>1102.0866361188721</v>
      </c>
      <c r="T534">
        <f t="shared" si="316"/>
        <v>1148.1921321022387</v>
      </c>
      <c r="U534">
        <f t="shared" si="316"/>
        <v>1146.6828456419619</v>
      </c>
      <c r="V534">
        <f t="shared" si="316"/>
        <v>1217.6854378031555</v>
      </c>
      <c r="W534">
        <f t="shared" si="316"/>
        <v>1188.6888145724686</v>
      </c>
      <c r="Y534" s="8">
        <f t="shared" si="293"/>
        <v>25090.310629853102</v>
      </c>
      <c r="Z534">
        <f t="shared" si="294"/>
        <v>-532.34107901888251</v>
      </c>
    </row>
    <row r="535" spans="1:26" x14ac:dyDescent="0.25">
      <c r="A535" t="s">
        <v>66</v>
      </c>
      <c r="D535">
        <f t="shared" ref="D535:W535" si="317">D59*D161</f>
        <v>806.48454906466418</v>
      </c>
      <c r="E535">
        <f t="shared" si="317"/>
        <v>883.94144250896568</v>
      </c>
      <c r="F535">
        <f t="shared" si="317"/>
        <v>973.44727041290082</v>
      </c>
      <c r="G535">
        <f t="shared" si="317"/>
        <v>929.50024904625764</v>
      </c>
      <c r="H535">
        <f t="shared" si="317"/>
        <v>1004.0096115562419</v>
      </c>
      <c r="I535">
        <f t="shared" si="317"/>
        <v>1062.3447703516383</v>
      </c>
      <c r="J535">
        <f t="shared" si="317"/>
        <v>1040.8035072364319</v>
      </c>
      <c r="K535">
        <f t="shared" si="317"/>
        <v>1062.4671585978663</v>
      </c>
      <c r="L535">
        <f t="shared" si="317"/>
        <v>1011.6650792606197</v>
      </c>
      <c r="M535">
        <f t="shared" si="317"/>
        <v>960.23012146724318</v>
      </c>
      <c r="N535">
        <f t="shared" si="317"/>
        <v>927.41373599074063</v>
      </c>
      <c r="O535">
        <f t="shared" si="317"/>
        <v>985.0117811057728</v>
      </c>
      <c r="P535">
        <f t="shared" si="317"/>
        <v>927.5155412065568</v>
      </c>
      <c r="Q535">
        <f t="shared" si="317"/>
        <v>980.78951584344975</v>
      </c>
      <c r="R535">
        <f t="shared" si="317"/>
        <v>1019.5629181672696</v>
      </c>
      <c r="S535">
        <f t="shared" si="317"/>
        <v>1104.7696823696313</v>
      </c>
      <c r="T535">
        <f t="shared" si="317"/>
        <v>1205.1770725856436</v>
      </c>
      <c r="U535">
        <f t="shared" si="317"/>
        <v>1233.3755678910907</v>
      </c>
      <c r="V535">
        <f t="shared" si="317"/>
        <v>1227.6991641758693</v>
      </c>
      <c r="W535">
        <f t="shared" si="317"/>
        <v>1264.7280311429224</v>
      </c>
      <c r="Y535" s="8">
        <f t="shared" si="293"/>
        <v>20610.936769981774</v>
      </c>
      <c r="Z535">
        <f t="shared" si="294"/>
        <v>-23.684800049185199</v>
      </c>
    </row>
    <row r="536" spans="1:26" x14ac:dyDescent="0.25">
      <c r="A536" t="s">
        <v>67</v>
      </c>
      <c r="D536">
        <f t="shared" ref="D536:W536" si="318">D60*D162</f>
        <v>1001.3333401583067</v>
      </c>
      <c r="E536">
        <f t="shared" si="318"/>
        <v>1008.6707472797764</v>
      </c>
      <c r="F536">
        <f t="shared" si="318"/>
        <v>965.6259897216886</v>
      </c>
      <c r="G536">
        <f t="shared" si="318"/>
        <v>1007.8823507753956</v>
      </c>
      <c r="H536">
        <f t="shared" si="318"/>
        <v>1045.6625570373581</v>
      </c>
      <c r="I536">
        <f t="shared" si="318"/>
        <v>1191.1579544445649</v>
      </c>
      <c r="J536">
        <f t="shared" si="318"/>
        <v>1069.4281054191301</v>
      </c>
      <c r="K536">
        <f t="shared" si="318"/>
        <v>1097.1877746383789</v>
      </c>
      <c r="L536">
        <f t="shared" si="318"/>
        <v>1071.6302222517093</v>
      </c>
      <c r="M536">
        <f t="shared" si="318"/>
        <v>1268.4015910399889</v>
      </c>
      <c r="N536">
        <f t="shared" si="318"/>
        <v>1086.0811172900292</v>
      </c>
      <c r="O536">
        <f t="shared" si="318"/>
        <v>998.32803280595783</v>
      </c>
      <c r="P536">
        <f t="shared" si="318"/>
        <v>1057.9846165906422</v>
      </c>
      <c r="Q536">
        <f t="shared" si="318"/>
        <v>993.06880398608382</v>
      </c>
      <c r="R536">
        <f t="shared" si="318"/>
        <v>907.46731785077964</v>
      </c>
      <c r="S536">
        <f t="shared" si="318"/>
        <v>912.28287972567591</v>
      </c>
      <c r="T536">
        <f t="shared" si="318"/>
        <v>927.93756864615671</v>
      </c>
      <c r="U536">
        <f t="shared" si="318"/>
        <v>943.38767398495304</v>
      </c>
      <c r="V536">
        <f t="shared" si="318"/>
        <v>1038.3129454103428</v>
      </c>
      <c r="W536">
        <f t="shared" si="318"/>
        <v>1072.453806495756</v>
      </c>
      <c r="Y536" s="8">
        <f t="shared" si="293"/>
        <v>20664.285395552677</v>
      </c>
      <c r="Z536">
        <f t="shared" si="294"/>
        <v>-160.8458762284327</v>
      </c>
    </row>
    <row r="537" spans="1:26" x14ac:dyDescent="0.25">
      <c r="Y537" s="8"/>
    </row>
    <row r="538" spans="1:26" x14ac:dyDescent="0.25">
      <c r="A538" t="s">
        <v>68</v>
      </c>
      <c r="D538">
        <f t="shared" ref="D538:W538" si="319">D62*D164</f>
        <v>1436.1358206922903</v>
      </c>
      <c r="E538">
        <f t="shared" si="319"/>
        <v>1240.8191015225443</v>
      </c>
      <c r="F538">
        <f t="shared" si="319"/>
        <v>1255.178296711292</v>
      </c>
      <c r="G538">
        <f t="shared" si="319"/>
        <v>1237.3896834913487</v>
      </c>
      <c r="H538">
        <f t="shared" si="319"/>
        <v>1166.5651564864072</v>
      </c>
      <c r="I538">
        <f t="shared" si="319"/>
        <v>647.51109062091973</v>
      </c>
      <c r="J538">
        <f t="shared" si="319"/>
        <v>572.94287315880626</v>
      </c>
      <c r="K538">
        <f t="shared" si="319"/>
        <v>657.39578215057782</v>
      </c>
      <c r="L538">
        <f t="shared" si="319"/>
        <v>597.69309786422366</v>
      </c>
      <c r="M538">
        <f t="shared" si="319"/>
        <v>1016.8713217368893</v>
      </c>
      <c r="N538">
        <f t="shared" si="319"/>
        <v>1025.8429625423475</v>
      </c>
      <c r="O538">
        <f t="shared" si="319"/>
        <v>1011.5800348185876</v>
      </c>
      <c r="P538">
        <f t="shared" si="319"/>
        <v>1039.7639124030027</v>
      </c>
      <c r="Q538">
        <f t="shared" si="319"/>
        <v>1046.9826043412515</v>
      </c>
      <c r="R538">
        <f t="shared" si="319"/>
        <v>1111.7995878070142</v>
      </c>
      <c r="S538">
        <f t="shared" si="319"/>
        <v>1191.0319859399567</v>
      </c>
      <c r="T538">
        <f t="shared" si="319"/>
        <v>1166.5038904702292</v>
      </c>
      <c r="U538">
        <f t="shared" si="319"/>
        <v>1182.9167958563016</v>
      </c>
      <c r="V538">
        <f t="shared" si="319"/>
        <v>1181.6663299430563</v>
      </c>
      <c r="W538">
        <f t="shared" si="319"/>
        <v>1261.4580257359864</v>
      </c>
      <c r="Y538" s="8">
        <f t="shared" si="293"/>
        <v>21048.048354293031</v>
      </c>
      <c r="Z538">
        <f>SUMPRODUCT($D$542:$W$542,D538:W538)</f>
        <v>-340.54222152212714</v>
      </c>
    </row>
    <row r="539" spans="1:26" x14ac:dyDescent="0.25">
      <c r="A539" t="s">
        <v>312</v>
      </c>
      <c r="D539">
        <f t="shared" ref="D539:W539" si="320">D63*D165</f>
        <v>1063.7618846366804</v>
      </c>
      <c r="E539">
        <f t="shared" si="320"/>
        <v>1169.3027966594641</v>
      </c>
      <c r="F539">
        <f t="shared" si="320"/>
        <v>999.87956739908566</v>
      </c>
      <c r="G539">
        <f t="shared" si="320"/>
        <v>1013.6660142664404</v>
      </c>
      <c r="H539">
        <f t="shared" si="320"/>
        <v>1142.6186515520833</v>
      </c>
      <c r="I539">
        <f t="shared" si="320"/>
        <v>1011.0962297671007</v>
      </c>
      <c r="J539">
        <f t="shared" si="320"/>
        <v>925.87381940662749</v>
      </c>
      <c r="K539">
        <f t="shared" si="320"/>
        <v>983.24562977967435</v>
      </c>
      <c r="L539">
        <f t="shared" si="320"/>
        <v>953.91692116498155</v>
      </c>
      <c r="M539">
        <f t="shared" si="320"/>
        <v>860.27380432583561</v>
      </c>
      <c r="N539">
        <f t="shared" si="320"/>
        <v>771.85103378580072</v>
      </c>
      <c r="O539">
        <f t="shared" si="320"/>
        <v>823.45986936025815</v>
      </c>
      <c r="P539">
        <f t="shared" si="320"/>
        <v>1417.57</v>
      </c>
      <c r="Q539">
        <f t="shared" si="320"/>
        <v>1680</v>
      </c>
      <c r="R539">
        <f t="shared" si="320"/>
        <v>1615.6799999999998</v>
      </c>
      <c r="S539">
        <f t="shared" si="320"/>
        <v>445.23</v>
      </c>
      <c r="T539">
        <f t="shared" si="320"/>
        <v>1065.72</v>
      </c>
      <c r="U539">
        <f t="shared" si="320"/>
        <v>1078.8</v>
      </c>
      <c r="V539">
        <f t="shared" si="320"/>
        <v>1161.8100000000002</v>
      </c>
      <c r="W539">
        <f t="shared" si="320"/>
        <v>1267.1100000000001</v>
      </c>
      <c r="Y539" s="8">
        <f t="shared" si="293"/>
        <v>21450.866222104036</v>
      </c>
      <c r="Z539">
        <f>SUMPRODUCT($D$542:$W$542,D539:W539)</f>
        <v>133.378964350942</v>
      </c>
    </row>
    <row r="540" spans="1:26" x14ac:dyDescent="0.25">
      <c r="A540" t="s">
        <v>313</v>
      </c>
      <c r="D540">
        <f t="shared" ref="D540:W540" si="321">D64*D166</f>
        <v>1065.72</v>
      </c>
      <c r="E540">
        <f t="shared" si="321"/>
        <v>1208.7899999999997</v>
      </c>
      <c r="F540">
        <f t="shared" si="321"/>
        <v>1171.2</v>
      </c>
      <c r="G540">
        <f t="shared" si="321"/>
        <v>1061.76</v>
      </c>
      <c r="H540">
        <f t="shared" si="321"/>
        <v>1185.58</v>
      </c>
      <c r="I540">
        <f t="shared" si="321"/>
        <v>1022.04</v>
      </c>
      <c r="J540">
        <f t="shared" si="321"/>
        <v>887.40000000000009</v>
      </c>
      <c r="K540">
        <f t="shared" si="321"/>
        <v>933.53</v>
      </c>
      <c r="L540">
        <f t="shared" si="321"/>
        <v>997.5200000000001</v>
      </c>
      <c r="M540">
        <f t="shared" si="321"/>
        <v>942.39</v>
      </c>
      <c r="N540">
        <f t="shared" si="321"/>
        <v>858.38</v>
      </c>
      <c r="O540">
        <f t="shared" si="321"/>
        <v>929.04</v>
      </c>
      <c r="P540">
        <f t="shared" si="321"/>
        <v>1053.249479233026</v>
      </c>
      <c r="Q540">
        <f t="shared" si="321"/>
        <v>1056.219811983681</v>
      </c>
      <c r="R540">
        <f t="shared" si="321"/>
        <v>1100.5117955544745</v>
      </c>
      <c r="S540">
        <f t="shared" si="321"/>
        <v>1152.9020411436493</v>
      </c>
      <c r="T540">
        <f t="shared" si="321"/>
        <v>1074.7655395768063</v>
      </c>
      <c r="U540">
        <f t="shared" si="321"/>
        <v>1108.5662479573584</v>
      </c>
      <c r="V540">
        <f t="shared" si="321"/>
        <v>1148.8457426862328</v>
      </c>
      <c r="W540">
        <f t="shared" si="321"/>
        <v>1229.9749075611835</v>
      </c>
      <c r="Y540" s="8">
        <f t="shared" si="293"/>
        <v>21188.385565696408</v>
      </c>
      <c r="Z540">
        <f>SUMPRODUCT($D$542:$W$542,D540:W540)</f>
        <v>-146.75750475680888</v>
      </c>
    </row>
    <row r="541" spans="1:26" x14ac:dyDescent="0.25">
      <c r="A541" t="s">
        <v>676</v>
      </c>
      <c r="D541">
        <f t="shared" ref="D541:W541" si="322">D65*D167</f>
        <v>1475.7376943013335</v>
      </c>
      <c r="E541">
        <f t="shared" si="322"/>
        <v>1332.3990793872811</v>
      </c>
      <c r="F541">
        <f t="shared" si="322"/>
        <v>1230.3823053415133</v>
      </c>
      <c r="G541">
        <f t="shared" si="322"/>
        <v>1234.8947294342051</v>
      </c>
      <c r="H541">
        <f t="shared" si="322"/>
        <v>1162.224448927388</v>
      </c>
      <c r="I541">
        <f t="shared" si="322"/>
        <v>1119.1131005701679</v>
      </c>
      <c r="J541">
        <f t="shared" si="322"/>
        <v>1051.5668765970918</v>
      </c>
      <c r="K541">
        <f t="shared" si="322"/>
        <v>1032.011747777856</v>
      </c>
      <c r="L541">
        <f t="shared" si="322"/>
        <v>1067.2205117706119</v>
      </c>
      <c r="M541">
        <f t="shared" si="322"/>
        <v>997.79722141960985</v>
      </c>
      <c r="N541">
        <f t="shared" si="322"/>
        <v>939.55807377085262</v>
      </c>
      <c r="O541">
        <f t="shared" si="322"/>
        <v>1014.5180400477777</v>
      </c>
      <c r="P541">
        <f t="shared" si="322"/>
        <v>1041.9062990257098</v>
      </c>
      <c r="Q541">
        <f t="shared" si="322"/>
        <v>1170.0877755751626</v>
      </c>
      <c r="R541">
        <f t="shared" si="322"/>
        <v>1175.04</v>
      </c>
      <c r="S541">
        <f t="shared" si="322"/>
        <v>1262.3609750566893</v>
      </c>
      <c r="T541">
        <f t="shared" si="322"/>
        <v>1157.8350841574065</v>
      </c>
      <c r="U541">
        <f t="shared" si="322"/>
        <v>1153.7176789497551</v>
      </c>
      <c r="V541">
        <f t="shared" si="322"/>
        <v>1160.993023164714</v>
      </c>
      <c r="W541">
        <f t="shared" si="322"/>
        <v>1221.3700851117824</v>
      </c>
      <c r="Y541" s="8">
        <f t="shared" ref="Y541" si="323">SUM(D541:W541)</f>
        <v>23000.73475038691</v>
      </c>
      <c r="Z541">
        <f>SUMPRODUCT($D$542:$W$542,D541:W541)</f>
        <v>-293.16790526752891</v>
      </c>
    </row>
    <row r="542" spans="1:26" x14ac:dyDescent="0.25">
      <c r="A542" s="2" t="s">
        <v>69</v>
      </c>
      <c r="D542" s="3">
        <f>CORREL($B$2:$B$26,D512:D536)</f>
        <v>-0.34161715149345118</v>
      </c>
      <c r="E542" s="3">
        <f t="shared" ref="E542:W542" si="324">CORREL($B$2:$B$26,E512:E536)</f>
        <v>-6.8055838120650178E-2</v>
      </c>
      <c r="F542" s="3">
        <f t="shared" si="324"/>
        <v>-0.16385847751991947</v>
      </c>
      <c r="G542" s="3">
        <f t="shared" si="324"/>
        <v>-0.16812386393368525</v>
      </c>
      <c r="H542" s="3">
        <f t="shared" si="324"/>
        <v>-3.683490091944016E-2</v>
      </c>
      <c r="I542" s="3">
        <f t="shared" si="324"/>
        <v>-1.067230902361267E-2</v>
      </c>
      <c r="J542" s="3">
        <f t="shared" si="324"/>
        <v>-3.0009588572562453E-2</v>
      </c>
      <c r="K542" s="3">
        <f t="shared" si="324"/>
        <v>0.12012101805176872</v>
      </c>
      <c r="L542" s="3">
        <f t="shared" si="324"/>
        <v>-3.375885469938255E-2</v>
      </c>
      <c r="M542" s="3">
        <f t="shared" si="324"/>
        <v>6.2546342582701267E-2</v>
      </c>
      <c r="N542" s="3">
        <f t="shared" si="324"/>
        <v>-0.1890824575678508</v>
      </c>
      <c r="O542" s="3">
        <f t="shared" si="324"/>
        <v>9.7344017927802631E-2</v>
      </c>
      <c r="P542" s="3">
        <f t="shared" si="324"/>
        <v>8.8439713744202161E-2</v>
      </c>
      <c r="Q542" s="3">
        <f t="shared" si="324"/>
        <v>9.4358426044544835E-2</v>
      </c>
      <c r="R542" s="3">
        <f t="shared" si="324"/>
        <v>0.35451175088256159</v>
      </c>
      <c r="S542" s="3">
        <f t="shared" si="324"/>
        <v>6.3181943042435365E-2</v>
      </c>
      <c r="T542" s="3">
        <f t="shared" si="324"/>
        <v>-2.4219132079070647E-2</v>
      </c>
      <c r="U542" s="3">
        <f t="shared" si="324"/>
        <v>-1.9449507641353454E-2</v>
      </c>
      <c r="V542" s="3">
        <f t="shared" si="324"/>
        <v>2.0757532038212543E-2</v>
      </c>
      <c r="W542" s="3">
        <f t="shared" si="324"/>
        <v>4.3587104603303041E-2</v>
      </c>
    </row>
    <row r="545" spans="1:26" x14ac:dyDescent="0.25">
      <c r="D545" t="s">
        <v>188</v>
      </c>
      <c r="E545" t="s">
        <v>189</v>
      </c>
      <c r="F545" t="s">
        <v>190</v>
      </c>
      <c r="G545" t="s">
        <v>191</v>
      </c>
      <c r="H545" t="s">
        <v>192</v>
      </c>
      <c r="I545" t="s">
        <v>193</v>
      </c>
      <c r="J545" t="s">
        <v>194</v>
      </c>
      <c r="K545" t="s">
        <v>195</v>
      </c>
      <c r="L545" t="s">
        <v>331</v>
      </c>
      <c r="M545" t="s">
        <v>391</v>
      </c>
      <c r="N545" t="s">
        <v>392</v>
      </c>
      <c r="O545" t="s">
        <v>393</v>
      </c>
      <c r="P545" t="s">
        <v>516</v>
      </c>
      <c r="Q545" t="s">
        <v>517</v>
      </c>
      <c r="R545" t="s">
        <v>518</v>
      </c>
      <c r="S545" t="s">
        <v>519</v>
      </c>
      <c r="T545" t="s">
        <v>628</v>
      </c>
      <c r="U545" t="s">
        <v>629</v>
      </c>
      <c r="V545" t="s">
        <v>630</v>
      </c>
      <c r="W545" t="s">
        <v>631</v>
      </c>
      <c r="Y545" t="s">
        <v>196</v>
      </c>
      <c r="Z545" t="s">
        <v>197</v>
      </c>
    </row>
    <row r="546" spans="1:26" x14ac:dyDescent="0.25">
      <c r="A546" t="s">
        <v>43</v>
      </c>
      <c r="D546">
        <f t="shared" ref="D546:W546" si="325">D36*D172</f>
        <v>420.58728987878663</v>
      </c>
      <c r="E546">
        <f t="shared" si="325"/>
        <v>279.42605927813077</v>
      </c>
      <c r="F546">
        <f t="shared" si="325"/>
        <v>310.47750506771314</v>
      </c>
      <c r="G546">
        <f t="shared" si="325"/>
        <v>449.99270866175334</v>
      </c>
      <c r="H546">
        <f t="shared" si="325"/>
        <v>396.03060676938964</v>
      </c>
      <c r="I546">
        <f t="shared" si="325"/>
        <v>333.66901020531031</v>
      </c>
      <c r="J546">
        <f t="shared" si="325"/>
        <v>302.55032399268225</v>
      </c>
      <c r="K546">
        <f t="shared" si="325"/>
        <v>231.37707031042405</v>
      </c>
      <c r="L546">
        <f t="shared" si="325"/>
        <v>218.77363817469293</v>
      </c>
      <c r="M546">
        <f t="shared" si="325"/>
        <v>199.18156551978217</v>
      </c>
      <c r="N546">
        <f t="shared" si="325"/>
        <v>207.40230958966126</v>
      </c>
      <c r="O546">
        <f t="shared" si="325"/>
        <v>257.26518018694691</v>
      </c>
      <c r="P546">
        <f t="shared" si="325"/>
        <v>162.21299011151572</v>
      </c>
      <c r="Q546">
        <f t="shared" si="325"/>
        <v>283.23852567959415</v>
      </c>
      <c r="R546">
        <f t="shared" si="325"/>
        <v>349.25979399313752</v>
      </c>
      <c r="S546">
        <f t="shared" si="325"/>
        <v>302.21616406060747</v>
      </c>
      <c r="T546">
        <f t="shared" si="325"/>
        <v>286.62266154733925</v>
      </c>
      <c r="U546">
        <f t="shared" si="325"/>
        <v>214.75321662855393</v>
      </c>
      <c r="V546">
        <f t="shared" si="325"/>
        <v>326.67884003317209</v>
      </c>
      <c r="W546">
        <f t="shared" si="325"/>
        <v>308.90157650800404</v>
      </c>
      <c r="Y546" s="8">
        <f t="shared" ref="Y546:Y574" si="326">SUM(D546:W546)</f>
        <v>5840.6170361971981</v>
      </c>
      <c r="Z546">
        <f t="shared" ref="Z546:Z570" si="327">SUMPRODUCT($D$576:$W$576,D546:W546)</f>
        <v>-297.87122538314151</v>
      </c>
    </row>
    <row r="547" spans="1:26" x14ac:dyDescent="0.25">
      <c r="A547" t="s">
        <v>44</v>
      </c>
      <c r="D547">
        <f t="shared" ref="D547:W547" si="328">D37*D173</f>
        <v>399.94654054835627</v>
      </c>
      <c r="E547">
        <f t="shared" si="328"/>
        <v>413.65537419654692</v>
      </c>
      <c r="F547">
        <f t="shared" si="328"/>
        <v>359.1228549848413</v>
      </c>
      <c r="G547">
        <f t="shared" si="328"/>
        <v>324.26447802722316</v>
      </c>
      <c r="H547">
        <f t="shared" si="328"/>
        <v>300.51458342074545</v>
      </c>
      <c r="I547">
        <f t="shared" si="328"/>
        <v>294.65590797782346</v>
      </c>
      <c r="J547">
        <f t="shared" si="328"/>
        <v>292.47081024593899</v>
      </c>
      <c r="K547">
        <f t="shared" si="328"/>
        <v>322.94738981190261</v>
      </c>
      <c r="L547">
        <f t="shared" si="328"/>
        <v>293.25296885664426</v>
      </c>
      <c r="M547">
        <f t="shared" si="328"/>
        <v>261.09008837955827</v>
      </c>
      <c r="N547">
        <f t="shared" si="328"/>
        <v>202.21527191628499</v>
      </c>
      <c r="O547">
        <f t="shared" si="328"/>
        <v>235.84281028388665</v>
      </c>
      <c r="P547">
        <f t="shared" si="328"/>
        <v>248.01564445800793</v>
      </c>
      <c r="Q547">
        <f t="shared" si="328"/>
        <v>294.93188998563664</v>
      </c>
      <c r="R547">
        <f t="shared" si="328"/>
        <v>226.76656508825639</v>
      </c>
      <c r="S547">
        <f t="shared" si="328"/>
        <v>291.14546724135846</v>
      </c>
      <c r="T547">
        <f t="shared" si="328"/>
        <v>287.18164319249399</v>
      </c>
      <c r="U547">
        <f t="shared" si="328"/>
        <v>326.06856859327991</v>
      </c>
      <c r="V547">
        <f t="shared" si="328"/>
        <v>394.04893535925953</v>
      </c>
      <c r="W547">
        <f t="shared" si="328"/>
        <v>446.02116557194375</v>
      </c>
      <c r="Y547" s="8">
        <f t="shared" si="326"/>
        <v>6214.1589581399894</v>
      </c>
      <c r="Z547">
        <f t="shared" si="327"/>
        <v>-279.23734616021159</v>
      </c>
    </row>
    <row r="548" spans="1:26" x14ac:dyDescent="0.25">
      <c r="A548" t="s">
        <v>45</v>
      </c>
      <c r="D548">
        <f t="shared" ref="D548:W548" si="329">D38*D174</f>
        <v>428.42794610162537</v>
      </c>
      <c r="E548">
        <f t="shared" si="329"/>
        <v>385.30397399044477</v>
      </c>
      <c r="F548">
        <f t="shared" si="329"/>
        <v>402.36592215213904</v>
      </c>
      <c r="G548">
        <f t="shared" si="329"/>
        <v>401.78787837536669</v>
      </c>
      <c r="H548">
        <f t="shared" si="329"/>
        <v>401.7318088126608</v>
      </c>
      <c r="I548">
        <f t="shared" si="329"/>
        <v>299.03059954517556</v>
      </c>
      <c r="J548">
        <f t="shared" si="329"/>
        <v>285.21986520555078</v>
      </c>
      <c r="K548">
        <f t="shared" si="329"/>
        <v>285.31942334791142</v>
      </c>
      <c r="L548">
        <f t="shared" si="329"/>
        <v>264.22218950953169</v>
      </c>
      <c r="M548">
        <f t="shared" si="329"/>
        <v>251.67627522780143</v>
      </c>
      <c r="N548">
        <f t="shared" si="329"/>
        <v>217.95486001161945</v>
      </c>
      <c r="O548">
        <f t="shared" si="329"/>
        <v>259.68005239276488</v>
      </c>
      <c r="P548">
        <f t="shared" si="329"/>
        <v>360.45042144766211</v>
      </c>
      <c r="Q548">
        <f t="shared" si="329"/>
        <v>288.81217769100721</v>
      </c>
      <c r="R548">
        <f t="shared" si="329"/>
        <v>364.96464267836325</v>
      </c>
      <c r="S548">
        <f t="shared" si="329"/>
        <v>341.35002431392087</v>
      </c>
      <c r="T548">
        <f t="shared" si="329"/>
        <v>261.46617829448985</v>
      </c>
      <c r="U548">
        <f t="shared" si="329"/>
        <v>303.24629630621979</v>
      </c>
      <c r="V548">
        <f t="shared" si="329"/>
        <v>297.90535571034809</v>
      </c>
      <c r="W548">
        <f t="shared" si="329"/>
        <v>389.48907729234935</v>
      </c>
      <c r="Y548" s="8">
        <f t="shared" si="326"/>
        <v>6490.4049684069523</v>
      </c>
      <c r="Z548">
        <f t="shared" si="327"/>
        <v>-291.87633391090179</v>
      </c>
    </row>
    <row r="549" spans="1:26" x14ac:dyDescent="0.25">
      <c r="A549" t="s">
        <v>46</v>
      </c>
      <c r="D549">
        <f t="shared" ref="D549:W549" si="330">D39*D175</f>
        <v>511.12170216861216</v>
      </c>
      <c r="E549">
        <f t="shared" si="330"/>
        <v>423.14560517140666</v>
      </c>
      <c r="F549">
        <f t="shared" si="330"/>
        <v>452.58173108874018</v>
      </c>
      <c r="G549">
        <f t="shared" si="330"/>
        <v>428.80319183928219</v>
      </c>
      <c r="H549">
        <f t="shared" si="330"/>
        <v>356.08544074614565</v>
      </c>
      <c r="I549">
        <f t="shared" si="330"/>
        <v>430.08925157484435</v>
      </c>
      <c r="J549">
        <f t="shared" si="330"/>
        <v>314.80928197151803</v>
      </c>
      <c r="K549">
        <f t="shared" si="330"/>
        <v>294.0825990346388</v>
      </c>
      <c r="L549">
        <f t="shared" si="330"/>
        <v>312.09689145088106</v>
      </c>
      <c r="M549">
        <f t="shared" si="330"/>
        <v>135.59528923167591</v>
      </c>
      <c r="N549">
        <f t="shared" si="330"/>
        <v>184.19706139513531</v>
      </c>
      <c r="O549">
        <f t="shared" si="330"/>
        <v>198.20677518847779</v>
      </c>
      <c r="P549">
        <f t="shared" si="330"/>
        <v>318.94374636731573</v>
      </c>
      <c r="Q549">
        <f t="shared" si="330"/>
        <v>236.40704338574639</v>
      </c>
      <c r="R549">
        <f t="shared" si="330"/>
        <v>263.84116153019494</v>
      </c>
      <c r="S549">
        <f t="shared" si="330"/>
        <v>176.19849350587378</v>
      </c>
      <c r="T549">
        <f t="shared" si="330"/>
        <v>284.67015497000591</v>
      </c>
      <c r="U549">
        <f t="shared" si="330"/>
        <v>302.40552332454666</v>
      </c>
      <c r="V549">
        <f t="shared" si="330"/>
        <v>314.72725147516434</v>
      </c>
      <c r="W549">
        <f t="shared" si="330"/>
        <v>348.51881020429784</v>
      </c>
      <c r="Y549" s="8">
        <f t="shared" si="326"/>
        <v>6286.5270056245008</v>
      </c>
      <c r="Z549">
        <f t="shared" si="327"/>
        <v>-336.71944017166959</v>
      </c>
    </row>
    <row r="550" spans="1:26" x14ac:dyDescent="0.25">
      <c r="A550" t="s">
        <v>47</v>
      </c>
      <c r="D550">
        <f t="shared" ref="D550:W550" si="331">D40*D176</f>
        <v>421.01515091309335</v>
      </c>
      <c r="E550">
        <f t="shared" si="331"/>
        <v>425.91943672163319</v>
      </c>
      <c r="F550">
        <f t="shared" si="331"/>
        <v>526.42738903441045</v>
      </c>
      <c r="G550">
        <f t="shared" si="331"/>
        <v>498.47948483881885</v>
      </c>
      <c r="H550">
        <f t="shared" si="331"/>
        <v>424.71552017703038</v>
      </c>
      <c r="I550">
        <f t="shared" si="331"/>
        <v>322.00122762121583</v>
      </c>
      <c r="J550">
        <f t="shared" si="331"/>
        <v>429.39920390575702</v>
      </c>
      <c r="K550">
        <f t="shared" si="331"/>
        <v>313.00997580392379</v>
      </c>
      <c r="L550">
        <f t="shared" si="331"/>
        <v>199.09058116515027</v>
      </c>
      <c r="M550">
        <f t="shared" si="331"/>
        <v>254.20863445843767</v>
      </c>
      <c r="N550">
        <f t="shared" si="331"/>
        <v>219.16169549063727</v>
      </c>
      <c r="O550">
        <f t="shared" si="331"/>
        <v>245.37170771152088</v>
      </c>
      <c r="P550">
        <f t="shared" si="331"/>
        <v>361.89133126488497</v>
      </c>
      <c r="Q550">
        <f t="shared" si="331"/>
        <v>295.68373069769888</v>
      </c>
      <c r="R550">
        <f t="shared" si="331"/>
        <v>333.63771692050466</v>
      </c>
      <c r="S550">
        <f t="shared" si="331"/>
        <v>213.40405010555247</v>
      </c>
      <c r="T550">
        <f t="shared" si="331"/>
        <v>284.97584638337895</v>
      </c>
      <c r="U550">
        <f t="shared" si="331"/>
        <v>389.81622826301947</v>
      </c>
      <c r="V550">
        <f t="shared" si="331"/>
        <v>315.80601848329871</v>
      </c>
      <c r="W550">
        <f t="shared" si="331"/>
        <v>344.62276858970711</v>
      </c>
      <c r="Y550" s="8">
        <f t="shared" si="326"/>
        <v>6818.6376985496727</v>
      </c>
      <c r="Z550">
        <f t="shared" si="327"/>
        <v>-346.58218607028442</v>
      </c>
    </row>
    <row r="551" spans="1:26" x14ac:dyDescent="0.25">
      <c r="A551" t="s">
        <v>48</v>
      </c>
      <c r="D551">
        <f t="shared" ref="D551:W551" si="332">D41*D177</f>
        <v>528.3562108681449</v>
      </c>
      <c r="E551">
        <f t="shared" si="332"/>
        <v>389.14088475899348</v>
      </c>
      <c r="F551">
        <f t="shared" si="332"/>
        <v>392.43979987014524</v>
      </c>
      <c r="G551">
        <f t="shared" si="332"/>
        <v>571.41263386937351</v>
      </c>
      <c r="H551">
        <f t="shared" si="332"/>
        <v>368.18457323332382</v>
      </c>
      <c r="I551">
        <f t="shared" si="332"/>
        <v>362.23864005902379</v>
      </c>
      <c r="J551">
        <f t="shared" si="332"/>
        <v>361.71599192297555</v>
      </c>
      <c r="K551">
        <f t="shared" si="332"/>
        <v>311.84013412233946</v>
      </c>
      <c r="L551">
        <f t="shared" si="332"/>
        <v>271.92270611604306</v>
      </c>
      <c r="M551">
        <f t="shared" si="332"/>
        <v>291.40516197711867</v>
      </c>
      <c r="N551">
        <f t="shared" si="332"/>
        <v>278.89273504479547</v>
      </c>
      <c r="O551">
        <f t="shared" si="332"/>
        <v>238.89183604226002</v>
      </c>
      <c r="P551">
        <f t="shared" si="332"/>
        <v>274.01507182775367</v>
      </c>
      <c r="Q551">
        <f t="shared" si="332"/>
        <v>227.66749298532415</v>
      </c>
      <c r="R551">
        <f t="shared" si="332"/>
        <v>245.53646985217543</v>
      </c>
      <c r="S551">
        <f t="shared" si="332"/>
        <v>336.93942329733903</v>
      </c>
      <c r="T551">
        <f t="shared" si="332"/>
        <v>263.29070501509966</v>
      </c>
      <c r="U551">
        <f t="shared" si="332"/>
        <v>250.65124621995218</v>
      </c>
      <c r="V551">
        <f t="shared" si="332"/>
        <v>356.07918034678676</v>
      </c>
      <c r="W551">
        <f t="shared" si="332"/>
        <v>386.34283606250517</v>
      </c>
      <c r="Y551" s="8">
        <f t="shared" si="326"/>
        <v>6706.9637334914732</v>
      </c>
      <c r="Z551">
        <f t="shared" si="327"/>
        <v>-436.14807692971982</v>
      </c>
    </row>
    <row r="552" spans="1:26" x14ac:dyDescent="0.25">
      <c r="A552" t="s">
        <v>49</v>
      </c>
      <c r="D552">
        <f t="shared" ref="D552:W552" si="333">D42*D178</f>
        <v>493.71451921683075</v>
      </c>
      <c r="E552">
        <f t="shared" si="333"/>
        <v>452.54398296302503</v>
      </c>
      <c r="F552">
        <f t="shared" si="333"/>
        <v>570.72159588664476</v>
      </c>
      <c r="G552">
        <f t="shared" si="333"/>
        <v>582.73435006820557</v>
      </c>
      <c r="H552">
        <f t="shared" si="333"/>
        <v>451.66622315213544</v>
      </c>
      <c r="I552">
        <f t="shared" si="333"/>
        <v>493.31144164326787</v>
      </c>
      <c r="J552">
        <f t="shared" si="333"/>
        <v>423.41495068571953</v>
      </c>
      <c r="K552">
        <f t="shared" si="333"/>
        <v>320.72791378501074</v>
      </c>
      <c r="L552">
        <f t="shared" si="333"/>
        <v>316.69475926095532</v>
      </c>
      <c r="M552">
        <f t="shared" si="333"/>
        <v>333.56400688546023</v>
      </c>
      <c r="N552">
        <f t="shared" si="333"/>
        <v>342.27210135356302</v>
      </c>
      <c r="O552">
        <f t="shared" si="333"/>
        <v>235.56677613896346</v>
      </c>
      <c r="P552">
        <f t="shared" si="333"/>
        <v>369.00273431225537</v>
      </c>
      <c r="Q552">
        <f t="shared" si="333"/>
        <v>309.69315771217293</v>
      </c>
      <c r="R552">
        <f t="shared" si="333"/>
        <v>351.60590182153362</v>
      </c>
      <c r="S552">
        <f t="shared" si="333"/>
        <v>406.35909444810352</v>
      </c>
      <c r="T552">
        <f t="shared" si="333"/>
        <v>258.93672941354771</v>
      </c>
      <c r="U552">
        <f t="shared" si="333"/>
        <v>342.7607592452303</v>
      </c>
      <c r="V552">
        <f t="shared" si="333"/>
        <v>356.43973645719905</v>
      </c>
      <c r="W552">
        <f t="shared" si="333"/>
        <v>547.4440903292633</v>
      </c>
      <c r="Y552" s="8">
        <f t="shared" si="326"/>
        <v>7959.1748247790874</v>
      </c>
      <c r="Z552">
        <f t="shared" si="327"/>
        <v>-449.69471133943256</v>
      </c>
    </row>
    <row r="553" spans="1:26" x14ac:dyDescent="0.25">
      <c r="A553" t="s">
        <v>50</v>
      </c>
      <c r="D553">
        <f t="shared" ref="D553:W553" si="334">D43*D179</f>
        <v>25.477360051663521</v>
      </c>
      <c r="E553">
        <f t="shared" si="334"/>
        <v>590.66334673269444</v>
      </c>
      <c r="F553">
        <f t="shared" si="334"/>
        <v>530.41460348817668</v>
      </c>
      <c r="G553">
        <f t="shared" si="334"/>
        <v>374.50064751152951</v>
      </c>
      <c r="H553">
        <f t="shared" si="334"/>
        <v>354.62005515442104</v>
      </c>
      <c r="I553">
        <f t="shared" si="334"/>
        <v>386.90870492220574</v>
      </c>
      <c r="J553">
        <f t="shared" si="334"/>
        <v>262.05534793171</v>
      </c>
      <c r="K553">
        <f t="shared" si="334"/>
        <v>264.48114281909164</v>
      </c>
      <c r="L553">
        <f t="shared" si="334"/>
        <v>304.90906933991198</v>
      </c>
      <c r="M553">
        <f t="shared" si="334"/>
        <v>248.18066672019646</v>
      </c>
      <c r="N553">
        <f t="shared" si="334"/>
        <v>197.12005076366196</v>
      </c>
      <c r="O553">
        <f t="shared" si="334"/>
        <v>243.73901603849666</v>
      </c>
      <c r="P553">
        <f t="shared" si="334"/>
        <v>257.21659203545317</v>
      </c>
      <c r="Q553">
        <f t="shared" si="334"/>
        <v>295.57982874403831</v>
      </c>
      <c r="R553">
        <f t="shared" si="334"/>
        <v>383.27835566679079</v>
      </c>
      <c r="S553">
        <f t="shared" si="334"/>
        <v>367.60141597749885</v>
      </c>
      <c r="T553">
        <f t="shared" si="334"/>
        <v>342.45967971287564</v>
      </c>
      <c r="U553">
        <f t="shared" si="334"/>
        <v>343.06769311503439</v>
      </c>
      <c r="V553">
        <f t="shared" si="334"/>
        <v>505.78774923033887</v>
      </c>
      <c r="W553">
        <f t="shared" si="334"/>
        <v>465.483140652808</v>
      </c>
      <c r="Y553" s="8">
        <f t="shared" si="326"/>
        <v>6743.5444666085968</v>
      </c>
      <c r="Z553">
        <f t="shared" si="327"/>
        <v>-85.611666807852885</v>
      </c>
    </row>
    <row r="554" spans="1:26" x14ac:dyDescent="0.25">
      <c r="A554" t="s">
        <v>51</v>
      </c>
      <c r="D554">
        <f t="shared" ref="D554:W554" si="335">D44*D180</f>
        <v>144.94609333912524</v>
      </c>
      <c r="E554">
        <f t="shared" si="335"/>
        <v>509.86067802225341</v>
      </c>
      <c r="F554">
        <f t="shared" si="335"/>
        <v>511.92251732451712</v>
      </c>
      <c r="G554">
        <f t="shared" si="335"/>
        <v>555.75860166874327</v>
      </c>
      <c r="H554">
        <f t="shared" si="335"/>
        <v>467.90084092023051</v>
      </c>
      <c r="I554">
        <f t="shared" si="335"/>
        <v>410.28646583145047</v>
      </c>
      <c r="J554">
        <f t="shared" si="335"/>
        <v>448.69795917678357</v>
      </c>
      <c r="K554">
        <f t="shared" si="335"/>
        <v>428.30282738656615</v>
      </c>
      <c r="L554">
        <f t="shared" si="335"/>
        <v>357.6965616495699</v>
      </c>
      <c r="M554">
        <f t="shared" si="335"/>
        <v>355.36093923689742</v>
      </c>
      <c r="N554">
        <f t="shared" si="335"/>
        <v>314.4862904874239</v>
      </c>
      <c r="O554">
        <f t="shared" si="335"/>
        <v>299.70081452196405</v>
      </c>
      <c r="P554">
        <f t="shared" si="335"/>
        <v>432.39918138879494</v>
      </c>
      <c r="Q554">
        <f t="shared" si="335"/>
        <v>420.82452089189854</v>
      </c>
      <c r="R554">
        <f t="shared" si="335"/>
        <v>128.05357612181979</v>
      </c>
      <c r="S554">
        <f t="shared" si="335"/>
        <v>134.26872580250216</v>
      </c>
      <c r="T554">
        <f t="shared" si="335"/>
        <v>133.49892539266872</v>
      </c>
      <c r="U554">
        <f t="shared" si="335"/>
        <v>139.38088946058306</v>
      </c>
      <c r="V554">
        <f t="shared" si="335"/>
        <v>501.1899839791634</v>
      </c>
      <c r="W554">
        <f t="shared" si="335"/>
        <v>736.57222625714746</v>
      </c>
      <c r="Y554" s="8">
        <f t="shared" si="326"/>
        <v>7431.108618860103</v>
      </c>
      <c r="Z554">
        <f t="shared" si="327"/>
        <v>-489.10115309614844</v>
      </c>
    </row>
    <row r="555" spans="1:26" x14ac:dyDescent="0.25">
      <c r="A555" t="s">
        <v>52</v>
      </c>
      <c r="D555">
        <f t="shared" ref="D555:W555" si="336">D45*D181</f>
        <v>525.92550360553901</v>
      </c>
      <c r="E555">
        <f t="shared" si="336"/>
        <v>490.61003032184874</v>
      </c>
      <c r="F555">
        <f t="shared" si="336"/>
        <v>526.40123724559032</v>
      </c>
      <c r="G555">
        <f t="shared" si="336"/>
        <v>447.39284702191247</v>
      </c>
      <c r="H555">
        <f t="shared" si="336"/>
        <v>356.03030091812064</v>
      </c>
      <c r="I555">
        <f t="shared" si="336"/>
        <v>326.79746485715197</v>
      </c>
      <c r="J555">
        <f t="shared" si="336"/>
        <v>314.56248663687984</v>
      </c>
      <c r="K555">
        <f t="shared" si="336"/>
        <v>424.6275801125422</v>
      </c>
      <c r="L555">
        <f t="shared" si="336"/>
        <v>353.85589904283484</v>
      </c>
      <c r="M555">
        <f t="shared" si="336"/>
        <v>351.90341220175287</v>
      </c>
      <c r="N555">
        <f t="shared" si="336"/>
        <v>351.33052084440959</v>
      </c>
      <c r="O555">
        <f t="shared" si="336"/>
        <v>262.96417068364985</v>
      </c>
      <c r="P555">
        <f t="shared" si="336"/>
        <v>274.27653252904378</v>
      </c>
      <c r="Q555">
        <f t="shared" si="336"/>
        <v>347.52972129469475</v>
      </c>
      <c r="R555">
        <f t="shared" si="336"/>
        <v>325.34816951352542</v>
      </c>
      <c r="S555">
        <f t="shared" si="336"/>
        <v>399.89648523614306</v>
      </c>
      <c r="T555">
        <f t="shared" si="336"/>
        <v>350.42384959083529</v>
      </c>
      <c r="U555">
        <f t="shared" si="336"/>
        <v>530.72033864335003</v>
      </c>
      <c r="V555">
        <f t="shared" si="336"/>
        <v>468.46233181417301</v>
      </c>
      <c r="W555">
        <f t="shared" si="336"/>
        <v>525.95284220109272</v>
      </c>
      <c r="Y555" s="8">
        <f t="shared" si="326"/>
        <v>7955.0117243150899</v>
      </c>
      <c r="Z555">
        <f t="shared" si="327"/>
        <v>-373.86400307048262</v>
      </c>
    </row>
    <row r="556" spans="1:26" x14ac:dyDescent="0.25">
      <c r="A556" t="s">
        <v>53</v>
      </c>
      <c r="D556">
        <f t="shared" ref="D556:W556" si="337">D46*D182</f>
        <v>684.23748830743762</v>
      </c>
      <c r="E556">
        <f t="shared" si="337"/>
        <v>607.32785353559314</v>
      </c>
      <c r="F556">
        <f t="shared" si="337"/>
        <v>588.72613460620801</v>
      </c>
      <c r="G556">
        <f t="shared" si="337"/>
        <v>399.72239488376505</v>
      </c>
      <c r="H556">
        <f t="shared" si="337"/>
        <v>442.37629352432873</v>
      </c>
      <c r="I556">
        <f t="shared" si="337"/>
        <v>430.37385399108354</v>
      </c>
      <c r="J556">
        <f t="shared" si="337"/>
        <v>374.1979918803043</v>
      </c>
      <c r="K556">
        <f t="shared" si="337"/>
        <v>334.27139784314068</v>
      </c>
      <c r="L556">
        <f t="shared" si="337"/>
        <v>336.8097271198763</v>
      </c>
      <c r="M556">
        <f t="shared" si="337"/>
        <v>393.91155934933329</v>
      </c>
      <c r="N556">
        <f t="shared" si="337"/>
        <v>385.49088964876546</v>
      </c>
      <c r="O556">
        <f t="shared" si="337"/>
        <v>278.7612219501213</v>
      </c>
      <c r="P556">
        <f t="shared" si="337"/>
        <v>295.83620660807321</v>
      </c>
      <c r="Q556">
        <f t="shared" si="337"/>
        <v>376.71055036168451</v>
      </c>
      <c r="R556">
        <f t="shared" si="337"/>
        <v>404.311694155422</v>
      </c>
      <c r="S556">
        <f t="shared" si="337"/>
        <v>372.96005776181369</v>
      </c>
      <c r="T556">
        <f t="shared" si="337"/>
        <v>366.86783403326194</v>
      </c>
      <c r="U556">
        <f t="shared" si="337"/>
        <v>425.80534774981726</v>
      </c>
      <c r="V556">
        <f t="shared" si="337"/>
        <v>480.4956592595085</v>
      </c>
      <c r="W556">
        <f t="shared" si="337"/>
        <v>462.00964488067621</v>
      </c>
      <c r="Y556" s="8">
        <f t="shared" si="326"/>
        <v>8441.2038014502141</v>
      </c>
      <c r="Z556">
        <f t="shared" si="327"/>
        <v>-432.43503396443185</v>
      </c>
    </row>
    <row r="557" spans="1:26" x14ac:dyDescent="0.25">
      <c r="A557" t="s">
        <v>54</v>
      </c>
      <c r="D557">
        <f t="shared" ref="D557:W557" si="338">D47*D183</f>
        <v>704.84912665794138</v>
      </c>
      <c r="E557">
        <f t="shared" si="338"/>
        <v>393.70634855839029</v>
      </c>
      <c r="F557">
        <f t="shared" si="338"/>
        <v>386.88040218138366</v>
      </c>
      <c r="G557">
        <f t="shared" si="338"/>
        <v>551.3230970061943</v>
      </c>
      <c r="H557">
        <f t="shared" si="338"/>
        <v>479.33841703161391</v>
      </c>
      <c r="I557">
        <f t="shared" si="338"/>
        <v>339.10735609787258</v>
      </c>
      <c r="J557">
        <f t="shared" si="338"/>
        <v>351.30476503089187</v>
      </c>
      <c r="K557">
        <f t="shared" si="338"/>
        <v>306.83680664623728</v>
      </c>
      <c r="L557">
        <f t="shared" si="338"/>
        <v>278.21461849712136</v>
      </c>
      <c r="M557">
        <f t="shared" si="338"/>
        <v>193.91782366540778</v>
      </c>
      <c r="N557">
        <f t="shared" si="338"/>
        <v>214.28119603211755</v>
      </c>
      <c r="O557">
        <f t="shared" si="338"/>
        <v>290.00753530096944</v>
      </c>
      <c r="P557">
        <f t="shared" si="338"/>
        <v>299.95497697731156</v>
      </c>
      <c r="Q557">
        <f t="shared" si="338"/>
        <v>349.55643843816767</v>
      </c>
      <c r="R557">
        <f t="shared" si="338"/>
        <v>178.42322195923077</v>
      </c>
      <c r="S557">
        <f t="shared" si="338"/>
        <v>268.08688137091076</v>
      </c>
      <c r="T557">
        <f t="shared" si="338"/>
        <v>306.75631953277286</v>
      </c>
      <c r="U557">
        <f t="shared" si="338"/>
        <v>340.9188708694316</v>
      </c>
      <c r="V557">
        <f t="shared" si="338"/>
        <v>435.47226046241224</v>
      </c>
      <c r="W557">
        <f t="shared" si="338"/>
        <v>400.8481543024655</v>
      </c>
      <c r="Y557" s="8">
        <f t="shared" si="326"/>
        <v>7069.7846166188438</v>
      </c>
      <c r="Z557">
        <f t="shared" si="327"/>
        <v>-438.10029584933068</v>
      </c>
    </row>
    <row r="558" spans="1:26" x14ac:dyDescent="0.25">
      <c r="A558" t="s">
        <v>55</v>
      </c>
      <c r="D558">
        <f t="shared" ref="D558:W558" si="339">D48*D184</f>
        <v>511.28812116749287</v>
      </c>
      <c r="E558">
        <f t="shared" si="339"/>
        <v>536.69682947200738</v>
      </c>
      <c r="F558">
        <f t="shared" si="339"/>
        <v>510.90988425991299</v>
      </c>
      <c r="G558">
        <f t="shared" si="339"/>
        <v>375.3510080469735</v>
      </c>
      <c r="H558">
        <f t="shared" si="339"/>
        <v>317.79318387716597</v>
      </c>
      <c r="I558">
        <f t="shared" si="339"/>
        <v>233.6907131194308</v>
      </c>
      <c r="J558">
        <f t="shared" si="339"/>
        <v>251.30272042323367</v>
      </c>
      <c r="K558">
        <f t="shared" si="339"/>
        <v>291.5352959688858</v>
      </c>
      <c r="L558">
        <f t="shared" si="339"/>
        <v>256.7113721093296</v>
      </c>
      <c r="M558">
        <f t="shared" si="339"/>
        <v>246.9157364922051</v>
      </c>
      <c r="N558">
        <f t="shared" si="339"/>
        <v>213.21945748791777</v>
      </c>
      <c r="O558">
        <f t="shared" si="339"/>
        <v>211.39941901050472</v>
      </c>
      <c r="P558">
        <f t="shared" si="339"/>
        <v>252.36764192240847</v>
      </c>
      <c r="Q558">
        <f t="shared" si="339"/>
        <v>250.37719761381192</v>
      </c>
      <c r="R558">
        <f t="shared" si="339"/>
        <v>189.8973724639732</v>
      </c>
      <c r="S558">
        <f t="shared" si="339"/>
        <v>270.78037594041439</v>
      </c>
      <c r="T558">
        <f t="shared" si="339"/>
        <v>311.17047880170151</v>
      </c>
      <c r="U558">
        <f t="shared" si="339"/>
        <v>142.84964628312383</v>
      </c>
      <c r="V558">
        <f t="shared" si="339"/>
        <v>224.39852257718834</v>
      </c>
      <c r="W558">
        <f t="shared" si="339"/>
        <v>383.76922874084386</v>
      </c>
      <c r="Y558" s="8">
        <f t="shared" si="326"/>
        <v>5982.4242057785259</v>
      </c>
      <c r="Z558">
        <f t="shared" si="327"/>
        <v>-408.54254923316262</v>
      </c>
    </row>
    <row r="559" spans="1:26" x14ac:dyDescent="0.25">
      <c r="A559" t="s">
        <v>56</v>
      </c>
      <c r="D559">
        <f t="shared" ref="D559:W559" si="340">D49*D185</f>
        <v>470.22350226914898</v>
      </c>
      <c r="E559">
        <f t="shared" si="340"/>
        <v>486.40773016058165</v>
      </c>
      <c r="F559">
        <f t="shared" si="340"/>
        <v>473.98174549682415</v>
      </c>
      <c r="G559">
        <f t="shared" si="340"/>
        <v>362.11235176342933</v>
      </c>
      <c r="H559">
        <f t="shared" si="340"/>
        <v>429.06538114584714</v>
      </c>
      <c r="I559">
        <f t="shared" si="340"/>
        <v>282.95599293461083</v>
      </c>
      <c r="J559">
        <f t="shared" si="340"/>
        <v>292.06827430102692</v>
      </c>
      <c r="K559">
        <f t="shared" si="340"/>
        <v>298.17685678734597</v>
      </c>
      <c r="L559">
        <f t="shared" si="340"/>
        <v>286.60617360857566</v>
      </c>
      <c r="M559">
        <f t="shared" si="340"/>
        <v>218.90578990384859</v>
      </c>
      <c r="N559">
        <f t="shared" si="340"/>
        <v>233.96765006255748</v>
      </c>
      <c r="O559">
        <f t="shared" si="340"/>
        <v>287.07779063171006</v>
      </c>
      <c r="P559">
        <f t="shared" si="340"/>
        <v>276.86258797394078</v>
      </c>
      <c r="Q559">
        <f t="shared" si="340"/>
        <v>221.94228746341167</v>
      </c>
      <c r="R559">
        <f t="shared" si="340"/>
        <v>257.29665881126323</v>
      </c>
      <c r="S559">
        <f t="shared" si="340"/>
        <v>327.23211352165958</v>
      </c>
      <c r="T559">
        <f t="shared" si="340"/>
        <v>354.89506992442728</v>
      </c>
      <c r="U559">
        <f t="shared" si="340"/>
        <v>351.15100377652783</v>
      </c>
      <c r="V559">
        <f t="shared" si="340"/>
        <v>331.14073648542086</v>
      </c>
      <c r="W559">
        <f t="shared" si="340"/>
        <v>355.91749600886556</v>
      </c>
      <c r="Y559" s="8">
        <f t="shared" si="326"/>
        <v>6597.9871930310246</v>
      </c>
      <c r="Z559">
        <f t="shared" si="327"/>
        <v>-304.93761763089873</v>
      </c>
    </row>
    <row r="560" spans="1:26" x14ac:dyDescent="0.25">
      <c r="A560" t="s">
        <v>57</v>
      </c>
      <c r="D560">
        <f t="shared" ref="D560:W560" si="341">D50*D186</f>
        <v>466.61630602068038</v>
      </c>
      <c r="E560">
        <f t="shared" si="341"/>
        <v>379.04843177916507</v>
      </c>
      <c r="F560">
        <f t="shared" si="341"/>
        <v>305.32770760386518</v>
      </c>
      <c r="G560">
        <f t="shared" si="341"/>
        <v>391.0530634507399</v>
      </c>
      <c r="H560">
        <f t="shared" si="341"/>
        <v>270.07354452677328</v>
      </c>
      <c r="I560">
        <f t="shared" si="341"/>
        <v>193.527686312702</v>
      </c>
      <c r="J560">
        <f t="shared" si="341"/>
        <v>298.25981206897734</v>
      </c>
      <c r="K560">
        <f t="shared" si="341"/>
        <v>292.9665147037768</v>
      </c>
      <c r="L560">
        <f t="shared" si="341"/>
        <v>214.6335420680542</v>
      </c>
      <c r="M560">
        <f t="shared" si="341"/>
        <v>234.06388538691985</v>
      </c>
      <c r="N560">
        <f t="shared" si="341"/>
        <v>310.36748303750829</v>
      </c>
      <c r="O560">
        <f t="shared" si="341"/>
        <v>204.04997258405615</v>
      </c>
      <c r="P560">
        <f t="shared" si="341"/>
        <v>120.78616577314152</v>
      </c>
      <c r="Q560">
        <f t="shared" si="341"/>
        <v>139.08794635502036</v>
      </c>
      <c r="R560">
        <f t="shared" si="341"/>
        <v>145.67274691293247</v>
      </c>
      <c r="S560">
        <f t="shared" si="341"/>
        <v>256.56623321070356</v>
      </c>
      <c r="T560">
        <f t="shared" si="341"/>
        <v>312.37524279009</v>
      </c>
      <c r="U560">
        <f t="shared" si="341"/>
        <v>255.37372273243341</v>
      </c>
      <c r="V560">
        <f t="shared" si="341"/>
        <v>351.82329576568793</v>
      </c>
      <c r="W560">
        <f t="shared" si="341"/>
        <v>373.63729834003806</v>
      </c>
      <c r="Y560" s="8">
        <f t="shared" si="326"/>
        <v>5515.3106014232662</v>
      </c>
      <c r="Z560">
        <f t="shared" si="327"/>
        <v>-361.43710497149294</v>
      </c>
    </row>
    <row r="561" spans="1:26" x14ac:dyDescent="0.25">
      <c r="A561" t="s">
        <v>58</v>
      </c>
      <c r="D561">
        <f t="shared" ref="D561:W561" si="342">D51*D187</f>
        <v>423.32055885513847</v>
      </c>
      <c r="E561">
        <f t="shared" si="342"/>
        <v>423.75207245130531</v>
      </c>
      <c r="F561">
        <f t="shared" si="342"/>
        <v>330.7332564482025</v>
      </c>
      <c r="G561">
        <f t="shared" si="342"/>
        <v>309.6733583913537</v>
      </c>
      <c r="H561">
        <f t="shared" si="342"/>
        <v>247.31417465739483</v>
      </c>
      <c r="I561">
        <f t="shared" si="342"/>
        <v>281.12351308882165</v>
      </c>
      <c r="J561">
        <f t="shared" si="342"/>
        <v>253.34970447480549</v>
      </c>
      <c r="K561">
        <f t="shared" si="342"/>
        <v>289.07857965900189</v>
      </c>
      <c r="L561">
        <f t="shared" si="342"/>
        <v>288.79544014590738</v>
      </c>
      <c r="M561">
        <f t="shared" si="342"/>
        <v>208.86367227924771</v>
      </c>
      <c r="N561">
        <f t="shared" si="342"/>
        <v>206.81246347112429</v>
      </c>
      <c r="O561">
        <f t="shared" si="342"/>
        <v>196.37640327349999</v>
      </c>
      <c r="P561">
        <f t="shared" si="342"/>
        <v>226.72293728782589</v>
      </c>
      <c r="Q561">
        <f t="shared" si="342"/>
        <v>269.99986177300792</v>
      </c>
      <c r="R561">
        <f t="shared" si="342"/>
        <v>273.39640214176552</v>
      </c>
      <c r="S561">
        <f t="shared" si="342"/>
        <v>250.85103275633591</v>
      </c>
      <c r="T561">
        <f t="shared" si="342"/>
        <v>357.29620254636978</v>
      </c>
      <c r="U561">
        <f t="shared" si="342"/>
        <v>354.35723957188861</v>
      </c>
      <c r="V561">
        <f t="shared" si="342"/>
        <v>221.93656982969932</v>
      </c>
      <c r="W561">
        <f t="shared" si="342"/>
        <v>335.18226808875113</v>
      </c>
      <c r="Y561" s="8">
        <f t="shared" si="326"/>
        <v>5748.9357111914469</v>
      </c>
      <c r="Z561">
        <f t="shared" si="327"/>
        <v>-274.63145976273211</v>
      </c>
    </row>
    <row r="562" spans="1:26" x14ac:dyDescent="0.25">
      <c r="A562" t="s">
        <v>59</v>
      </c>
      <c r="D562">
        <f t="shared" ref="D562:W562" si="343">D52*D188</f>
        <v>413.8851281684548</v>
      </c>
      <c r="E562">
        <f t="shared" si="343"/>
        <v>446.46839003752837</v>
      </c>
      <c r="F562">
        <f t="shared" si="343"/>
        <v>369.55928160372218</v>
      </c>
      <c r="G562">
        <f t="shared" si="343"/>
        <v>360.8474163628228</v>
      </c>
      <c r="H562">
        <f t="shared" si="343"/>
        <v>337.50567660640002</v>
      </c>
      <c r="I562">
        <f t="shared" si="343"/>
        <v>286.46973952241382</v>
      </c>
      <c r="J562">
        <f t="shared" si="343"/>
        <v>292.68080640749014</v>
      </c>
      <c r="K562">
        <f t="shared" si="343"/>
        <v>299.25325190192871</v>
      </c>
      <c r="L562">
        <f t="shared" si="343"/>
        <v>309.2957794736833</v>
      </c>
      <c r="M562">
        <f t="shared" si="343"/>
        <v>239.51974717787746</v>
      </c>
      <c r="N562">
        <f t="shared" si="343"/>
        <v>259.08231423208503</v>
      </c>
      <c r="O562">
        <f t="shared" si="343"/>
        <v>258.80669177018711</v>
      </c>
      <c r="P562">
        <f t="shared" si="343"/>
        <v>265.91020042864477</v>
      </c>
      <c r="Q562">
        <f t="shared" si="343"/>
        <v>247.27635438981088</v>
      </c>
      <c r="R562">
        <f t="shared" si="343"/>
        <v>311.78421953893559</v>
      </c>
      <c r="S562">
        <f t="shared" si="343"/>
        <v>338.6943108987698</v>
      </c>
      <c r="T562">
        <f t="shared" si="343"/>
        <v>338.53739838356029</v>
      </c>
      <c r="U562">
        <f t="shared" si="343"/>
        <v>340.87021096464366</v>
      </c>
      <c r="V562">
        <f t="shared" si="343"/>
        <v>442.45581015722701</v>
      </c>
      <c r="W562">
        <f t="shared" si="343"/>
        <v>429.09631527271296</v>
      </c>
      <c r="Y562" s="8">
        <f t="shared" si="326"/>
        <v>6587.9990432988998</v>
      </c>
      <c r="Z562">
        <f t="shared" si="327"/>
        <v>-250.91500678112092</v>
      </c>
    </row>
    <row r="563" spans="1:26" x14ac:dyDescent="0.25">
      <c r="A563" t="s">
        <v>60</v>
      </c>
      <c r="D563">
        <f t="shared" ref="D563:W563" si="344">D53*D189</f>
        <v>399.84772219784168</v>
      </c>
      <c r="E563">
        <f t="shared" si="344"/>
        <v>428.09677908784181</v>
      </c>
      <c r="F563">
        <f t="shared" si="344"/>
        <v>355.17441945177887</v>
      </c>
      <c r="G563">
        <f t="shared" si="344"/>
        <v>363.09660386422286</v>
      </c>
      <c r="H563">
        <f t="shared" si="344"/>
        <v>343.45359340256664</v>
      </c>
      <c r="I563">
        <f t="shared" si="344"/>
        <v>294.08769160042357</v>
      </c>
      <c r="J563">
        <f t="shared" si="344"/>
        <v>303.28266713150521</v>
      </c>
      <c r="K563">
        <f t="shared" si="344"/>
        <v>309.77649766844536</v>
      </c>
      <c r="L563">
        <f t="shared" si="344"/>
        <v>322.44268310553122</v>
      </c>
      <c r="M563">
        <f t="shared" si="344"/>
        <v>219.70540707945045</v>
      </c>
      <c r="N563">
        <f t="shared" si="344"/>
        <v>217.60887959285293</v>
      </c>
      <c r="O563">
        <f t="shared" si="344"/>
        <v>214.47872633761168</v>
      </c>
      <c r="P563">
        <f t="shared" si="344"/>
        <v>244.71194051498651</v>
      </c>
      <c r="Q563">
        <f t="shared" si="344"/>
        <v>219.38181776191354</v>
      </c>
      <c r="R563">
        <f t="shared" si="344"/>
        <v>329.12466131513264</v>
      </c>
      <c r="S563">
        <f t="shared" si="344"/>
        <v>332.43628936152203</v>
      </c>
      <c r="T563">
        <f t="shared" si="344"/>
        <v>259.92648121757225</v>
      </c>
      <c r="U563">
        <f t="shared" si="344"/>
        <v>360.12641417122285</v>
      </c>
      <c r="V563">
        <f t="shared" si="344"/>
        <v>444.06237450092351</v>
      </c>
      <c r="W563">
        <f t="shared" si="344"/>
        <v>429.70973956946926</v>
      </c>
      <c r="Y563" s="8">
        <f t="shared" si="326"/>
        <v>6390.5313889328136</v>
      </c>
      <c r="Z563">
        <f t="shared" si="327"/>
        <v>-225.08881609201279</v>
      </c>
    </row>
    <row r="564" spans="1:26" x14ac:dyDescent="0.25">
      <c r="A564" t="s">
        <v>61</v>
      </c>
      <c r="D564">
        <f t="shared" ref="D564:W564" si="345">D54*D190</f>
        <v>526.6044947443545</v>
      </c>
      <c r="E564">
        <f t="shared" si="345"/>
        <v>540.26270926258212</v>
      </c>
      <c r="F564">
        <f t="shared" si="345"/>
        <v>497.98754450162141</v>
      </c>
      <c r="G564">
        <f t="shared" si="345"/>
        <v>353.91819451049906</v>
      </c>
      <c r="H564">
        <f t="shared" si="345"/>
        <v>305.15625703672987</v>
      </c>
      <c r="I564">
        <f t="shared" si="345"/>
        <v>228.59646155381984</v>
      </c>
      <c r="J564">
        <f t="shared" si="345"/>
        <v>217.29153642612849</v>
      </c>
      <c r="K564">
        <f t="shared" si="345"/>
        <v>229.7846733456706</v>
      </c>
      <c r="L564">
        <f t="shared" si="345"/>
        <v>202.12571319790086</v>
      </c>
      <c r="M564">
        <f t="shared" si="345"/>
        <v>219.53788440082522</v>
      </c>
      <c r="N564">
        <f t="shared" si="345"/>
        <v>230.43838925598848</v>
      </c>
      <c r="O564">
        <f t="shared" si="345"/>
        <v>228.35236953936823</v>
      </c>
      <c r="P564">
        <f t="shared" si="345"/>
        <v>254.00552203717979</v>
      </c>
      <c r="Q564">
        <f t="shared" si="345"/>
        <v>219.4871712393811</v>
      </c>
      <c r="R564">
        <f t="shared" si="345"/>
        <v>297.22333948762002</v>
      </c>
      <c r="S564">
        <f t="shared" si="345"/>
        <v>380.98906635601361</v>
      </c>
      <c r="T564">
        <f t="shared" si="345"/>
        <v>316.0594470015518</v>
      </c>
      <c r="U564">
        <f t="shared" si="345"/>
        <v>291.86638510662937</v>
      </c>
      <c r="V564">
        <f t="shared" si="345"/>
        <v>358.31687075142645</v>
      </c>
      <c r="W564">
        <f t="shared" si="345"/>
        <v>337.7815223628761</v>
      </c>
      <c r="Y564" s="8">
        <f t="shared" si="326"/>
        <v>6235.7855521181673</v>
      </c>
      <c r="Z564">
        <f t="shared" si="327"/>
        <v>-262.60068837499875</v>
      </c>
    </row>
    <row r="565" spans="1:26" x14ac:dyDescent="0.25">
      <c r="A565" t="s">
        <v>62</v>
      </c>
      <c r="D565">
        <f t="shared" ref="D565:W565" si="346">D55*D191</f>
        <v>389.77807207960262</v>
      </c>
      <c r="E565">
        <f t="shared" si="346"/>
        <v>707.07604352107467</v>
      </c>
      <c r="F565">
        <f t="shared" si="346"/>
        <v>316.41511974647051</v>
      </c>
      <c r="G565">
        <f t="shared" si="346"/>
        <v>310.92069195790191</v>
      </c>
      <c r="H565">
        <f t="shared" si="346"/>
        <v>275.9887302615403</v>
      </c>
      <c r="I565">
        <f t="shared" si="346"/>
        <v>235.92209824415755</v>
      </c>
      <c r="J565">
        <f t="shared" si="346"/>
        <v>250.49926476678232</v>
      </c>
      <c r="K565">
        <f t="shared" si="346"/>
        <v>228.94057622985852</v>
      </c>
      <c r="L565">
        <f t="shared" si="346"/>
        <v>251.59426981101331</v>
      </c>
      <c r="M565">
        <f t="shared" si="346"/>
        <v>213.11197314571609</v>
      </c>
      <c r="N565">
        <f t="shared" si="346"/>
        <v>246.52347971236642</v>
      </c>
      <c r="O565">
        <f t="shared" si="346"/>
        <v>250.49842005695632</v>
      </c>
      <c r="P565">
        <f t="shared" si="346"/>
        <v>262.51177092770484</v>
      </c>
      <c r="Q565">
        <f t="shared" si="346"/>
        <v>247.85025877587947</v>
      </c>
      <c r="R565">
        <f t="shared" si="346"/>
        <v>468.21844522675013</v>
      </c>
      <c r="S565">
        <f t="shared" si="346"/>
        <v>481.32790978415858</v>
      </c>
      <c r="T565">
        <f t="shared" si="346"/>
        <v>547.4010166536018</v>
      </c>
      <c r="U565">
        <f t="shared" si="346"/>
        <v>517.71782470273479</v>
      </c>
      <c r="V565">
        <f t="shared" si="346"/>
        <v>529.05673794070083</v>
      </c>
      <c r="W565">
        <f t="shared" si="346"/>
        <v>541.92225473313113</v>
      </c>
      <c r="Y565" s="8">
        <f t="shared" si="326"/>
        <v>7273.2749582781025</v>
      </c>
      <c r="Z565">
        <f t="shared" si="327"/>
        <v>-30.82704385227083</v>
      </c>
    </row>
    <row r="566" spans="1:26" x14ac:dyDescent="0.25">
      <c r="A566" t="s">
        <v>63</v>
      </c>
      <c r="D566">
        <f t="shared" ref="D566:W566" si="347">D56*D192</f>
        <v>342.55705502995482</v>
      </c>
      <c r="E566">
        <f t="shared" si="347"/>
        <v>306.76347891376787</v>
      </c>
      <c r="F566">
        <f t="shared" si="347"/>
        <v>321.04712147164423</v>
      </c>
      <c r="G566">
        <f t="shared" si="347"/>
        <v>342.07133367139915</v>
      </c>
      <c r="H566">
        <f t="shared" si="347"/>
        <v>346.51293063004522</v>
      </c>
      <c r="I566">
        <f t="shared" si="347"/>
        <v>245.43804154055229</v>
      </c>
      <c r="J566">
        <f t="shared" si="347"/>
        <v>250.01871394012721</v>
      </c>
      <c r="K566">
        <f t="shared" si="347"/>
        <v>277.01651105915209</v>
      </c>
      <c r="L566">
        <f t="shared" si="347"/>
        <v>285.98205017529551</v>
      </c>
      <c r="M566">
        <f t="shared" si="347"/>
        <v>191.34586571015771</v>
      </c>
      <c r="N566">
        <f t="shared" si="347"/>
        <v>196.04672269013247</v>
      </c>
      <c r="O566">
        <f t="shared" si="347"/>
        <v>201.51560372456706</v>
      </c>
      <c r="P566">
        <f t="shared" si="347"/>
        <v>195.92624034606547</v>
      </c>
      <c r="Q566">
        <f t="shared" si="347"/>
        <v>179.67884587576282</v>
      </c>
      <c r="R566">
        <f t="shared" si="347"/>
        <v>208.36284457771023</v>
      </c>
      <c r="S566">
        <f t="shared" si="347"/>
        <v>294.26505574032404</v>
      </c>
      <c r="T566">
        <f t="shared" si="347"/>
        <v>293.5207543987126</v>
      </c>
      <c r="U566">
        <f t="shared" si="347"/>
        <v>268.66178708204137</v>
      </c>
      <c r="V566">
        <f t="shared" si="347"/>
        <v>414.69935211829016</v>
      </c>
      <c r="W566">
        <f t="shared" si="347"/>
        <v>406.09449139350437</v>
      </c>
      <c r="Y566" s="8">
        <f t="shared" si="326"/>
        <v>5567.524800089207</v>
      </c>
      <c r="Z566">
        <f t="shared" si="327"/>
        <v>-224.55564388960263</v>
      </c>
    </row>
    <row r="567" spans="1:26" x14ac:dyDescent="0.25">
      <c r="A567" t="s">
        <v>64</v>
      </c>
      <c r="D567">
        <f t="shared" ref="D567:W567" si="348">D57*D193</f>
        <v>363.00845065388597</v>
      </c>
      <c r="E567">
        <f t="shared" si="348"/>
        <v>405.41595606630989</v>
      </c>
      <c r="F567">
        <f t="shared" si="348"/>
        <v>365.45847033902157</v>
      </c>
      <c r="G567">
        <f t="shared" si="348"/>
        <v>443.81850004172583</v>
      </c>
      <c r="H567">
        <f t="shared" si="348"/>
        <v>377.37230042118648</v>
      </c>
      <c r="I567">
        <f t="shared" si="348"/>
        <v>254.36543260066091</v>
      </c>
      <c r="J567">
        <f t="shared" si="348"/>
        <v>240.53417794744746</v>
      </c>
      <c r="K567">
        <f t="shared" si="348"/>
        <v>251.695533910645</v>
      </c>
      <c r="L567">
        <f t="shared" si="348"/>
        <v>260.08854728968367</v>
      </c>
      <c r="M567">
        <f t="shared" si="348"/>
        <v>250.07882336627478</v>
      </c>
      <c r="N567">
        <f t="shared" si="348"/>
        <v>267.49435191001828</v>
      </c>
      <c r="O567">
        <f t="shared" si="348"/>
        <v>267.04659671866693</v>
      </c>
      <c r="P567">
        <f t="shared" si="348"/>
        <v>249.86465487582382</v>
      </c>
      <c r="Q567">
        <f t="shared" si="348"/>
        <v>248.19897572308892</v>
      </c>
      <c r="R567">
        <f t="shared" si="348"/>
        <v>257.65313307653577</v>
      </c>
      <c r="S567">
        <f t="shared" si="348"/>
        <v>253.080614580147</v>
      </c>
      <c r="T567">
        <f t="shared" si="348"/>
        <v>257.71690927519114</v>
      </c>
      <c r="U567">
        <f t="shared" si="348"/>
        <v>256.28985551591421</v>
      </c>
      <c r="V567">
        <f t="shared" si="348"/>
        <v>490.25693522165943</v>
      </c>
      <c r="W567">
        <f t="shared" si="348"/>
        <v>444.0401232262912</v>
      </c>
      <c r="Y567" s="8">
        <f t="shared" si="326"/>
        <v>6203.4783427601778</v>
      </c>
      <c r="Z567">
        <f t="shared" si="327"/>
        <v>-280.58531926730149</v>
      </c>
    </row>
    <row r="568" spans="1:26" x14ac:dyDescent="0.25">
      <c r="A568" t="s">
        <v>65</v>
      </c>
      <c r="D568">
        <f t="shared" ref="D568:W568" si="349">D58*D194</f>
        <v>525.69208345067511</v>
      </c>
      <c r="E568">
        <f t="shared" si="349"/>
        <v>439.29737691505733</v>
      </c>
      <c r="F568">
        <f t="shared" si="349"/>
        <v>403.45035679710179</v>
      </c>
      <c r="G568">
        <f t="shared" si="349"/>
        <v>405.84729455005663</v>
      </c>
      <c r="H568">
        <f t="shared" si="349"/>
        <v>416.5927637674427</v>
      </c>
      <c r="I568">
        <f t="shared" si="349"/>
        <v>421.96615001112644</v>
      </c>
      <c r="J568">
        <f t="shared" si="349"/>
        <v>453.33107729874035</v>
      </c>
      <c r="K568">
        <f t="shared" si="349"/>
        <v>494.97426180313431</v>
      </c>
      <c r="L568">
        <f t="shared" si="349"/>
        <v>512.06684794237731</v>
      </c>
      <c r="M568">
        <f t="shared" si="349"/>
        <v>329.74117923328072</v>
      </c>
      <c r="N568">
        <f t="shared" si="349"/>
        <v>367.34921564740955</v>
      </c>
      <c r="O568">
        <f t="shared" si="349"/>
        <v>362.61648312621969</v>
      </c>
      <c r="P568">
        <f t="shared" si="349"/>
        <v>368.02763780261796</v>
      </c>
      <c r="Q568">
        <f t="shared" si="349"/>
        <v>356.21986975110354</v>
      </c>
      <c r="R568">
        <f t="shared" si="349"/>
        <v>362.65922428170239</v>
      </c>
      <c r="S568">
        <f t="shared" si="349"/>
        <v>318.48751798333291</v>
      </c>
      <c r="T568">
        <f t="shared" si="349"/>
        <v>330.73444069195358</v>
      </c>
      <c r="U568">
        <f t="shared" si="349"/>
        <v>371.65948005933978</v>
      </c>
      <c r="V568">
        <f t="shared" si="349"/>
        <v>432.75581808335335</v>
      </c>
      <c r="W568">
        <f t="shared" si="349"/>
        <v>432.86579785216293</v>
      </c>
      <c r="Y568" s="8">
        <f t="shared" si="326"/>
        <v>8106.3348770481871</v>
      </c>
      <c r="Z568">
        <f t="shared" si="327"/>
        <v>-466.84812942344473</v>
      </c>
    </row>
    <row r="569" spans="1:26" x14ac:dyDescent="0.25">
      <c r="A569" t="s">
        <v>66</v>
      </c>
      <c r="D569">
        <f t="shared" ref="D569:W569" si="350">D59*D195</f>
        <v>318.33688551603592</v>
      </c>
      <c r="E569">
        <f t="shared" si="350"/>
        <v>339.7009673118867</v>
      </c>
      <c r="F569">
        <f t="shared" si="350"/>
        <v>340.20885240543845</v>
      </c>
      <c r="G569">
        <f t="shared" si="350"/>
        <v>315.28906807935738</v>
      </c>
      <c r="H569">
        <f t="shared" si="350"/>
        <v>297.1473950003907</v>
      </c>
      <c r="I569">
        <f t="shared" si="350"/>
        <v>287.7840816707814</v>
      </c>
      <c r="J569">
        <f t="shared" si="350"/>
        <v>308.1864430013901</v>
      </c>
      <c r="K569">
        <f t="shared" si="350"/>
        <v>312.0807415388328</v>
      </c>
      <c r="L569">
        <f t="shared" si="350"/>
        <v>332.51582669343594</v>
      </c>
      <c r="M569">
        <f t="shared" si="350"/>
        <v>300.21117289291004</v>
      </c>
      <c r="N569">
        <f t="shared" si="350"/>
        <v>263.92362546601754</v>
      </c>
      <c r="O569">
        <f t="shared" si="350"/>
        <v>310.83927549967592</v>
      </c>
      <c r="P569">
        <f t="shared" si="350"/>
        <v>327.09159156591613</v>
      </c>
      <c r="Q569">
        <f t="shared" si="350"/>
        <v>299.19440505654603</v>
      </c>
      <c r="R569">
        <f t="shared" si="350"/>
        <v>373.95475097135238</v>
      </c>
      <c r="S569">
        <f t="shared" si="350"/>
        <v>399.27818924201119</v>
      </c>
      <c r="T569">
        <f t="shared" si="350"/>
        <v>438.58715265599545</v>
      </c>
      <c r="U569">
        <f t="shared" si="350"/>
        <v>431.68314295049214</v>
      </c>
      <c r="V569">
        <f t="shared" si="350"/>
        <v>333.32964183177842</v>
      </c>
      <c r="W569">
        <f t="shared" si="350"/>
        <v>305.1840911246947</v>
      </c>
      <c r="Y569" s="8">
        <f t="shared" si="326"/>
        <v>6634.5273004749379</v>
      </c>
      <c r="Z569">
        <f t="shared" si="327"/>
        <v>-213.44087979654918</v>
      </c>
    </row>
    <row r="570" spans="1:26" x14ac:dyDescent="0.25">
      <c r="A570" t="s">
        <v>67</v>
      </c>
      <c r="D570">
        <f t="shared" ref="D570:W570" si="351">D60*D196</f>
        <v>314.72130048882809</v>
      </c>
      <c r="E570">
        <f t="shared" si="351"/>
        <v>307.60725652156088</v>
      </c>
      <c r="F570">
        <f t="shared" si="351"/>
        <v>290.36957330151722</v>
      </c>
      <c r="G570">
        <f t="shared" si="351"/>
        <v>301.93715035662387</v>
      </c>
      <c r="H570">
        <f t="shared" si="351"/>
        <v>304.37455067061785</v>
      </c>
      <c r="I570">
        <f t="shared" si="351"/>
        <v>349.64305281833418</v>
      </c>
      <c r="J570">
        <f t="shared" si="351"/>
        <v>351.95547879209636</v>
      </c>
      <c r="K570">
        <f t="shared" si="351"/>
        <v>314.47878997499197</v>
      </c>
      <c r="L570">
        <f t="shared" si="351"/>
        <v>310.52462286893086</v>
      </c>
      <c r="M570">
        <f t="shared" si="351"/>
        <v>301.57946731745699</v>
      </c>
      <c r="N570">
        <f t="shared" si="351"/>
        <v>274.51156562515609</v>
      </c>
      <c r="O570">
        <f t="shared" si="351"/>
        <v>288.34687093860572</v>
      </c>
      <c r="P570">
        <f t="shared" si="351"/>
        <v>303.39812672964973</v>
      </c>
      <c r="Q570">
        <f t="shared" si="351"/>
        <v>290.82443800672951</v>
      </c>
      <c r="R570">
        <f t="shared" si="351"/>
        <v>207.44186670732705</v>
      </c>
      <c r="S570">
        <f t="shared" si="351"/>
        <v>191.29205772677835</v>
      </c>
      <c r="T570">
        <f t="shared" si="351"/>
        <v>192.91648496586643</v>
      </c>
      <c r="U570">
        <f t="shared" si="351"/>
        <v>194.92559072086928</v>
      </c>
      <c r="V570">
        <f t="shared" si="351"/>
        <v>401.18365974625851</v>
      </c>
      <c r="W570">
        <f t="shared" si="351"/>
        <v>436.20763164259188</v>
      </c>
      <c r="Y570" s="8">
        <f t="shared" si="326"/>
        <v>5928.2395359207912</v>
      </c>
      <c r="Z570">
        <f t="shared" si="327"/>
        <v>-346.83046927269118</v>
      </c>
    </row>
    <row r="571" spans="1:26" x14ac:dyDescent="0.25">
      <c r="Y571" s="8"/>
    </row>
    <row r="572" spans="1:26" x14ac:dyDescent="0.25">
      <c r="A572" t="s">
        <v>68</v>
      </c>
      <c r="D572">
        <f t="shared" ref="D572:W572" si="352">D62*D198</f>
        <v>396.78532861394757</v>
      </c>
      <c r="E572">
        <f t="shared" si="352"/>
        <v>338.57975935235908</v>
      </c>
      <c r="F572">
        <f t="shared" si="352"/>
        <v>331.24359103071617</v>
      </c>
      <c r="G572">
        <f t="shared" si="352"/>
        <v>355.49602825868652</v>
      </c>
      <c r="H572">
        <f t="shared" si="352"/>
        <v>355.94463780470204</v>
      </c>
      <c r="I572">
        <f t="shared" si="352"/>
        <v>404.05985008203282</v>
      </c>
      <c r="J572">
        <f t="shared" si="352"/>
        <v>360.47685456023441</v>
      </c>
      <c r="K572">
        <f t="shared" si="352"/>
        <v>357.01471917158477</v>
      </c>
      <c r="L572">
        <f t="shared" si="352"/>
        <v>333.03982476988955</v>
      </c>
      <c r="M572">
        <f t="shared" si="352"/>
        <v>235.29908133017716</v>
      </c>
      <c r="N572">
        <f t="shared" si="352"/>
        <v>248.07807870393665</v>
      </c>
      <c r="O572">
        <f t="shared" si="352"/>
        <v>252.31527497378411</v>
      </c>
      <c r="P572">
        <f t="shared" si="352"/>
        <v>256.49901018769356</v>
      </c>
      <c r="Q572">
        <f t="shared" si="352"/>
        <v>248.5553098129262</v>
      </c>
      <c r="R572">
        <f t="shared" si="352"/>
        <v>251.56234622864525</v>
      </c>
      <c r="S572">
        <f t="shared" si="352"/>
        <v>277.18775449209636</v>
      </c>
      <c r="T572">
        <f t="shared" si="352"/>
        <v>339.87365001530617</v>
      </c>
      <c r="U572">
        <f t="shared" si="352"/>
        <v>329.57267814065779</v>
      </c>
      <c r="V572">
        <f t="shared" si="352"/>
        <v>382.19036317045186</v>
      </c>
      <c r="W572">
        <f t="shared" si="352"/>
        <v>397.74240764476536</v>
      </c>
      <c r="Y572" s="8">
        <f t="shared" si="326"/>
        <v>6451.5165483445917</v>
      </c>
      <c r="Z572">
        <f>SUMPRODUCT($D$576:$W$576,D572:W572)</f>
        <v>-314.21487079176444</v>
      </c>
    </row>
    <row r="573" spans="1:26" x14ac:dyDescent="0.25">
      <c r="A573" t="s">
        <v>312</v>
      </c>
      <c r="D573">
        <f t="shared" ref="D573:W573" si="353">D63*D199</f>
        <v>475.77543004940793</v>
      </c>
      <c r="E573">
        <f t="shared" si="353"/>
        <v>439.96055454357781</v>
      </c>
      <c r="F573">
        <f t="shared" si="353"/>
        <v>289.88721403536982</v>
      </c>
      <c r="G573">
        <f t="shared" si="353"/>
        <v>313.56599929509935</v>
      </c>
      <c r="H573">
        <f t="shared" si="353"/>
        <v>343.82344209188176</v>
      </c>
      <c r="I573">
        <f t="shared" si="353"/>
        <v>298.35879787110201</v>
      </c>
      <c r="J573">
        <f t="shared" si="353"/>
        <v>289.15028853964736</v>
      </c>
      <c r="K573">
        <f t="shared" si="353"/>
        <v>114.2249430458665</v>
      </c>
      <c r="L573">
        <f t="shared" si="353"/>
        <v>262.26457520943808</v>
      </c>
      <c r="M573">
        <f t="shared" si="353"/>
        <v>250.29893568973782</v>
      </c>
      <c r="N573">
        <f t="shared" si="353"/>
        <v>185.35485882586997</v>
      </c>
      <c r="O573">
        <f t="shared" si="353"/>
        <v>220.07245715034864</v>
      </c>
      <c r="P573">
        <f t="shared" si="353"/>
        <v>228.80999999999997</v>
      </c>
      <c r="Q573">
        <f t="shared" si="353"/>
        <v>273</v>
      </c>
      <c r="R573">
        <f t="shared" si="353"/>
        <v>293.76</v>
      </c>
      <c r="S573">
        <f t="shared" si="353"/>
        <v>87.210000000000008</v>
      </c>
      <c r="T573">
        <f t="shared" si="353"/>
        <v>353.1</v>
      </c>
      <c r="U573">
        <f t="shared" si="353"/>
        <v>306.90000000000003</v>
      </c>
      <c r="V573">
        <f t="shared" si="353"/>
        <v>358.02</v>
      </c>
      <c r="W573">
        <f t="shared" si="353"/>
        <v>421.20000000000005</v>
      </c>
      <c r="Y573" s="8">
        <f t="shared" si="326"/>
        <v>5804.7374963473476</v>
      </c>
      <c r="Z573">
        <f>SUMPRODUCT($D$576:$W$576,D573:W573)</f>
        <v>-245.25858556671361</v>
      </c>
    </row>
    <row r="574" spans="1:26" x14ac:dyDescent="0.25">
      <c r="A574" t="s">
        <v>313</v>
      </c>
      <c r="D574">
        <f t="shared" ref="D574:W574" si="354">D64*D200</f>
        <v>426.93000000000006</v>
      </c>
      <c r="E574">
        <f t="shared" si="354"/>
        <v>409.59</v>
      </c>
      <c r="F574">
        <f t="shared" si="354"/>
        <v>314.15000000000003</v>
      </c>
      <c r="G574">
        <f t="shared" si="354"/>
        <v>322.32</v>
      </c>
      <c r="H574">
        <f t="shared" si="354"/>
        <v>386.73999999999995</v>
      </c>
      <c r="I574">
        <f t="shared" si="354"/>
        <v>296.82</v>
      </c>
      <c r="J574">
        <f t="shared" si="354"/>
        <v>269.70000000000005</v>
      </c>
      <c r="K574">
        <f t="shared" si="354"/>
        <v>172.01</v>
      </c>
      <c r="L574">
        <f t="shared" si="354"/>
        <v>275.28000000000003</v>
      </c>
      <c r="M574">
        <f t="shared" si="354"/>
        <v>266.02000000000004</v>
      </c>
      <c r="N574">
        <f t="shared" si="354"/>
        <v>218.45</v>
      </c>
      <c r="O574">
        <f t="shared" si="354"/>
        <v>244.02</v>
      </c>
      <c r="P574">
        <f t="shared" si="354"/>
        <v>266.48123122846744</v>
      </c>
      <c r="Q574">
        <f t="shared" si="354"/>
        <v>253.34691709069449</v>
      </c>
      <c r="R574">
        <f t="shared" si="354"/>
        <v>317.93804985305439</v>
      </c>
      <c r="S574">
        <f t="shared" si="354"/>
        <v>337.18174617446618</v>
      </c>
      <c r="T574">
        <f t="shared" si="354"/>
        <v>350.73304647642624</v>
      </c>
      <c r="U574">
        <f t="shared" si="354"/>
        <v>358.00287202337961</v>
      </c>
      <c r="V574">
        <f t="shared" si="354"/>
        <v>433.98964006252436</v>
      </c>
      <c r="W574">
        <f t="shared" si="354"/>
        <v>435.86070238396894</v>
      </c>
      <c r="Y574" s="8">
        <f t="shared" si="326"/>
        <v>6355.5642052929816</v>
      </c>
      <c r="Z574">
        <f>SUMPRODUCT($D$576:$W$576,D574:W574)</f>
        <v>-188.42615617706105</v>
      </c>
    </row>
    <row r="575" spans="1:26" x14ac:dyDescent="0.25">
      <c r="A575" t="s">
        <v>676</v>
      </c>
      <c r="D575">
        <f t="shared" ref="D575:W575" si="355">D65*D201</f>
        <v>400.25922711809761</v>
      </c>
      <c r="E575">
        <f t="shared" si="355"/>
        <v>336.12216068078487</v>
      </c>
      <c r="F575">
        <f t="shared" si="355"/>
        <v>333.11388985294565</v>
      </c>
      <c r="G575">
        <f t="shared" si="355"/>
        <v>348.44315387379572</v>
      </c>
      <c r="H575">
        <f t="shared" si="355"/>
        <v>355.45413595208396</v>
      </c>
      <c r="I575">
        <f t="shared" si="355"/>
        <v>293.49777439936412</v>
      </c>
      <c r="J575">
        <f t="shared" si="355"/>
        <v>284.50572168065463</v>
      </c>
      <c r="K575">
        <f t="shared" si="355"/>
        <v>297.46319497035836</v>
      </c>
      <c r="L575">
        <f t="shared" si="355"/>
        <v>314.8386646407132</v>
      </c>
      <c r="M575">
        <f t="shared" si="355"/>
        <v>246.40014300365979</v>
      </c>
      <c r="N575">
        <f t="shared" si="355"/>
        <v>245.3034821616335</v>
      </c>
      <c r="O575">
        <f t="shared" si="355"/>
        <v>256.20976981833098</v>
      </c>
      <c r="P575">
        <f t="shared" si="355"/>
        <v>229.62040386503665</v>
      </c>
      <c r="Q575">
        <f t="shared" si="355"/>
        <v>227.01905778199</v>
      </c>
      <c r="R575">
        <f t="shared" si="355"/>
        <v>304.96868064087022</v>
      </c>
      <c r="S575">
        <f t="shared" si="355"/>
        <v>333.76512071426879</v>
      </c>
      <c r="T575">
        <f t="shared" si="355"/>
        <v>340.42539465271221</v>
      </c>
      <c r="U575">
        <f t="shared" si="355"/>
        <v>347.14534530086593</v>
      </c>
      <c r="V575">
        <f t="shared" si="355"/>
        <v>403.17543916087777</v>
      </c>
      <c r="W575">
        <f t="shared" si="355"/>
        <v>406.01050327513258</v>
      </c>
      <c r="Y575" s="8">
        <f t="shared" ref="Y575" si="356">SUM(D575:W575)</f>
        <v>6303.7412635441769</v>
      </c>
      <c r="Z575">
        <f>SUMPRODUCT($D$576:$W$576,D575:W575)</f>
        <v>-251.03557907275564</v>
      </c>
    </row>
    <row r="576" spans="1:26" x14ac:dyDescent="0.25">
      <c r="A576" s="2" t="s">
        <v>69</v>
      </c>
      <c r="D576" s="3">
        <f>CORREL($B$2:$B$26,D546:D570)</f>
        <v>-0.30285657065100069</v>
      </c>
      <c r="E576" s="3">
        <f t="shared" ref="E576:W576" si="357">CORREL($B$2:$B$26,E546:E570)</f>
        <v>2.6666557918184928E-2</v>
      </c>
      <c r="F576" s="3">
        <f t="shared" si="357"/>
        <v>-0.10219273808612601</v>
      </c>
      <c r="G576" s="3">
        <f t="shared" si="357"/>
        <v>-0.2481893673842063</v>
      </c>
      <c r="H576" s="3">
        <f t="shared" si="357"/>
        <v>-4.16612982780682E-2</v>
      </c>
      <c r="I576" s="3">
        <f t="shared" si="357"/>
        <v>-4.9249186812789995E-2</v>
      </c>
      <c r="J576" s="3">
        <f t="shared" si="357"/>
        <v>-0.12499100131134884</v>
      </c>
      <c r="K576" s="3">
        <f t="shared" si="357"/>
        <v>-0.27290264426815064</v>
      </c>
      <c r="L576" s="3">
        <f t="shared" si="357"/>
        <v>-9.4287515765651253E-2</v>
      </c>
      <c r="M576" s="3">
        <f t="shared" si="357"/>
        <v>-0.22535037342818179</v>
      </c>
      <c r="N576" s="3">
        <f t="shared" si="357"/>
        <v>-0.37237568631515006</v>
      </c>
      <c r="O576" s="3">
        <f t="shared" si="357"/>
        <v>-0.11166091219575319</v>
      </c>
      <c r="P576" s="3">
        <f t="shared" si="357"/>
        <v>8.3149487326693444E-2</v>
      </c>
      <c r="Q576" s="3">
        <f t="shared" si="357"/>
        <v>-0.12401092726850597</v>
      </c>
      <c r="R576" s="3">
        <f t="shared" si="357"/>
        <v>0.23877421761626325</v>
      </c>
      <c r="S576" s="3">
        <f t="shared" si="357"/>
        <v>0.15452564366769647</v>
      </c>
      <c r="T576" s="3">
        <f t="shared" si="357"/>
        <v>9.3570105689650157E-2</v>
      </c>
      <c r="U576" s="3">
        <f t="shared" si="357"/>
        <v>0.2285977578604477</v>
      </c>
      <c r="V576" s="3">
        <f t="shared" si="357"/>
        <v>0.27761589191044483</v>
      </c>
      <c r="W576" s="3">
        <f t="shared" si="357"/>
        <v>-1.3694997874919295E-2</v>
      </c>
    </row>
    <row r="579" spans="1:26" x14ac:dyDescent="0.25">
      <c r="D579" t="s">
        <v>198</v>
      </c>
      <c r="E579" t="s">
        <v>199</v>
      </c>
      <c r="F579" t="s">
        <v>200</v>
      </c>
      <c r="G579" t="s">
        <v>201</v>
      </c>
      <c r="H579" t="s">
        <v>202</v>
      </c>
      <c r="I579" t="s">
        <v>203</v>
      </c>
      <c r="J579" t="s">
        <v>204</v>
      </c>
      <c r="K579" t="s">
        <v>205</v>
      </c>
      <c r="L579" t="s">
        <v>332</v>
      </c>
      <c r="M579" t="s">
        <v>394</v>
      </c>
      <c r="N579" t="s">
        <v>395</v>
      </c>
      <c r="O579" t="s">
        <v>396</v>
      </c>
      <c r="P579" t="s">
        <v>520</v>
      </c>
      <c r="Q579" t="s">
        <v>521</v>
      </c>
      <c r="R579" t="s">
        <v>522</v>
      </c>
      <c r="S579" t="s">
        <v>523</v>
      </c>
      <c r="T579" t="s">
        <v>632</v>
      </c>
      <c r="U579" t="s">
        <v>633</v>
      </c>
      <c r="V579" t="s">
        <v>634</v>
      </c>
      <c r="W579" t="s">
        <v>635</v>
      </c>
      <c r="Y579" t="s">
        <v>206</v>
      </c>
      <c r="Z579" t="s">
        <v>207</v>
      </c>
    </row>
    <row r="580" spans="1:26" x14ac:dyDescent="0.25">
      <c r="A580" t="s">
        <v>43</v>
      </c>
      <c r="D580">
        <f t="shared" ref="D580:W580" si="358">D36*D206</f>
        <v>432.45035847896111</v>
      </c>
      <c r="E580">
        <f t="shared" si="358"/>
        <v>366.56344738982864</v>
      </c>
      <c r="F580">
        <f t="shared" si="358"/>
        <v>412.30253924975148</v>
      </c>
      <c r="G580">
        <f t="shared" si="358"/>
        <v>538.572898231659</v>
      </c>
      <c r="H580">
        <f t="shared" si="358"/>
        <v>567.4541513326443</v>
      </c>
      <c r="I580">
        <f t="shared" si="358"/>
        <v>245.18627791057975</v>
      </c>
      <c r="J580">
        <f t="shared" si="358"/>
        <v>302.53955914339627</v>
      </c>
      <c r="K580">
        <f t="shared" si="358"/>
        <v>235.345831253895</v>
      </c>
      <c r="L580">
        <f t="shared" si="358"/>
        <v>248.28501715858994</v>
      </c>
      <c r="M580">
        <f t="shared" si="358"/>
        <v>169.18733184092122</v>
      </c>
      <c r="N580">
        <f t="shared" si="358"/>
        <v>234.01997759753752</v>
      </c>
      <c r="O580">
        <f t="shared" si="358"/>
        <v>340.34785802104392</v>
      </c>
      <c r="P580">
        <f t="shared" si="358"/>
        <v>278.58950071435788</v>
      </c>
      <c r="Q580">
        <f t="shared" si="358"/>
        <v>267.50466781588051</v>
      </c>
      <c r="R580">
        <f t="shared" si="358"/>
        <v>255.05620269878446</v>
      </c>
      <c r="S580">
        <f t="shared" si="358"/>
        <v>324.30320415579234</v>
      </c>
      <c r="T580">
        <f t="shared" si="358"/>
        <v>288.73928279202676</v>
      </c>
      <c r="U580">
        <f t="shared" si="358"/>
        <v>276.78375592359617</v>
      </c>
      <c r="V580">
        <f t="shared" si="358"/>
        <v>378.02869292878171</v>
      </c>
      <c r="W580">
        <f t="shared" si="358"/>
        <v>427.71730756462949</v>
      </c>
      <c r="Y580" s="8">
        <f t="shared" ref="Y580:Y608" si="359">SUM(D580:W580)</f>
        <v>6588.977862202657</v>
      </c>
      <c r="Z580">
        <f t="shared" ref="Z580:Z604" si="360">SUMPRODUCT($D$610:$W$610,D580:W580)</f>
        <v>-195.17777216546222</v>
      </c>
    </row>
    <row r="581" spans="1:26" x14ac:dyDescent="0.25">
      <c r="A581" t="s">
        <v>44</v>
      </c>
      <c r="D581">
        <f t="shared" ref="D581:W581" si="361">D37*D207</f>
        <v>517.59525819704527</v>
      </c>
      <c r="E581">
        <f t="shared" si="361"/>
        <v>432.06651504231309</v>
      </c>
      <c r="F581">
        <f t="shared" si="361"/>
        <v>375.63353109531687</v>
      </c>
      <c r="G581">
        <f t="shared" si="361"/>
        <v>408.0063742880148</v>
      </c>
      <c r="H581">
        <f t="shared" si="361"/>
        <v>384.71144341498041</v>
      </c>
      <c r="I581">
        <f t="shared" si="361"/>
        <v>289.62222002226656</v>
      </c>
      <c r="J581">
        <f t="shared" si="361"/>
        <v>298.24653415375008</v>
      </c>
      <c r="K581">
        <f t="shared" si="361"/>
        <v>386.59324062834497</v>
      </c>
      <c r="L581">
        <f t="shared" si="361"/>
        <v>276.34544497942829</v>
      </c>
      <c r="M581">
        <f t="shared" si="361"/>
        <v>359.39898749240558</v>
      </c>
      <c r="N581">
        <f t="shared" si="361"/>
        <v>220.82578282041521</v>
      </c>
      <c r="O581">
        <f t="shared" si="361"/>
        <v>479.3668796813912</v>
      </c>
      <c r="P581">
        <f t="shared" si="361"/>
        <v>261.96216529994962</v>
      </c>
      <c r="Q581">
        <f t="shared" si="361"/>
        <v>351.59540115939035</v>
      </c>
      <c r="R581">
        <f t="shared" si="361"/>
        <v>395.61436307136955</v>
      </c>
      <c r="S581">
        <f t="shared" si="361"/>
        <v>308.00177809361827</v>
      </c>
      <c r="T581">
        <f t="shared" si="361"/>
        <v>294.38312991627208</v>
      </c>
      <c r="U581">
        <f t="shared" si="361"/>
        <v>294.52243141230247</v>
      </c>
      <c r="V581">
        <f t="shared" si="361"/>
        <v>353.60271123420205</v>
      </c>
      <c r="W581">
        <f t="shared" si="361"/>
        <v>487.92332690339293</v>
      </c>
      <c r="Y581" s="8">
        <f t="shared" si="359"/>
        <v>7176.0175189061683</v>
      </c>
      <c r="Z581">
        <f t="shared" si="360"/>
        <v>-93.130283912985277</v>
      </c>
    </row>
    <row r="582" spans="1:26" x14ac:dyDescent="0.25">
      <c r="A582" t="s">
        <v>45</v>
      </c>
      <c r="D582">
        <f t="shared" ref="D582:W582" si="362">D38*D208</f>
        <v>594.56826684340808</v>
      </c>
      <c r="E582">
        <f t="shared" si="362"/>
        <v>540.60598921326755</v>
      </c>
      <c r="F582">
        <f t="shared" si="362"/>
        <v>573.82923983010085</v>
      </c>
      <c r="G582">
        <f t="shared" si="362"/>
        <v>471.01484513662399</v>
      </c>
      <c r="H582">
        <f t="shared" si="362"/>
        <v>353.18721836623672</v>
      </c>
      <c r="I582">
        <f t="shared" si="362"/>
        <v>313.965490138907</v>
      </c>
      <c r="J582">
        <f t="shared" si="362"/>
        <v>265.74047228568003</v>
      </c>
      <c r="K582">
        <f t="shared" si="362"/>
        <v>234.48706391231192</v>
      </c>
      <c r="L582">
        <f t="shared" si="362"/>
        <v>262.93241628337796</v>
      </c>
      <c r="M582">
        <f t="shared" si="362"/>
        <v>464.59454418183952</v>
      </c>
      <c r="N582">
        <f t="shared" si="362"/>
        <v>334.42878670280874</v>
      </c>
      <c r="O582">
        <f t="shared" si="362"/>
        <v>420.75393462627255</v>
      </c>
      <c r="P582">
        <f t="shared" si="362"/>
        <v>429.17199308503751</v>
      </c>
      <c r="Q582">
        <f t="shared" si="362"/>
        <v>422.23639970956168</v>
      </c>
      <c r="R582">
        <f t="shared" si="362"/>
        <v>384.21697089409867</v>
      </c>
      <c r="S582">
        <f t="shared" si="362"/>
        <v>436.01187455254541</v>
      </c>
      <c r="T582">
        <f t="shared" si="362"/>
        <v>378.28907046888224</v>
      </c>
      <c r="U582">
        <f t="shared" si="362"/>
        <v>426.82546252441631</v>
      </c>
      <c r="V582">
        <f t="shared" si="362"/>
        <v>465.94731416514992</v>
      </c>
      <c r="W582">
        <f t="shared" si="362"/>
        <v>476.08620858569537</v>
      </c>
      <c r="Y582" s="8">
        <f t="shared" si="359"/>
        <v>8248.8935615062219</v>
      </c>
      <c r="Z582">
        <f t="shared" si="360"/>
        <v>-121.70875768485394</v>
      </c>
    </row>
    <row r="583" spans="1:26" x14ac:dyDescent="0.25">
      <c r="A583" t="s">
        <v>46</v>
      </c>
      <c r="D583">
        <f t="shared" ref="D583:W583" si="363">D39*D209</f>
        <v>609.25334528625785</v>
      </c>
      <c r="E583">
        <f t="shared" si="363"/>
        <v>459.17919946961553</v>
      </c>
      <c r="F583">
        <f t="shared" si="363"/>
        <v>431.16816186293511</v>
      </c>
      <c r="G583">
        <f t="shared" si="363"/>
        <v>424.433850931672</v>
      </c>
      <c r="H583">
        <f t="shared" si="363"/>
        <v>432.58464631494166</v>
      </c>
      <c r="I583">
        <f t="shared" si="363"/>
        <v>330.66840226595372</v>
      </c>
      <c r="J583">
        <f t="shared" si="363"/>
        <v>308.79755066456789</v>
      </c>
      <c r="K583">
        <f t="shared" si="363"/>
        <v>414.1522324932655</v>
      </c>
      <c r="L583">
        <f t="shared" si="363"/>
        <v>391.64301990540127</v>
      </c>
      <c r="M583">
        <f t="shared" si="363"/>
        <v>211.92733557271643</v>
      </c>
      <c r="N583">
        <f t="shared" si="363"/>
        <v>302.28634638011067</v>
      </c>
      <c r="O583">
        <f t="shared" si="363"/>
        <v>383.1314418048193</v>
      </c>
      <c r="P583">
        <f t="shared" si="363"/>
        <v>575.60066327402876</v>
      </c>
      <c r="Q583">
        <f t="shared" si="363"/>
        <v>436.42705987374063</v>
      </c>
      <c r="R583">
        <f t="shared" si="363"/>
        <v>431.0003814583676</v>
      </c>
      <c r="S583">
        <f t="shared" si="363"/>
        <v>283.50367145030373</v>
      </c>
      <c r="T583">
        <f t="shared" si="363"/>
        <v>325.29464627919782</v>
      </c>
      <c r="U583">
        <f t="shared" si="363"/>
        <v>388.0380512506311</v>
      </c>
      <c r="V583">
        <f t="shared" si="363"/>
        <v>487.1598040724927</v>
      </c>
      <c r="W583">
        <f t="shared" si="363"/>
        <v>412.61127058305357</v>
      </c>
      <c r="Y583" s="8">
        <f t="shared" si="359"/>
        <v>8038.8610811940734</v>
      </c>
      <c r="Z583">
        <f t="shared" si="360"/>
        <v>-109.13303322232937</v>
      </c>
    </row>
    <row r="584" spans="1:26" x14ac:dyDescent="0.25">
      <c r="A584" t="s">
        <v>47</v>
      </c>
      <c r="D584">
        <f t="shared" ref="D584:W584" si="364">D40*D210</f>
        <v>394.32643077237924</v>
      </c>
      <c r="E584">
        <f t="shared" si="364"/>
        <v>270.41004192801893</v>
      </c>
      <c r="F584">
        <f t="shared" si="364"/>
        <v>396.13272360587285</v>
      </c>
      <c r="G584">
        <f t="shared" si="364"/>
        <v>440.97557277378456</v>
      </c>
      <c r="H584">
        <f t="shared" si="364"/>
        <v>361.90760795384028</v>
      </c>
      <c r="I584">
        <f t="shared" si="364"/>
        <v>185.28684270783506</v>
      </c>
      <c r="J584">
        <f t="shared" si="364"/>
        <v>212.89222239102929</v>
      </c>
      <c r="K584">
        <f t="shared" si="364"/>
        <v>187.3622140181121</v>
      </c>
      <c r="L584">
        <f t="shared" si="364"/>
        <v>84.07839598175886</v>
      </c>
      <c r="M584">
        <f t="shared" si="364"/>
        <v>88.167567448922597</v>
      </c>
      <c r="N584">
        <f t="shared" si="364"/>
        <v>88.132681665171177</v>
      </c>
      <c r="O584">
        <f t="shared" si="364"/>
        <v>115.32470976817169</v>
      </c>
      <c r="P584">
        <f t="shared" si="364"/>
        <v>168.78632218914021</v>
      </c>
      <c r="Q584">
        <f t="shared" si="364"/>
        <v>125.53342274933065</v>
      </c>
      <c r="R584">
        <f t="shared" si="364"/>
        <v>235.90473689449342</v>
      </c>
      <c r="S584">
        <f t="shared" si="364"/>
        <v>100.25607918639933</v>
      </c>
      <c r="T584">
        <f t="shared" si="364"/>
        <v>153.37816452453814</v>
      </c>
      <c r="U584">
        <f t="shared" si="364"/>
        <v>214.52989468957463</v>
      </c>
      <c r="V584">
        <f t="shared" si="364"/>
        <v>143.65496958800529</v>
      </c>
      <c r="W584">
        <f t="shared" si="364"/>
        <v>395.25387016460223</v>
      </c>
      <c r="Y584" s="8">
        <f t="shared" si="359"/>
        <v>4362.2944710009806</v>
      </c>
      <c r="Z584">
        <f t="shared" si="360"/>
        <v>-194.60563728458203</v>
      </c>
    </row>
    <row r="585" spans="1:26" x14ac:dyDescent="0.25">
      <c r="A585" t="s">
        <v>48</v>
      </c>
      <c r="D585">
        <f t="shared" ref="D585:W585" si="365">D41*D211</f>
        <v>538.36967716201127</v>
      </c>
      <c r="E585">
        <f t="shared" si="365"/>
        <v>445.16246449822563</v>
      </c>
      <c r="F585">
        <f t="shared" si="365"/>
        <v>457.0701328348581</v>
      </c>
      <c r="G585">
        <f t="shared" si="365"/>
        <v>491.83636389066459</v>
      </c>
      <c r="H585">
        <f t="shared" si="365"/>
        <v>366.61264671387477</v>
      </c>
      <c r="I585">
        <f t="shared" si="365"/>
        <v>270.25502299051897</v>
      </c>
      <c r="J585">
        <f t="shared" si="365"/>
        <v>235.92309181603255</v>
      </c>
      <c r="K585">
        <f t="shared" si="365"/>
        <v>200.64083417220178</v>
      </c>
      <c r="L585">
        <f t="shared" si="365"/>
        <v>117.83569913717611</v>
      </c>
      <c r="M585">
        <f t="shared" si="365"/>
        <v>130.19961575653667</v>
      </c>
      <c r="N585">
        <f t="shared" si="365"/>
        <v>91.360003842289174</v>
      </c>
      <c r="O585">
        <f t="shared" si="365"/>
        <v>100.74873392727994</v>
      </c>
      <c r="P585">
        <f t="shared" si="365"/>
        <v>155.53504568861933</v>
      </c>
      <c r="Q585">
        <f t="shared" si="365"/>
        <v>190.49777591571126</v>
      </c>
      <c r="R585">
        <f t="shared" si="365"/>
        <v>191.36024501459127</v>
      </c>
      <c r="S585">
        <f t="shared" si="365"/>
        <v>168.24815304022979</v>
      </c>
      <c r="T585">
        <f t="shared" si="365"/>
        <v>244.65228764081567</v>
      </c>
      <c r="U585">
        <f t="shared" si="365"/>
        <v>178.31803395894445</v>
      </c>
      <c r="V585">
        <f t="shared" si="365"/>
        <v>266.80219064052176</v>
      </c>
      <c r="W585">
        <f t="shared" si="365"/>
        <v>312.35144410909527</v>
      </c>
      <c r="Y585" s="8">
        <f t="shared" si="359"/>
        <v>5153.7794627501989</v>
      </c>
      <c r="Z585">
        <f t="shared" si="360"/>
        <v>-304.33057672961473</v>
      </c>
    </row>
    <row r="586" spans="1:26" x14ac:dyDescent="0.25">
      <c r="A586" t="s">
        <v>49</v>
      </c>
      <c r="D586">
        <f t="shared" ref="D586:W586" si="366">D42*D212</f>
        <v>431.80150954167215</v>
      </c>
      <c r="E586">
        <f t="shared" si="366"/>
        <v>379.54661429204697</v>
      </c>
      <c r="F586">
        <f t="shared" si="366"/>
        <v>451.25225695805062</v>
      </c>
      <c r="G586">
        <f t="shared" si="366"/>
        <v>344.83039461744335</v>
      </c>
      <c r="H586">
        <f t="shared" si="366"/>
        <v>179.93790527439182</v>
      </c>
      <c r="I586">
        <f t="shared" si="366"/>
        <v>247.29437258512712</v>
      </c>
      <c r="J586">
        <f t="shared" si="366"/>
        <v>189.36583347092864</v>
      </c>
      <c r="K586">
        <f t="shared" si="366"/>
        <v>151.90632617255821</v>
      </c>
      <c r="L586">
        <f t="shared" si="366"/>
        <v>127.20500548734707</v>
      </c>
      <c r="M586">
        <f t="shared" si="366"/>
        <v>154.66719108004986</v>
      </c>
      <c r="N586">
        <f t="shared" si="366"/>
        <v>129.3548648630819</v>
      </c>
      <c r="O586">
        <f t="shared" si="366"/>
        <v>47.947184712255094</v>
      </c>
      <c r="P586">
        <f t="shared" si="366"/>
        <v>167.81786782736054</v>
      </c>
      <c r="Q586">
        <f t="shared" si="366"/>
        <v>73.192868069678809</v>
      </c>
      <c r="R586">
        <f t="shared" si="366"/>
        <v>99.95770903567751</v>
      </c>
      <c r="S586">
        <f t="shared" si="366"/>
        <v>172.91557703725985</v>
      </c>
      <c r="T586">
        <f t="shared" si="366"/>
        <v>120.07521076851083</v>
      </c>
      <c r="U586">
        <f t="shared" si="366"/>
        <v>190.16408909995891</v>
      </c>
      <c r="V586">
        <f t="shared" si="366"/>
        <v>329.44039148444398</v>
      </c>
      <c r="W586">
        <f t="shared" si="366"/>
        <v>345.63108927073051</v>
      </c>
      <c r="Y586" s="8">
        <f t="shared" si="359"/>
        <v>4334.3042616485727</v>
      </c>
      <c r="Z586">
        <f t="shared" si="360"/>
        <v>-267.05439096642681</v>
      </c>
    </row>
    <row r="587" spans="1:26" x14ac:dyDescent="0.25">
      <c r="A587" t="s">
        <v>50</v>
      </c>
      <c r="D587">
        <f t="shared" ref="D587:W587" si="367">D43*D213</f>
        <v>17.158732580832002</v>
      </c>
      <c r="E587">
        <f t="shared" si="367"/>
        <v>266.96085133777336</v>
      </c>
      <c r="F587">
        <f t="shared" si="367"/>
        <v>267.14645389424788</v>
      </c>
      <c r="G587">
        <f t="shared" si="367"/>
        <v>177.33071250818233</v>
      </c>
      <c r="H587">
        <f t="shared" si="367"/>
        <v>107.45646582443634</v>
      </c>
      <c r="I587">
        <f t="shared" si="367"/>
        <v>208.57708717618573</v>
      </c>
      <c r="J587">
        <f t="shared" si="367"/>
        <v>172.44421019282217</v>
      </c>
      <c r="K587">
        <f t="shared" si="367"/>
        <v>178.99058218290693</v>
      </c>
      <c r="L587">
        <f t="shared" si="367"/>
        <v>202.76406327287097</v>
      </c>
      <c r="M587">
        <f t="shared" si="367"/>
        <v>139.33625216944964</v>
      </c>
      <c r="N587">
        <f t="shared" si="367"/>
        <v>103.62072267637291</v>
      </c>
      <c r="O587">
        <f t="shared" si="367"/>
        <v>156.17302723863281</v>
      </c>
      <c r="P587">
        <f t="shared" si="367"/>
        <v>151.11124690853364</v>
      </c>
      <c r="Q587">
        <f t="shared" si="367"/>
        <v>215.23820635891471</v>
      </c>
      <c r="R587">
        <f t="shared" si="367"/>
        <v>297.70396016921399</v>
      </c>
      <c r="S587">
        <f t="shared" si="367"/>
        <v>246.0961744936435</v>
      </c>
      <c r="T587">
        <f t="shared" si="367"/>
        <v>231.96141378055151</v>
      </c>
      <c r="U587">
        <f t="shared" si="367"/>
        <v>234.47248894369801</v>
      </c>
      <c r="V587">
        <f t="shared" si="367"/>
        <v>323.30985730569205</v>
      </c>
      <c r="W587">
        <f t="shared" si="367"/>
        <v>344.18212824776157</v>
      </c>
      <c r="Y587" s="8">
        <f t="shared" si="359"/>
        <v>4042.0346372627223</v>
      </c>
      <c r="Z587">
        <f t="shared" si="360"/>
        <v>123.02935162280266</v>
      </c>
    </row>
    <row r="588" spans="1:26" x14ac:dyDescent="0.25">
      <c r="A588" t="s">
        <v>51</v>
      </c>
      <c r="D588">
        <f t="shared" ref="D588:W588" si="368">D44*D214</f>
        <v>144.94609333912524</v>
      </c>
      <c r="E588">
        <f t="shared" si="368"/>
        <v>230.18036738955232</v>
      </c>
      <c r="F588">
        <f t="shared" si="368"/>
        <v>225.78686324038696</v>
      </c>
      <c r="G588">
        <f t="shared" si="368"/>
        <v>223.3538163324518</v>
      </c>
      <c r="H588">
        <f t="shared" si="368"/>
        <v>197.67199673855384</v>
      </c>
      <c r="I588">
        <f t="shared" si="368"/>
        <v>154.42445726009703</v>
      </c>
      <c r="J588">
        <f t="shared" si="368"/>
        <v>174.79059941588488</v>
      </c>
      <c r="K588">
        <f t="shared" si="368"/>
        <v>197.06834373296869</v>
      </c>
      <c r="L588">
        <f t="shared" si="368"/>
        <v>128.72197449652452</v>
      </c>
      <c r="M588">
        <f t="shared" si="368"/>
        <v>166.72324296411315</v>
      </c>
      <c r="N588">
        <f t="shared" si="368"/>
        <v>109.89555154997976</v>
      </c>
      <c r="O588">
        <f t="shared" si="368"/>
        <v>106.41517763295559</v>
      </c>
      <c r="P588">
        <f t="shared" si="368"/>
        <v>165.45242157137065</v>
      </c>
      <c r="Q588">
        <f t="shared" si="368"/>
        <v>156.10937794613668</v>
      </c>
      <c r="R588">
        <f t="shared" si="368"/>
        <v>245.92091823432375</v>
      </c>
      <c r="S588">
        <f t="shared" si="368"/>
        <v>289.3623305230206</v>
      </c>
      <c r="T588">
        <f t="shared" si="368"/>
        <v>316.36885141543945</v>
      </c>
      <c r="U588">
        <f t="shared" si="368"/>
        <v>328.23482168288751</v>
      </c>
      <c r="V588">
        <f t="shared" si="368"/>
        <v>225.51011281186183</v>
      </c>
      <c r="W588">
        <f t="shared" si="368"/>
        <v>500.07373262831192</v>
      </c>
      <c r="Y588" s="8">
        <f t="shared" si="359"/>
        <v>4287.0110509059459</v>
      </c>
      <c r="Z588">
        <f t="shared" si="360"/>
        <v>113.22092489253967</v>
      </c>
    </row>
    <row r="589" spans="1:26" x14ac:dyDescent="0.25">
      <c r="A589" t="s">
        <v>52</v>
      </c>
      <c r="D589">
        <f t="shared" ref="D589:W589" si="369">D45*D215</f>
        <v>350.38342224230132</v>
      </c>
      <c r="E589">
        <f t="shared" si="369"/>
        <v>352.86320716793307</v>
      </c>
      <c r="F589">
        <f t="shared" si="369"/>
        <v>403.67826968944178</v>
      </c>
      <c r="G589">
        <f t="shared" si="369"/>
        <v>282.14768157560712</v>
      </c>
      <c r="H589">
        <f t="shared" si="369"/>
        <v>243.61228570165412</v>
      </c>
      <c r="I589">
        <f t="shared" si="369"/>
        <v>186.62729483727213</v>
      </c>
      <c r="J589">
        <f t="shared" si="369"/>
        <v>158.04628399723549</v>
      </c>
      <c r="K589">
        <f t="shared" si="369"/>
        <v>273.6619543660612</v>
      </c>
      <c r="L589">
        <f t="shared" si="369"/>
        <v>221.08965448422492</v>
      </c>
      <c r="M589">
        <f t="shared" si="369"/>
        <v>171.71137327098424</v>
      </c>
      <c r="N589">
        <f t="shared" si="369"/>
        <v>169.72565280059663</v>
      </c>
      <c r="O589">
        <f t="shared" si="369"/>
        <v>81.880089771027841</v>
      </c>
      <c r="P589">
        <f t="shared" si="369"/>
        <v>73.609064881475902</v>
      </c>
      <c r="Q589">
        <f t="shared" si="369"/>
        <v>184.23251155238742</v>
      </c>
      <c r="R589">
        <f t="shared" si="369"/>
        <v>124.13997437748129</v>
      </c>
      <c r="S589">
        <f t="shared" si="369"/>
        <v>214.56251662955043</v>
      </c>
      <c r="T589">
        <f t="shared" si="369"/>
        <v>176.43966319949686</v>
      </c>
      <c r="U589">
        <f t="shared" si="369"/>
        <v>253.04952161884464</v>
      </c>
      <c r="V589">
        <f t="shared" si="369"/>
        <v>281.40210518735142</v>
      </c>
      <c r="W589">
        <f t="shared" si="369"/>
        <v>353.20271594301789</v>
      </c>
      <c r="Y589" s="8">
        <f t="shared" si="359"/>
        <v>4556.065243293946</v>
      </c>
      <c r="Z589">
        <f t="shared" si="360"/>
        <v>-201.50510893262728</v>
      </c>
    </row>
    <row r="590" spans="1:26" x14ac:dyDescent="0.25">
      <c r="A590" t="s">
        <v>53</v>
      </c>
      <c r="D590">
        <f t="shared" ref="D590:W590" si="370">D46*D216</f>
        <v>497.34658312442036</v>
      </c>
      <c r="E590">
        <f t="shared" si="370"/>
        <v>472.07375460268059</v>
      </c>
      <c r="F590">
        <f t="shared" si="370"/>
        <v>411.68501691308319</v>
      </c>
      <c r="G590">
        <f t="shared" si="370"/>
        <v>267.20279591018095</v>
      </c>
      <c r="H590">
        <f t="shared" si="370"/>
        <v>302.49451778388169</v>
      </c>
      <c r="I590">
        <f t="shared" si="370"/>
        <v>201.57631182398984</v>
      </c>
      <c r="J590">
        <f t="shared" si="370"/>
        <v>154.07700642486196</v>
      </c>
      <c r="K590">
        <f t="shared" si="370"/>
        <v>157.56599063177148</v>
      </c>
      <c r="L590">
        <f t="shared" si="370"/>
        <v>175.07944969762309</v>
      </c>
      <c r="M590">
        <f t="shared" si="370"/>
        <v>204.07703785358547</v>
      </c>
      <c r="N590">
        <f t="shared" si="370"/>
        <v>239.41927706442237</v>
      </c>
      <c r="O590">
        <f t="shared" si="370"/>
        <v>121.13155628636103</v>
      </c>
      <c r="P590">
        <f t="shared" si="370"/>
        <v>142.28732438633415</v>
      </c>
      <c r="Q590">
        <f t="shared" si="370"/>
        <v>267.09049722150615</v>
      </c>
      <c r="R590">
        <f t="shared" si="370"/>
        <v>231.63526319627803</v>
      </c>
      <c r="S590">
        <f t="shared" si="370"/>
        <v>214.1676839706</v>
      </c>
      <c r="T590">
        <f t="shared" si="370"/>
        <v>251.83048620566282</v>
      </c>
      <c r="U590">
        <f t="shared" si="370"/>
        <v>249.92709696271567</v>
      </c>
      <c r="V590">
        <f t="shared" si="370"/>
        <v>291.70547684544823</v>
      </c>
      <c r="W590">
        <f t="shared" si="370"/>
        <v>271.6426584418254</v>
      </c>
      <c r="Y590" s="8">
        <f t="shared" si="359"/>
        <v>5124.0157853472319</v>
      </c>
      <c r="Z590">
        <f t="shared" si="360"/>
        <v>-205.62136137885622</v>
      </c>
    </row>
    <row r="591" spans="1:26" x14ac:dyDescent="0.25">
      <c r="A591" t="s">
        <v>54</v>
      </c>
      <c r="D591">
        <f t="shared" ref="D591:W591" si="371">D47*D217</f>
        <v>662.18461953893939</v>
      </c>
      <c r="E591">
        <f t="shared" si="371"/>
        <v>459.63953475992571</v>
      </c>
      <c r="F591">
        <f t="shared" si="371"/>
        <v>417.30461939574252</v>
      </c>
      <c r="G591">
        <f t="shared" si="371"/>
        <v>546.75900092490838</v>
      </c>
      <c r="H591">
        <f t="shared" si="371"/>
        <v>203.35926645062509</v>
      </c>
      <c r="I591">
        <f t="shared" si="371"/>
        <v>340.51176574878798</v>
      </c>
      <c r="J591">
        <f t="shared" si="371"/>
        <v>227.66168536959941</v>
      </c>
      <c r="K591">
        <f t="shared" si="371"/>
        <v>194.75840332562669</v>
      </c>
      <c r="L591">
        <f t="shared" si="371"/>
        <v>106.72529533345563</v>
      </c>
      <c r="M591">
        <f t="shared" si="371"/>
        <v>295.82365179982082</v>
      </c>
      <c r="N591">
        <f t="shared" si="371"/>
        <v>120.12495323080491</v>
      </c>
      <c r="O591">
        <f t="shared" si="371"/>
        <v>129.57515716777633</v>
      </c>
      <c r="P591">
        <f t="shared" si="371"/>
        <v>541.79310106120033</v>
      </c>
      <c r="Q591">
        <f t="shared" si="371"/>
        <v>248.48666569480707</v>
      </c>
      <c r="R591">
        <f t="shared" si="371"/>
        <v>289.56944254338424</v>
      </c>
      <c r="S591">
        <f t="shared" si="371"/>
        <v>437.93601978068614</v>
      </c>
      <c r="T591">
        <f t="shared" si="371"/>
        <v>394.61496737352314</v>
      </c>
      <c r="U591">
        <f t="shared" si="371"/>
        <v>439.83697980138766</v>
      </c>
      <c r="V591">
        <f t="shared" si="371"/>
        <v>449.11683651814036</v>
      </c>
      <c r="W591">
        <f t="shared" si="371"/>
        <v>459.53605758785716</v>
      </c>
      <c r="Y591" s="8">
        <f t="shared" si="359"/>
        <v>6965.3180234069987</v>
      </c>
      <c r="Z591">
        <f t="shared" si="360"/>
        <v>-57.489014100412533</v>
      </c>
    </row>
    <row r="592" spans="1:26" x14ac:dyDescent="0.25">
      <c r="A592" t="s">
        <v>55</v>
      </c>
      <c r="D592">
        <f t="shared" ref="D592:W592" si="372">D48*D218</f>
        <v>544.51179967268797</v>
      </c>
      <c r="E592">
        <f t="shared" si="372"/>
        <v>488.45070861512261</v>
      </c>
      <c r="F592">
        <f t="shared" si="372"/>
        <v>414.1469012421461</v>
      </c>
      <c r="G592">
        <f t="shared" si="372"/>
        <v>416.25223550087492</v>
      </c>
      <c r="H592">
        <f t="shared" si="372"/>
        <v>285.23383935463636</v>
      </c>
      <c r="I592">
        <f t="shared" si="372"/>
        <v>294.03865648021264</v>
      </c>
      <c r="J592">
        <f t="shared" si="372"/>
        <v>245.38820585307008</v>
      </c>
      <c r="K592">
        <f t="shared" si="372"/>
        <v>260.12923365733525</v>
      </c>
      <c r="L592">
        <f t="shared" si="372"/>
        <v>340.75200735808539</v>
      </c>
      <c r="M592">
        <f t="shared" si="372"/>
        <v>305.43696491247465</v>
      </c>
      <c r="N592">
        <f t="shared" si="372"/>
        <v>328.22995800751693</v>
      </c>
      <c r="O592">
        <f t="shared" si="372"/>
        <v>323.31205568962497</v>
      </c>
      <c r="P592">
        <f t="shared" si="372"/>
        <v>316.05589490139045</v>
      </c>
      <c r="Q592">
        <f t="shared" si="372"/>
        <v>361.63542349990558</v>
      </c>
      <c r="R592">
        <f t="shared" si="372"/>
        <v>129.79693199122141</v>
      </c>
      <c r="S592">
        <f t="shared" si="372"/>
        <v>135.77392411594749</v>
      </c>
      <c r="T592">
        <f t="shared" si="372"/>
        <v>137.86680235525964</v>
      </c>
      <c r="U592">
        <f t="shared" si="372"/>
        <v>142.84964628312383</v>
      </c>
      <c r="V592">
        <f t="shared" si="372"/>
        <v>226.24443376239543</v>
      </c>
      <c r="W592">
        <f t="shared" si="372"/>
        <v>396.07244719567359</v>
      </c>
      <c r="Y592" s="8">
        <f t="shared" si="359"/>
        <v>6092.1780704487055</v>
      </c>
      <c r="Z592">
        <f t="shared" si="360"/>
        <v>-401.42840268972122</v>
      </c>
    </row>
    <row r="593" spans="1:26" x14ac:dyDescent="0.25">
      <c r="A593" t="s">
        <v>56</v>
      </c>
      <c r="D593">
        <f t="shared" ref="D593:W593" si="373">D49*D219</f>
        <v>533.75477256470276</v>
      </c>
      <c r="E593">
        <f t="shared" si="373"/>
        <v>559.92875418488438</v>
      </c>
      <c r="F593">
        <f t="shared" si="373"/>
        <v>446.68593025172248</v>
      </c>
      <c r="G593">
        <f t="shared" si="373"/>
        <v>450.81262155272179</v>
      </c>
      <c r="H593">
        <f t="shared" si="373"/>
        <v>573.8306433172055</v>
      </c>
      <c r="I593">
        <f t="shared" si="373"/>
        <v>435.18241352988906</v>
      </c>
      <c r="J593">
        <f t="shared" si="373"/>
        <v>465.64441339802107</v>
      </c>
      <c r="K593">
        <f t="shared" si="373"/>
        <v>530.54138935937556</v>
      </c>
      <c r="L593">
        <f t="shared" si="373"/>
        <v>443.5710921090876</v>
      </c>
      <c r="M593">
        <f t="shared" si="373"/>
        <v>284.07257098428551</v>
      </c>
      <c r="N593">
        <f t="shared" si="373"/>
        <v>527.1904272644432</v>
      </c>
      <c r="O593">
        <f t="shared" si="373"/>
        <v>377.56588219617419</v>
      </c>
      <c r="P593">
        <f t="shared" si="373"/>
        <v>345.24386400523457</v>
      </c>
      <c r="Q593">
        <f t="shared" si="373"/>
        <v>337.36721007533464</v>
      </c>
      <c r="R593">
        <f t="shared" si="373"/>
        <v>400.35246158340431</v>
      </c>
      <c r="S593">
        <f t="shared" si="373"/>
        <v>428.67539417374655</v>
      </c>
      <c r="T593">
        <f t="shared" si="373"/>
        <v>465.71911463871243</v>
      </c>
      <c r="U593">
        <f t="shared" si="373"/>
        <v>499.66555457983696</v>
      </c>
      <c r="V593">
        <f t="shared" si="373"/>
        <v>559.59551643271163</v>
      </c>
      <c r="W593">
        <f t="shared" si="373"/>
        <v>377.72999890879646</v>
      </c>
      <c r="Y593" s="8">
        <f t="shared" si="359"/>
        <v>9043.1300251102894</v>
      </c>
      <c r="Z593">
        <f t="shared" si="360"/>
        <v>-192.46802773545249</v>
      </c>
    </row>
    <row r="594" spans="1:26" x14ac:dyDescent="0.25">
      <c r="A594" t="s">
        <v>57</v>
      </c>
      <c r="D594">
        <f t="shared" ref="D594:W594" si="374">D50*D220</f>
        <v>533.19939186627323</v>
      </c>
      <c r="E594">
        <f t="shared" si="374"/>
        <v>363.01079284703798</v>
      </c>
      <c r="F594">
        <f t="shared" si="374"/>
        <v>345.68091108142272</v>
      </c>
      <c r="G594">
        <f t="shared" si="374"/>
        <v>366.37775101158689</v>
      </c>
      <c r="H594">
        <f t="shared" si="374"/>
        <v>321.7597208808582</v>
      </c>
      <c r="I594">
        <f t="shared" si="374"/>
        <v>261.41511282206693</v>
      </c>
      <c r="J594">
        <f t="shared" si="374"/>
        <v>361.32576094110163</v>
      </c>
      <c r="K594">
        <f t="shared" si="374"/>
        <v>232.09687512066992</v>
      </c>
      <c r="L594">
        <f t="shared" si="374"/>
        <v>324.13273780865558</v>
      </c>
      <c r="M594">
        <f t="shared" si="374"/>
        <v>298.23002488303848</v>
      </c>
      <c r="N594">
        <f t="shared" si="374"/>
        <v>369.42622580293204</v>
      </c>
      <c r="O594">
        <f t="shared" si="374"/>
        <v>306.5811291081032</v>
      </c>
      <c r="P594">
        <f t="shared" si="374"/>
        <v>145.73826346209944</v>
      </c>
      <c r="Q594">
        <f t="shared" si="374"/>
        <v>197.98244153189771</v>
      </c>
      <c r="R594">
        <f t="shared" si="374"/>
        <v>176.98829455834334</v>
      </c>
      <c r="S594">
        <f t="shared" si="374"/>
        <v>236.42978904562523</v>
      </c>
      <c r="T594">
        <f t="shared" si="374"/>
        <v>336.46162640072237</v>
      </c>
      <c r="U594">
        <f t="shared" si="374"/>
        <v>311.18669622679619</v>
      </c>
      <c r="V594">
        <f t="shared" si="374"/>
        <v>271.19895040060175</v>
      </c>
      <c r="W594">
        <f t="shared" si="374"/>
        <v>383.351157861677</v>
      </c>
      <c r="Y594" s="8">
        <f t="shared" si="359"/>
        <v>6142.5736536615104</v>
      </c>
      <c r="Z594">
        <f t="shared" si="360"/>
        <v>-270.46925584568623</v>
      </c>
    </row>
    <row r="595" spans="1:26" x14ac:dyDescent="0.25">
      <c r="A595" t="s">
        <v>58</v>
      </c>
      <c r="D595">
        <f t="shared" ref="D595:W595" si="375">D51*D221</f>
        <v>567.73700353524157</v>
      </c>
      <c r="E595">
        <f t="shared" si="375"/>
        <v>443.49229715004464</v>
      </c>
      <c r="F595">
        <f t="shared" si="375"/>
        <v>367.8064999729458</v>
      </c>
      <c r="G595">
        <f t="shared" si="375"/>
        <v>335.40718135785619</v>
      </c>
      <c r="H595">
        <f t="shared" si="375"/>
        <v>356.30676343704397</v>
      </c>
      <c r="I595">
        <f t="shared" si="375"/>
        <v>380.30035211912571</v>
      </c>
      <c r="J595">
        <f t="shared" si="375"/>
        <v>407.83675576471848</v>
      </c>
      <c r="K595">
        <f t="shared" si="375"/>
        <v>323.03102926564475</v>
      </c>
      <c r="L595">
        <f t="shared" si="375"/>
        <v>227.1422387372813</v>
      </c>
      <c r="M595">
        <f t="shared" si="375"/>
        <v>257.56164693153084</v>
      </c>
      <c r="N595">
        <f t="shared" si="375"/>
        <v>301.87148387497388</v>
      </c>
      <c r="O595">
        <f t="shared" si="375"/>
        <v>286.59862633836309</v>
      </c>
      <c r="P595">
        <f t="shared" si="375"/>
        <v>238.15042511554108</v>
      </c>
      <c r="Q595">
        <f t="shared" si="375"/>
        <v>318.99909405904901</v>
      </c>
      <c r="R595">
        <f t="shared" si="375"/>
        <v>332.99020758621594</v>
      </c>
      <c r="S595">
        <f t="shared" si="375"/>
        <v>463.80241078068775</v>
      </c>
      <c r="T595">
        <f t="shared" si="375"/>
        <v>430.43156964904603</v>
      </c>
      <c r="U595">
        <f t="shared" si="375"/>
        <v>452.84162364932388</v>
      </c>
      <c r="V595">
        <f t="shared" si="375"/>
        <v>316.21524262577606</v>
      </c>
      <c r="W595">
        <f t="shared" si="375"/>
        <v>502.56448890102126</v>
      </c>
      <c r="Y595" s="8">
        <f t="shared" si="359"/>
        <v>7311.08694085143</v>
      </c>
      <c r="Z595">
        <f t="shared" si="360"/>
        <v>-74.842263064994626</v>
      </c>
    </row>
    <row r="596" spans="1:26" x14ac:dyDescent="0.25">
      <c r="A596" t="s">
        <v>59</v>
      </c>
      <c r="D596">
        <f t="shared" ref="D596:W596" si="376">D52*D222</f>
        <v>354.96642603016704</v>
      </c>
      <c r="E596">
        <f t="shared" si="376"/>
        <v>393.78323072460148</v>
      </c>
      <c r="F596">
        <f t="shared" si="376"/>
        <v>323.02957468094627</v>
      </c>
      <c r="G596">
        <f t="shared" si="376"/>
        <v>321.65955637330552</v>
      </c>
      <c r="H596">
        <f t="shared" si="376"/>
        <v>297.28039966397193</v>
      </c>
      <c r="I596">
        <f t="shared" si="376"/>
        <v>264.60499992505078</v>
      </c>
      <c r="J596">
        <f t="shared" si="376"/>
        <v>264.98293405071655</v>
      </c>
      <c r="K596">
        <f t="shared" si="376"/>
        <v>263.26116458676734</v>
      </c>
      <c r="L596">
        <f t="shared" si="376"/>
        <v>268.67323829383787</v>
      </c>
      <c r="M596">
        <f t="shared" si="376"/>
        <v>242.93753936981508</v>
      </c>
      <c r="N596">
        <f t="shared" si="376"/>
        <v>248.27295255149284</v>
      </c>
      <c r="O596">
        <f t="shared" si="376"/>
        <v>261.9027921957715</v>
      </c>
      <c r="P596">
        <f t="shared" si="376"/>
        <v>284.26991697200566</v>
      </c>
      <c r="Q596">
        <f t="shared" si="376"/>
        <v>274.32842841079417</v>
      </c>
      <c r="R596">
        <f t="shared" si="376"/>
        <v>314.89094607733455</v>
      </c>
      <c r="S596">
        <f t="shared" si="376"/>
        <v>334.88605037786402</v>
      </c>
      <c r="T596">
        <f t="shared" si="376"/>
        <v>310.6445046255044</v>
      </c>
      <c r="U596">
        <f t="shared" si="376"/>
        <v>333.43893532783892</v>
      </c>
      <c r="V596">
        <f t="shared" si="376"/>
        <v>366.26238218160438</v>
      </c>
      <c r="W596">
        <f t="shared" si="376"/>
        <v>401.68102110138364</v>
      </c>
      <c r="Y596" s="8">
        <f t="shared" si="359"/>
        <v>6125.7569935207739</v>
      </c>
      <c r="Z596">
        <f t="shared" si="360"/>
        <v>-34.921506921692149</v>
      </c>
    </row>
    <row r="597" spans="1:26" x14ac:dyDescent="0.25">
      <c r="A597" t="s">
        <v>60</v>
      </c>
      <c r="D597">
        <f t="shared" ref="D597:W597" si="377">D53*D223</f>
        <v>325.61009482062968</v>
      </c>
      <c r="E597">
        <f t="shared" si="377"/>
        <v>386.2446598573747</v>
      </c>
      <c r="F597">
        <f t="shared" si="377"/>
        <v>324.2651132906866</v>
      </c>
      <c r="G597">
        <f t="shared" si="377"/>
        <v>308.13398705186216</v>
      </c>
      <c r="H597">
        <f t="shared" si="377"/>
        <v>309.53391633531487</v>
      </c>
      <c r="I597">
        <f t="shared" si="377"/>
        <v>279.55128465667741</v>
      </c>
      <c r="J597">
        <f t="shared" si="377"/>
        <v>278.99268570083603</v>
      </c>
      <c r="K597">
        <f t="shared" si="377"/>
        <v>271.0905111765635</v>
      </c>
      <c r="L597">
        <f t="shared" si="377"/>
        <v>271.73320865929946</v>
      </c>
      <c r="M597">
        <f t="shared" si="377"/>
        <v>280.39528108393074</v>
      </c>
      <c r="N597">
        <f t="shared" si="377"/>
        <v>260.59950400343104</v>
      </c>
      <c r="O597">
        <f t="shared" si="377"/>
        <v>268.2657524415481</v>
      </c>
      <c r="P597">
        <f t="shared" si="377"/>
        <v>346.6764659860155</v>
      </c>
      <c r="Q597">
        <f t="shared" si="377"/>
        <v>351.67832713903744</v>
      </c>
      <c r="R597">
        <f t="shared" si="377"/>
        <v>391.50998450449123</v>
      </c>
      <c r="S597">
        <f t="shared" si="377"/>
        <v>342.90477809990227</v>
      </c>
      <c r="T597">
        <f t="shared" si="377"/>
        <v>293.80153454156147</v>
      </c>
      <c r="U597">
        <f t="shared" si="377"/>
        <v>420.01594899463049</v>
      </c>
      <c r="V597">
        <f t="shared" si="377"/>
        <v>374.47297342348935</v>
      </c>
      <c r="W597">
        <f t="shared" si="377"/>
        <v>409.84029433114972</v>
      </c>
      <c r="Y597" s="8">
        <f t="shared" si="359"/>
        <v>6495.3163060984325</v>
      </c>
      <c r="Z597">
        <f t="shared" si="360"/>
        <v>37.37735308757771</v>
      </c>
    </row>
    <row r="598" spans="1:26" x14ac:dyDescent="0.25">
      <c r="A598" t="s">
        <v>61</v>
      </c>
      <c r="D598">
        <f t="shared" ref="D598:W598" si="378">D54*D224</f>
        <v>523.46892054485295</v>
      </c>
      <c r="E598">
        <f t="shared" si="378"/>
        <v>485.5891474123934</v>
      </c>
      <c r="F598">
        <f t="shared" si="378"/>
        <v>411.44161012257655</v>
      </c>
      <c r="G598">
        <f t="shared" si="378"/>
        <v>407.17317165298687</v>
      </c>
      <c r="H598">
        <f t="shared" si="378"/>
        <v>287.06667098383372</v>
      </c>
      <c r="I598">
        <f t="shared" si="378"/>
        <v>287.6332980739391</v>
      </c>
      <c r="J598">
        <f t="shared" si="378"/>
        <v>273.61210881675004</v>
      </c>
      <c r="K598">
        <f t="shared" si="378"/>
        <v>305.60485139592987</v>
      </c>
      <c r="L598">
        <f t="shared" si="378"/>
        <v>276.40439708261209</v>
      </c>
      <c r="M598">
        <f t="shared" si="378"/>
        <v>288.73036924730206</v>
      </c>
      <c r="N598">
        <f t="shared" si="378"/>
        <v>232.12532099640504</v>
      </c>
      <c r="O598">
        <f t="shared" si="378"/>
        <v>271.91026600864666</v>
      </c>
      <c r="P598">
        <f t="shared" si="378"/>
        <v>338.65021463152226</v>
      </c>
      <c r="Q598">
        <f t="shared" si="378"/>
        <v>345.52091058694759</v>
      </c>
      <c r="R598">
        <f t="shared" si="378"/>
        <v>424.6329796063128</v>
      </c>
      <c r="S598">
        <f t="shared" si="378"/>
        <v>514.46830801943486</v>
      </c>
      <c r="T598">
        <f t="shared" si="378"/>
        <v>355.18948339169572</v>
      </c>
      <c r="U598">
        <f t="shared" si="378"/>
        <v>335.16896178856791</v>
      </c>
      <c r="V598">
        <f t="shared" si="378"/>
        <v>336.36411311684066</v>
      </c>
      <c r="W598">
        <f t="shared" si="378"/>
        <v>426.40488762656685</v>
      </c>
      <c r="Y598" s="8">
        <f t="shared" si="359"/>
        <v>7127.1599911061166</v>
      </c>
      <c r="Z598">
        <f t="shared" si="360"/>
        <v>-26.270264521789571</v>
      </c>
    </row>
    <row r="599" spans="1:26" x14ac:dyDescent="0.25">
      <c r="A599" t="s">
        <v>62</v>
      </c>
      <c r="D599">
        <f t="shared" ref="D599:W599" si="379">D55*D225</f>
        <v>312.60500269547549</v>
      </c>
      <c r="E599">
        <f t="shared" si="379"/>
        <v>510.05369699391281</v>
      </c>
      <c r="F599">
        <f t="shared" si="379"/>
        <v>296.63200733773442</v>
      </c>
      <c r="G599">
        <f t="shared" si="379"/>
        <v>276.26121308391913</v>
      </c>
      <c r="H599">
        <f t="shared" si="379"/>
        <v>273.14318443763841</v>
      </c>
      <c r="I599">
        <f t="shared" si="379"/>
        <v>223.2567024007536</v>
      </c>
      <c r="J599">
        <f t="shared" si="379"/>
        <v>244.95160115131304</v>
      </c>
      <c r="K599">
        <f t="shared" si="379"/>
        <v>249.31458562583282</v>
      </c>
      <c r="L599">
        <f t="shared" si="379"/>
        <v>242.64857262948894</v>
      </c>
      <c r="M599">
        <f t="shared" si="379"/>
        <v>258.13432960366617</v>
      </c>
      <c r="N599">
        <f t="shared" si="379"/>
        <v>265.40632308216186</v>
      </c>
      <c r="O599">
        <f t="shared" si="379"/>
        <v>255.88392152554749</v>
      </c>
      <c r="P599">
        <f t="shared" si="379"/>
        <v>265.12302386568075</v>
      </c>
      <c r="Q599">
        <f t="shared" si="379"/>
        <v>262.71445348925579</v>
      </c>
      <c r="R599">
        <f t="shared" si="379"/>
        <v>369.40887181612345</v>
      </c>
      <c r="S599">
        <f t="shared" si="379"/>
        <v>384.43492114023917</v>
      </c>
      <c r="T599">
        <f t="shared" si="379"/>
        <v>382.99784534078958</v>
      </c>
      <c r="U599">
        <f t="shared" si="379"/>
        <v>433.95835030807859</v>
      </c>
      <c r="V599">
        <f t="shared" si="379"/>
        <v>453.87597297020466</v>
      </c>
      <c r="W599">
        <f t="shared" si="379"/>
        <v>465.91859488300821</v>
      </c>
      <c r="Y599" s="8">
        <f t="shared" si="359"/>
        <v>6426.7231743808252</v>
      </c>
      <c r="Z599">
        <f t="shared" si="360"/>
        <v>70.315571496053963</v>
      </c>
    </row>
    <row r="600" spans="1:26" x14ac:dyDescent="0.25">
      <c r="A600" t="s">
        <v>63</v>
      </c>
      <c r="D600">
        <f t="shared" ref="D600:W600" si="380">D56*D226</f>
        <v>286.35196705303099</v>
      </c>
      <c r="E600">
        <f t="shared" si="380"/>
        <v>281.33434318865193</v>
      </c>
      <c r="F600">
        <f t="shared" si="380"/>
        <v>296.99999328698141</v>
      </c>
      <c r="G600">
        <f t="shared" si="380"/>
        <v>278.96900474997869</v>
      </c>
      <c r="H600">
        <f t="shared" si="380"/>
        <v>275.71049342176968</v>
      </c>
      <c r="I600">
        <f t="shared" si="380"/>
        <v>243.75175061672772</v>
      </c>
      <c r="J600">
        <f t="shared" si="380"/>
        <v>245.17626814992667</v>
      </c>
      <c r="K600">
        <f t="shared" si="380"/>
        <v>224.8064385392355</v>
      </c>
      <c r="L600">
        <f t="shared" si="380"/>
        <v>260.75844305463369</v>
      </c>
      <c r="M600">
        <f t="shared" si="380"/>
        <v>164.08542678995136</v>
      </c>
      <c r="N600">
        <f t="shared" si="380"/>
        <v>200.22330158638039</v>
      </c>
      <c r="O600">
        <f t="shared" si="380"/>
        <v>222.47089896789544</v>
      </c>
      <c r="P600">
        <f t="shared" si="380"/>
        <v>250.47246153963982</v>
      </c>
      <c r="Q600">
        <f t="shared" si="380"/>
        <v>226.55684993556082</v>
      </c>
      <c r="R600">
        <f t="shared" si="380"/>
        <v>212.07577702774856</v>
      </c>
      <c r="S600">
        <f t="shared" si="380"/>
        <v>233.07107725956902</v>
      </c>
      <c r="T600">
        <f t="shared" si="380"/>
        <v>253.51568866429795</v>
      </c>
      <c r="U600">
        <f t="shared" si="380"/>
        <v>272.71083826435648</v>
      </c>
      <c r="V600">
        <f t="shared" si="380"/>
        <v>305.25725529072503</v>
      </c>
      <c r="W600">
        <f t="shared" si="380"/>
        <v>347.71607231071351</v>
      </c>
      <c r="Y600" s="8">
        <f t="shared" si="359"/>
        <v>5082.0143496977744</v>
      </c>
      <c r="Z600">
        <f t="shared" si="360"/>
        <v>-75.866533213731202</v>
      </c>
    </row>
    <row r="601" spans="1:26" x14ac:dyDescent="0.25">
      <c r="A601" t="s">
        <v>64</v>
      </c>
      <c r="D601">
        <f t="shared" ref="D601:W601" si="381">D57*D227</f>
        <v>318.417837555478</v>
      </c>
      <c r="E601">
        <f t="shared" si="381"/>
        <v>395.08464838271215</v>
      </c>
      <c r="F601">
        <f t="shared" si="381"/>
        <v>303.9432392813776</v>
      </c>
      <c r="G601">
        <f t="shared" si="381"/>
        <v>342.13769399752886</v>
      </c>
      <c r="H601">
        <f t="shared" si="381"/>
        <v>336.33037883963942</v>
      </c>
      <c r="I601">
        <f t="shared" si="381"/>
        <v>245.06526836691904</v>
      </c>
      <c r="J601">
        <f t="shared" si="381"/>
        <v>243.2299598960461</v>
      </c>
      <c r="K601">
        <f t="shared" si="381"/>
        <v>238.4350092009318</v>
      </c>
      <c r="L601">
        <f t="shared" si="381"/>
        <v>244.3948759961485</v>
      </c>
      <c r="M601">
        <f t="shared" si="381"/>
        <v>255.34720136091209</v>
      </c>
      <c r="N601">
        <f t="shared" si="381"/>
        <v>260.08297812045748</v>
      </c>
      <c r="O601">
        <f t="shared" si="381"/>
        <v>270.28993544770492</v>
      </c>
      <c r="P601">
        <f t="shared" si="381"/>
        <v>238.69552352860575</v>
      </c>
      <c r="Q601">
        <f t="shared" si="381"/>
        <v>233.2157160740982</v>
      </c>
      <c r="R601">
        <f t="shared" si="381"/>
        <v>303.8253861658626</v>
      </c>
      <c r="S601">
        <f t="shared" si="381"/>
        <v>307.41336746994574</v>
      </c>
      <c r="T601">
        <f t="shared" si="381"/>
        <v>312.39788504004548</v>
      </c>
      <c r="U601">
        <f t="shared" si="381"/>
        <v>310.74587502194407</v>
      </c>
      <c r="V601">
        <f t="shared" si="381"/>
        <v>408.07790119868042</v>
      </c>
      <c r="W601">
        <f t="shared" si="381"/>
        <v>432.51172393212192</v>
      </c>
      <c r="Y601" s="8">
        <f t="shared" si="359"/>
        <v>5999.6424048771605</v>
      </c>
      <c r="Z601">
        <f t="shared" si="360"/>
        <v>-40.358722411173488</v>
      </c>
    </row>
    <row r="602" spans="1:26" x14ac:dyDescent="0.25">
      <c r="A602" t="s">
        <v>65</v>
      </c>
      <c r="D602">
        <f t="shared" ref="D602:W602" si="382">D58*D228</f>
        <v>431.46561449609226</v>
      </c>
      <c r="E602">
        <f t="shared" si="382"/>
        <v>497.08462905411659</v>
      </c>
      <c r="F602">
        <f t="shared" si="382"/>
        <v>442.36412021865789</v>
      </c>
      <c r="G602">
        <f t="shared" si="382"/>
        <v>402.83274995140755</v>
      </c>
      <c r="H602">
        <f t="shared" si="382"/>
        <v>400.56172278821498</v>
      </c>
      <c r="I602">
        <f t="shared" si="382"/>
        <v>400.01429597920912</v>
      </c>
      <c r="J602">
        <f t="shared" si="382"/>
        <v>391.27280239733398</v>
      </c>
      <c r="K602">
        <f t="shared" si="382"/>
        <v>386.78090148192854</v>
      </c>
      <c r="L602">
        <f t="shared" si="382"/>
        <v>375.99710695145586</v>
      </c>
      <c r="M602">
        <f t="shared" si="382"/>
        <v>254.08334784475119</v>
      </c>
      <c r="N602">
        <f t="shared" si="382"/>
        <v>295.62168078918597</v>
      </c>
      <c r="O602">
        <f t="shared" si="382"/>
        <v>303.89809108790558</v>
      </c>
      <c r="P602">
        <f t="shared" si="382"/>
        <v>323.45256376223762</v>
      </c>
      <c r="Q602">
        <f t="shared" si="382"/>
        <v>305.01174631705453</v>
      </c>
      <c r="R602">
        <f t="shared" si="382"/>
        <v>304.19327500167316</v>
      </c>
      <c r="S602">
        <f t="shared" si="382"/>
        <v>278.90892179323026</v>
      </c>
      <c r="T602">
        <f t="shared" si="382"/>
        <v>294.07492616989026</v>
      </c>
      <c r="U602">
        <f t="shared" si="382"/>
        <v>318.02127671429173</v>
      </c>
      <c r="V602">
        <f t="shared" si="382"/>
        <v>338.85434164227769</v>
      </c>
      <c r="W602">
        <f t="shared" si="382"/>
        <v>346.55368559828736</v>
      </c>
      <c r="Y602" s="8">
        <f t="shared" si="359"/>
        <v>7091.0478000392022</v>
      </c>
      <c r="Z602">
        <f t="shared" si="360"/>
        <v>-224.47502294570253</v>
      </c>
    </row>
    <row r="603" spans="1:26" x14ac:dyDescent="0.25">
      <c r="A603" t="s">
        <v>66</v>
      </c>
      <c r="D603">
        <f t="shared" ref="D603:W603" si="383">D59*D229</f>
        <v>230.48757007164889</v>
      </c>
      <c r="E603">
        <f t="shared" si="383"/>
        <v>234.69911255700171</v>
      </c>
      <c r="F603">
        <f t="shared" si="383"/>
        <v>252.03986123610593</v>
      </c>
      <c r="G603">
        <f t="shared" si="383"/>
        <v>240.90177597716468</v>
      </c>
      <c r="H603">
        <f t="shared" si="383"/>
        <v>259.65971729282842</v>
      </c>
      <c r="I603">
        <f t="shared" si="383"/>
        <v>261.11788148305038</v>
      </c>
      <c r="J603">
        <f t="shared" si="383"/>
        <v>255.08813638135223</v>
      </c>
      <c r="K603">
        <f t="shared" si="383"/>
        <v>266.82414949961992</v>
      </c>
      <c r="L603">
        <f t="shared" si="383"/>
        <v>255.82257738249274</v>
      </c>
      <c r="M603">
        <f t="shared" si="383"/>
        <v>241.77030818564731</v>
      </c>
      <c r="N603">
        <f t="shared" si="383"/>
        <v>199.85814932748076</v>
      </c>
      <c r="O603">
        <f t="shared" si="383"/>
        <v>239.7706815902566</v>
      </c>
      <c r="P603">
        <f t="shared" si="383"/>
        <v>243.43637513872014</v>
      </c>
      <c r="Q603">
        <f t="shared" si="383"/>
        <v>247.4255414007512</v>
      </c>
      <c r="R603">
        <f t="shared" si="383"/>
        <v>269.49352385007262</v>
      </c>
      <c r="S603">
        <f t="shared" si="383"/>
        <v>298.62114593485677</v>
      </c>
      <c r="T603">
        <f t="shared" si="383"/>
        <v>314.21269500334961</v>
      </c>
      <c r="U603">
        <f t="shared" si="383"/>
        <v>314.48225736433892</v>
      </c>
      <c r="V603">
        <f t="shared" si="383"/>
        <v>306.54489048640568</v>
      </c>
      <c r="W603">
        <f t="shared" si="383"/>
        <v>308.82828720613372</v>
      </c>
      <c r="Y603" s="8">
        <f t="shared" si="359"/>
        <v>5241.0846373692784</v>
      </c>
      <c r="Z603">
        <f t="shared" si="360"/>
        <v>27.897328216511749</v>
      </c>
    </row>
    <row r="604" spans="1:26" x14ac:dyDescent="0.25">
      <c r="A604" t="s">
        <v>67</v>
      </c>
      <c r="D604">
        <f t="shared" ref="D604:W604" si="384">D60*D230</f>
        <v>270.37986937511891</v>
      </c>
      <c r="E604">
        <f t="shared" si="384"/>
        <v>253.32434055312206</v>
      </c>
      <c r="F604">
        <f t="shared" si="384"/>
        <v>251.05367887964536</v>
      </c>
      <c r="G604">
        <f t="shared" si="384"/>
        <v>255.26254855632911</v>
      </c>
      <c r="H604">
        <f t="shared" si="384"/>
        <v>261.0897707568854</v>
      </c>
      <c r="I604">
        <f t="shared" si="384"/>
        <v>296.79095141207694</v>
      </c>
      <c r="J604">
        <f t="shared" si="384"/>
        <v>270.29828854400591</v>
      </c>
      <c r="K604">
        <f t="shared" si="384"/>
        <v>265.68083222551638</v>
      </c>
      <c r="L604">
        <f t="shared" si="384"/>
        <v>256.55850731419753</v>
      </c>
      <c r="M604">
        <f t="shared" si="384"/>
        <v>275.91173486929915</v>
      </c>
      <c r="N604">
        <f t="shared" si="384"/>
        <v>258.11779400415048</v>
      </c>
      <c r="O604">
        <f t="shared" si="384"/>
        <v>246.52188037680273</v>
      </c>
      <c r="P604">
        <f t="shared" si="384"/>
        <v>252.69747212979755</v>
      </c>
      <c r="Q604">
        <f t="shared" si="384"/>
        <v>229.1285496251698</v>
      </c>
      <c r="R604">
        <f t="shared" si="384"/>
        <v>139.44638969198283</v>
      </c>
      <c r="S604">
        <f t="shared" si="384"/>
        <v>145.38852180088324</v>
      </c>
      <c r="T604">
        <f t="shared" si="384"/>
        <v>146.18586625070552</v>
      </c>
      <c r="U604">
        <f t="shared" si="384"/>
        <v>150.26005739613228</v>
      </c>
      <c r="V604">
        <f t="shared" si="384"/>
        <v>315.44012042500322</v>
      </c>
      <c r="W604">
        <f t="shared" si="384"/>
        <v>361.55340154718454</v>
      </c>
      <c r="Y604" s="8">
        <f t="shared" si="359"/>
        <v>4901.0905757340097</v>
      </c>
      <c r="Z604">
        <f t="shared" si="360"/>
        <v>-173.69706950120442</v>
      </c>
    </row>
    <row r="605" spans="1:26" x14ac:dyDescent="0.25">
      <c r="Y605" s="8"/>
    </row>
    <row r="606" spans="1:26" x14ac:dyDescent="0.25">
      <c r="A606" t="s">
        <v>68</v>
      </c>
      <c r="D606">
        <f t="shared" ref="D606:W606" si="385">D62*D232</f>
        <v>314.75606120241702</v>
      </c>
      <c r="E606">
        <f t="shared" si="385"/>
        <v>321.33901483876974</v>
      </c>
      <c r="F606">
        <f t="shared" si="385"/>
        <v>332.79544366148872</v>
      </c>
      <c r="G606">
        <f t="shared" si="385"/>
        <v>328.64145060373437</v>
      </c>
      <c r="H606">
        <f t="shared" si="385"/>
        <v>314.23712919129406</v>
      </c>
      <c r="I606">
        <f t="shared" si="385"/>
        <v>199.2837923581605</v>
      </c>
      <c r="J606">
        <f t="shared" si="385"/>
        <v>173.87249635195906</v>
      </c>
      <c r="K606">
        <f t="shared" si="385"/>
        <v>199.23758150866504</v>
      </c>
      <c r="L606">
        <f t="shared" si="385"/>
        <v>170.34992517433656</v>
      </c>
      <c r="M606">
        <f t="shared" si="385"/>
        <v>264.02172693001074</v>
      </c>
      <c r="N606">
        <f t="shared" si="385"/>
        <v>276.39792461764324</v>
      </c>
      <c r="O606">
        <f t="shared" si="385"/>
        <v>270.4955694885349</v>
      </c>
      <c r="P606">
        <f t="shared" si="385"/>
        <v>297.3567349442788</v>
      </c>
      <c r="Q606">
        <f t="shared" si="385"/>
        <v>286.58463146112592</v>
      </c>
      <c r="R606">
        <f t="shared" si="385"/>
        <v>300.23275362802411</v>
      </c>
      <c r="S606">
        <f t="shared" si="385"/>
        <v>337.69867496283206</v>
      </c>
      <c r="T606">
        <f t="shared" si="385"/>
        <v>329.65302335021943</v>
      </c>
      <c r="U606">
        <f t="shared" si="385"/>
        <v>352.45831532228351</v>
      </c>
      <c r="V606">
        <f t="shared" si="385"/>
        <v>361.89005464341733</v>
      </c>
      <c r="W606">
        <f t="shared" si="385"/>
        <v>405.17273364811336</v>
      </c>
      <c r="Y606" s="8">
        <f t="shared" si="359"/>
        <v>5836.4750378873077</v>
      </c>
      <c r="Z606">
        <f>SUMPRODUCT($D$610:$W$610,D606:W606)</f>
        <v>12.622870280491597</v>
      </c>
    </row>
    <row r="607" spans="1:26" x14ac:dyDescent="0.25">
      <c r="A607" t="s">
        <v>312</v>
      </c>
      <c r="D607">
        <f t="shared" ref="D607:W607" si="386">D63*D233</f>
        <v>392.71633686794769</v>
      </c>
      <c r="E607">
        <f t="shared" si="386"/>
        <v>377.03457656061499</v>
      </c>
      <c r="F607">
        <f t="shared" si="386"/>
        <v>296.18074579989423</v>
      </c>
      <c r="G607">
        <f t="shared" si="386"/>
        <v>327.58139401963086</v>
      </c>
      <c r="H607">
        <f t="shared" si="386"/>
        <v>366.3488699468366</v>
      </c>
      <c r="I607">
        <f t="shared" si="386"/>
        <v>308.72612163488594</v>
      </c>
      <c r="J607">
        <f t="shared" si="386"/>
        <v>266.97817458285959</v>
      </c>
      <c r="K607">
        <f t="shared" si="386"/>
        <v>110.28677113126224</v>
      </c>
      <c r="L607">
        <f t="shared" si="386"/>
        <v>198.37841383596015</v>
      </c>
      <c r="M607">
        <f t="shared" si="386"/>
        <v>196.76775122382477</v>
      </c>
      <c r="N607">
        <f t="shared" si="386"/>
        <v>136.68619174066086</v>
      </c>
      <c r="O607">
        <f t="shared" si="386"/>
        <v>252.55460742116011</v>
      </c>
      <c r="P607">
        <f t="shared" si="386"/>
        <v>360.31</v>
      </c>
      <c r="Q607">
        <f t="shared" si="386"/>
        <v>510</v>
      </c>
      <c r="R607">
        <f t="shared" si="386"/>
        <v>350.88</v>
      </c>
      <c r="S607">
        <f t="shared" si="386"/>
        <v>111.69</v>
      </c>
      <c r="T607">
        <f t="shared" si="386"/>
        <v>308.16000000000003</v>
      </c>
      <c r="U607">
        <f t="shared" si="386"/>
        <v>313.71999999999997</v>
      </c>
      <c r="V607">
        <f t="shared" si="386"/>
        <v>343.98</v>
      </c>
      <c r="W607">
        <f t="shared" si="386"/>
        <v>379.08000000000004</v>
      </c>
      <c r="Y607" s="8">
        <f t="shared" si="359"/>
        <v>5908.0599547655384</v>
      </c>
      <c r="Z607">
        <f>SUMPRODUCT($D$610:$W$610,D607:W607)</f>
        <v>-32.996593011449825</v>
      </c>
    </row>
    <row r="608" spans="1:26" x14ac:dyDescent="0.25">
      <c r="A608" t="s">
        <v>313</v>
      </c>
      <c r="D608">
        <f t="shared" ref="D608:W608" si="387">D64*D234</f>
        <v>343.46999999999997</v>
      </c>
      <c r="E608">
        <f t="shared" si="387"/>
        <v>419.57999999999993</v>
      </c>
      <c r="F608">
        <f t="shared" si="387"/>
        <v>2464.4</v>
      </c>
      <c r="G608">
        <f t="shared" si="387"/>
        <v>334.96</v>
      </c>
      <c r="H608">
        <f t="shared" si="387"/>
        <v>358.21000000000004</v>
      </c>
      <c r="I608">
        <f t="shared" si="387"/>
        <v>321.3</v>
      </c>
      <c r="J608">
        <f t="shared" si="387"/>
        <v>255.20000000000002</v>
      </c>
      <c r="K608">
        <f t="shared" si="387"/>
        <v>120.24</v>
      </c>
      <c r="L608">
        <f t="shared" si="387"/>
        <v>216.08</v>
      </c>
      <c r="M608">
        <f t="shared" si="387"/>
        <v>203.76000000000002</v>
      </c>
      <c r="N608">
        <f t="shared" si="387"/>
        <v>161.91</v>
      </c>
      <c r="O608">
        <f t="shared" si="387"/>
        <v>258.72000000000003</v>
      </c>
      <c r="P608">
        <f t="shared" si="387"/>
        <v>265.4812824874611</v>
      </c>
      <c r="Q608">
        <f t="shared" si="387"/>
        <v>279.87756007839459</v>
      </c>
      <c r="R608">
        <f t="shared" si="387"/>
        <v>283.33656062546947</v>
      </c>
      <c r="S608">
        <f t="shared" si="387"/>
        <v>327.08422023318155</v>
      </c>
      <c r="T608">
        <f t="shared" si="387"/>
        <v>337.3407036623492</v>
      </c>
      <c r="U608">
        <f t="shared" si="387"/>
        <v>324.47591807748972</v>
      </c>
      <c r="V608">
        <f t="shared" si="387"/>
        <v>338.62015320155143</v>
      </c>
      <c r="W608">
        <f t="shared" si="387"/>
        <v>356.69396706509247</v>
      </c>
      <c r="Y608" s="8">
        <f t="shared" si="359"/>
        <v>7970.7403654309892</v>
      </c>
      <c r="Z608">
        <f>SUMPRODUCT($D$610:$W$610,D608:W608)</f>
        <v>-592.69561768524693</v>
      </c>
    </row>
    <row r="609" spans="1:26" x14ac:dyDescent="0.25">
      <c r="A609" t="s">
        <v>676</v>
      </c>
      <c r="D609">
        <f t="shared" ref="D609:W609" si="388">D65*D235</f>
        <v>317.15450627446239</v>
      </c>
      <c r="E609">
        <f t="shared" si="388"/>
        <v>341.11725868396587</v>
      </c>
      <c r="F609">
        <f t="shared" si="388"/>
        <v>318.63616331208846</v>
      </c>
      <c r="G609">
        <f t="shared" si="388"/>
        <v>326.99780264675394</v>
      </c>
      <c r="H609">
        <f t="shared" si="388"/>
        <v>313.06787475709393</v>
      </c>
      <c r="I609">
        <f t="shared" si="388"/>
        <v>289.04067452337512</v>
      </c>
      <c r="J609">
        <f t="shared" si="388"/>
        <v>276.24503229741134</v>
      </c>
      <c r="K609">
        <f t="shared" si="388"/>
        <v>275.76205526980482</v>
      </c>
      <c r="L609">
        <f t="shared" si="388"/>
        <v>283.97724010361418</v>
      </c>
      <c r="M609">
        <f t="shared" si="388"/>
        <v>252.53952285253717</v>
      </c>
      <c r="N609">
        <f t="shared" si="388"/>
        <v>241.34146687425707</v>
      </c>
      <c r="O609">
        <f t="shared" si="388"/>
        <v>264.74281603979716</v>
      </c>
      <c r="P609">
        <f t="shared" si="388"/>
        <v>288.73492728952147</v>
      </c>
      <c r="Q609">
        <f t="shared" si="388"/>
        <v>309.11981941986289</v>
      </c>
      <c r="R609">
        <f t="shared" si="388"/>
        <v>305.54991975805655</v>
      </c>
      <c r="S609">
        <f t="shared" si="388"/>
        <v>333.23056057531727</v>
      </c>
      <c r="T609">
        <f t="shared" si="388"/>
        <v>333.30595334002317</v>
      </c>
      <c r="U609">
        <f t="shared" si="388"/>
        <v>361.30103108234948</v>
      </c>
      <c r="V609">
        <f t="shared" si="388"/>
        <v>351.54617780648636</v>
      </c>
      <c r="W609">
        <f t="shared" si="388"/>
        <v>404.78158911239092</v>
      </c>
      <c r="Y609" s="8">
        <f t="shared" ref="Y609" si="389">SUM(D609:W609)</f>
        <v>6188.1923920191703</v>
      </c>
      <c r="Z609">
        <f>SUMPRODUCT($D$610:$W$610,D609:W609)</f>
        <v>-16.713964910361582</v>
      </c>
    </row>
    <row r="610" spans="1:26" x14ac:dyDescent="0.25">
      <c r="A610" s="2" t="s">
        <v>69</v>
      </c>
      <c r="D610" s="3">
        <f>CORREL($B$2:$B$26,D580:D604)</f>
        <v>-0.27455563608691952</v>
      </c>
      <c r="E610" s="3">
        <f t="shared" ref="E610:W610" si="390">CORREL($B$2:$B$26,E580:E604)</f>
        <v>-0.18331946690436063</v>
      </c>
      <c r="F610" s="3">
        <f t="shared" si="390"/>
        <v>-0.25588789269440898</v>
      </c>
      <c r="G610" s="3">
        <f t="shared" si="390"/>
        <v>-0.22318339577019494</v>
      </c>
      <c r="H610" s="3">
        <f t="shared" si="390"/>
        <v>-0.14559493026389983</v>
      </c>
      <c r="I610" s="3">
        <f t="shared" si="390"/>
        <v>-0.12374756726708883</v>
      </c>
      <c r="J610" s="3">
        <f t="shared" si="390"/>
        <v>-0.10462753212766579</v>
      </c>
      <c r="K610" s="3">
        <f t="shared" si="390"/>
        <v>-1.9817740122944724E-2</v>
      </c>
      <c r="L610" s="3">
        <f t="shared" si="390"/>
        <v>-0.15699406692260578</v>
      </c>
      <c r="M610" s="3">
        <f t="shared" si="390"/>
        <v>-2.9055352554049934E-2</v>
      </c>
      <c r="N610" s="3">
        <f t="shared" si="390"/>
        <v>-0.25264979130188137</v>
      </c>
      <c r="O610" s="3">
        <f t="shared" si="390"/>
        <v>6.8826342409310612E-2</v>
      </c>
      <c r="P610" s="3">
        <f t="shared" si="390"/>
        <v>0.10849490216786349</v>
      </c>
      <c r="Q610" s="3">
        <f t="shared" si="390"/>
        <v>5.0181884019324011E-2</v>
      </c>
      <c r="R610" s="3">
        <f t="shared" si="390"/>
        <v>0.50999406745757936</v>
      </c>
      <c r="S610" s="3">
        <f t="shared" si="390"/>
        <v>0.23519704284095724</v>
      </c>
      <c r="T610" s="3">
        <f t="shared" si="390"/>
        <v>0.17539471727791228</v>
      </c>
      <c r="U610" s="3">
        <f t="shared" si="390"/>
        <v>0.22279073851970982</v>
      </c>
      <c r="V610" s="3">
        <f t="shared" si="390"/>
        <v>0.12253550285849082</v>
      </c>
      <c r="W610" s="3">
        <f t="shared" si="390"/>
        <v>8.5797151336779481E-2</v>
      </c>
    </row>
    <row r="613" spans="1:26" x14ac:dyDescent="0.25">
      <c r="D613" t="s">
        <v>208</v>
      </c>
      <c r="E613" t="s">
        <v>209</v>
      </c>
      <c r="F613" t="s">
        <v>210</v>
      </c>
      <c r="G613" t="s">
        <v>211</v>
      </c>
      <c r="H613" t="s">
        <v>212</v>
      </c>
      <c r="I613" t="s">
        <v>213</v>
      </c>
      <c r="J613" t="s">
        <v>214</v>
      </c>
      <c r="K613" t="s">
        <v>215</v>
      </c>
      <c r="L613" t="s">
        <v>333</v>
      </c>
      <c r="M613" t="s">
        <v>397</v>
      </c>
      <c r="N613" t="s">
        <v>398</v>
      </c>
      <c r="O613" t="s">
        <v>399</v>
      </c>
      <c r="P613" t="s">
        <v>524</v>
      </c>
      <c r="Q613" t="s">
        <v>525</v>
      </c>
      <c r="R613" t="s">
        <v>526</v>
      </c>
      <c r="S613" t="s">
        <v>527</v>
      </c>
      <c r="T613" t="s">
        <v>636</v>
      </c>
      <c r="U613" t="s">
        <v>637</v>
      </c>
      <c r="V613" t="s">
        <v>638</v>
      </c>
      <c r="W613" t="s">
        <v>639</v>
      </c>
      <c r="Y613" t="s">
        <v>216</v>
      </c>
      <c r="Z613" t="s">
        <v>217</v>
      </c>
    </row>
    <row r="614" spans="1:26" x14ac:dyDescent="0.25">
      <c r="A614" t="s">
        <v>43</v>
      </c>
      <c r="D614">
        <f t="shared" ref="D614:W614" si="391">D70*D104</f>
        <v>1417.1315924533671</v>
      </c>
      <c r="E614">
        <f t="shared" si="391"/>
        <v>1076.6471875102188</v>
      </c>
      <c r="F614">
        <f t="shared" si="391"/>
        <v>1174.0179561835337</v>
      </c>
      <c r="G614">
        <f t="shared" si="391"/>
        <v>1693.2931264861629</v>
      </c>
      <c r="H614">
        <f t="shared" si="391"/>
        <v>931.30841162914817</v>
      </c>
      <c r="I614">
        <f t="shared" si="391"/>
        <v>790.03320082682046</v>
      </c>
      <c r="J614">
        <f t="shared" si="391"/>
        <v>833.65328611533948</v>
      </c>
      <c r="K614">
        <f t="shared" si="391"/>
        <v>949.71600585712895</v>
      </c>
      <c r="L614">
        <f t="shared" si="391"/>
        <v>944.33919581324153</v>
      </c>
      <c r="M614">
        <f t="shared" si="391"/>
        <v>848.96119971075427</v>
      </c>
      <c r="N614">
        <f t="shared" si="391"/>
        <v>918.78103930207908</v>
      </c>
      <c r="O614">
        <f t="shared" si="391"/>
        <v>1070.4025815507478</v>
      </c>
      <c r="P614">
        <f t="shared" si="391"/>
        <v>752.42714923086692</v>
      </c>
      <c r="Q614">
        <f t="shared" si="391"/>
        <v>1113.2004282034732</v>
      </c>
      <c r="R614">
        <f t="shared" si="391"/>
        <v>2813.4382371132874</v>
      </c>
      <c r="S614">
        <f t="shared" si="391"/>
        <v>1082.4340147312766</v>
      </c>
      <c r="T614">
        <f t="shared" si="391"/>
        <v>1067.9129666664905</v>
      </c>
      <c r="U614">
        <f t="shared" si="391"/>
        <v>967.23983962860609</v>
      </c>
      <c r="V614">
        <f t="shared" si="391"/>
        <v>1306.3703506357701</v>
      </c>
      <c r="W614">
        <f t="shared" si="391"/>
        <v>1234.2722815390669</v>
      </c>
      <c r="Y614" s="8">
        <f t="shared" ref="Y614:Y642" si="392">SUM(D614:W614)</f>
        <v>22985.580051187382</v>
      </c>
      <c r="Z614">
        <f t="shared" ref="Z614:Z638" si="393">SUMPRODUCT($D$644:$W$644,D614:W614)</f>
        <v>-827.20709805201466</v>
      </c>
    </row>
    <row r="615" spans="1:26" x14ac:dyDescent="0.25">
      <c r="A615" t="s">
        <v>44</v>
      </c>
      <c r="D615">
        <f t="shared" ref="D615:W615" si="394">D71*D105</f>
        <v>1242.8062577486755</v>
      </c>
      <c r="E615">
        <f t="shared" si="394"/>
        <v>1294.6238555564589</v>
      </c>
      <c r="F615">
        <f t="shared" si="394"/>
        <v>1156.0362206358425</v>
      </c>
      <c r="G615">
        <f t="shared" si="394"/>
        <v>1105.6613723917619</v>
      </c>
      <c r="H615">
        <f t="shared" si="394"/>
        <v>1094.3480532019444</v>
      </c>
      <c r="I615">
        <f t="shared" si="394"/>
        <v>1030.2462044169126</v>
      </c>
      <c r="J615">
        <f t="shared" si="394"/>
        <v>1078.5539993007653</v>
      </c>
      <c r="K615">
        <f t="shared" si="394"/>
        <v>1178.6622739611867</v>
      </c>
      <c r="L615">
        <f t="shared" si="394"/>
        <v>1033.7552274005157</v>
      </c>
      <c r="M615">
        <f t="shared" si="394"/>
        <v>978.44304825911331</v>
      </c>
      <c r="N615">
        <f t="shared" si="394"/>
        <v>792.34545182578063</v>
      </c>
      <c r="O615">
        <f t="shared" si="394"/>
        <v>880.04702801848453</v>
      </c>
      <c r="P615">
        <f t="shared" si="394"/>
        <v>870.64481890707827</v>
      </c>
      <c r="Q615">
        <f t="shared" si="394"/>
        <v>1012.8904864106388</v>
      </c>
      <c r="R615">
        <f t="shared" si="394"/>
        <v>763.36631687926581</v>
      </c>
      <c r="S615">
        <f t="shared" si="394"/>
        <v>1051.8781049083132</v>
      </c>
      <c r="T615">
        <f t="shared" si="394"/>
        <v>1001.602544319203</v>
      </c>
      <c r="U615">
        <f t="shared" si="394"/>
        <v>1048.2703807732094</v>
      </c>
      <c r="V615">
        <f t="shared" si="394"/>
        <v>1272.8282899054957</v>
      </c>
      <c r="W615">
        <f t="shared" si="394"/>
        <v>1515.6280588324794</v>
      </c>
      <c r="Y615" s="8">
        <f t="shared" si="392"/>
        <v>21402.63799365313</v>
      </c>
      <c r="Z615">
        <f t="shared" si="393"/>
        <v>-405.04277662829912</v>
      </c>
    </row>
    <row r="616" spans="1:26" x14ac:dyDescent="0.25">
      <c r="A616" t="s">
        <v>45</v>
      </c>
      <c r="D616">
        <f t="shared" ref="D616:W616" si="395">D72*D106</f>
        <v>1294.592052669446</v>
      </c>
      <c r="E616">
        <f t="shared" si="395"/>
        <v>1178.1820647720863</v>
      </c>
      <c r="F616">
        <f t="shared" si="395"/>
        <v>1220.6847988575219</v>
      </c>
      <c r="G616">
        <f t="shared" si="395"/>
        <v>1253.6783464893233</v>
      </c>
      <c r="H616">
        <f t="shared" si="395"/>
        <v>1352.8933164574798</v>
      </c>
      <c r="I616">
        <f t="shared" si="395"/>
        <v>1027.7485140515153</v>
      </c>
      <c r="J616">
        <f t="shared" si="395"/>
        <v>1048.3991230482425</v>
      </c>
      <c r="K616">
        <f t="shared" si="395"/>
        <v>1105.4307036931345</v>
      </c>
      <c r="L616">
        <f t="shared" si="395"/>
        <v>1123.8643347336019</v>
      </c>
      <c r="M616">
        <f t="shared" si="395"/>
        <v>860.47700097387519</v>
      </c>
      <c r="N616">
        <f t="shared" si="395"/>
        <v>777.02985610475616</v>
      </c>
      <c r="O616">
        <f t="shared" si="395"/>
        <v>928.49027819030891</v>
      </c>
      <c r="P616">
        <f t="shared" si="395"/>
        <v>1192.3089510896195</v>
      </c>
      <c r="Q616">
        <f t="shared" si="395"/>
        <v>1033.5765726715244</v>
      </c>
      <c r="R616">
        <f t="shared" si="395"/>
        <v>1237.9110887189943</v>
      </c>
      <c r="S616">
        <f t="shared" si="395"/>
        <v>1275.5327798782782</v>
      </c>
      <c r="T616">
        <f t="shared" si="395"/>
        <v>1010.9708883990252</v>
      </c>
      <c r="U616">
        <f t="shared" si="395"/>
        <v>1150.0394653781318</v>
      </c>
      <c r="V616">
        <f t="shared" si="395"/>
        <v>1045.1407597754294</v>
      </c>
      <c r="W616">
        <f t="shared" si="395"/>
        <v>1340.9639795453525</v>
      </c>
      <c r="Y616" s="8">
        <f t="shared" si="392"/>
        <v>22457.914875497645</v>
      </c>
      <c r="Z616">
        <f t="shared" si="393"/>
        <v>-379.57229247092397</v>
      </c>
    </row>
    <row r="617" spans="1:26" x14ac:dyDescent="0.25">
      <c r="A617" t="s">
        <v>46</v>
      </c>
      <c r="D617">
        <f t="shared" ref="D617:W617" si="396">D73*D107</f>
        <v>1675.6573151448915</v>
      </c>
      <c r="E617">
        <f t="shared" si="396"/>
        <v>1321.541025074391</v>
      </c>
      <c r="F617">
        <f t="shared" si="396"/>
        <v>1331.7238726729349</v>
      </c>
      <c r="G617">
        <f t="shared" si="396"/>
        <v>1479.2351284587953</v>
      </c>
      <c r="H617">
        <f t="shared" si="396"/>
        <v>1182.9511586306758</v>
      </c>
      <c r="I617">
        <f t="shared" si="396"/>
        <v>1446.6496334959152</v>
      </c>
      <c r="J617">
        <f t="shared" si="396"/>
        <v>1159.4844837421492</v>
      </c>
      <c r="K617">
        <f t="shared" si="396"/>
        <v>1099.8052067593117</v>
      </c>
      <c r="L617">
        <f t="shared" si="396"/>
        <v>1166.9690309605303</v>
      </c>
      <c r="M617">
        <f t="shared" si="396"/>
        <v>594.02943426202148</v>
      </c>
      <c r="N617">
        <f t="shared" si="396"/>
        <v>722.87035125860393</v>
      </c>
      <c r="O617">
        <f t="shared" si="396"/>
        <v>774.16441709770595</v>
      </c>
      <c r="P617">
        <f t="shared" si="396"/>
        <v>1065.5190537997137</v>
      </c>
      <c r="Q617">
        <f t="shared" si="396"/>
        <v>850.736906930533</v>
      </c>
      <c r="R617">
        <f t="shared" si="396"/>
        <v>880.09980674872986</v>
      </c>
      <c r="S617">
        <f t="shared" si="396"/>
        <v>663.68966921425238</v>
      </c>
      <c r="T617">
        <f t="shared" si="396"/>
        <v>981.24411020829314</v>
      </c>
      <c r="U617">
        <f t="shared" si="396"/>
        <v>1116.8868897888635</v>
      </c>
      <c r="V617">
        <f t="shared" si="396"/>
        <v>1115.832114637738</v>
      </c>
      <c r="W617">
        <f t="shared" si="396"/>
        <v>1131.1707860225438</v>
      </c>
      <c r="Y617" s="8">
        <f t="shared" si="392"/>
        <v>21760.26039490859</v>
      </c>
      <c r="Z617">
        <f t="shared" si="393"/>
        <v>-455.22747222382804</v>
      </c>
    </row>
    <row r="618" spans="1:26" x14ac:dyDescent="0.25">
      <c r="A618" t="s">
        <v>47</v>
      </c>
      <c r="D618">
        <f t="shared" ref="D618:W618" si="397">D74*D108</f>
        <v>1327.4452345089671</v>
      </c>
      <c r="E618">
        <f t="shared" si="397"/>
        <v>1396.2846251839278</v>
      </c>
      <c r="F618">
        <f t="shared" si="397"/>
        <v>1646.6663229423468</v>
      </c>
      <c r="G618">
        <f t="shared" si="397"/>
        <v>1631.9583679490349</v>
      </c>
      <c r="H618">
        <f t="shared" si="397"/>
        <v>1438.3229505018035</v>
      </c>
      <c r="I618">
        <f t="shared" si="397"/>
        <v>1088.3925726034879</v>
      </c>
      <c r="J618">
        <f t="shared" si="397"/>
        <v>1456.2193383597232</v>
      </c>
      <c r="K618">
        <f t="shared" si="397"/>
        <v>1298.2095165639441</v>
      </c>
      <c r="L618">
        <f t="shared" si="397"/>
        <v>824.54493222676751</v>
      </c>
      <c r="M618">
        <f t="shared" si="397"/>
        <v>994.28027168036795</v>
      </c>
      <c r="N618">
        <f t="shared" si="397"/>
        <v>900.2901586193168</v>
      </c>
      <c r="O618">
        <f t="shared" si="397"/>
        <v>903.66930169363263</v>
      </c>
      <c r="P618">
        <f t="shared" si="397"/>
        <v>1256.1660445200553</v>
      </c>
      <c r="Q618">
        <f t="shared" si="397"/>
        <v>1147.4551708784011</v>
      </c>
      <c r="R618">
        <f t="shared" si="397"/>
        <v>1349.8863397533726</v>
      </c>
      <c r="S618">
        <f t="shared" si="397"/>
        <v>862.42791981883977</v>
      </c>
      <c r="T618">
        <f t="shared" si="397"/>
        <v>1142.2750584157575</v>
      </c>
      <c r="U618">
        <f t="shared" si="397"/>
        <v>1323.7193899576334</v>
      </c>
      <c r="V618">
        <f t="shared" si="397"/>
        <v>1118.2111278234288</v>
      </c>
      <c r="W618">
        <f t="shared" si="397"/>
        <v>1092.6690171931018</v>
      </c>
      <c r="Y618" s="8">
        <f t="shared" si="392"/>
        <v>24199.093661193914</v>
      </c>
      <c r="Z618">
        <f t="shared" si="393"/>
        <v>-520.75236196138565</v>
      </c>
    </row>
    <row r="619" spans="1:26" x14ac:dyDescent="0.25">
      <c r="A619" t="s">
        <v>48</v>
      </c>
      <c r="D619">
        <f t="shared" ref="D619:W619" si="398">D75*D109</f>
        <v>1512.1321968281309</v>
      </c>
      <c r="E619">
        <f t="shared" si="398"/>
        <v>1151.2328344485129</v>
      </c>
      <c r="F619">
        <f t="shared" si="398"/>
        <v>1171.9201867962722</v>
      </c>
      <c r="G619">
        <f t="shared" si="398"/>
        <v>1823.360868948379</v>
      </c>
      <c r="H619">
        <f t="shared" si="398"/>
        <v>1156.4571547130702</v>
      </c>
      <c r="I619">
        <f t="shared" si="398"/>
        <v>1264.9526846279994</v>
      </c>
      <c r="J619">
        <f t="shared" si="398"/>
        <v>1221.6394993821527</v>
      </c>
      <c r="K619">
        <f t="shared" si="398"/>
        <v>1081.1267134795805</v>
      </c>
      <c r="L619">
        <f t="shared" si="398"/>
        <v>959.63517938830057</v>
      </c>
      <c r="M619">
        <f t="shared" si="398"/>
        <v>1029.0488710261154</v>
      </c>
      <c r="N619">
        <f t="shared" si="398"/>
        <v>974.35734183706279</v>
      </c>
      <c r="O619">
        <f t="shared" si="398"/>
        <v>851.90302090232183</v>
      </c>
      <c r="P619">
        <f t="shared" si="398"/>
        <v>933.51842723130358</v>
      </c>
      <c r="Q619">
        <f t="shared" si="398"/>
        <v>754.19518331316362</v>
      </c>
      <c r="R619">
        <f t="shared" si="398"/>
        <v>885.84853986798782</v>
      </c>
      <c r="S619">
        <f t="shared" si="398"/>
        <v>1173.8690515268784</v>
      </c>
      <c r="T619">
        <f t="shared" si="398"/>
        <v>925.05435041295482</v>
      </c>
      <c r="U619">
        <f t="shared" si="398"/>
        <v>881.44975380507651</v>
      </c>
      <c r="V619">
        <f t="shared" si="398"/>
        <v>1218.1678129265715</v>
      </c>
      <c r="W619">
        <f t="shared" si="398"/>
        <v>1346.2663743367098</v>
      </c>
      <c r="Y619" s="8">
        <f t="shared" si="392"/>
        <v>22316.13604579855</v>
      </c>
      <c r="Z619">
        <f t="shared" si="393"/>
        <v>-607.93480232031834</v>
      </c>
    </row>
    <row r="620" spans="1:26" x14ac:dyDescent="0.25">
      <c r="A620" t="s">
        <v>49</v>
      </c>
      <c r="D620">
        <f t="shared" ref="D620:W620" si="399">D76*D110</f>
        <v>1490.3089798501335</v>
      </c>
      <c r="E620">
        <f t="shared" si="399"/>
        <v>1437.5393933532937</v>
      </c>
      <c r="F620">
        <f t="shared" si="399"/>
        <v>1779.4947833242013</v>
      </c>
      <c r="G620">
        <f t="shared" si="399"/>
        <v>1758.0229770270128</v>
      </c>
      <c r="H620">
        <f t="shared" si="399"/>
        <v>1569.8954880442718</v>
      </c>
      <c r="I620">
        <f t="shared" si="399"/>
        <v>1601.3618494925763</v>
      </c>
      <c r="J620">
        <f t="shared" si="399"/>
        <v>1379.481996687186</v>
      </c>
      <c r="K620">
        <f t="shared" si="399"/>
        <v>1109.5716621191989</v>
      </c>
      <c r="L620">
        <f t="shared" si="399"/>
        <v>1070.33130981777</v>
      </c>
      <c r="M620">
        <f t="shared" si="399"/>
        <v>1131.3546233481136</v>
      </c>
      <c r="N620">
        <f t="shared" si="399"/>
        <v>1101.419120806218</v>
      </c>
      <c r="O620">
        <f t="shared" si="399"/>
        <v>799.22574940494565</v>
      </c>
      <c r="P620">
        <f t="shared" si="399"/>
        <v>1165.6068692920837</v>
      </c>
      <c r="Q620">
        <f t="shared" si="399"/>
        <v>970.75869155127691</v>
      </c>
      <c r="R620">
        <f t="shared" si="399"/>
        <v>1296.7613731862014</v>
      </c>
      <c r="S620">
        <f t="shared" si="399"/>
        <v>1356.4936787034467</v>
      </c>
      <c r="T620">
        <f t="shared" si="399"/>
        <v>885.06567591546468</v>
      </c>
      <c r="U620">
        <f t="shared" si="399"/>
        <v>1087.1581714457407</v>
      </c>
      <c r="V620">
        <f t="shared" si="399"/>
        <v>1105.8645588348586</v>
      </c>
      <c r="W620">
        <f t="shared" si="399"/>
        <v>1466.2873934949432</v>
      </c>
      <c r="Y620" s="8">
        <f t="shared" si="392"/>
        <v>25562.004345698933</v>
      </c>
      <c r="Z620">
        <f t="shared" si="393"/>
        <v>-667.10779914224918</v>
      </c>
    </row>
    <row r="621" spans="1:26" x14ac:dyDescent="0.25">
      <c r="A621" t="s">
        <v>50</v>
      </c>
      <c r="D621">
        <f t="shared" ref="D621:W621" si="400">D77*D111</f>
        <v>167.57803155248774</v>
      </c>
      <c r="E621">
        <f t="shared" si="400"/>
        <v>1495.9522481157589</v>
      </c>
      <c r="F621">
        <f t="shared" si="400"/>
        <v>1434.17250330655</v>
      </c>
      <c r="G621">
        <f t="shared" si="400"/>
        <v>1105.2536754220785</v>
      </c>
      <c r="H621">
        <f t="shared" si="400"/>
        <v>1066.2022702000793</v>
      </c>
      <c r="I621">
        <f t="shared" si="400"/>
        <v>1227.9300152045744</v>
      </c>
      <c r="J621">
        <f t="shared" si="400"/>
        <v>971.70207884298645</v>
      </c>
      <c r="K621">
        <f t="shared" si="400"/>
        <v>1030.4685461209988</v>
      </c>
      <c r="L621">
        <f t="shared" si="400"/>
        <v>1103.2728498854196</v>
      </c>
      <c r="M621">
        <f t="shared" si="400"/>
        <v>1008.6319192124672</v>
      </c>
      <c r="N621">
        <f t="shared" si="400"/>
        <v>863.54939534784819</v>
      </c>
      <c r="O621">
        <f t="shared" si="400"/>
        <v>1060.3015309149057</v>
      </c>
      <c r="P621">
        <f t="shared" si="400"/>
        <v>997.44630570348056</v>
      </c>
      <c r="Q621">
        <f t="shared" si="400"/>
        <v>1115.3524507814454</v>
      </c>
      <c r="R621">
        <f t="shared" si="400"/>
        <v>1341.4823967113416</v>
      </c>
      <c r="S621">
        <f t="shared" si="400"/>
        <v>1333.8153961256016</v>
      </c>
      <c r="T621">
        <f t="shared" si="400"/>
        <v>1221.4078757784027</v>
      </c>
      <c r="U621">
        <f t="shared" si="400"/>
        <v>1294.9661812646038</v>
      </c>
      <c r="V621">
        <f t="shared" si="400"/>
        <v>1624.9038435885691</v>
      </c>
      <c r="W621">
        <f t="shared" si="400"/>
        <v>1546.4299850318171</v>
      </c>
      <c r="Y621" s="8">
        <f t="shared" si="392"/>
        <v>23010.819499111418</v>
      </c>
      <c r="Z621">
        <f t="shared" si="393"/>
        <v>-38.809155061610369</v>
      </c>
    </row>
    <row r="622" spans="1:26" x14ac:dyDescent="0.25">
      <c r="A622" t="s">
        <v>51</v>
      </c>
      <c r="D622">
        <f t="shared" ref="D622:W622" si="401">D78*D112</f>
        <v>1450.3296172092855</v>
      </c>
      <c r="E622">
        <f t="shared" si="401"/>
        <v>1341.7749119831199</v>
      </c>
      <c r="F622">
        <f t="shared" si="401"/>
        <v>1370.4525674486056</v>
      </c>
      <c r="G622">
        <f t="shared" si="401"/>
        <v>1472.5529647881792</v>
      </c>
      <c r="H622">
        <f t="shared" si="401"/>
        <v>1312.9328479914996</v>
      </c>
      <c r="I622">
        <f t="shared" si="401"/>
        <v>1248.3282035732952</v>
      </c>
      <c r="J622">
        <f t="shared" si="401"/>
        <v>1352.6283014734709</v>
      </c>
      <c r="K622">
        <f t="shared" si="401"/>
        <v>1292.0882273033121</v>
      </c>
      <c r="L622">
        <f t="shared" si="401"/>
        <v>1162.8445943869208</v>
      </c>
      <c r="M622">
        <f t="shared" si="401"/>
        <v>1317.2000054856867</v>
      </c>
      <c r="N622">
        <f t="shared" si="401"/>
        <v>1064.1179130777973</v>
      </c>
      <c r="O622">
        <f t="shared" si="401"/>
        <v>1063.2119736595646</v>
      </c>
      <c r="P622">
        <f t="shared" si="401"/>
        <v>1351.9599972071765</v>
      </c>
      <c r="Q622">
        <f t="shared" si="401"/>
        <v>2321.1685898190103</v>
      </c>
      <c r="R622">
        <f t="shared" si="401"/>
        <v>805.2093590920083</v>
      </c>
      <c r="S622">
        <f t="shared" si="401"/>
        <v>924.41420796315231</v>
      </c>
      <c r="T622">
        <f t="shared" si="401"/>
        <v>930.98264586009941</v>
      </c>
      <c r="U622">
        <f t="shared" si="401"/>
        <v>1070.2869960841342</v>
      </c>
      <c r="V622">
        <f t="shared" si="401"/>
        <v>1404.2165678588804</v>
      </c>
      <c r="W622">
        <f t="shared" si="401"/>
        <v>1791.7005066427359</v>
      </c>
      <c r="Y622" s="8">
        <f t="shared" si="392"/>
        <v>26048.400998907939</v>
      </c>
      <c r="Z622">
        <f t="shared" si="393"/>
        <v>-648.11712522761991</v>
      </c>
    </row>
    <row r="623" spans="1:26" x14ac:dyDescent="0.25">
      <c r="A623" t="s">
        <v>52</v>
      </c>
      <c r="D623">
        <f t="shared" ref="D623:W623" si="402">D79*D113</f>
        <v>1678.0236150163571</v>
      </c>
      <c r="E623">
        <f t="shared" si="402"/>
        <v>1508.0488189926737</v>
      </c>
      <c r="F623">
        <f t="shared" si="402"/>
        <v>1624.7548858765422</v>
      </c>
      <c r="G623">
        <f t="shared" si="402"/>
        <v>1489.8281793782392</v>
      </c>
      <c r="H623">
        <f t="shared" si="402"/>
        <v>1297.742812001572</v>
      </c>
      <c r="I623">
        <f t="shared" si="402"/>
        <v>1140.1606168693954</v>
      </c>
      <c r="J623">
        <f t="shared" si="402"/>
        <v>1082.1789050743773</v>
      </c>
      <c r="K623">
        <f t="shared" si="402"/>
        <v>1294.4954286397092</v>
      </c>
      <c r="L623">
        <f t="shared" si="402"/>
        <v>1242.2155355589748</v>
      </c>
      <c r="M623">
        <f t="shared" si="402"/>
        <v>1256.5111188143958</v>
      </c>
      <c r="N623">
        <f t="shared" si="402"/>
        <v>1225.6037467939334</v>
      </c>
      <c r="O623">
        <f t="shared" si="402"/>
        <v>1007.9680145355544</v>
      </c>
      <c r="P623">
        <f t="shared" si="402"/>
        <v>1072.1329484445073</v>
      </c>
      <c r="Q623">
        <f t="shared" si="402"/>
        <v>1251.1377216385588</v>
      </c>
      <c r="R623">
        <f t="shared" si="402"/>
        <v>1196.1713467752047</v>
      </c>
      <c r="S623">
        <f t="shared" si="402"/>
        <v>1406.9660928206038</v>
      </c>
      <c r="T623">
        <f t="shared" si="402"/>
        <v>1240.36330819404</v>
      </c>
      <c r="U623">
        <f t="shared" si="402"/>
        <v>1480.3069530668172</v>
      </c>
      <c r="V623">
        <f t="shared" si="402"/>
        <v>1442.6622844836188</v>
      </c>
      <c r="W623">
        <f t="shared" si="402"/>
        <v>1631.2343401633118</v>
      </c>
      <c r="Y623" s="8">
        <f t="shared" si="392"/>
        <v>26568.506673138389</v>
      </c>
      <c r="Z623">
        <f t="shared" si="393"/>
        <v>-701.86189577692869</v>
      </c>
    </row>
    <row r="624" spans="1:26" x14ac:dyDescent="0.25">
      <c r="A624" t="s">
        <v>53</v>
      </c>
      <c r="D624">
        <f t="shared" ref="D624:W624" si="403">D80*D114</f>
        <v>1826.6170692810692</v>
      </c>
      <c r="E624">
        <f t="shared" si="403"/>
        <v>1693.0770752156807</v>
      </c>
      <c r="F624">
        <f t="shared" si="403"/>
        <v>1711.8534256548505</v>
      </c>
      <c r="G624">
        <f t="shared" si="403"/>
        <v>1293.1956260341444</v>
      </c>
      <c r="H624">
        <f t="shared" si="403"/>
        <v>1500.7359252759059</v>
      </c>
      <c r="I624">
        <f t="shared" si="403"/>
        <v>1360.4916605799244</v>
      </c>
      <c r="J624">
        <f t="shared" si="403"/>
        <v>1273.8983694507674</v>
      </c>
      <c r="K624">
        <f t="shared" si="403"/>
        <v>1250.9435728628573</v>
      </c>
      <c r="L624">
        <f t="shared" si="403"/>
        <v>1257.2724650593284</v>
      </c>
      <c r="M624">
        <f t="shared" si="403"/>
        <v>1351.1250762313944</v>
      </c>
      <c r="N624">
        <f t="shared" si="403"/>
        <v>1329.9681771266037</v>
      </c>
      <c r="O624">
        <f t="shared" si="403"/>
        <v>1050.8469422703345</v>
      </c>
      <c r="P624">
        <f t="shared" si="403"/>
        <v>1171.7359351153541</v>
      </c>
      <c r="Q624">
        <f t="shared" si="403"/>
        <v>1307.1418811449671</v>
      </c>
      <c r="R624">
        <f t="shared" si="403"/>
        <v>1369.0894610878624</v>
      </c>
      <c r="S624">
        <f t="shared" si="403"/>
        <v>1287.5318664614094</v>
      </c>
      <c r="T624">
        <f t="shared" si="403"/>
        <v>1362.5948185831089</v>
      </c>
      <c r="U624">
        <f t="shared" si="403"/>
        <v>1455.4697362723566</v>
      </c>
      <c r="V624">
        <f t="shared" si="403"/>
        <v>1476.2382017014511</v>
      </c>
      <c r="W624">
        <f t="shared" si="403"/>
        <v>1478.6671353781369</v>
      </c>
      <c r="Y624" s="8">
        <f t="shared" si="392"/>
        <v>27808.494420787505</v>
      </c>
      <c r="Z624">
        <f t="shared" si="393"/>
        <v>-643.5286957197585</v>
      </c>
    </row>
    <row r="625" spans="1:26" x14ac:dyDescent="0.25">
      <c r="A625" t="s">
        <v>54</v>
      </c>
      <c r="D625">
        <f t="shared" ref="D625:W625" si="404">D81*D115</f>
        <v>2174.8029624885926</v>
      </c>
      <c r="E625">
        <f t="shared" si="404"/>
        <v>1167.1463846549509</v>
      </c>
      <c r="F625">
        <f t="shared" si="404"/>
        <v>1179.0207578467375</v>
      </c>
      <c r="G625">
        <f t="shared" si="404"/>
        <v>1507.7358501346325</v>
      </c>
      <c r="H625">
        <f t="shared" si="404"/>
        <v>1307.4394051128738</v>
      </c>
      <c r="I625">
        <f t="shared" si="404"/>
        <v>1113.2627765614523</v>
      </c>
      <c r="J625">
        <f t="shared" si="404"/>
        <v>1162.180421663498</v>
      </c>
      <c r="K625">
        <f t="shared" si="404"/>
        <v>893.40711885131293</v>
      </c>
      <c r="L625">
        <f t="shared" si="404"/>
        <v>881.00124186429923</v>
      </c>
      <c r="M625">
        <f t="shared" si="404"/>
        <v>763.35814535083136</v>
      </c>
      <c r="N625">
        <f t="shared" si="404"/>
        <v>791.42459309431979</v>
      </c>
      <c r="O625">
        <f t="shared" si="404"/>
        <v>1029.0488710261154</v>
      </c>
      <c r="P625">
        <f t="shared" si="404"/>
        <v>1022.3701697227509</v>
      </c>
      <c r="Q625">
        <f t="shared" si="404"/>
        <v>1135.3166768482606</v>
      </c>
      <c r="R625">
        <f t="shared" si="404"/>
        <v>663.68966921425238</v>
      </c>
      <c r="S625">
        <f t="shared" si="404"/>
        <v>880.09980674872986</v>
      </c>
      <c r="T625">
        <f t="shared" si="404"/>
        <v>1109.8620289183023</v>
      </c>
      <c r="U625">
        <f t="shared" si="404"/>
        <v>1106.4422105834553</v>
      </c>
      <c r="V625">
        <f t="shared" si="404"/>
        <v>1298.3046847853627</v>
      </c>
      <c r="W625">
        <f t="shared" si="404"/>
        <v>1105.7803803022598</v>
      </c>
      <c r="Y625" s="8">
        <f t="shared" si="392"/>
        <v>22291.694155772995</v>
      </c>
      <c r="Z625">
        <f t="shared" si="393"/>
        <v>-583.47651796229025</v>
      </c>
    </row>
    <row r="626" spans="1:26" x14ac:dyDescent="0.25">
      <c r="A626" t="s">
        <v>55</v>
      </c>
      <c r="D626">
        <f t="shared" ref="D626:W626" si="405">D82*D116</f>
        <v>1226.270605238004</v>
      </c>
      <c r="E626">
        <f t="shared" si="405"/>
        <v>1523.5664425335974</v>
      </c>
      <c r="F626">
        <f t="shared" si="405"/>
        <v>1207.3695933029219</v>
      </c>
      <c r="G626">
        <f t="shared" si="405"/>
        <v>1043.6849364769696</v>
      </c>
      <c r="H626">
        <f t="shared" si="405"/>
        <v>917.75056697632681</v>
      </c>
      <c r="I626">
        <f t="shared" si="405"/>
        <v>713.39443783417414</v>
      </c>
      <c r="J626">
        <f t="shared" si="405"/>
        <v>792.38513091305265</v>
      </c>
      <c r="K626">
        <f t="shared" si="405"/>
        <v>842.14388837479839</v>
      </c>
      <c r="L626">
        <f t="shared" si="405"/>
        <v>755.1257741618665</v>
      </c>
      <c r="M626">
        <f t="shared" si="405"/>
        <v>748.70239967423777</v>
      </c>
      <c r="N626">
        <f t="shared" si="405"/>
        <v>684.56733280584069</v>
      </c>
      <c r="O626">
        <f t="shared" si="405"/>
        <v>611.29541757784955</v>
      </c>
      <c r="P626">
        <f t="shared" si="405"/>
        <v>723.01329022892423</v>
      </c>
      <c r="Q626">
        <f t="shared" si="405"/>
        <v>842.97104383887006</v>
      </c>
      <c r="R626">
        <f t="shared" si="405"/>
        <v>923.80222385569209</v>
      </c>
      <c r="S626">
        <f t="shared" si="405"/>
        <v>984.4323126065309</v>
      </c>
      <c r="T626">
        <f t="shared" si="405"/>
        <v>262.82927192709917</v>
      </c>
      <c r="U626">
        <f t="shared" si="405"/>
        <v>1207.039850048079</v>
      </c>
      <c r="V626">
        <f t="shared" si="405"/>
        <v>732.46117976698963</v>
      </c>
      <c r="W626">
        <f t="shared" si="405"/>
        <v>1124.3497853002198</v>
      </c>
      <c r="Y626" s="8">
        <f t="shared" si="392"/>
        <v>17867.155483442042</v>
      </c>
      <c r="Z626">
        <f t="shared" si="393"/>
        <v>-853.02669430031222</v>
      </c>
    </row>
    <row r="627" spans="1:26" x14ac:dyDescent="0.25">
      <c r="A627" t="s">
        <v>56</v>
      </c>
      <c r="D627">
        <f t="shared" ref="D627:W627" si="406">D83*D117</f>
        <v>1167.2787236722368</v>
      </c>
      <c r="E627">
        <f t="shared" si="406"/>
        <v>1274.7160809425914</v>
      </c>
      <c r="F627">
        <f t="shared" si="406"/>
        <v>1165.2885243594721</v>
      </c>
      <c r="G627">
        <f t="shared" si="406"/>
        <v>1030.8877934294487</v>
      </c>
      <c r="H627">
        <f t="shared" si="406"/>
        <v>1195.0549733816108</v>
      </c>
      <c r="I627">
        <f t="shared" si="406"/>
        <v>785.9696206224603</v>
      </c>
      <c r="J627">
        <f t="shared" si="406"/>
        <v>710.20794818475429</v>
      </c>
      <c r="K627">
        <f t="shared" si="406"/>
        <v>866.0725430800594</v>
      </c>
      <c r="L627">
        <f t="shared" si="406"/>
        <v>799.00885169663252</v>
      </c>
      <c r="M627">
        <f t="shared" si="406"/>
        <v>747.50366022378046</v>
      </c>
      <c r="N627">
        <f t="shared" si="406"/>
        <v>785.23067085897571</v>
      </c>
      <c r="O627">
        <f t="shared" si="406"/>
        <v>975.27743044894237</v>
      </c>
      <c r="P627">
        <f t="shared" si="406"/>
        <v>940.18526133370779</v>
      </c>
      <c r="Q627">
        <f t="shared" si="406"/>
        <v>717.49931310118939</v>
      </c>
      <c r="R627">
        <f t="shared" si="406"/>
        <v>732.02758966999045</v>
      </c>
      <c r="S627">
        <f t="shared" si="406"/>
        <v>899.84201373784026</v>
      </c>
      <c r="T627">
        <f t="shared" si="406"/>
        <v>961.32188583497043</v>
      </c>
      <c r="U627">
        <f t="shared" si="406"/>
        <v>1068.203301661388</v>
      </c>
      <c r="V627">
        <f t="shared" si="406"/>
        <v>905.8697541760954</v>
      </c>
      <c r="W627">
        <f t="shared" si="406"/>
        <v>1106.4051922758961</v>
      </c>
      <c r="Y627" s="8">
        <f t="shared" si="392"/>
        <v>18833.851132692042</v>
      </c>
      <c r="Z627">
        <f t="shared" si="393"/>
        <v>-446.28895253658391</v>
      </c>
    </row>
    <row r="628" spans="1:26" x14ac:dyDescent="0.25">
      <c r="A628" t="s">
        <v>57</v>
      </c>
      <c r="D628">
        <f t="shared" ref="D628:W628" si="407">D84*D118</f>
        <v>1106.3248483441687</v>
      </c>
      <c r="E628">
        <f t="shared" si="407"/>
        <v>1016.2369932286546</v>
      </c>
      <c r="F628">
        <f t="shared" si="407"/>
        <v>837.40219682153565</v>
      </c>
      <c r="G628">
        <f t="shared" si="407"/>
        <v>1049.302610200127</v>
      </c>
      <c r="H628">
        <f t="shared" si="407"/>
        <v>783.00685264318201</v>
      </c>
      <c r="I628">
        <f t="shared" si="407"/>
        <v>511.38279893803764</v>
      </c>
      <c r="J628">
        <f t="shared" si="407"/>
        <v>895.6716168829256</v>
      </c>
      <c r="K628">
        <f t="shared" si="407"/>
        <v>962.65698021410299</v>
      </c>
      <c r="L628">
        <f t="shared" si="407"/>
        <v>668.72837759241668</v>
      </c>
      <c r="M628">
        <f t="shared" si="407"/>
        <v>804.58749431850879</v>
      </c>
      <c r="N628">
        <f t="shared" si="407"/>
        <v>1006.3270487535722</v>
      </c>
      <c r="O628">
        <f t="shared" si="407"/>
        <v>675.95860242528113</v>
      </c>
      <c r="P628">
        <f t="shared" si="407"/>
        <v>340.27132332843075</v>
      </c>
      <c r="Q628">
        <f t="shared" si="407"/>
        <v>460.01507787811835</v>
      </c>
      <c r="R628">
        <f t="shared" si="407"/>
        <v>497.57742450031378</v>
      </c>
      <c r="S628">
        <f t="shared" si="407"/>
        <v>762.96474567821031</v>
      </c>
      <c r="T628">
        <f t="shared" si="407"/>
        <v>873.25387822000062</v>
      </c>
      <c r="U628">
        <f t="shared" si="407"/>
        <v>629.76648199454053</v>
      </c>
      <c r="V628">
        <f t="shared" si="407"/>
        <v>915.11775858362853</v>
      </c>
      <c r="W628">
        <f t="shared" si="407"/>
        <v>1037.5227050247699</v>
      </c>
      <c r="Y628" s="8">
        <f t="shared" si="392"/>
        <v>15834.075815570524</v>
      </c>
      <c r="Z628">
        <f t="shared" si="393"/>
        <v>-562.299840620228</v>
      </c>
    </row>
    <row r="629" spans="1:26" x14ac:dyDescent="0.25">
      <c r="A629" t="s">
        <v>58</v>
      </c>
      <c r="D629">
        <f t="shared" ref="D629:W629" si="408">D85*D119</f>
        <v>1043.3283765833437</v>
      </c>
      <c r="E629">
        <f t="shared" si="408"/>
        <v>1126.1124253236892</v>
      </c>
      <c r="F629">
        <f t="shared" si="408"/>
        <v>908.43272899987335</v>
      </c>
      <c r="G629">
        <f t="shared" si="408"/>
        <v>807.01709964496968</v>
      </c>
      <c r="H629">
        <f t="shared" si="408"/>
        <v>665.89690129019641</v>
      </c>
      <c r="I629">
        <f t="shared" si="408"/>
        <v>809.18184400840767</v>
      </c>
      <c r="J629">
        <f t="shared" si="408"/>
        <v>636.36881464344242</v>
      </c>
      <c r="K629">
        <f t="shared" si="408"/>
        <v>878.06850043356576</v>
      </c>
      <c r="L629">
        <f t="shared" si="408"/>
        <v>911.66424478517683</v>
      </c>
      <c r="M629">
        <f t="shared" si="408"/>
        <v>776.84957433572765</v>
      </c>
      <c r="N629">
        <f t="shared" si="408"/>
        <v>658.89771047605745</v>
      </c>
      <c r="O629">
        <f t="shared" si="408"/>
        <v>608.52239907652074</v>
      </c>
      <c r="P629">
        <f t="shared" si="408"/>
        <v>664.73812507918024</v>
      </c>
      <c r="Q629">
        <f t="shared" si="408"/>
        <v>780.00213000716758</v>
      </c>
      <c r="R629">
        <f t="shared" si="408"/>
        <v>713.03747018665501</v>
      </c>
      <c r="S629">
        <f t="shared" si="408"/>
        <v>619.57955536985151</v>
      </c>
      <c r="T629">
        <f t="shared" si="408"/>
        <v>1053.587835357084</v>
      </c>
      <c r="U629">
        <f t="shared" si="408"/>
        <v>972.64777025241438</v>
      </c>
      <c r="V629">
        <f t="shared" si="408"/>
        <v>529.20175412857384</v>
      </c>
      <c r="W629">
        <f t="shared" si="408"/>
        <v>871.88639471555723</v>
      </c>
      <c r="Y629" s="8">
        <f t="shared" si="392"/>
        <v>16035.021654697455</v>
      </c>
      <c r="Z629">
        <f t="shared" si="393"/>
        <v>-347.73413207546253</v>
      </c>
    </row>
    <row r="630" spans="1:26" x14ac:dyDescent="0.25">
      <c r="A630" t="s">
        <v>59</v>
      </c>
      <c r="D630">
        <f t="shared" ref="D630:W630" si="409">D86*D120</f>
        <v>1136.9948196401422</v>
      </c>
      <c r="E630">
        <f t="shared" si="409"/>
        <v>1189.5025468323647</v>
      </c>
      <c r="F630">
        <f t="shared" si="409"/>
        <v>1076.4456770149186</v>
      </c>
      <c r="G630">
        <f t="shared" si="409"/>
        <v>1012.2069000782272</v>
      </c>
      <c r="H630">
        <f t="shared" si="409"/>
        <v>985.49948309838749</v>
      </c>
      <c r="I630">
        <f t="shared" si="409"/>
        <v>1066.3763007480131</v>
      </c>
      <c r="J630">
        <f t="shared" si="409"/>
        <v>964.15963488235411</v>
      </c>
      <c r="K630">
        <f t="shared" si="409"/>
        <v>957.34693795766714</v>
      </c>
      <c r="L630">
        <f t="shared" si="409"/>
        <v>833.91701777091532</v>
      </c>
      <c r="M630">
        <f t="shared" si="409"/>
        <v>759.35670380437068</v>
      </c>
      <c r="N630">
        <f t="shared" si="409"/>
        <v>798.40700562237441</v>
      </c>
      <c r="O630">
        <f t="shared" si="409"/>
        <v>797.36879731209831</v>
      </c>
      <c r="P630">
        <f t="shared" si="409"/>
        <v>823.71787408024841</v>
      </c>
      <c r="Q630">
        <f t="shared" si="409"/>
        <v>791.49627467128494</v>
      </c>
      <c r="R630">
        <f t="shared" si="409"/>
        <v>875.26085897891392</v>
      </c>
      <c r="S630">
        <f t="shared" si="409"/>
        <v>983.39829796783852</v>
      </c>
      <c r="T630">
        <f t="shared" si="409"/>
        <v>1013.0352520628796</v>
      </c>
      <c r="U630">
        <f t="shared" si="409"/>
        <v>950.92306644332859</v>
      </c>
      <c r="V630">
        <f t="shared" si="409"/>
        <v>1109.3861427232227</v>
      </c>
      <c r="W630">
        <f t="shared" si="409"/>
        <v>1058.530968643362</v>
      </c>
      <c r="Y630" s="8">
        <f t="shared" si="392"/>
        <v>19183.33056033291</v>
      </c>
      <c r="Z630">
        <f t="shared" si="393"/>
        <v>-280.9736126288883</v>
      </c>
    </row>
    <row r="631" spans="1:26" x14ac:dyDescent="0.25">
      <c r="A631" t="s">
        <v>60</v>
      </c>
      <c r="D631">
        <f t="shared" ref="D631:W631" si="410">D87*D121</f>
        <v>1101.9866726836512</v>
      </c>
      <c r="E631">
        <f t="shared" si="410"/>
        <v>1129.2044730967903</v>
      </c>
      <c r="F631">
        <f t="shared" si="410"/>
        <v>1049.388880063053</v>
      </c>
      <c r="G631">
        <f t="shared" si="410"/>
        <v>1010.4300983291463</v>
      </c>
      <c r="H631">
        <f t="shared" si="410"/>
        <v>994.24688739634428</v>
      </c>
      <c r="I631">
        <f t="shared" si="410"/>
        <v>1129.9829846990017</v>
      </c>
      <c r="J631">
        <f t="shared" si="410"/>
        <v>1022.7569892566214</v>
      </c>
      <c r="K631">
        <f t="shared" si="410"/>
        <v>988.60807409341339</v>
      </c>
      <c r="L631">
        <f t="shared" si="410"/>
        <v>854.89542931376604</v>
      </c>
      <c r="M631">
        <f t="shared" si="410"/>
        <v>770.48717962910121</v>
      </c>
      <c r="N631">
        <f t="shared" si="410"/>
        <v>698.5292699302388</v>
      </c>
      <c r="O631">
        <f t="shared" si="410"/>
        <v>636.5328194831834</v>
      </c>
      <c r="P631">
        <f t="shared" si="410"/>
        <v>738.57386448048987</v>
      </c>
      <c r="Q631">
        <f t="shared" si="410"/>
        <v>793.92257664741226</v>
      </c>
      <c r="R631">
        <f t="shared" si="410"/>
        <v>1131.3263640420155</v>
      </c>
      <c r="S631">
        <f t="shared" si="410"/>
        <v>1046.8069010155832</v>
      </c>
      <c r="T631">
        <f t="shared" si="410"/>
        <v>772.99487780973698</v>
      </c>
      <c r="U631">
        <f t="shared" si="410"/>
        <v>1031.5483422258503</v>
      </c>
      <c r="V631">
        <f t="shared" si="410"/>
        <v>1117.1235665504632</v>
      </c>
      <c r="W631">
        <f t="shared" si="410"/>
        <v>1106.3871897745369</v>
      </c>
      <c r="Y631" s="8">
        <f t="shared" si="392"/>
        <v>19125.733440520402</v>
      </c>
      <c r="Z631">
        <f t="shared" si="393"/>
        <v>-327.49784686346334</v>
      </c>
    </row>
    <row r="632" spans="1:26" x14ac:dyDescent="0.25">
      <c r="A632" t="s">
        <v>61</v>
      </c>
      <c r="D632">
        <f t="shared" ref="D632:W632" si="411">D88*D122</f>
        <v>1268.3682275843378</v>
      </c>
      <c r="E632">
        <f t="shared" si="411"/>
        <v>1493.1600088916466</v>
      </c>
      <c r="F632">
        <f t="shared" si="411"/>
        <v>1176.6784595754166</v>
      </c>
      <c r="G632">
        <f t="shared" si="411"/>
        <v>1018.9755741645181</v>
      </c>
      <c r="H632">
        <f t="shared" si="411"/>
        <v>926.30113961005839</v>
      </c>
      <c r="I632">
        <f t="shared" si="411"/>
        <v>705.6276320240155</v>
      </c>
      <c r="J632">
        <f t="shared" si="411"/>
        <v>630.98540730246202</v>
      </c>
      <c r="K632">
        <f t="shared" si="411"/>
        <v>698.53429839078649</v>
      </c>
      <c r="L632">
        <f t="shared" si="411"/>
        <v>686.12674634727387</v>
      </c>
      <c r="M632">
        <f t="shared" si="411"/>
        <v>794.37301948806237</v>
      </c>
      <c r="N632">
        <f t="shared" si="411"/>
        <v>706.66156767708253</v>
      </c>
      <c r="O632">
        <f t="shared" si="411"/>
        <v>662.92064763758833</v>
      </c>
      <c r="P632">
        <f t="shared" si="411"/>
        <v>750.14949467911072</v>
      </c>
      <c r="Q632">
        <f t="shared" si="411"/>
        <v>768.16326544887625</v>
      </c>
      <c r="R632">
        <f t="shared" si="411"/>
        <v>914.49881331097697</v>
      </c>
      <c r="S632">
        <f t="shared" si="411"/>
        <v>1290.4518988867296</v>
      </c>
      <c r="T632">
        <f t="shared" si="411"/>
        <v>1293.1541426655365</v>
      </c>
      <c r="U632">
        <f t="shared" si="411"/>
        <v>796.56240230457422</v>
      </c>
      <c r="V632">
        <f t="shared" si="411"/>
        <v>952.22178504291173</v>
      </c>
      <c r="W632">
        <f t="shared" si="411"/>
        <v>783.39758796442777</v>
      </c>
      <c r="Y632" s="8">
        <f t="shared" si="392"/>
        <v>18317.312118996389</v>
      </c>
      <c r="Z632">
        <f t="shared" si="393"/>
        <v>-378.33374465107244</v>
      </c>
    </row>
    <row r="633" spans="1:26" x14ac:dyDescent="0.25">
      <c r="A633" t="s">
        <v>62</v>
      </c>
      <c r="D633">
        <f t="shared" ref="D633:W633" si="412">D89*D123</f>
        <v>1013.4797167087409</v>
      </c>
      <c r="E633">
        <f t="shared" si="412"/>
        <v>1047.0030638439096</v>
      </c>
      <c r="F633">
        <f t="shared" si="412"/>
        <v>895.80166673009057</v>
      </c>
      <c r="G633">
        <f t="shared" si="412"/>
        <v>726.89314124373584</v>
      </c>
      <c r="H633">
        <f t="shared" si="412"/>
        <v>787.34283210821809</v>
      </c>
      <c r="I633">
        <f t="shared" si="412"/>
        <v>1210.6462993987811</v>
      </c>
      <c r="J633">
        <f t="shared" si="412"/>
        <v>992.76293158017791</v>
      </c>
      <c r="K633">
        <f t="shared" si="412"/>
        <v>827.88394723063152</v>
      </c>
      <c r="L633">
        <f t="shared" si="412"/>
        <v>857.6547232889518</v>
      </c>
      <c r="M633">
        <f t="shared" si="412"/>
        <v>758.00065919678514</v>
      </c>
      <c r="N633">
        <f t="shared" si="412"/>
        <v>788.65954140007398</v>
      </c>
      <c r="O633">
        <f t="shared" si="412"/>
        <v>783.09579600661209</v>
      </c>
      <c r="P633">
        <f t="shared" si="412"/>
        <v>835.51199923570493</v>
      </c>
      <c r="Q633">
        <f t="shared" si="412"/>
        <v>797.48896637512723</v>
      </c>
      <c r="R633">
        <f t="shared" si="412"/>
        <v>986.69594102708629</v>
      </c>
      <c r="S633">
        <f t="shared" si="412"/>
        <v>1038.46982252567</v>
      </c>
      <c r="T633">
        <f t="shared" si="412"/>
        <v>1026.7487933370357</v>
      </c>
      <c r="U633">
        <f t="shared" si="412"/>
        <v>1047.4377097194711</v>
      </c>
      <c r="V633">
        <f t="shared" si="412"/>
        <v>1088.7047656450959</v>
      </c>
      <c r="W633">
        <f t="shared" si="412"/>
        <v>1207.9408396150054</v>
      </c>
      <c r="Y633" s="8">
        <f t="shared" si="392"/>
        <v>18718.223156216907</v>
      </c>
      <c r="Z633">
        <f t="shared" si="393"/>
        <v>-107.01846200768625</v>
      </c>
    </row>
    <row r="634" spans="1:26" x14ac:dyDescent="0.25">
      <c r="A634" t="s">
        <v>63</v>
      </c>
      <c r="D634">
        <f t="shared" ref="D634:W634" si="413">D90*D124</f>
        <v>1077.5741541987902</v>
      </c>
      <c r="E634">
        <f t="shared" si="413"/>
        <v>771.4018825181771</v>
      </c>
      <c r="F634">
        <f t="shared" si="413"/>
        <v>843.22150518755734</v>
      </c>
      <c r="G634">
        <f t="shared" si="413"/>
        <v>890.18766669965714</v>
      </c>
      <c r="H634">
        <f t="shared" si="413"/>
        <v>987.7983700714401</v>
      </c>
      <c r="I634">
        <f t="shared" si="413"/>
        <v>1161.5096894798387</v>
      </c>
      <c r="J634">
        <f t="shared" si="413"/>
        <v>1006.4604035627523</v>
      </c>
      <c r="K634">
        <f t="shared" si="413"/>
        <v>1036.4553436818778</v>
      </c>
      <c r="L634">
        <f t="shared" si="413"/>
        <v>917.1926308003915</v>
      </c>
      <c r="M634">
        <f t="shared" si="413"/>
        <v>561.55433792781184</v>
      </c>
      <c r="N634">
        <f t="shared" si="413"/>
        <v>796.16327804315063</v>
      </c>
      <c r="O634">
        <f t="shared" si="413"/>
        <v>746.17346820154694</v>
      </c>
      <c r="P634">
        <f t="shared" si="413"/>
        <v>813.33650729506485</v>
      </c>
      <c r="Q634">
        <f t="shared" si="413"/>
        <v>689.26675986396856</v>
      </c>
      <c r="R634">
        <f t="shared" si="413"/>
        <v>632.10704508777303</v>
      </c>
      <c r="S634">
        <f t="shared" si="413"/>
        <v>912.90488914874391</v>
      </c>
      <c r="T634">
        <f t="shared" si="413"/>
        <v>924.18247324130903</v>
      </c>
      <c r="U634">
        <f t="shared" si="413"/>
        <v>991.50947392531441</v>
      </c>
      <c r="V634">
        <f t="shared" si="413"/>
        <v>1052.4017933321206</v>
      </c>
      <c r="W634">
        <f t="shared" si="413"/>
        <v>992.63165499052684</v>
      </c>
      <c r="Y634" s="8">
        <f t="shared" si="392"/>
        <v>17804.033327257814</v>
      </c>
      <c r="Z634">
        <f t="shared" si="393"/>
        <v>-62.798792629587879</v>
      </c>
    </row>
    <row r="635" spans="1:26" x14ac:dyDescent="0.25">
      <c r="A635" t="s">
        <v>64</v>
      </c>
      <c r="D635">
        <f t="shared" ref="D635:W635" si="414">D91*D125</f>
        <v>1208.6458167443211</v>
      </c>
      <c r="E635">
        <f t="shared" si="414"/>
        <v>1210.433521530146</v>
      </c>
      <c r="F635">
        <f t="shared" si="414"/>
        <v>1011.7320174428526</v>
      </c>
      <c r="G635">
        <f t="shared" si="414"/>
        <v>1226.4404205961262</v>
      </c>
      <c r="H635">
        <f t="shared" si="414"/>
        <v>979.84076787165839</v>
      </c>
      <c r="I635">
        <f t="shared" si="414"/>
        <v>1183.4887043876754</v>
      </c>
      <c r="J635">
        <f t="shared" si="414"/>
        <v>1065.9719049355858</v>
      </c>
      <c r="K635">
        <f t="shared" si="414"/>
        <v>1134.3021053549155</v>
      </c>
      <c r="L635">
        <f t="shared" si="414"/>
        <v>1106.4544436445335</v>
      </c>
      <c r="M635">
        <f t="shared" si="414"/>
        <v>902.83932954438683</v>
      </c>
      <c r="N635">
        <f t="shared" si="414"/>
        <v>951.51782598888201</v>
      </c>
      <c r="O635">
        <f t="shared" si="414"/>
        <v>838.95739601607681</v>
      </c>
      <c r="P635">
        <f t="shared" si="414"/>
        <v>814.76483513949449</v>
      </c>
      <c r="Q635">
        <f t="shared" si="414"/>
        <v>751.24318867380975</v>
      </c>
      <c r="R635">
        <f t="shared" si="414"/>
        <v>877.03541206766567</v>
      </c>
      <c r="S635">
        <f t="shared" si="414"/>
        <v>835.37281024694539</v>
      </c>
      <c r="T635">
        <f t="shared" si="414"/>
        <v>900.5411087281409</v>
      </c>
      <c r="U635">
        <f t="shared" si="414"/>
        <v>867.55842984179003</v>
      </c>
      <c r="V635">
        <f t="shared" si="414"/>
        <v>1239.2896263068451</v>
      </c>
      <c r="W635">
        <f t="shared" si="414"/>
        <v>1119.8723561816121</v>
      </c>
      <c r="Y635" s="8">
        <f t="shared" si="392"/>
        <v>20226.30202124346</v>
      </c>
      <c r="Z635">
        <f t="shared" si="393"/>
        <v>-416.72108257577145</v>
      </c>
    </row>
    <row r="636" spans="1:26" x14ac:dyDescent="0.25">
      <c r="A636" t="s">
        <v>65</v>
      </c>
      <c r="D636">
        <f t="shared" ref="D636:W636" si="415">D92*D126</f>
        <v>1379.9597831523797</v>
      </c>
      <c r="E636">
        <f t="shared" si="415"/>
        <v>1720.9069434957576</v>
      </c>
      <c r="F636">
        <f t="shared" si="415"/>
        <v>1467.6643583196244</v>
      </c>
      <c r="G636">
        <f t="shared" si="415"/>
        <v>1266.8084863675699</v>
      </c>
      <c r="H636">
        <f t="shared" si="415"/>
        <v>1221.7816800300573</v>
      </c>
      <c r="I636">
        <f t="shared" si="415"/>
        <v>1340.1861712162154</v>
      </c>
      <c r="J636">
        <f t="shared" si="415"/>
        <v>1197.2793342608279</v>
      </c>
      <c r="K636">
        <f t="shared" si="415"/>
        <v>1093.2345444660166</v>
      </c>
      <c r="L636">
        <f t="shared" si="415"/>
        <v>655.13985418194386</v>
      </c>
      <c r="M636">
        <f t="shared" si="415"/>
        <v>793.24522253548992</v>
      </c>
      <c r="N636">
        <f t="shared" si="415"/>
        <v>755.76812828990228</v>
      </c>
      <c r="O636">
        <f t="shared" si="415"/>
        <v>908.09865693854999</v>
      </c>
      <c r="P636">
        <f t="shared" si="415"/>
        <v>869.85749738498419</v>
      </c>
      <c r="Q636">
        <f t="shared" si="415"/>
        <v>915.47117680941176</v>
      </c>
      <c r="R636">
        <f t="shared" si="415"/>
        <v>962.08757135663188</v>
      </c>
      <c r="S636">
        <f t="shared" si="415"/>
        <v>821.90764399093007</v>
      </c>
      <c r="T636">
        <f t="shared" si="415"/>
        <v>911.43443258692503</v>
      </c>
      <c r="U636">
        <f t="shared" si="415"/>
        <v>1045.9078269078195</v>
      </c>
      <c r="V636">
        <f t="shared" si="415"/>
        <v>1215.218600201533</v>
      </c>
      <c r="W636">
        <f t="shared" si="415"/>
        <v>1207.1271871517063</v>
      </c>
      <c r="Y636" s="8">
        <f t="shared" si="392"/>
        <v>21749.085099644275</v>
      </c>
      <c r="Z636">
        <f t="shared" si="393"/>
        <v>-541.61400757242484</v>
      </c>
    </row>
    <row r="637" spans="1:26" x14ac:dyDescent="0.25">
      <c r="A637" t="s">
        <v>66</v>
      </c>
      <c r="D637">
        <f t="shared" ref="D637:W637" si="416">D93*D127</f>
        <v>857.17144228087</v>
      </c>
      <c r="E637">
        <f t="shared" si="416"/>
        <v>997.27185459732868</v>
      </c>
      <c r="F637">
        <f t="shared" si="416"/>
        <v>1063.6817383425707</v>
      </c>
      <c r="G637">
        <f t="shared" si="416"/>
        <v>981.92301417897727</v>
      </c>
      <c r="H637">
        <f t="shared" si="416"/>
        <v>1012.7270764803172</v>
      </c>
      <c r="I637">
        <f t="shared" si="416"/>
        <v>776.37527316577837</v>
      </c>
      <c r="J637">
        <f t="shared" si="416"/>
        <v>849.34836033306124</v>
      </c>
      <c r="K637">
        <f t="shared" si="416"/>
        <v>826.03394055906097</v>
      </c>
      <c r="L637">
        <f t="shared" si="416"/>
        <v>713.86877685368097</v>
      </c>
      <c r="M637">
        <f t="shared" si="416"/>
        <v>544.19555871851662</v>
      </c>
      <c r="N637">
        <f t="shared" si="416"/>
        <v>514.6316996743343</v>
      </c>
      <c r="O637">
        <f t="shared" si="416"/>
        <v>663.10390407155387</v>
      </c>
      <c r="P637">
        <f t="shared" si="416"/>
        <v>781.25384941845641</v>
      </c>
      <c r="Q637">
        <f t="shared" si="416"/>
        <v>683.41576498578445</v>
      </c>
      <c r="R637">
        <f t="shared" si="416"/>
        <v>1140.8284682909984</v>
      </c>
      <c r="S637">
        <f t="shared" si="416"/>
        <v>1206.7893439524576</v>
      </c>
      <c r="T637">
        <f t="shared" si="416"/>
        <v>1366.9160407157276</v>
      </c>
      <c r="U637">
        <f t="shared" si="416"/>
        <v>1214.1309721694283</v>
      </c>
      <c r="V637">
        <f t="shared" si="416"/>
        <v>1080.7058285366932</v>
      </c>
      <c r="W637">
        <f t="shared" si="416"/>
        <v>1101.2731555519495</v>
      </c>
      <c r="Y637" s="8">
        <f t="shared" si="392"/>
        <v>18375.646062877546</v>
      </c>
      <c r="Z637">
        <f t="shared" si="393"/>
        <v>2.6957173719085574</v>
      </c>
    </row>
    <row r="638" spans="1:26" x14ac:dyDescent="0.25">
      <c r="A638" t="s">
        <v>67</v>
      </c>
      <c r="D638">
        <f t="shared" ref="D638:W638" si="417">D94*D128</f>
        <v>931.15688381203427</v>
      </c>
      <c r="E638">
        <f t="shared" si="417"/>
        <v>909.02015692641658</v>
      </c>
      <c r="F638">
        <f t="shared" si="417"/>
        <v>955.77888865408431</v>
      </c>
      <c r="G638">
        <f t="shared" si="417"/>
        <v>879.010474888609</v>
      </c>
      <c r="H638">
        <f t="shared" si="417"/>
        <v>893.01594769788221</v>
      </c>
      <c r="I638">
        <f t="shared" si="417"/>
        <v>878.86213020129537</v>
      </c>
      <c r="J638">
        <f t="shared" si="417"/>
        <v>882.52698007088713</v>
      </c>
      <c r="K638">
        <f t="shared" si="417"/>
        <v>840.04554623242132</v>
      </c>
      <c r="L638">
        <f t="shared" si="417"/>
        <v>684.24684624308645</v>
      </c>
      <c r="M638">
        <f t="shared" si="417"/>
        <v>581.08237907847843</v>
      </c>
      <c r="N638">
        <f t="shared" si="417"/>
        <v>533.31737314581801</v>
      </c>
      <c r="O638">
        <f t="shared" si="417"/>
        <v>754.07085587398888</v>
      </c>
      <c r="P638">
        <f t="shared" si="417"/>
        <v>620.3728913669363</v>
      </c>
      <c r="Q638">
        <f t="shared" si="417"/>
        <v>579.85406488683668</v>
      </c>
      <c r="R638">
        <f t="shared" si="417"/>
        <v>428.67104694381027</v>
      </c>
      <c r="S638">
        <f t="shared" si="417"/>
        <v>475.04886860947227</v>
      </c>
      <c r="T638">
        <f t="shared" si="417"/>
        <v>490.49239847441692</v>
      </c>
      <c r="U638">
        <f t="shared" si="417"/>
        <v>574.67998343726708</v>
      </c>
      <c r="V638">
        <f t="shared" si="417"/>
        <v>1185.1046334557598</v>
      </c>
      <c r="W638">
        <f t="shared" si="417"/>
        <v>1222.5568188211571</v>
      </c>
      <c r="Y638" s="8">
        <f t="shared" si="392"/>
        <v>15298.915168820655</v>
      </c>
      <c r="Z638">
        <f t="shared" si="393"/>
        <v>-349.0046073000982</v>
      </c>
    </row>
    <row r="639" spans="1:26" x14ac:dyDescent="0.25">
      <c r="Y639" s="8"/>
    </row>
    <row r="640" spans="1:26" x14ac:dyDescent="0.25">
      <c r="A640" t="s">
        <v>68</v>
      </c>
      <c r="D640">
        <f t="shared" ref="D640:W640" si="418">D96*D130</f>
        <v>859.12299006268779</v>
      </c>
      <c r="E640">
        <f t="shared" si="418"/>
        <v>686.98963167921306</v>
      </c>
      <c r="F640">
        <f t="shared" si="418"/>
        <v>712.01483388365716</v>
      </c>
      <c r="G640">
        <f t="shared" si="418"/>
        <v>1207.5773607888955</v>
      </c>
      <c r="H640">
        <f t="shared" si="418"/>
        <v>821.1722736744008</v>
      </c>
      <c r="I640">
        <f t="shared" si="418"/>
        <v>1076.4076506241206</v>
      </c>
      <c r="J640">
        <f t="shared" si="418"/>
        <v>838.40112419331513</v>
      </c>
      <c r="K640">
        <f t="shared" si="418"/>
        <v>606.9719623227254</v>
      </c>
      <c r="L640">
        <f t="shared" si="418"/>
        <v>508.51522549383935</v>
      </c>
      <c r="M640">
        <f t="shared" si="418"/>
        <v>749.68049115425401</v>
      </c>
      <c r="N640">
        <f t="shared" si="418"/>
        <v>598.88848964763656</v>
      </c>
      <c r="O640">
        <f t="shared" si="418"/>
        <v>598.30037072159632</v>
      </c>
      <c r="P640">
        <f t="shared" si="418"/>
        <v>774.67508528581618</v>
      </c>
      <c r="Q640">
        <f t="shared" si="418"/>
        <v>782.53779435918011</v>
      </c>
      <c r="R640">
        <f t="shared" si="418"/>
        <v>854.68098080714822</v>
      </c>
      <c r="S640">
        <f t="shared" si="418"/>
        <v>956.48116764432427</v>
      </c>
      <c r="T640">
        <f t="shared" si="418"/>
        <v>1135.340280585227</v>
      </c>
      <c r="U640">
        <f t="shared" si="418"/>
        <v>994.16984509603606</v>
      </c>
      <c r="V640">
        <f t="shared" si="418"/>
        <v>1022.0150514815681</v>
      </c>
      <c r="W640">
        <f t="shared" si="418"/>
        <v>883.31137453873293</v>
      </c>
      <c r="Y640" s="8">
        <f t="shared" si="392"/>
        <v>16667.253984044375</v>
      </c>
      <c r="Z640">
        <f>SUMPRODUCT($D$644:$W$644,D640:W640)</f>
        <v>-25.892988628697935</v>
      </c>
    </row>
    <row r="641" spans="1:26" x14ac:dyDescent="0.25">
      <c r="A641" t="s">
        <v>312</v>
      </c>
      <c r="D641">
        <f t="shared" ref="D641:W641" si="419">D97*D131</f>
        <v>1499.1179115141961</v>
      </c>
      <c r="E641">
        <f t="shared" si="419"/>
        <v>1455.1246328802945</v>
      </c>
      <c r="F641">
        <f t="shared" si="419"/>
        <v>877.27104750785361</v>
      </c>
      <c r="G641">
        <f t="shared" si="419"/>
        <v>985.01228999412092</v>
      </c>
      <c r="H641">
        <f t="shared" si="419"/>
        <v>1231.5288924363033</v>
      </c>
      <c r="I641">
        <f t="shared" si="419"/>
        <v>1181.8426916600833</v>
      </c>
      <c r="J641">
        <f t="shared" si="419"/>
        <v>1223.0177865221351</v>
      </c>
      <c r="K641">
        <f t="shared" si="419"/>
        <v>655.27328585800115</v>
      </c>
      <c r="L641">
        <f t="shared" si="419"/>
        <v>597.06227266565759</v>
      </c>
      <c r="M641">
        <f t="shared" si="419"/>
        <v>650.95299827045585</v>
      </c>
      <c r="N641">
        <f t="shared" si="419"/>
        <v>510.26742965851616</v>
      </c>
      <c r="O641">
        <f t="shared" si="419"/>
        <v>626.32384850635628</v>
      </c>
      <c r="P641">
        <f t="shared" si="419"/>
        <v>844.8</v>
      </c>
      <c r="Q641">
        <f t="shared" si="419"/>
        <v>891.45</v>
      </c>
      <c r="R641">
        <f t="shared" si="419"/>
        <v>966.81</v>
      </c>
      <c r="S641">
        <f t="shared" si="419"/>
        <v>308.22000000000003</v>
      </c>
      <c r="T641">
        <f t="shared" si="419"/>
        <v>765.38</v>
      </c>
      <c r="U641">
        <f t="shared" si="419"/>
        <v>795.19999999999993</v>
      </c>
      <c r="V641">
        <f t="shared" si="419"/>
        <v>1110.78</v>
      </c>
      <c r="W641">
        <f t="shared" si="419"/>
        <v>809.9</v>
      </c>
      <c r="Y641" s="8">
        <f t="shared" si="392"/>
        <v>17985.335087473974</v>
      </c>
      <c r="Z641">
        <f>SUMPRODUCT($D$644:$W$644,D641:W641)</f>
        <v>-414.347316090589</v>
      </c>
    </row>
    <row r="642" spans="1:26" x14ac:dyDescent="0.25">
      <c r="A642" t="s">
        <v>313</v>
      </c>
      <c r="D642">
        <f t="shared" ref="D642:W642" si="420">D98*D132</f>
        <v>1199.68</v>
      </c>
      <c r="E642">
        <f t="shared" si="420"/>
        <v>1469.49</v>
      </c>
      <c r="F642">
        <f t="shared" si="420"/>
        <v>876.99</v>
      </c>
      <c r="G642">
        <f t="shared" si="420"/>
        <v>839.59</v>
      </c>
      <c r="H642">
        <f t="shared" si="420"/>
        <v>1124.72</v>
      </c>
      <c r="I642">
        <f t="shared" si="420"/>
        <v>1144.5199999999998</v>
      </c>
      <c r="J642">
        <f t="shared" si="420"/>
        <v>1291.29</v>
      </c>
      <c r="K642">
        <f t="shared" si="420"/>
        <v>939.41999999999985</v>
      </c>
      <c r="L642">
        <f t="shared" si="420"/>
        <v>706.88000000000011</v>
      </c>
      <c r="M642">
        <f t="shared" si="420"/>
        <v>582.96</v>
      </c>
      <c r="N642">
        <f t="shared" si="420"/>
        <v>583.49</v>
      </c>
      <c r="O642">
        <f t="shared" si="420"/>
        <v>565.02</v>
      </c>
      <c r="P642">
        <f t="shared" si="420"/>
        <v>808.89385979488509</v>
      </c>
      <c r="Q642">
        <f t="shared" si="420"/>
        <v>799.69254175419826</v>
      </c>
      <c r="R642">
        <f t="shared" si="420"/>
        <v>843.36097817991686</v>
      </c>
      <c r="S642">
        <f t="shared" si="420"/>
        <v>873.53060749272231</v>
      </c>
      <c r="T642">
        <f t="shared" si="420"/>
        <v>922.0551683373659</v>
      </c>
      <c r="U642">
        <f t="shared" si="420"/>
        <v>1006.9021551733885</v>
      </c>
      <c r="V642">
        <f t="shared" si="420"/>
        <v>1072.5195297541241</v>
      </c>
      <c r="W642">
        <f t="shared" si="420"/>
        <v>1078.8080018487592</v>
      </c>
      <c r="Y642" s="8">
        <f t="shared" si="392"/>
        <v>18729.812842335359</v>
      </c>
      <c r="Z642">
        <f>SUMPRODUCT($D$644:$W$644,D642:W642)</f>
        <v>-193.11827623705221</v>
      </c>
    </row>
    <row r="643" spans="1:26" x14ac:dyDescent="0.25">
      <c r="A643" t="s">
        <v>676</v>
      </c>
      <c r="D643">
        <f t="shared" ref="D643:W643" si="421">D99*D133</f>
        <v>1238.1238379820559</v>
      </c>
      <c r="E643">
        <f t="shared" si="421"/>
        <v>1137.532064465636</v>
      </c>
      <c r="F643">
        <f t="shared" si="421"/>
        <v>1153.1033655477102</v>
      </c>
      <c r="G643">
        <f t="shared" si="421"/>
        <v>1204.1780484529627</v>
      </c>
      <c r="H643">
        <f t="shared" si="421"/>
        <v>1207.043516837907</v>
      </c>
      <c r="I643">
        <f t="shared" si="421"/>
        <v>960.58568425943827</v>
      </c>
      <c r="J643">
        <f t="shared" si="421"/>
        <v>889.29734905818611</v>
      </c>
      <c r="K643">
        <f t="shared" si="421"/>
        <v>925.60178676275882</v>
      </c>
      <c r="L643">
        <f t="shared" si="421"/>
        <v>843.95635971752438</v>
      </c>
      <c r="M643">
        <f t="shared" si="421"/>
        <v>749.31484967095673</v>
      </c>
      <c r="N643">
        <f t="shared" si="421"/>
        <v>772.76865696385562</v>
      </c>
      <c r="O643">
        <f t="shared" si="421"/>
        <v>759.98706631959101</v>
      </c>
      <c r="P643">
        <f t="shared" si="421"/>
        <v>723.28569769493788</v>
      </c>
      <c r="Q643">
        <f t="shared" si="421"/>
        <v>800.70186928961914</v>
      </c>
      <c r="R643">
        <f t="shared" si="421"/>
        <v>862.84</v>
      </c>
      <c r="S643">
        <f t="shared" si="421"/>
        <v>888</v>
      </c>
      <c r="T643">
        <f t="shared" si="421"/>
        <v>968.4405157272555</v>
      </c>
      <c r="U643">
        <f t="shared" si="421"/>
        <v>939.93951055372395</v>
      </c>
      <c r="V643">
        <f t="shared" si="421"/>
        <v>982.46333313684806</v>
      </c>
      <c r="W643">
        <f t="shared" si="421"/>
        <v>1034.4879576599262</v>
      </c>
      <c r="Y643" s="8">
        <f t="shared" ref="Y643" si="422">SUM(D643:W643)</f>
        <v>19041.651470100896</v>
      </c>
      <c r="Z643">
        <f>SUMPRODUCT($D$644:$W$644,D643:W643)</f>
        <v>-431.38370099369627</v>
      </c>
    </row>
    <row r="644" spans="1:26" x14ac:dyDescent="0.25">
      <c r="A644" s="2" t="s">
        <v>69</v>
      </c>
      <c r="D644" s="3">
        <f>CORREL($B$2:$B$26,D614:D638)</f>
        <v>-0.28881543252332537</v>
      </c>
      <c r="E644" s="3">
        <f t="shared" ref="E644:W644" si="423">CORREL($B$2:$B$26,E614:E638)</f>
        <v>-0.2228684432847545</v>
      </c>
      <c r="F644" s="3">
        <f t="shared" si="423"/>
        <v>-0.1192548754264653</v>
      </c>
      <c r="G644" s="3">
        <f t="shared" si="423"/>
        <v>-0.25862520669408756</v>
      </c>
      <c r="H644" s="3">
        <f t="shared" si="423"/>
        <v>5.4416571845416963E-2</v>
      </c>
      <c r="I644" s="3">
        <f t="shared" si="423"/>
        <v>0.23552467503613772</v>
      </c>
      <c r="J644" s="3">
        <f t="shared" si="423"/>
        <v>0.13080099445674329</v>
      </c>
      <c r="K644" s="3">
        <f t="shared" si="423"/>
        <v>1.9420269176264493E-2</v>
      </c>
      <c r="L644" s="3">
        <f t="shared" si="423"/>
        <v>1.8490961056436696E-2</v>
      </c>
      <c r="M644" s="3">
        <f t="shared" si="423"/>
        <v>-0.15941544008417324</v>
      </c>
      <c r="N644" s="3">
        <f t="shared" si="423"/>
        <v>-0.2275967075054208</v>
      </c>
      <c r="O644" s="3">
        <f t="shared" si="423"/>
        <v>-5.114843409196651E-2</v>
      </c>
      <c r="P644" s="3">
        <f t="shared" si="423"/>
        <v>0.16833175084222532</v>
      </c>
      <c r="Q644" s="3">
        <f t="shared" si="423"/>
        <v>-3.792634807718092E-2</v>
      </c>
      <c r="R644" s="3">
        <f t="shared" si="423"/>
        <v>-9.2448224333154819E-2</v>
      </c>
      <c r="S644" s="3">
        <f t="shared" si="423"/>
        <v>0.11897130747737153</v>
      </c>
      <c r="T644" s="3">
        <f t="shared" si="423"/>
        <v>0.38767111751306388</v>
      </c>
      <c r="U644" s="3">
        <f t="shared" si="423"/>
        <v>1.8693358575237452E-2</v>
      </c>
      <c r="V644" s="3">
        <f t="shared" si="423"/>
        <v>0.14467280949127115</v>
      </c>
      <c r="W644" s="3">
        <f t="shared" si="423"/>
        <v>-0.12697936619788286</v>
      </c>
    </row>
    <row r="647" spans="1:26" x14ac:dyDescent="0.25">
      <c r="D647" t="s">
        <v>218</v>
      </c>
      <c r="E647" t="s">
        <v>219</v>
      </c>
      <c r="F647" t="s">
        <v>220</v>
      </c>
      <c r="G647" t="s">
        <v>221</v>
      </c>
      <c r="H647" t="s">
        <v>222</v>
      </c>
      <c r="I647" t="s">
        <v>223</v>
      </c>
      <c r="J647" t="s">
        <v>224</v>
      </c>
      <c r="K647" t="s">
        <v>225</v>
      </c>
      <c r="L647" t="s">
        <v>334</v>
      </c>
      <c r="M647" t="s">
        <v>400</v>
      </c>
      <c r="N647" t="s">
        <v>401</v>
      </c>
      <c r="O647" t="s">
        <v>402</v>
      </c>
      <c r="P647" t="s">
        <v>528</v>
      </c>
      <c r="Q647" t="s">
        <v>529</v>
      </c>
      <c r="R647" t="s">
        <v>530</v>
      </c>
      <c r="S647" t="s">
        <v>531</v>
      </c>
      <c r="T647" t="s">
        <v>640</v>
      </c>
      <c r="U647" t="s">
        <v>641</v>
      </c>
      <c r="V647" t="s">
        <v>642</v>
      </c>
      <c r="W647" t="s">
        <v>643</v>
      </c>
      <c r="Y647" t="s">
        <v>226</v>
      </c>
      <c r="Z647" t="s">
        <v>227</v>
      </c>
    </row>
    <row r="648" spans="1:26" x14ac:dyDescent="0.25">
      <c r="A648" t="s">
        <v>43</v>
      </c>
      <c r="D648">
        <f t="shared" ref="D648:W648" si="424">D70*D138</f>
        <v>1014.5512355297042</v>
      </c>
      <c r="E648">
        <f t="shared" si="424"/>
        <v>924.12454529873435</v>
      </c>
      <c r="F648">
        <f t="shared" si="424"/>
        <v>1084.9444805006431</v>
      </c>
      <c r="G648">
        <f t="shared" si="424"/>
        <v>1270.7420413217562</v>
      </c>
      <c r="H648">
        <f t="shared" si="424"/>
        <v>914.02855745432726</v>
      </c>
      <c r="I648">
        <f t="shared" si="424"/>
        <v>431.9364598831516</v>
      </c>
      <c r="J648">
        <f t="shared" si="424"/>
        <v>668.01887595454707</v>
      </c>
      <c r="K648">
        <f t="shared" si="424"/>
        <v>523.58656085630923</v>
      </c>
      <c r="L648">
        <f t="shared" si="424"/>
        <v>664.0096529599839</v>
      </c>
      <c r="M648">
        <f t="shared" si="424"/>
        <v>517.82331332438662</v>
      </c>
      <c r="N648">
        <f t="shared" si="424"/>
        <v>578.93735304422944</v>
      </c>
      <c r="O648">
        <f t="shared" si="424"/>
        <v>816.99630865043832</v>
      </c>
      <c r="P648">
        <f t="shared" si="424"/>
        <v>652.89394485786363</v>
      </c>
      <c r="Q648">
        <f t="shared" si="424"/>
        <v>625.7841238015211</v>
      </c>
      <c r="R648">
        <f t="shared" si="424"/>
        <v>632.00304672329105</v>
      </c>
      <c r="S648">
        <f t="shared" si="424"/>
        <v>813.35511228541736</v>
      </c>
      <c r="T648">
        <f t="shared" si="424"/>
        <v>739.33715736475654</v>
      </c>
      <c r="U648">
        <f t="shared" si="424"/>
        <v>724.93910175317478</v>
      </c>
      <c r="V648">
        <f t="shared" si="424"/>
        <v>975.63580144635</v>
      </c>
      <c r="W648">
        <f t="shared" si="424"/>
        <v>1083.672986056702</v>
      </c>
      <c r="Y648" s="8">
        <f t="shared" ref="Y648:Y676" si="425">SUM(D648:W648)</f>
        <v>15657.320659067285</v>
      </c>
      <c r="Z648">
        <f t="shared" ref="Z648:Z672" si="426">SUMPRODUCT($D$678:$W$678,D648:W648)</f>
        <v>-228.54383452648085</v>
      </c>
    </row>
    <row r="649" spans="1:26" x14ac:dyDescent="0.25">
      <c r="A649" t="s">
        <v>44</v>
      </c>
      <c r="D649">
        <f t="shared" ref="D649:W649" si="427">D71*D139</f>
        <v>970.21694145730146</v>
      </c>
      <c r="E649">
        <f t="shared" si="427"/>
        <v>823.22605011933626</v>
      </c>
      <c r="F649">
        <f t="shared" si="427"/>
        <v>698.16457663918686</v>
      </c>
      <c r="G649">
        <f t="shared" si="427"/>
        <v>639.47118045817717</v>
      </c>
      <c r="H649">
        <f t="shared" si="427"/>
        <v>747.69793092759483</v>
      </c>
      <c r="I649">
        <f t="shared" si="427"/>
        <v>519.9847698212086</v>
      </c>
      <c r="J649">
        <f t="shared" si="427"/>
        <v>644.4293557767927</v>
      </c>
      <c r="K649">
        <f t="shared" si="427"/>
        <v>833.5909098820797</v>
      </c>
      <c r="L649">
        <f t="shared" si="427"/>
        <v>555.03128033865153</v>
      </c>
      <c r="M649">
        <f t="shared" si="427"/>
        <v>717.97313077230535</v>
      </c>
      <c r="N649">
        <f t="shared" si="427"/>
        <v>390.27939410212144</v>
      </c>
      <c r="O649">
        <f t="shared" si="427"/>
        <v>789.09566495685658</v>
      </c>
      <c r="P649">
        <f t="shared" si="427"/>
        <v>415.39764048357102</v>
      </c>
      <c r="Q649">
        <f t="shared" si="427"/>
        <v>569.09478722380186</v>
      </c>
      <c r="R649">
        <f t="shared" si="427"/>
        <v>698.28132637460408</v>
      </c>
      <c r="S649">
        <f t="shared" si="427"/>
        <v>635.62043249694955</v>
      </c>
      <c r="T649">
        <f t="shared" si="427"/>
        <v>610.45250135558695</v>
      </c>
      <c r="U649">
        <f t="shared" si="427"/>
        <v>485.07153094797798</v>
      </c>
      <c r="V649">
        <f t="shared" si="427"/>
        <v>632.11692254453635</v>
      </c>
      <c r="W649">
        <f t="shared" si="427"/>
        <v>974.43424210762407</v>
      </c>
      <c r="Y649" s="8">
        <f t="shared" si="425"/>
        <v>13349.63056878626</v>
      </c>
      <c r="Z649">
        <f t="shared" si="426"/>
        <v>32.66594286911306</v>
      </c>
    </row>
    <row r="650" spans="1:26" x14ac:dyDescent="0.25">
      <c r="A650" t="s">
        <v>45</v>
      </c>
      <c r="D650">
        <f t="shared" ref="D650:W650" si="428">D72*D140</f>
        <v>995.99571611204124</v>
      </c>
      <c r="E650">
        <f t="shared" si="428"/>
        <v>978.71095084012745</v>
      </c>
      <c r="F650">
        <f t="shared" si="428"/>
        <v>926.95534471832775</v>
      </c>
      <c r="G650">
        <f t="shared" si="428"/>
        <v>712.58136690679191</v>
      </c>
      <c r="H650">
        <f t="shared" si="428"/>
        <v>650.25408215059326</v>
      </c>
      <c r="I650">
        <f t="shared" si="428"/>
        <v>591.71418139417608</v>
      </c>
      <c r="J650">
        <f t="shared" si="428"/>
        <v>541.87915010268659</v>
      </c>
      <c r="K650">
        <f t="shared" si="428"/>
        <v>525.92889314698687</v>
      </c>
      <c r="L650">
        <f t="shared" si="428"/>
        <v>577.42431307174377</v>
      </c>
      <c r="M650">
        <f t="shared" si="428"/>
        <v>769.8874361931795</v>
      </c>
      <c r="N650">
        <f t="shared" si="428"/>
        <v>586.46376146540536</v>
      </c>
      <c r="O650">
        <f t="shared" si="428"/>
        <v>590.55828586649045</v>
      </c>
      <c r="P650">
        <f t="shared" si="428"/>
        <v>697.42787029845783</v>
      </c>
      <c r="Q650">
        <f t="shared" si="428"/>
        <v>724.73038425374227</v>
      </c>
      <c r="R650">
        <f t="shared" si="428"/>
        <v>682.30979154509942</v>
      </c>
      <c r="S650">
        <f t="shared" si="428"/>
        <v>882.24727279660317</v>
      </c>
      <c r="T650">
        <f t="shared" si="428"/>
        <v>757.50887933148692</v>
      </c>
      <c r="U650">
        <f t="shared" si="428"/>
        <v>812.15599924706441</v>
      </c>
      <c r="V650">
        <f t="shared" si="428"/>
        <v>796.42169050028053</v>
      </c>
      <c r="W650">
        <f t="shared" si="428"/>
        <v>914.24522732098205</v>
      </c>
      <c r="Y650" s="8">
        <f t="shared" si="425"/>
        <v>14715.400597262269</v>
      </c>
      <c r="Z650">
        <f t="shared" si="426"/>
        <v>-75.522900369755703</v>
      </c>
    </row>
    <row r="651" spans="1:26" x14ac:dyDescent="0.25">
      <c r="A651" t="s">
        <v>46</v>
      </c>
      <c r="D651">
        <f t="shared" ref="D651:W651" si="429">D73*D141</f>
        <v>1329.102907781961</v>
      </c>
      <c r="E651">
        <f t="shared" si="429"/>
        <v>827.2925081142389</v>
      </c>
      <c r="F651">
        <f t="shared" si="429"/>
        <v>758.09402983734333</v>
      </c>
      <c r="G651">
        <f t="shared" si="429"/>
        <v>939.90208963003238</v>
      </c>
      <c r="H651">
        <f t="shared" si="429"/>
        <v>816.72714717536621</v>
      </c>
      <c r="I651">
        <f t="shared" si="429"/>
        <v>645.07890764150136</v>
      </c>
      <c r="J651">
        <f t="shared" si="429"/>
        <v>599.02989213753358</v>
      </c>
      <c r="K651">
        <f t="shared" si="429"/>
        <v>837.64416026027141</v>
      </c>
      <c r="L651">
        <f t="shared" si="429"/>
        <v>888.10755453071874</v>
      </c>
      <c r="M651">
        <f t="shared" si="429"/>
        <v>470.60223785863246</v>
      </c>
      <c r="N651">
        <f t="shared" si="429"/>
        <v>567.32238391821681</v>
      </c>
      <c r="O651">
        <f t="shared" si="429"/>
        <v>653.55924353642808</v>
      </c>
      <c r="P651">
        <f t="shared" si="429"/>
        <v>876.75021851824317</v>
      </c>
      <c r="Q651">
        <f t="shared" si="429"/>
        <v>648.20667015999561</v>
      </c>
      <c r="R651">
        <f t="shared" si="429"/>
        <v>578.76894384395484</v>
      </c>
      <c r="S651">
        <f t="shared" si="429"/>
        <v>489.18108707970379</v>
      </c>
      <c r="T651">
        <f t="shared" si="429"/>
        <v>518.10446957502484</v>
      </c>
      <c r="U651">
        <f t="shared" si="429"/>
        <v>689.11541002158685</v>
      </c>
      <c r="V651">
        <f t="shared" si="429"/>
        <v>914.13741963220241</v>
      </c>
      <c r="W651">
        <f t="shared" si="429"/>
        <v>689.81116531170392</v>
      </c>
      <c r="Y651" s="8">
        <f t="shared" si="425"/>
        <v>14736.53844656466</v>
      </c>
      <c r="Z651">
        <f t="shared" si="426"/>
        <v>-197.95835256057723</v>
      </c>
    </row>
    <row r="652" spans="1:26" x14ac:dyDescent="0.25">
      <c r="A652" t="s">
        <v>47</v>
      </c>
      <c r="D652">
        <f t="shared" ref="D652:W652" si="430">D74*D142</f>
        <v>598.17505821949885</v>
      </c>
      <c r="E652">
        <f t="shared" si="430"/>
        <v>433.18602777496045</v>
      </c>
      <c r="F652">
        <f t="shared" si="430"/>
        <v>703.28216479240734</v>
      </c>
      <c r="G652">
        <f t="shared" si="430"/>
        <v>832.61372331206564</v>
      </c>
      <c r="H652">
        <f t="shared" si="430"/>
        <v>657.97888725246128</v>
      </c>
      <c r="I652">
        <f t="shared" si="430"/>
        <v>279.74368327477913</v>
      </c>
      <c r="J652">
        <f t="shared" si="430"/>
        <v>352.61547277460141</v>
      </c>
      <c r="K652">
        <f t="shared" si="430"/>
        <v>396.93740459436373</v>
      </c>
      <c r="L652">
        <f t="shared" si="430"/>
        <v>165.16537292113975</v>
      </c>
      <c r="M652">
        <f t="shared" si="430"/>
        <v>158.37629642164597</v>
      </c>
      <c r="N652">
        <f t="shared" si="430"/>
        <v>156.70043823477798</v>
      </c>
      <c r="O652">
        <f t="shared" si="430"/>
        <v>187.33391387700715</v>
      </c>
      <c r="P652">
        <f t="shared" si="430"/>
        <v>250.42445192990206</v>
      </c>
      <c r="Q652">
        <f t="shared" si="430"/>
        <v>248.41869228529819</v>
      </c>
      <c r="R652">
        <f t="shared" si="430"/>
        <v>585.58235094655606</v>
      </c>
      <c r="S652">
        <f t="shared" si="430"/>
        <v>182.75250855346258</v>
      </c>
      <c r="T652">
        <f t="shared" si="430"/>
        <v>303.62320750751519</v>
      </c>
      <c r="U652">
        <f t="shared" si="430"/>
        <v>359.82212775156455</v>
      </c>
      <c r="V652">
        <f t="shared" si="430"/>
        <v>242.52091328141779</v>
      </c>
      <c r="W652">
        <f t="shared" si="430"/>
        <v>683.07924177164443</v>
      </c>
      <c r="Y652" s="8">
        <f t="shared" si="425"/>
        <v>7778.331937477069</v>
      </c>
      <c r="Z652">
        <f t="shared" si="426"/>
        <v>-54.436725907247173</v>
      </c>
    </row>
    <row r="653" spans="1:26" x14ac:dyDescent="0.25">
      <c r="A653" t="s">
        <v>48</v>
      </c>
      <c r="D653">
        <f t="shared" ref="D653:W653" si="431">D75*D143</f>
        <v>928.67782015422233</v>
      </c>
      <c r="E653">
        <f t="shared" si="431"/>
        <v>742.38661720852406</v>
      </c>
      <c r="F653">
        <f t="shared" si="431"/>
        <v>774.03058744125701</v>
      </c>
      <c r="G653">
        <f t="shared" si="431"/>
        <v>1079.9526596186624</v>
      </c>
      <c r="H653">
        <f t="shared" si="431"/>
        <v>619.26783114533816</v>
      </c>
      <c r="I653">
        <f t="shared" si="431"/>
        <v>521.52455738347908</v>
      </c>
      <c r="J653">
        <f t="shared" si="431"/>
        <v>416.97455518273313</v>
      </c>
      <c r="K653">
        <f t="shared" si="431"/>
        <v>366.95708979255181</v>
      </c>
      <c r="L653">
        <f t="shared" si="431"/>
        <v>195.02790866915825</v>
      </c>
      <c r="M653">
        <f t="shared" si="431"/>
        <v>223.5325601739801</v>
      </c>
      <c r="N653">
        <f t="shared" si="431"/>
        <v>149.17222102729392</v>
      </c>
      <c r="O653">
        <f t="shared" si="431"/>
        <v>167.19881475010106</v>
      </c>
      <c r="P653">
        <f t="shared" si="431"/>
        <v>255.72771479787968</v>
      </c>
      <c r="Q653">
        <f t="shared" si="431"/>
        <v>299.04789703534686</v>
      </c>
      <c r="R653">
        <f t="shared" si="431"/>
        <v>349.76365311524012</v>
      </c>
      <c r="S653">
        <f t="shared" si="431"/>
        <v>303.5446515745798</v>
      </c>
      <c r="T653">
        <f t="shared" si="431"/>
        <v>466.90640476664817</v>
      </c>
      <c r="U653">
        <f t="shared" si="431"/>
        <v>300.89062553751143</v>
      </c>
      <c r="V653">
        <f t="shared" si="431"/>
        <v>467.12460478080089</v>
      </c>
      <c r="W653">
        <f t="shared" si="431"/>
        <v>612.83952368857024</v>
      </c>
      <c r="Y653" s="8">
        <f t="shared" si="425"/>
        <v>9240.5482978438777</v>
      </c>
      <c r="Z653">
        <f t="shared" si="426"/>
        <v>-285.57559241365283</v>
      </c>
    </row>
    <row r="654" spans="1:26" x14ac:dyDescent="0.25">
      <c r="A654" t="s">
        <v>49</v>
      </c>
      <c r="D654">
        <f t="shared" ref="D654:W654" si="432">D76*D144</f>
        <v>819.1943715614542</v>
      </c>
      <c r="E654">
        <f t="shared" si="432"/>
        <v>738.56212878814063</v>
      </c>
      <c r="F654">
        <f t="shared" si="432"/>
        <v>998.0702978195269</v>
      </c>
      <c r="G654">
        <f t="shared" si="432"/>
        <v>647.7177797481354</v>
      </c>
      <c r="H654">
        <f t="shared" si="432"/>
        <v>289.7919688912761</v>
      </c>
      <c r="I654">
        <f t="shared" si="432"/>
        <v>500.34916048307917</v>
      </c>
      <c r="J654">
        <f t="shared" si="432"/>
        <v>355.45691898331944</v>
      </c>
      <c r="K654">
        <f t="shared" si="432"/>
        <v>292.48857375519407</v>
      </c>
      <c r="L654">
        <f t="shared" si="432"/>
        <v>230.30503425200206</v>
      </c>
      <c r="M654">
        <f t="shared" si="432"/>
        <v>261.9865276143878</v>
      </c>
      <c r="N654">
        <f t="shared" si="432"/>
        <v>217.56405346817681</v>
      </c>
      <c r="O654">
        <f t="shared" si="432"/>
        <v>76.576824472366667</v>
      </c>
      <c r="P654">
        <f t="shared" si="432"/>
        <v>271.72604379624715</v>
      </c>
      <c r="Q654">
        <f t="shared" si="432"/>
        <v>107.68490045364885</v>
      </c>
      <c r="R654">
        <f t="shared" si="432"/>
        <v>165.18663584865331</v>
      </c>
      <c r="S654">
        <f t="shared" si="432"/>
        <v>314.82398493611043</v>
      </c>
      <c r="T654">
        <f t="shared" si="432"/>
        <v>208.00442036287936</v>
      </c>
      <c r="U654">
        <f t="shared" si="432"/>
        <v>307.34009219092587</v>
      </c>
      <c r="V654">
        <f t="shared" si="432"/>
        <v>510.59980647348942</v>
      </c>
      <c r="W654">
        <f t="shared" si="432"/>
        <v>509.70501424259038</v>
      </c>
      <c r="Y654" s="8">
        <f t="shared" si="425"/>
        <v>7823.1345381416049</v>
      </c>
      <c r="Z654">
        <f t="shared" si="426"/>
        <v>-348.76536236968877</v>
      </c>
    </row>
    <row r="655" spans="1:26" x14ac:dyDescent="0.25">
      <c r="A655" t="s">
        <v>50</v>
      </c>
      <c r="D655">
        <f t="shared" ref="D655:W655" si="433">D77*D145</f>
        <v>66.17672654461542</v>
      </c>
      <c r="E655">
        <f t="shared" si="433"/>
        <v>442.1197659730953</v>
      </c>
      <c r="F655">
        <f t="shared" si="433"/>
        <v>475.49233907383689</v>
      </c>
      <c r="G655">
        <f t="shared" si="433"/>
        <v>325.89791873871269</v>
      </c>
      <c r="H655">
        <f t="shared" si="433"/>
        <v>184.39717848750226</v>
      </c>
      <c r="I655">
        <f t="shared" si="433"/>
        <v>373.52921070648131</v>
      </c>
      <c r="J655">
        <f t="shared" si="433"/>
        <v>327.2938896549262</v>
      </c>
      <c r="K655">
        <f t="shared" si="433"/>
        <v>349.6128474193394</v>
      </c>
      <c r="L655">
        <f t="shared" si="433"/>
        <v>414.48838336628</v>
      </c>
      <c r="M655">
        <f t="shared" si="433"/>
        <v>296.68392756621552</v>
      </c>
      <c r="N655">
        <f t="shared" si="433"/>
        <v>235.17276567833048</v>
      </c>
      <c r="O655">
        <f t="shared" si="433"/>
        <v>396.15530559651376</v>
      </c>
      <c r="P655">
        <f t="shared" si="433"/>
        <v>307.51440082391406</v>
      </c>
      <c r="Q655">
        <f t="shared" si="433"/>
        <v>498.11869725661217</v>
      </c>
      <c r="R655">
        <f t="shared" si="433"/>
        <v>610.27170041647332</v>
      </c>
      <c r="S655">
        <f t="shared" si="433"/>
        <v>489.63727000501967</v>
      </c>
      <c r="T655">
        <f t="shared" si="433"/>
        <v>454.88259121981218</v>
      </c>
      <c r="U655">
        <f t="shared" si="433"/>
        <v>498.6650151061753</v>
      </c>
      <c r="V655">
        <f t="shared" si="433"/>
        <v>507.595846293421</v>
      </c>
      <c r="W655">
        <f t="shared" si="433"/>
        <v>628.20357944655723</v>
      </c>
      <c r="Y655" s="8">
        <f t="shared" si="425"/>
        <v>7881.9093593738344</v>
      </c>
      <c r="Z655">
        <f t="shared" si="426"/>
        <v>249.94999309333099</v>
      </c>
    </row>
    <row r="656" spans="1:26" x14ac:dyDescent="0.25">
      <c r="A656" t="s">
        <v>51</v>
      </c>
      <c r="D656">
        <f t="shared" ref="D656:W656" si="434">D78*D146</f>
        <v>892.02882314221768</v>
      </c>
      <c r="E656">
        <f t="shared" si="434"/>
        <v>343.05305349863755</v>
      </c>
      <c r="F656">
        <f t="shared" si="434"/>
        <v>331.26595580192532</v>
      </c>
      <c r="G656">
        <f t="shared" si="434"/>
        <v>340.44834499712374</v>
      </c>
      <c r="H656">
        <f t="shared" si="434"/>
        <v>303.98974956453412</v>
      </c>
      <c r="I656">
        <f t="shared" si="434"/>
        <v>254.09494655499211</v>
      </c>
      <c r="J656">
        <f t="shared" si="434"/>
        <v>288.15701378704887</v>
      </c>
      <c r="K656">
        <f t="shared" si="434"/>
        <v>325.7863348882957</v>
      </c>
      <c r="L656">
        <f t="shared" si="434"/>
        <v>225.26096500708775</v>
      </c>
      <c r="M656">
        <f t="shared" si="434"/>
        <v>364.48721385853457</v>
      </c>
      <c r="N656">
        <f t="shared" si="434"/>
        <v>203.94493820519736</v>
      </c>
      <c r="O656">
        <f t="shared" si="434"/>
        <v>227.5873378473519</v>
      </c>
      <c r="P656">
        <f t="shared" si="434"/>
        <v>287.68607813489712</v>
      </c>
      <c r="Q656">
        <f t="shared" si="434"/>
        <v>294.13390805053751</v>
      </c>
      <c r="R656">
        <f t="shared" si="434"/>
        <v>431.26090281125352</v>
      </c>
      <c r="S656">
        <f t="shared" si="434"/>
        <v>487.83263852445884</v>
      </c>
      <c r="T656">
        <f t="shared" si="434"/>
        <v>561.63205670259731</v>
      </c>
      <c r="U656">
        <f t="shared" si="434"/>
        <v>583.44650790602361</v>
      </c>
      <c r="V656">
        <f t="shared" si="434"/>
        <v>526.22874925857491</v>
      </c>
      <c r="W656">
        <f t="shared" si="434"/>
        <v>699.22774531974471</v>
      </c>
      <c r="Y656" s="8">
        <f t="shared" si="425"/>
        <v>7971.5532638610348</v>
      </c>
      <c r="Z656">
        <f t="shared" si="426"/>
        <v>-1.0321225605337503</v>
      </c>
    </row>
    <row r="657" spans="1:26" x14ac:dyDescent="0.25">
      <c r="A657" t="s">
        <v>52</v>
      </c>
      <c r="D657">
        <f t="shared" ref="D657:W657" si="435">D79*D147</f>
        <v>681.78437248276259</v>
      </c>
      <c r="E657">
        <f t="shared" si="435"/>
        <v>653.4020784675813</v>
      </c>
      <c r="F657">
        <f t="shared" si="435"/>
        <v>827.98754567071558</v>
      </c>
      <c r="G657">
        <f t="shared" si="435"/>
        <v>531.07312901276464</v>
      </c>
      <c r="H657">
        <f t="shared" si="435"/>
        <v>464.19351248074719</v>
      </c>
      <c r="I657">
        <f t="shared" si="435"/>
        <v>328.95207409839844</v>
      </c>
      <c r="J657">
        <f t="shared" si="435"/>
        <v>264.68314825396982</v>
      </c>
      <c r="K657">
        <f t="shared" si="435"/>
        <v>502.31058791997498</v>
      </c>
      <c r="L657">
        <f t="shared" si="435"/>
        <v>411.64888586621407</v>
      </c>
      <c r="M657">
        <f t="shared" si="435"/>
        <v>293.38471107074776</v>
      </c>
      <c r="N657">
        <f t="shared" si="435"/>
        <v>300.77443527385816</v>
      </c>
      <c r="O657">
        <f t="shared" si="435"/>
        <v>142.02694276696118</v>
      </c>
      <c r="P657">
        <f t="shared" si="435"/>
        <v>126.9117376845097</v>
      </c>
      <c r="Q657">
        <f t="shared" si="435"/>
        <v>327.53439178299976</v>
      </c>
      <c r="R657">
        <f t="shared" si="435"/>
        <v>200.50590220299298</v>
      </c>
      <c r="S657">
        <f t="shared" si="435"/>
        <v>369.28653942671252</v>
      </c>
      <c r="T657">
        <f t="shared" si="435"/>
        <v>281.44200164348291</v>
      </c>
      <c r="U657">
        <f t="shared" si="435"/>
        <v>405.44393042809298</v>
      </c>
      <c r="V657">
        <f t="shared" si="435"/>
        <v>448.26484738369658</v>
      </c>
      <c r="W657">
        <f t="shared" si="435"/>
        <v>603.29449726583516</v>
      </c>
      <c r="Y657" s="8">
        <f t="shared" si="425"/>
        <v>8164.9052711830182</v>
      </c>
      <c r="Z657">
        <f t="shared" si="426"/>
        <v>-251.65931210826579</v>
      </c>
    </row>
    <row r="658" spans="1:26" x14ac:dyDescent="0.25">
      <c r="A658" t="s">
        <v>53</v>
      </c>
      <c r="D658">
        <f t="shared" ref="D658:W658" si="436">D80*D148</f>
        <v>837.30333780448154</v>
      </c>
      <c r="E658">
        <f t="shared" si="436"/>
        <v>825.35884292617823</v>
      </c>
      <c r="F658">
        <f t="shared" si="436"/>
        <v>696.30683300907117</v>
      </c>
      <c r="G658">
        <f t="shared" si="436"/>
        <v>463.32366069165357</v>
      </c>
      <c r="H658">
        <f t="shared" si="436"/>
        <v>588.70468689083714</v>
      </c>
      <c r="I658">
        <f t="shared" si="436"/>
        <v>353.56963617272049</v>
      </c>
      <c r="J658">
        <f t="shared" si="436"/>
        <v>273.04213571801733</v>
      </c>
      <c r="K658">
        <f t="shared" si="436"/>
        <v>299.33436048574117</v>
      </c>
      <c r="L658">
        <f t="shared" si="436"/>
        <v>322.27857881512477</v>
      </c>
      <c r="M658">
        <f t="shared" si="436"/>
        <v>378.13444669570629</v>
      </c>
      <c r="N658">
        <f t="shared" si="436"/>
        <v>439.57191496755854</v>
      </c>
      <c r="O658">
        <f t="shared" si="436"/>
        <v>235.21588968625574</v>
      </c>
      <c r="P658">
        <f t="shared" si="436"/>
        <v>267.50323401602475</v>
      </c>
      <c r="Q658">
        <f t="shared" si="436"/>
        <v>480.12496428590873</v>
      </c>
      <c r="R658">
        <f t="shared" si="436"/>
        <v>377.98890832526615</v>
      </c>
      <c r="S658">
        <f t="shared" si="436"/>
        <v>371.16931633677854</v>
      </c>
      <c r="T658">
        <f t="shared" si="436"/>
        <v>520.78481204116815</v>
      </c>
      <c r="U658">
        <f t="shared" si="436"/>
        <v>407.83711602191443</v>
      </c>
      <c r="V658">
        <f t="shared" si="436"/>
        <v>516.3790720741124</v>
      </c>
      <c r="W658">
        <f t="shared" si="436"/>
        <v>456.92203736009884</v>
      </c>
      <c r="Y658" s="8">
        <f t="shared" si="425"/>
        <v>9110.8537843246177</v>
      </c>
      <c r="Z658">
        <f t="shared" si="426"/>
        <v>-236.70958111060685</v>
      </c>
    </row>
    <row r="659" spans="1:26" x14ac:dyDescent="0.25">
      <c r="A659" t="s">
        <v>54</v>
      </c>
      <c r="D659">
        <f t="shared" ref="D659:W659" si="437">D81*D149</f>
        <v>1488.1159408271387</v>
      </c>
      <c r="E659">
        <f t="shared" si="437"/>
        <v>766.7243663004856</v>
      </c>
      <c r="F659">
        <f t="shared" si="437"/>
        <v>689.06330243694924</v>
      </c>
      <c r="G659">
        <f t="shared" si="437"/>
        <v>917.31293013206164</v>
      </c>
      <c r="H659">
        <f t="shared" si="437"/>
        <v>304.73705688851175</v>
      </c>
      <c r="I659">
        <f t="shared" si="437"/>
        <v>565.13150944020742</v>
      </c>
      <c r="J659">
        <f t="shared" si="437"/>
        <v>377.43702902771759</v>
      </c>
      <c r="K659">
        <f t="shared" si="437"/>
        <v>291.75645639623173</v>
      </c>
      <c r="L659">
        <f t="shared" si="437"/>
        <v>156.83413676130465</v>
      </c>
      <c r="M659">
        <f t="shared" si="437"/>
        <v>539.63340838631871</v>
      </c>
      <c r="N659">
        <f t="shared" si="437"/>
        <v>221.09028125278138</v>
      </c>
      <c r="O659">
        <f t="shared" si="437"/>
        <v>223.5325601739801</v>
      </c>
      <c r="P659">
        <f t="shared" si="437"/>
        <v>784.06283983694743</v>
      </c>
      <c r="Q659">
        <f t="shared" si="437"/>
        <v>376.25991573723019</v>
      </c>
      <c r="R659">
        <f t="shared" si="437"/>
        <v>497.56620757073085</v>
      </c>
      <c r="S659">
        <f t="shared" si="437"/>
        <v>578.76894384395484</v>
      </c>
      <c r="T659">
        <f t="shared" si="437"/>
        <v>689.11541002158685</v>
      </c>
      <c r="U659">
        <f t="shared" si="437"/>
        <v>738.43911248143058</v>
      </c>
      <c r="V659">
        <f t="shared" si="437"/>
        <v>754.00013140426427</v>
      </c>
      <c r="W659">
        <f t="shared" si="437"/>
        <v>624.92971820896173</v>
      </c>
      <c r="Y659" s="8">
        <f t="shared" si="425"/>
        <v>11584.511257128794</v>
      </c>
      <c r="Z659">
        <f t="shared" si="426"/>
        <v>-261.2523582217666</v>
      </c>
    </row>
    <row r="660" spans="1:26" x14ac:dyDescent="0.25">
      <c r="A660" t="s">
        <v>55</v>
      </c>
      <c r="D660">
        <f t="shared" ref="D660:W660" si="438">D82*D150</f>
        <v>793.81777179173889</v>
      </c>
      <c r="E660">
        <f t="shared" si="438"/>
        <v>776.30021119459923</v>
      </c>
      <c r="F660">
        <f t="shared" si="438"/>
        <v>548.38496097861992</v>
      </c>
      <c r="G660">
        <f t="shared" si="438"/>
        <v>683.22909449331871</v>
      </c>
      <c r="H660">
        <f t="shared" si="438"/>
        <v>420.17446088585194</v>
      </c>
      <c r="I660">
        <f t="shared" si="438"/>
        <v>444.89588227640104</v>
      </c>
      <c r="J660">
        <f t="shared" si="438"/>
        <v>425.94811382418203</v>
      </c>
      <c r="K660">
        <f t="shared" si="438"/>
        <v>408.18187768107356</v>
      </c>
      <c r="L660">
        <f t="shared" si="438"/>
        <v>542.08693059755069</v>
      </c>
      <c r="M660">
        <f t="shared" si="438"/>
        <v>486.84766549154307</v>
      </c>
      <c r="N660">
        <f t="shared" si="438"/>
        <v>510.53214378227466</v>
      </c>
      <c r="O660">
        <f t="shared" si="438"/>
        <v>477.99535459592221</v>
      </c>
      <c r="P660">
        <f t="shared" si="438"/>
        <v>561.23901618559114</v>
      </c>
      <c r="Q660">
        <f t="shared" si="438"/>
        <v>614.62775232206923</v>
      </c>
      <c r="R660">
        <f t="shared" si="438"/>
        <v>552.05344056973524</v>
      </c>
      <c r="S660">
        <f t="shared" si="438"/>
        <v>613.75564549811986</v>
      </c>
      <c r="T660">
        <f t="shared" si="438"/>
        <v>594.11969321700042</v>
      </c>
      <c r="U660">
        <f t="shared" si="438"/>
        <v>636.64513159287515</v>
      </c>
      <c r="V660">
        <f t="shared" si="438"/>
        <v>495.38655901711621</v>
      </c>
      <c r="W660">
        <f t="shared" si="438"/>
        <v>659.36390064937336</v>
      </c>
      <c r="Y660" s="8">
        <f t="shared" si="425"/>
        <v>11245.585606644958</v>
      </c>
      <c r="Z660">
        <f t="shared" si="426"/>
        <v>-91.608508528218863</v>
      </c>
    </row>
    <row r="661" spans="1:26" x14ac:dyDescent="0.25">
      <c r="A661" t="s">
        <v>56</v>
      </c>
      <c r="D661">
        <f t="shared" ref="D661:W661" si="439">D83*D151</f>
        <v>782.88239140928476</v>
      </c>
      <c r="E661">
        <f t="shared" si="439"/>
        <v>771.20229289299709</v>
      </c>
      <c r="F661">
        <f t="shared" si="439"/>
        <v>651.76992253592186</v>
      </c>
      <c r="G661">
        <f t="shared" si="439"/>
        <v>627.25842358244984</v>
      </c>
      <c r="H661">
        <f t="shared" si="439"/>
        <v>939.51884756462869</v>
      </c>
      <c r="I661">
        <f t="shared" si="439"/>
        <v>620.08694778986751</v>
      </c>
      <c r="J661">
        <f t="shared" si="439"/>
        <v>546.19491015893107</v>
      </c>
      <c r="K661">
        <f t="shared" si="439"/>
        <v>762.80045962995916</v>
      </c>
      <c r="L661">
        <f t="shared" si="439"/>
        <v>688.0123234212864</v>
      </c>
      <c r="M661">
        <f t="shared" si="439"/>
        <v>536.36428771841793</v>
      </c>
      <c r="N661">
        <f t="shared" si="439"/>
        <v>809.89207661942316</v>
      </c>
      <c r="O661">
        <f t="shared" si="439"/>
        <v>623.90362512669867</v>
      </c>
      <c r="P661">
        <f t="shared" si="439"/>
        <v>621.88843278248896</v>
      </c>
      <c r="Q661">
        <f t="shared" si="439"/>
        <v>536.95012794630236</v>
      </c>
      <c r="R661">
        <f t="shared" si="439"/>
        <v>602.63565453163915</v>
      </c>
      <c r="S661">
        <f t="shared" si="439"/>
        <v>621.74309486730886</v>
      </c>
      <c r="T661">
        <f t="shared" si="439"/>
        <v>717.18317673429704</v>
      </c>
      <c r="U661">
        <f t="shared" si="439"/>
        <v>887.28354022978885</v>
      </c>
      <c r="V661">
        <f t="shared" si="439"/>
        <v>753.10317631933481</v>
      </c>
      <c r="W661">
        <f t="shared" si="439"/>
        <v>686.9604040644158</v>
      </c>
      <c r="Y661" s="8">
        <f t="shared" si="425"/>
        <v>13787.634115925441</v>
      </c>
      <c r="Z661">
        <f t="shared" si="426"/>
        <v>-30.559125853282033</v>
      </c>
    </row>
    <row r="662" spans="1:26" x14ac:dyDescent="0.25">
      <c r="A662" t="s">
        <v>57</v>
      </c>
      <c r="D662">
        <f t="shared" ref="D662:W662" si="440">D84*D152</f>
        <v>775.75257232404397</v>
      </c>
      <c r="E662">
        <f t="shared" si="440"/>
        <v>560.01157018529977</v>
      </c>
      <c r="F662">
        <f t="shared" si="440"/>
        <v>499.78740589926628</v>
      </c>
      <c r="G662">
        <f t="shared" si="440"/>
        <v>500.80207647187967</v>
      </c>
      <c r="H662">
        <f t="shared" si="440"/>
        <v>527.22543558208349</v>
      </c>
      <c r="I662">
        <f t="shared" si="440"/>
        <v>339.81351476301057</v>
      </c>
      <c r="J662">
        <f t="shared" si="440"/>
        <v>581.33777685901714</v>
      </c>
      <c r="K662">
        <f t="shared" si="440"/>
        <v>378.05918013055907</v>
      </c>
      <c r="L662">
        <f t="shared" si="440"/>
        <v>530.13090154064844</v>
      </c>
      <c r="M662">
        <f t="shared" si="440"/>
        <v>564.28935880898587</v>
      </c>
      <c r="N662">
        <f t="shared" si="440"/>
        <v>659.41865477500232</v>
      </c>
      <c r="O662">
        <f t="shared" si="440"/>
        <v>577.75044378186067</v>
      </c>
      <c r="P662">
        <f t="shared" si="440"/>
        <v>193.46474517972885</v>
      </c>
      <c r="Q662">
        <f t="shared" si="440"/>
        <v>341.44540430815607</v>
      </c>
      <c r="R662">
        <f t="shared" si="440"/>
        <v>330.99322624135101</v>
      </c>
      <c r="S662">
        <f t="shared" si="440"/>
        <v>351.26387093752243</v>
      </c>
      <c r="T662">
        <f t="shared" si="440"/>
        <v>532.08040136186389</v>
      </c>
      <c r="U662">
        <f t="shared" si="440"/>
        <v>447.1935800137054</v>
      </c>
      <c r="V662">
        <f t="shared" si="440"/>
        <v>370.25542823555713</v>
      </c>
      <c r="W662">
        <f t="shared" si="440"/>
        <v>684.7817869283848</v>
      </c>
      <c r="Y662" s="8">
        <f t="shared" si="425"/>
        <v>9745.8573343279277</v>
      </c>
      <c r="Z662">
        <f t="shared" si="426"/>
        <v>-208.18289633149533</v>
      </c>
    </row>
    <row r="663" spans="1:26" x14ac:dyDescent="0.25">
      <c r="A663" t="s">
        <v>58</v>
      </c>
      <c r="D663">
        <f t="shared" ref="D663:W663" si="441">D85*D153</f>
        <v>739.53366305288989</v>
      </c>
      <c r="E663">
        <f t="shared" si="441"/>
        <v>592.90428741131655</v>
      </c>
      <c r="F663">
        <f t="shared" si="441"/>
        <v>638.05667758841957</v>
      </c>
      <c r="G663">
        <f t="shared" si="441"/>
        <v>521.77753572472909</v>
      </c>
      <c r="H663">
        <f t="shared" si="441"/>
        <v>497.79809490056226</v>
      </c>
      <c r="I663">
        <f t="shared" si="441"/>
        <v>551.64310075269816</v>
      </c>
      <c r="J663">
        <f t="shared" si="441"/>
        <v>582.275995507939</v>
      </c>
      <c r="K663">
        <f t="shared" si="441"/>
        <v>474.65479716144364</v>
      </c>
      <c r="L663">
        <f t="shared" si="441"/>
        <v>406.97845046940068</v>
      </c>
      <c r="M663">
        <f t="shared" si="441"/>
        <v>553.45472564366992</v>
      </c>
      <c r="N663">
        <f t="shared" si="441"/>
        <v>507.32528135568623</v>
      </c>
      <c r="O663">
        <f t="shared" si="441"/>
        <v>480.51373442835131</v>
      </c>
      <c r="P663">
        <f t="shared" si="441"/>
        <v>311.16444398231556</v>
      </c>
      <c r="Q663">
        <f t="shared" si="441"/>
        <v>520.00662758831288</v>
      </c>
      <c r="R663">
        <f t="shared" si="441"/>
        <v>487.85659489466701</v>
      </c>
      <c r="S663">
        <f t="shared" si="441"/>
        <v>678.56388310956925</v>
      </c>
      <c r="T663">
        <f t="shared" si="441"/>
        <v>756.14473635995171</v>
      </c>
      <c r="U663">
        <f t="shared" si="441"/>
        <v>771.47541619033723</v>
      </c>
      <c r="V663">
        <f t="shared" si="441"/>
        <v>454.09680919918225</v>
      </c>
      <c r="W663">
        <f t="shared" si="441"/>
        <v>670.21637366489119</v>
      </c>
      <c r="Y663" s="8">
        <f t="shared" si="425"/>
        <v>11196.44122898633</v>
      </c>
      <c r="Z663">
        <f t="shared" si="426"/>
        <v>-14.679314718842768</v>
      </c>
    </row>
    <row r="664" spans="1:26" x14ac:dyDescent="0.25">
      <c r="A664" t="s">
        <v>59</v>
      </c>
      <c r="D664">
        <f t="shared" ref="D664:W664" si="442">D86*D154</f>
        <v>745.37454432700349</v>
      </c>
      <c r="E664">
        <f t="shared" si="442"/>
        <v>805.97719552947331</v>
      </c>
      <c r="F664">
        <f t="shared" si="442"/>
        <v>713.61138919713767</v>
      </c>
      <c r="G664">
        <f t="shared" si="442"/>
        <v>657.74967213011689</v>
      </c>
      <c r="H664">
        <f t="shared" si="442"/>
        <v>629.38157134760945</v>
      </c>
      <c r="I664">
        <f t="shared" si="442"/>
        <v>618.0770041899035</v>
      </c>
      <c r="J664">
        <f t="shared" si="442"/>
        <v>585.02036533753892</v>
      </c>
      <c r="K664">
        <f t="shared" si="442"/>
        <v>553.63047342855214</v>
      </c>
      <c r="L664">
        <f t="shared" si="442"/>
        <v>502.43016594079774</v>
      </c>
      <c r="M664">
        <f t="shared" si="442"/>
        <v>464.06165576484403</v>
      </c>
      <c r="N664">
        <f t="shared" si="442"/>
        <v>461.06516317858893</v>
      </c>
      <c r="O664">
        <f t="shared" si="442"/>
        <v>473.58021048638858</v>
      </c>
      <c r="P664">
        <f t="shared" si="442"/>
        <v>512.89613363030503</v>
      </c>
      <c r="Q664">
        <f t="shared" si="442"/>
        <v>515.39978361047122</v>
      </c>
      <c r="R664">
        <f t="shared" si="442"/>
        <v>544.49374806297362</v>
      </c>
      <c r="S664">
        <f t="shared" si="442"/>
        <v>592.80673193576115</v>
      </c>
      <c r="T664">
        <f t="shared" si="442"/>
        <v>570.47879146141997</v>
      </c>
      <c r="U664">
        <f t="shared" si="442"/>
        <v>586.02947333457473</v>
      </c>
      <c r="V664">
        <f t="shared" si="442"/>
        <v>654.34994148206181</v>
      </c>
      <c r="W664">
        <f t="shared" si="442"/>
        <v>697.38937123079472</v>
      </c>
      <c r="Y664" s="8">
        <f t="shared" si="425"/>
        <v>11883.803385606318</v>
      </c>
      <c r="Z664">
        <f t="shared" si="426"/>
        <v>-33.126003397734301</v>
      </c>
    </row>
    <row r="665" spans="1:26" x14ac:dyDescent="0.25">
      <c r="A665" t="s">
        <v>60</v>
      </c>
      <c r="D665">
        <f t="shared" ref="D665:W665" si="443">D87*D155</f>
        <v>697.03156904020955</v>
      </c>
      <c r="E665">
        <f t="shared" si="443"/>
        <v>770.4231149025984</v>
      </c>
      <c r="F665">
        <f t="shared" si="443"/>
        <v>723.02609080636546</v>
      </c>
      <c r="G665">
        <f t="shared" si="443"/>
        <v>629.86702382989313</v>
      </c>
      <c r="H665">
        <f t="shared" si="443"/>
        <v>645.48965362265108</v>
      </c>
      <c r="I665">
        <f t="shared" si="443"/>
        <v>639.0493336333343</v>
      </c>
      <c r="J665">
        <f t="shared" si="443"/>
        <v>616.53676109759976</v>
      </c>
      <c r="K665">
        <f t="shared" si="443"/>
        <v>562.72222740401105</v>
      </c>
      <c r="L665">
        <f t="shared" si="443"/>
        <v>482.3889206996833</v>
      </c>
      <c r="M665">
        <f t="shared" si="443"/>
        <v>466.37231568332015</v>
      </c>
      <c r="N665">
        <f t="shared" si="443"/>
        <v>403.44471462028372</v>
      </c>
      <c r="O665">
        <f t="shared" si="443"/>
        <v>345.63540422494759</v>
      </c>
      <c r="P665">
        <f t="shared" si="443"/>
        <v>483.72231747394437</v>
      </c>
      <c r="Q665">
        <f t="shared" si="443"/>
        <v>620.98581457160981</v>
      </c>
      <c r="R665">
        <f t="shared" si="443"/>
        <v>620.88093551756515</v>
      </c>
      <c r="S665">
        <f t="shared" si="443"/>
        <v>518.49856944990677</v>
      </c>
      <c r="T665">
        <f t="shared" si="443"/>
        <v>361.2392173139699</v>
      </c>
      <c r="U665">
        <f t="shared" si="443"/>
        <v>628.43143233652734</v>
      </c>
      <c r="V665">
        <f t="shared" si="443"/>
        <v>671.08465220695268</v>
      </c>
      <c r="W665">
        <f t="shared" si="443"/>
        <v>726.75175334622679</v>
      </c>
      <c r="Y665" s="8">
        <f t="shared" si="425"/>
        <v>11613.581821781603</v>
      </c>
      <c r="Z665">
        <f t="shared" si="426"/>
        <v>40.576405141436346</v>
      </c>
    </row>
    <row r="666" spans="1:26" x14ac:dyDescent="0.25">
      <c r="A666" t="s">
        <v>61</v>
      </c>
      <c r="D666">
        <f t="shared" ref="D666:W666" si="444">D88*D156</f>
        <v>769.59245674293993</v>
      </c>
      <c r="E666">
        <f t="shared" si="444"/>
        <v>740.64780838817478</v>
      </c>
      <c r="F666">
        <f t="shared" si="444"/>
        <v>549.21872507545288</v>
      </c>
      <c r="G666">
        <f t="shared" si="444"/>
        <v>694.07486167887316</v>
      </c>
      <c r="H666">
        <f t="shared" si="444"/>
        <v>470.3722588634397</v>
      </c>
      <c r="I666">
        <f t="shared" si="444"/>
        <v>451.66799180207545</v>
      </c>
      <c r="J666">
        <f t="shared" si="444"/>
        <v>386.79255078419652</v>
      </c>
      <c r="K666">
        <f t="shared" si="444"/>
        <v>437.61092325837944</v>
      </c>
      <c r="L666">
        <f t="shared" si="444"/>
        <v>505.55984967284957</v>
      </c>
      <c r="M666">
        <f t="shared" si="444"/>
        <v>528.8170785317111</v>
      </c>
      <c r="N666">
        <f t="shared" si="444"/>
        <v>358.12178542449914</v>
      </c>
      <c r="O666">
        <f t="shared" si="444"/>
        <v>333.92750053323584</v>
      </c>
      <c r="P666">
        <f t="shared" si="444"/>
        <v>464.89736159003832</v>
      </c>
      <c r="Q666">
        <f t="shared" si="444"/>
        <v>600.06106966630875</v>
      </c>
      <c r="R666">
        <f t="shared" si="444"/>
        <v>638.78218042968729</v>
      </c>
      <c r="S666">
        <f t="shared" si="444"/>
        <v>754.96256291303359</v>
      </c>
      <c r="T666">
        <f t="shared" si="444"/>
        <v>580.3198817454479</v>
      </c>
      <c r="U666">
        <f t="shared" si="444"/>
        <v>550.36156114540142</v>
      </c>
      <c r="V666">
        <f t="shared" si="444"/>
        <v>578.72547878980652</v>
      </c>
      <c r="W666">
        <f t="shared" si="444"/>
        <v>698.59093931589496</v>
      </c>
      <c r="Y666" s="8">
        <f t="shared" si="425"/>
        <v>11093.104826351448</v>
      </c>
      <c r="Z666">
        <f t="shared" si="426"/>
        <v>-0.32524438379786602</v>
      </c>
    </row>
    <row r="667" spans="1:26" x14ac:dyDescent="0.25">
      <c r="A667" t="s">
        <v>62</v>
      </c>
      <c r="D667">
        <f t="shared" ref="D667:W667" si="445">D89*D157</f>
        <v>671.12446894287575</v>
      </c>
      <c r="E667">
        <f t="shared" si="445"/>
        <v>584.60529748505871</v>
      </c>
      <c r="F667">
        <f t="shared" si="445"/>
        <v>691.1629873228502</v>
      </c>
      <c r="G667">
        <f t="shared" si="445"/>
        <v>542.35962082262665</v>
      </c>
      <c r="H667">
        <f t="shared" si="445"/>
        <v>590.25530031250048</v>
      </c>
      <c r="I667">
        <f t="shared" si="445"/>
        <v>520.92616363147738</v>
      </c>
      <c r="J667">
        <f t="shared" si="445"/>
        <v>555.38836421049098</v>
      </c>
      <c r="K667">
        <f t="shared" si="445"/>
        <v>490.90806288794658</v>
      </c>
      <c r="L667">
        <f t="shared" si="445"/>
        <v>451.77703507644406</v>
      </c>
      <c r="M667">
        <f t="shared" si="445"/>
        <v>549.29880762246989</v>
      </c>
      <c r="N667">
        <f t="shared" si="445"/>
        <v>487.6614388736553</v>
      </c>
      <c r="O667">
        <f t="shared" si="445"/>
        <v>472.50558650667426</v>
      </c>
      <c r="P667">
        <f t="shared" si="445"/>
        <v>466.6693310372799</v>
      </c>
      <c r="Q667">
        <f t="shared" si="445"/>
        <v>493.93343371789183</v>
      </c>
      <c r="R667">
        <f t="shared" si="445"/>
        <v>584.84454475711527</v>
      </c>
      <c r="S667">
        <f t="shared" si="445"/>
        <v>613.09639450798727</v>
      </c>
      <c r="T667">
        <f t="shared" si="445"/>
        <v>550.68442563262238</v>
      </c>
      <c r="U667">
        <f t="shared" si="445"/>
        <v>562.83769896681781</v>
      </c>
      <c r="V667">
        <f t="shared" si="445"/>
        <v>721.33081284462639</v>
      </c>
      <c r="W667">
        <f t="shared" si="445"/>
        <v>678.06853608408824</v>
      </c>
      <c r="Y667" s="8">
        <f t="shared" si="425"/>
        <v>11279.438311243499</v>
      </c>
      <c r="Z667">
        <f t="shared" si="426"/>
        <v>38.649601900194583</v>
      </c>
    </row>
    <row r="668" spans="1:26" x14ac:dyDescent="0.25">
      <c r="A668" t="s">
        <v>63</v>
      </c>
      <c r="D668">
        <f t="shared" ref="D668:W668" si="446">D90*D158</f>
        <v>579.58627853004907</v>
      </c>
      <c r="E668">
        <f t="shared" si="446"/>
        <v>572.4117660154709</v>
      </c>
      <c r="F668">
        <f t="shared" si="446"/>
        <v>607.52979789805556</v>
      </c>
      <c r="G668">
        <f t="shared" si="446"/>
        <v>530.94278873498786</v>
      </c>
      <c r="H668">
        <f t="shared" si="446"/>
        <v>601.03417819906849</v>
      </c>
      <c r="I668">
        <f t="shared" si="446"/>
        <v>650.6814346784613</v>
      </c>
      <c r="J668">
        <f t="shared" si="446"/>
        <v>537.55118493452289</v>
      </c>
      <c r="K668">
        <f t="shared" si="446"/>
        <v>436.116594713133</v>
      </c>
      <c r="L668">
        <f t="shared" si="446"/>
        <v>440.89670318970974</v>
      </c>
      <c r="M668">
        <f t="shared" si="446"/>
        <v>303.06317987043718</v>
      </c>
      <c r="N668">
        <f t="shared" si="446"/>
        <v>465.94952639114723</v>
      </c>
      <c r="O668">
        <f t="shared" si="446"/>
        <v>495.70130950347652</v>
      </c>
      <c r="P668">
        <f t="shared" si="446"/>
        <v>533.54239215650637</v>
      </c>
      <c r="Q668">
        <f t="shared" si="446"/>
        <v>458.05501518606525</v>
      </c>
      <c r="R668">
        <f t="shared" si="446"/>
        <v>378.4023406482508</v>
      </c>
      <c r="S668">
        <f t="shared" si="446"/>
        <v>508.22484494779872</v>
      </c>
      <c r="T668">
        <f t="shared" si="446"/>
        <v>523.30613971606749</v>
      </c>
      <c r="U668">
        <f t="shared" si="446"/>
        <v>606.38955250548736</v>
      </c>
      <c r="V668">
        <f t="shared" si="446"/>
        <v>552.77359272566616</v>
      </c>
      <c r="W668">
        <f t="shared" si="446"/>
        <v>594.54716556650874</v>
      </c>
      <c r="Y668" s="8">
        <f t="shared" si="425"/>
        <v>10376.70578611087</v>
      </c>
      <c r="Z668">
        <f t="shared" si="426"/>
        <v>1.33186063051091</v>
      </c>
    </row>
    <row r="669" spans="1:26" x14ac:dyDescent="0.25">
      <c r="A669" t="s">
        <v>64</v>
      </c>
      <c r="D669">
        <f t="shared" ref="D669:W669" si="447">D91*D159</f>
        <v>729.98503625127807</v>
      </c>
      <c r="E669">
        <f t="shared" si="447"/>
        <v>827.11248337052007</v>
      </c>
      <c r="F669">
        <f t="shared" si="447"/>
        <v>579.49467101257812</v>
      </c>
      <c r="G669">
        <f t="shared" si="447"/>
        <v>627.34361430603917</v>
      </c>
      <c r="H669">
        <f t="shared" si="447"/>
        <v>642.46628247031038</v>
      </c>
      <c r="I669">
        <f t="shared" si="447"/>
        <v>604.45468677879182</v>
      </c>
      <c r="J669">
        <f t="shared" si="447"/>
        <v>562.54449470736847</v>
      </c>
      <c r="K669">
        <f t="shared" si="447"/>
        <v>557.62035892123947</v>
      </c>
      <c r="L669">
        <f t="shared" si="447"/>
        <v>585.71326921752325</v>
      </c>
      <c r="M669">
        <f t="shared" si="447"/>
        <v>512.59409495338377</v>
      </c>
      <c r="N669">
        <f t="shared" si="447"/>
        <v>519.28012180641031</v>
      </c>
      <c r="O669">
        <f t="shared" si="447"/>
        <v>463.12903947723476</v>
      </c>
      <c r="P669">
        <f t="shared" si="447"/>
        <v>442.25418868809425</v>
      </c>
      <c r="Q669">
        <f t="shared" si="447"/>
        <v>389.43754441902854</v>
      </c>
      <c r="R669">
        <f t="shared" si="447"/>
        <v>520.74742741843397</v>
      </c>
      <c r="S669">
        <f t="shared" si="447"/>
        <v>477.83168360924077</v>
      </c>
      <c r="T669">
        <f t="shared" si="447"/>
        <v>521.34824200400919</v>
      </c>
      <c r="U669">
        <f t="shared" si="447"/>
        <v>508.07991295560532</v>
      </c>
      <c r="V669">
        <f t="shared" si="447"/>
        <v>705.28246245026617</v>
      </c>
      <c r="W669">
        <f t="shared" si="447"/>
        <v>782.6824337314589</v>
      </c>
      <c r="Y669" s="8">
        <f t="shared" si="425"/>
        <v>11559.402048548814</v>
      </c>
      <c r="Z669">
        <f t="shared" si="426"/>
        <v>-60.858078922559656</v>
      </c>
    </row>
    <row r="670" spans="1:26" x14ac:dyDescent="0.25">
      <c r="A670" t="s">
        <v>65</v>
      </c>
      <c r="D670">
        <f t="shared" ref="D670:W670" si="448">D92*D160</f>
        <v>1126.3367138773651</v>
      </c>
      <c r="E670">
        <f t="shared" si="448"/>
        <v>1527.124322416465</v>
      </c>
      <c r="F670">
        <f t="shared" si="448"/>
        <v>1229.8840419992571</v>
      </c>
      <c r="G670">
        <f t="shared" si="448"/>
        <v>950.24285832661428</v>
      </c>
      <c r="H670">
        <f t="shared" si="448"/>
        <v>843.37443398542825</v>
      </c>
      <c r="I670">
        <f t="shared" si="448"/>
        <v>837.94397448426514</v>
      </c>
      <c r="J670">
        <f t="shared" si="448"/>
        <v>845.92835033572908</v>
      </c>
      <c r="K670">
        <f t="shared" si="448"/>
        <v>751.36254540132575</v>
      </c>
      <c r="L670">
        <f t="shared" si="448"/>
        <v>445.13240092577041</v>
      </c>
      <c r="M670">
        <f t="shared" si="448"/>
        <v>446.23167833337567</v>
      </c>
      <c r="N670">
        <f t="shared" si="448"/>
        <v>477.71864705256041</v>
      </c>
      <c r="O670">
        <f t="shared" si="448"/>
        <v>609.93636951557812</v>
      </c>
      <c r="P670">
        <f t="shared" si="448"/>
        <v>656.82626235789974</v>
      </c>
      <c r="Q670">
        <f t="shared" si="448"/>
        <v>603.48227161740363</v>
      </c>
      <c r="R670">
        <f t="shared" si="448"/>
        <v>590.53601159236757</v>
      </c>
      <c r="S670">
        <f t="shared" si="448"/>
        <v>606.27609819126758</v>
      </c>
      <c r="T670">
        <f t="shared" si="448"/>
        <v>682.49182677405793</v>
      </c>
      <c r="U670">
        <f t="shared" si="448"/>
        <v>709.97886470822391</v>
      </c>
      <c r="V670">
        <f t="shared" si="448"/>
        <v>710.27304766076986</v>
      </c>
      <c r="W670">
        <f t="shared" si="448"/>
        <v>706.30055985974752</v>
      </c>
      <c r="Y670" s="8">
        <f t="shared" si="425"/>
        <v>15357.381279415473</v>
      </c>
      <c r="Z670">
        <f t="shared" si="426"/>
        <v>-269.55524565911981</v>
      </c>
    </row>
    <row r="671" spans="1:26" x14ac:dyDescent="0.25">
      <c r="A671" t="s">
        <v>66</v>
      </c>
      <c r="D671">
        <f t="shared" ref="D671:W671" si="449">D93*D161</f>
        <v>444.31324693840293</v>
      </c>
      <c r="E671">
        <f t="shared" si="449"/>
        <v>484.74208137588442</v>
      </c>
      <c r="F671">
        <f t="shared" si="449"/>
        <v>575.93748017468613</v>
      </c>
      <c r="G671">
        <f t="shared" si="449"/>
        <v>529.00129381204056</v>
      </c>
      <c r="H671">
        <f t="shared" si="449"/>
        <v>561.79414219663875</v>
      </c>
      <c r="I671">
        <f t="shared" si="449"/>
        <v>585.02396339640916</v>
      </c>
      <c r="J671">
        <f t="shared" si="449"/>
        <v>600.55558693412502</v>
      </c>
      <c r="K671">
        <f t="shared" si="449"/>
        <v>594.42394843587078</v>
      </c>
      <c r="L671">
        <f t="shared" si="449"/>
        <v>456.12645192097307</v>
      </c>
      <c r="M671">
        <f t="shared" si="449"/>
        <v>354.35409692351226</v>
      </c>
      <c r="N671">
        <f t="shared" si="449"/>
        <v>338.32493186414558</v>
      </c>
      <c r="O671">
        <f t="shared" si="449"/>
        <v>396.33036740999609</v>
      </c>
      <c r="P671">
        <f t="shared" si="449"/>
        <v>422.97832211243821</v>
      </c>
      <c r="Q671">
        <f t="shared" si="449"/>
        <v>481.14202664018296</v>
      </c>
      <c r="R671">
        <f t="shared" si="449"/>
        <v>802.73052938218734</v>
      </c>
      <c r="S671">
        <f t="shared" si="449"/>
        <v>846.74435140627611</v>
      </c>
      <c r="T671">
        <f t="shared" si="449"/>
        <v>924.65190885348011</v>
      </c>
      <c r="U671">
        <f t="shared" si="449"/>
        <v>880.98254849363616</v>
      </c>
      <c r="V671">
        <f t="shared" si="449"/>
        <v>771.90356213670339</v>
      </c>
      <c r="W671">
        <f t="shared" si="449"/>
        <v>821.67044061514696</v>
      </c>
      <c r="Y671" s="8">
        <f t="shared" si="425"/>
        <v>11873.731281022736</v>
      </c>
      <c r="Z671">
        <f t="shared" si="426"/>
        <v>317.77843365845945</v>
      </c>
    </row>
    <row r="672" spans="1:26" x14ac:dyDescent="0.25">
      <c r="A672" t="s">
        <v>67</v>
      </c>
      <c r="D672">
        <f t="shared" ref="D672:W672" si="450">D94*D162</f>
        <v>574.04203592373915</v>
      </c>
      <c r="E672">
        <f t="shared" si="450"/>
        <v>551.25029211801734</v>
      </c>
      <c r="F672">
        <f t="shared" si="450"/>
        <v>521.8394494107971</v>
      </c>
      <c r="G672">
        <f t="shared" si="450"/>
        <v>544.11550685217162</v>
      </c>
      <c r="H672">
        <f t="shared" si="450"/>
        <v>566.54142235788493</v>
      </c>
      <c r="I672">
        <f t="shared" si="450"/>
        <v>620.86069707171805</v>
      </c>
      <c r="J672">
        <f t="shared" si="450"/>
        <v>562.17535896563038</v>
      </c>
      <c r="K672">
        <f t="shared" si="450"/>
        <v>611.87355432158893</v>
      </c>
      <c r="L672">
        <f t="shared" si="450"/>
        <v>490.71012082438256</v>
      </c>
      <c r="M672">
        <f t="shared" si="450"/>
        <v>458.78355420595341</v>
      </c>
      <c r="N672">
        <f t="shared" si="450"/>
        <v>389.60158015809401</v>
      </c>
      <c r="O672">
        <f t="shared" si="450"/>
        <v>449.49595506934918</v>
      </c>
      <c r="P672">
        <f t="shared" si="450"/>
        <v>451.90297693570142</v>
      </c>
      <c r="Q672">
        <f t="shared" si="450"/>
        <v>400.19929856396794</v>
      </c>
      <c r="R672">
        <f t="shared" si="450"/>
        <v>273.82430289262925</v>
      </c>
      <c r="S672">
        <f t="shared" si="450"/>
        <v>298.77264311015887</v>
      </c>
      <c r="T672">
        <f t="shared" si="450"/>
        <v>298.59377208910985</v>
      </c>
      <c r="U672">
        <f t="shared" si="450"/>
        <v>351.13685135916364</v>
      </c>
      <c r="V672">
        <f t="shared" si="450"/>
        <v>626.28399881893699</v>
      </c>
      <c r="W672">
        <f t="shared" si="450"/>
        <v>674.17739288011217</v>
      </c>
      <c r="Y672" s="8">
        <f t="shared" si="425"/>
        <v>9716.1807639291073</v>
      </c>
      <c r="Z672">
        <f t="shared" si="426"/>
        <v>-29.069361084994647</v>
      </c>
    </row>
    <row r="673" spans="1:26" x14ac:dyDescent="0.25">
      <c r="Y673" s="8"/>
    </row>
    <row r="674" spans="1:26" x14ac:dyDescent="0.25">
      <c r="A674" t="s">
        <v>68</v>
      </c>
      <c r="D674">
        <f t="shared" ref="D674:W674" si="451">D96*D164</f>
        <v>689.61300480795217</v>
      </c>
      <c r="E674">
        <f t="shared" si="451"/>
        <v>513.14247890067656</v>
      </c>
      <c r="F674">
        <f t="shared" si="451"/>
        <v>559.82130604494364</v>
      </c>
      <c r="G674">
        <f t="shared" si="451"/>
        <v>868.44321823016844</v>
      </c>
      <c r="H674">
        <f t="shared" si="451"/>
        <v>558.86609822372009</v>
      </c>
      <c r="I674">
        <f t="shared" si="451"/>
        <v>489.06940276261685</v>
      </c>
      <c r="J674">
        <f t="shared" si="451"/>
        <v>366.90248508138524</v>
      </c>
      <c r="K674">
        <f t="shared" si="451"/>
        <v>319.82706574432177</v>
      </c>
      <c r="L674">
        <f t="shared" si="451"/>
        <v>234.84568127024724</v>
      </c>
      <c r="M674">
        <f t="shared" si="451"/>
        <v>484.6403333362594</v>
      </c>
      <c r="N674">
        <f t="shared" si="451"/>
        <v>376.69247967549342</v>
      </c>
      <c r="O674">
        <f t="shared" si="451"/>
        <v>359.28935111427319</v>
      </c>
      <c r="P674">
        <f t="shared" si="451"/>
        <v>491.21241510668483</v>
      </c>
      <c r="Q674">
        <f t="shared" si="451"/>
        <v>512.34009657007152</v>
      </c>
      <c r="R674">
        <f t="shared" si="451"/>
        <v>552.40001671907589</v>
      </c>
      <c r="S674">
        <f t="shared" si="451"/>
        <v>605.21072675151049</v>
      </c>
      <c r="T674">
        <f t="shared" si="451"/>
        <v>614.47920693687945</v>
      </c>
      <c r="U674">
        <f t="shared" si="451"/>
        <v>650.70164640632754</v>
      </c>
      <c r="V674">
        <f t="shared" si="451"/>
        <v>641.49496046515947</v>
      </c>
      <c r="W674">
        <f t="shared" si="451"/>
        <v>705.26313367385603</v>
      </c>
      <c r="Y674" s="8">
        <f t="shared" si="425"/>
        <v>10594.255107821622</v>
      </c>
      <c r="Z674">
        <f>SUMPRODUCT($D$678:$W$678,D674:W674)</f>
        <v>-6.8573784328135901</v>
      </c>
    </row>
    <row r="675" spans="1:26" x14ac:dyDescent="0.25">
      <c r="A675" t="s">
        <v>312</v>
      </c>
      <c r="D675">
        <f t="shared" ref="D675:W675" si="452">D97*D165</f>
        <v>603.07046315719742</v>
      </c>
      <c r="E675">
        <f t="shared" si="452"/>
        <v>639.87567675289529</v>
      </c>
      <c r="F675">
        <f t="shared" si="452"/>
        <v>417.17144653139775</v>
      </c>
      <c r="G675">
        <f t="shared" si="452"/>
        <v>401.10754910360055</v>
      </c>
      <c r="H675">
        <f t="shared" si="452"/>
        <v>521.74367650780061</v>
      </c>
      <c r="I675">
        <f t="shared" si="452"/>
        <v>445.78837585060438</v>
      </c>
      <c r="J675">
        <f t="shared" si="452"/>
        <v>415.17003473874809</v>
      </c>
      <c r="K675">
        <f t="shared" si="452"/>
        <v>422.90134614179544</v>
      </c>
      <c r="L675">
        <f t="shared" si="452"/>
        <v>276.55062720874952</v>
      </c>
      <c r="M675">
        <f t="shared" si="452"/>
        <v>286.90483945497897</v>
      </c>
      <c r="N675">
        <f t="shared" si="452"/>
        <v>227.01500993700017</v>
      </c>
      <c r="O675">
        <f t="shared" si="452"/>
        <v>232.54539931505019</v>
      </c>
      <c r="P675">
        <f t="shared" si="452"/>
        <v>517.43999999999994</v>
      </c>
      <c r="Q675">
        <f t="shared" si="452"/>
        <v>588</v>
      </c>
      <c r="R675">
        <f t="shared" si="452"/>
        <v>659.33999999999992</v>
      </c>
      <c r="S675">
        <f t="shared" si="452"/>
        <v>192.06</v>
      </c>
      <c r="T675">
        <f t="shared" si="452"/>
        <v>325.36000000000007</v>
      </c>
      <c r="U675">
        <f t="shared" si="452"/>
        <v>494.15999999999991</v>
      </c>
      <c r="V675">
        <f t="shared" si="452"/>
        <v>655.38</v>
      </c>
      <c r="W675">
        <f t="shared" si="452"/>
        <v>657.02</v>
      </c>
      <c r="Y675" s="8">
        <f t="shared" si="425"/>
        <v>8978.6044446998185</v>
      </c>
      <c r="Z675">
        <f>SUMPRODUCT($D$678:$W$678,D675:W675)</f>
        <v>142.33599317372492</v>
      </c>
    </row>
    <row r="676" spans="1:26" x14ac:dyDescent="0.25">
      <c r="A676" t="s">
        <v>313</v>
      </c>
      <c r="D676">
        <f t="shared" ref="D676:W676" si="453">D98*D166</f>
        <v>610.88</v>
      </c>
      <c r="E676">
        <f t="shared" si="453"/>
        <v>664.29</v>
      </c>
      <c r="F676">
        <f t="shared" si="453"/>
        <v>472.32</v>
      </c>
      <c r="G676">
        <f t="shared" si="453"/>
        <v>379.68000000000006</v>
      </c>
      <c r="H676">
        <f t="shared" si="453"/>
        <v>508.64</v>
      </c>
      <c r="I676">
        <f t="shared" si="453"/>
        <v>474.28</v>
      </c>
      <c r="J676">
        <f t="shared" si="453"/>
        <v>437.58000000000004</v>
      </c>
      <c r="K676">
        <f t="shared" si="453"/>
        <v>570.17999999999995</v>
      </c>
      <c r="L676">
        <f t="shared" si="453"/>
        <v>316.78000000000003</v>
      </c>
      <c r="M676">
        <f t="shared" si="453"/>
        <v>279.71999999999997</v>
      </c>
      <c r="N676">
        <f t="shared" si="453"/>
        <v>277.22000000000003</v>
      </c>
      <c r="O676">
        <f t="shared" si="453"/>
        <v>230.68</v>
      </c>
      <c r="P676">
        <f t="shared" si="453"/>
        <v>515.37609322650462</v>
      </c>
      <c r="Q676">
        <f t="shared" si="453"/>
        <v>536.73163633189256</v>
      </c>
      <c r="R676">
        <f t="shared" si="453"/>
        <v>542.77140397450887</v>
      </c>
      <c r="S676">
        <f t="shared" si="453"/>
        <v>578.45919901185903</v>
      </c>
      <c r="T676">
        <f t="shared" si="453"/>
        <v>557.15721363892033</v>
      </c>
      <c r="U676">
        <f t="shared" si="453"/>
        <v>593.53596238142961</v>
      </c>
      <c r="V676">
        <f t="shared" si="453"/>
        <v>632.43021355685664</v>
      </c>
      <c r="W676">
        <f t="shared" si="453"/>
        <v>692.98279941822864</v>
      </c>
      <c r="Y676" s="8">
        <f t="shared" si="425"/>
        <v>9871.6945215402011</v>
      </c>
      <c r="Z676">
        <f>SUMPRODUCT($D$678:$W$678,D676:W676)</f>
        <v>133.95144697443934</v>
      </c>
    </row>
    <row r="677" spans="1:26" x14ac:dyDescent="0.25">
      <c r="A677" t="s">
        <v>676</v>
      </c>
      <c r="D677">
        <f t="shared" ref="D677:W677" si="454">D99*D167</f>
        <v>1009.1340079834188</v>
      </c>
      <c r="E677">
        <f t="shared" si="454"/>
        <v>938.02885701028015</v>
      </c>
      <c r="F677">
        <f t="shared" si="454"/>
        <v>876.11105719652528</v>
      </c>
      <c r="G677">
        <f t="shared" si="454"/>
        <v>871.62319940638156</v>
      </c>
      <c r="H677">
        <f t="shared" si="454"/>
        <v>821.47890554438163</v>
      </c>
      <c r="I677">
        <f t="shared" si="454"/>
        <v>584.81352572002686</v>
      </c>
      <c r="J677">
        <f t="shared" si="454"/>
        <v>561.64883184664154</v>
      </c>
      <c r="K677">
        <f t="shared" si="454"/>
        <v>531.56047391088123</v>
      </c>
      <c r="L677">
        <f t="shared" si="454"/>
        <v>499.5256503056965</v>
      </c>
      <c r="M677">
        <f t="shared" si="454"/>
        <v>467.89542431004202</v>
      </c>
      <c r="N677">
        <f t="shared" si="454"/>
        <v>459.09498486232889</v>
      </c>
      <c r="O677">
        <f t="shared" si="454"/>
        <v>462.02779648375264</v>
      </c>
      <c r="P677">
        <f t="shared" si="454"/>
        <v>434.78819423784779</v>
      </c>
      <c r="Q677">
        <f t="shared" si="454"/>
        <v>548.64590305440424</v>
      </c>
      <c r="R677">
        <f t="shared" si="454"/>
        <v>568.32000000000005</v>
      </c>
      <c r="S677">
        <f t="shared" si="454"/>
        <v>595.5</v>
      </c>
      <c r="T677">
        <f t="shared" si="454"/>
        <v>575.57744715081401</v>
      </c>
      <c r="U677">
        <f t="shared" si="454"/>
        <v>611.0293879898212</v>
      </c>
      <c r="V677">
        <f t="shared" si="454"/>
        <v>617.40217163210207</v>
      </c>
      <c r="W677">
        <f t="shared" si="454"/>
        <v>674.63105431753513</v>
      </c>
      <c r="Y677" s="8">
        <f t="shared" ref="Y677" si="455">SUM(D677:W677)</f>
        <v>12708.83687296288</v>
      </c>
      <c r="Z677">
        <f>SUMPRODUCT($D$678:$W$678,D677:W677)</f>
        <v>-190.34469307600853</v>
      </c>
    </row>
    <row r="678" spans="1:26" x14ac:dyDescent="0.25">
      <c r="A678" s="2" t="s">
        <v>69</v>
      </c>
      <c r="D678" s="3">
        <f>CORREL($B$2:$B$26,D648:D672)</f>
        <v>-0.2450511545479471</v>
      </c>
      <c r="E678" s="3">
        <f t="shared" ref="E678:W678" si="456">CORREL($B$2:$B$26,E648:E672)</f>
        <v>-0.19385166065483087</v>
      </c>
      <c r="F678" s="3">
        <f t="shared" si="456"/>
        <v>-0.1559058791522796</v>
      </c>
      <c r="G678" s="3">
        <f t="shared" si="456"/>
        <v>-0.20245470435372404</v>
      </c>
      <c r="H678" s="3">
        <f t="shared" si="456"/>
        <v>3.6826716791640797E-2</v>
      </c>
      <c r="I678" s="3">
        <f t="shared" si="456"/>
        <v>0.17444537433444246</v>
      </c>
      <c r="J678" s="3">
        <f t="shared" si="456"/>
        <v>7.2292354252243729E-2</v>
      </c>
      <c r="K678" s="3">
        <f t="shared" si="456"/>
        <v>0.11244784489499052</v>
      </c>
      <c r="L678" s="3">
        <f t="shared" si="456"/>
        <v>-8.9058792106997825E-2</v>
      </c>
      <c r="M678" s="3">
        <f t="shared" si="456"/>
        <v>-2.2226079501205993E-2</v>
      </c>
      <c r="N678" s="3">
        <f t="shared" si="456"/>
        <v>-0.213463838714398</v>
      </c>
      <c r="O678" s="3">
        <f t="shared" si="456"/>
        <v>3.0398771376273261E-2</v>
      </c>
      <c r="P678" s="3">
        <f t="shared" si="456"/>
        <v>6.5938976310004782E-2</v>
      </c>
      <c r="Q678" s="3">
        <f t="shared" si="456"/>
        <v>9.3030308621674607E-2</v>
      </c>
      <c r="R678" s="3">
        <f t="shared" si="456"/>
        <v>0.38962497959124082</v>
      </c>
      <c r="S678" s="3">
        <f t="shared" si="456"/>
        <v>0.10530418445239309</v>
      </c>
      <c r="T678" s="3">
        <f t="shared" si="456"/>
        <v>2.4548636809259084E-3</v>
      </c>
      <c r="U678" s="3">
        <f t="shared" si="456"/>
        <v>1.6756748655200392E-2</v>
      </c>
      <c r="V678" s="3">
        <f t="shared" si="456"/>
        <v>5.2807703222674494E-2</v>
      </c>
      <c r="W678" s="3">
        <f t="shared" si="456"/>
        <v>7.4007826429088056E-2</v>
      </c>
    </row>
    <row r="681" spans="1:26" x14ac:dyDescent="0.25">
      <c r="D681" t="s">
        <v>228</v>
      </c>
      <c r="E681" t="s">
        <v>229</v>
      </c>
      <c r="F681" t="s">
        <v>230</v>
      </c>
      <c r="G681" t="s">
        <v>231</v>
      </c>
      <c r="H681" t="s">
        <v>232</v>
      </c>
      <c r="I681" t="s">
        <v>233</v>
      </c>
      <c r="J681" t="s">
        <v>234</v>
      </c>
      <c r="K681" t="s">
        <v>235</v>
      </c>
      <c r="L681" t="s">
        <v>335</v>
      </c>
      <c r="M681" t="s">
        <v>403</v>
      </c>
      <c r="N681" t="s">
        <v>404</v>
      </c>
      <c r="O681" t="s">
        <v>405</v>
      </c>
      <c r="P681" t="s">
        <v>532</v>
      </c>
      <c r="Q681" t="s">
        <v>533</v>
      </c>
      <c r="R681" t="s">
        <v>534</v>
      </c>
      <c r="S681" t="s">
        <v>535</v>
      </c>
      <c r="T681" t="s">
        <v>644</v>
      </c>
      <c r="U681" t="s">
        <v>645</v>
      </c>
      <c r="V681" t="s">
        <v>646</v>
      </c>
      <c r="W681" t="s">
        <v>647</v>
      </c>
      <c r="Y681" t="s">
        <v>236</v>
      </c>
      <c r="Z681" t="s">
        <v>237</v>
      </c>
    </row>
    <row r="682" spans="1:26" x14ac:dyDescent="0.25">
      <c r="A682" t="s">
        <v>43</v>
      </c>
      <c r="D682">
        <f t="shared" ref="D682:W682" si="457">D70*D172</f>
        <v>280.0616542016391</v>
      </c>
      <c r="E682">
        <f t="shared" si="457"/>
        <v>192.19060662544607</v>
      </c>
      <c r="F682">
        <f t="shared" si="457"/>
        <v>216.48679633753699</v>
      </c>
      <c r="G682">
        <f t="shared" si="457"/>
        <v>284.95580495731082</v>
      </c>
      <c r="H682">
        <f t="shared" si="457"/>
        <v>183.63210224331897</v>
      </c>
      <c r="I682">
        <f t="shared" si="457"/>
        <v>134.14682853037922</v>
      </c>
      <c r="J682">
        <f t="shared" si="457"/>
        <v>145.5417010460425</v>
      </c>
      <c r="K682">
        <f t="shared" si="457"/>
        <v>107.49529612155676</v>
      </c>
      <c r="L682">
        <f t="shared" si="457"/>
        <v>129.29884052877833</v>
      </c>
      <c r="M682">
        <f t="shared" si="457"/>
        <v>106.19348658927612</v>
      </c>
      <c r="N682">
        <f t="shared" si="457"/>
        <v>109.06500762904599</v>
      </c>
      <c r="O682">
        <f t="shared" si="457"/>
        <v>145.28749845268351</v>
      </c>
      <c r="P682">
        <f t="shared" si="457"/>
        <v>82.248840056543187</v>
      </c>
      <c r="Q682">
        <f t="shared" si="457"/>
        <v>152.17699708749402</v>
      </c>
      <c r="R682">
        <f t="shared" si="457"/>
        <v>178.19377244547834</v>
      </c>
      <c r="S682">
        <f t="shared" si="457"/>
        <v>174.42190040069346</v>
      </c>
      <c r="T682">
        <f t="shared" si="457"/>
        <v>165.49465715878307</v>
      </c>
      <c r="U682">
        <f t="shared" si="457"/>
        <v>122.39233454292255</v>
      </c>
      <c r="V682">
        <f t="shared" si="457"/>
        <v>200.96503167352321</v>
      </c>
      <c r="W682">
        <f t="shared" si="457"/>
        <v>195.66541908188933</v>
      </c>
      <c r="Y682" s="8">
        <f t="shared" ref="Y682:Y710" si="458">SUM(D682:W682)</f>
        <v>3305.9145757103415</v>
      </c>
      <c r="Z682">
        <f t="shared" ref="Z682:Z706" si="459">SUMPRODUCT($D$712:$W$712,D682:W682)</f>
        <v>-156.06826106246783</v>
      </c>
    </row>
    <row r="683" spans="1:26" x14ac:dyDescent="0.25">
      <c r="A683" t="s">
        <v>44</v>
      </c>
      <c r="D683">
        <f t="shared" ref="D683:W683" si="460">D71*D173</f>
        <v>268.34020028244413</v>
      </c>
      <c r="E683">
        <f t="shared" si="460"/>
        <v>269.69601489466493</v>
      </c>
      <c r="F683">
        <f t="shared" si="460"/>
        <v>216.91984529285716</v>
      </c>
      <c r="G683">
        <f t="shared" si="460"/>
        <v>157.81466791040245</v>
      </c>
      <c r="H683">
        <f t="shared" si="460"/>
        <v>167.43999903491655</v>
      </c>
      <c r="I683">
        <f t="shared" si="460"/>
        <v>159.14198803519238</v>
      </c>
      <c r="J683">
        <f t="shared" si="460"/>
        <v>184.87043808138367</v>
      </c>
      <c r="K683">
        <f t="shared" si="460"/>
        <v>188.25469796352374</v>
      </c>
      <c r="L683">
        <f t="shared" si="460"/>
        <v>164.67282097334638</v>
      </c>
      <c r="M683">
        <f t="shared" si="460"/>
        <v>124.01779198029016</v>
      </c>
      <c r="N683">
        <f t="shared" si="460"/>
        <v>92.820124814032454</v>
      </c>
      <c r="O683">
        <f t="shared" si="460"/>
        <v>109.62542689075133</v>
      </c>
      <c r="P683">
        <f t="shared" si="460"/>
        <v>117.7327276101869</v>
      </c>
      <c r="Q683">
        <f t="shared" si="460"/>
        <v>148.48295151001017</v>
      </c>
      <c r="R683">
        <f t="shared" si="460"/>
        <v>106.41870744928002</v>
      </c>
      <c r="S683">
        <f t="shared" si="460"/>
        <v>165.74024079734761</v>
      </c>
      <c r="T683">
        <f t="shared" si="460"/>
        <v>172.0380598370129</v>
      </c>
      <c r="U683">
        <f t="shared" si="460"/>
        <v>181.62591320766029</v>
      </c>
      <c r="V683">
        <f t="shared" si="460"/>
        <v>237.83354450414106</v>
      </c>
      <c r="W683">
        <f t="shared" si="460"/>
        <v>288.48157956717466</v>
      </c>
      <c r="Y683" s="8">
        <f t="shared" si="458"/>
        <v>3521.9677406366191</v>
      </c>
      <c r="Z683">
        <f t="shared" si="459"/>
        <v>-146.0869895690665</v>
      </c>
    </row>
    <row r="684" spans="1:26" x14ac:dyDescent="0.25">
      <c r="A684" t="s">
        <v>45</v>
      </c>
      <c r="D684">
        <f t="shared" ref="D684:W684" si="461">D72*D174</f>
        <v>284.74784222608025</v>
      </c>
      <c r="E684">
        <f t="shared" si="461"/>
        <v>262.07242580586751</v>
      </c>
      <c r="F684">
        <f t="shared" si="461"/>
        <v>260.50082382633326</v>
      </c>
      <c r="G684">
        <f t="shared" si="461"/>
        <v>236.73808601370149</v>
      </c>
      <c r="H684">
        <f t="shared" si="461"/>
        <v>244.10161477181856</v>
      </c>
      <c r="I684">
        <f t="shared" si="461"/>
        <v>181.20978728198426</v>
      </c>
      <c r="J684">
        <f t="shared" si="461"/>
        <v>169.34929496579576</v>
      </c>
      <c r="K684">
        <f t="shared" si="461"/>
        <v>172.61825112548638</v>
      </c>
      <c r="L684">
        <f t="shared" si="461"/>
        <v>142.61631433767494</v>
      </c>
      <c r="M684">
        <f t="shared" si="461"/>
        <v>130.32168170940784</v>
      </c>
      <c r="N684">
        <f t="shared" si="461"/>
        <v>124.97411697913959</v>
      </c>
      <c r="O684">
        <f t="shared" si="461"/>
        <v>121.89063683742025</v>
      </c>
      <c r="P684">
        <f t="shared" si="461"/>
        <v>193.27318978075996</v>
      </c>
      <c r="Q684">
        <f t="shared" si="461"/>
        <v>156.55239538391046</v>
      </c>
      <c r="R684">
        <f t="shared" si="461"/>
        <v>211.77994173767411</v>
      </c>
      <c r="S684">
        <f t="shared" si="461"/>
        <v>199.53310599992474</v>
      </c>
      <c r="T684">
        <f t="shared" si="461"/>
        <v>141.29737917934554</v>
      </c>
      <c r="U684">
        <f t="shared" si="461"/>
        <v>160.72053704229648</v>
      </c>
      <c r="V684">
        <f t="shared" si="461"/>
        <v>167.78577505525354</v>
      </c>
      <c r="W684">
        <f t="shared" si="461"/>
        <v>235.1460862907191</v>
      </c>
      <c r="Y684" s="8">
        <f t="shared" si="458"/>
        <v>3797.2292863505945</v>
      </c>
      <c r="Z684">
        <f t="shared" si="459"/>
        <v>-164.84490172440445</v>
      </c>
    </row>
    <row r="685" spans="1:26" x14ac:dyDescent="0.25">
      <c r="A685" t="s">
        <v>46</v>
      </c>
      <c r="D685">
        <f t="shared" ref="D685:W685" si="462">D73*D175</f>
        <v>367.91448265439965</v>
      </c>
      <c r="E685">
        <f t="shared" si="462"/>
        <v>253.88736310284403</v>
      </c>
      <c r="F685">
        <f t="shared" si="462"/>
        <v>277.45227862396683</v>
      </c>
      <c r="G685">
        <f t="shared" si="462"/>
        <v>297.55735508473555</v>
      </c>
      <c r="H685">
        <f t="shared" si="462"/>
        <v>229.19530595910044</v>
      </c>
      <c r="I685">
        <f t="shared" si="462"/>
        <v>271.4816768990533</v>
      </c>
      <c r="J685">
        <f t="shared" si="462"/>
        <v>179.24547633784999</v>
      </c>
      <c r="K685">
        <f t="shared" si="462"/>
        <v>170.29600625363511</v>
      </c>
      <c r="L685">
        <f t="shared" si="462"/>
        <v>181.12766021702919</v>
      </c>
      <c r="M685">
        <f t="shared" si="462"/>
        <v>67.20466230141372</v>
      </c>
      <c r="N685">
        <f t="shared" si="462"/>
        <v>84.710948021292168</v>
      </c>
      <c r="O685">
        <f t="shared" si="462"/>
        <v>98.502761002758675</v>
      </c>
      <c r="P685">
        <f t="shared" si="462"/>
        <v>176.42224582140025</v>
      </c>
      <c r="Q685">
        <f t="shared" si="462"/>
        <v>98.551819575199488</v>
      </c>
      <c r="R685">
        <f t="shared" si="462"/>
        <v>118.88015554004187</v>
      </c>
      <c r="S685">
        <f t="shared" si="462"/>
        <v>84.094735536894305</v>
      </c>
      <c r="T685">
        <f t="shared" si="462"/>
        <v>145.90156006435384</v>
      </c>
      <c r="U685">
        <f t="shared" si="462"/>
        <v>161.81990473298987</v>
      </c>
      <c r="V685">
        <f t="shared" si="462"/>
        <v>189.70857421482191</v>
      </c>
      <c r="W685">
        <f t="shared" si="462"/>
        <v>204.61426921671679</v>
      </c>
      <c r="Y685" s="8">
        <f t="shared" si="458"/>
        <v>3658.5692411604978</v>
      </c>
      <c r="Z685">
        <f t="shared" si="459"/>
        <v>-189.04969090454202</v>
      </c>
    </row>
    <row r="686" spans="1:26" x14ac:dyDescent="0.25">
      <c r="A686" t="s">
        <v>47</v>
      </c>
      <c r="D686">
        <f t="shared" ref="D686:W686" si="463">D74*D176</f>
        <v>262.15788778506015</v>
      </c>
      <c r="E686">
        <f t="shared" si="463"/>
        <v>248.45300475428604</v>
      </c>
      <c r="F686">
        <f t="shared" si="463"/>
        <v>341.7763876519702</v>
      </c>
      <c r="G686">
        <f t="shared" si="463"/>
        <v>338.52782596746164</v>
      </c>
      <c r="H686">
        <f t="shared" si="463"/>
        <v>272.76174518035947</v>
      </c>
      <c r="I686">
        <f t="shared" si="463"/>
        <v>172.78114652845727</v>
      </c>
      <c r="J686">
        <f t="shared" si="463"/>
        <v>240.92987006476864</v>
      </c>
      <c r="K686">
        <f t="shared" si="463"/>
        <v>181.30188208902598</v>
      </c>
      <c r="L686">
        <f t="shared" si="463"/>
        <v>98.569356361177341</v>
      </c>
      <c r="M686">
        <f t="shared" si="463"/>
        <v>125.1183122725123</v>
      </c>
      <c r="N686">
        <f t="shared" si="463"/>
        <v>107.85968259748641</v>
      </c>
      <c r="O686">
        <f t="shared" si="463"/>
        <v>123.86552552745044</v>
      </c>
      <c r="P686">
        <f t="shared" si="463"/>
        <v>189.79189817447298</v>
      </c>
      <c r="Q686">
        <f t="shared" si="463"/>
        <v>157.17924631825045</v>
      </c>
      <c r="R686">
        <f t="shared" si="463"/>
        <v>217.12930783715385</v>
      </c>
      <c r="S686">
        <f t="shared" si="463"/>
        <v>109.43797441310383</v>
      </c>
      <c r="T686">
        <f t="shared" si="463"/>
        <v>160.11529513292939</v>
      </c>
      <c r="U686">
        <f t="shared" si="463"/>
        <v>219.98658479854373</v>
      </c>
      <c r="V686">
        <f t="shared" si="463"/>
        <v>165.0976307658492</v>
      </c>
      <c r="W686">
        <f t="shared" si="463"/>
        <v>220.52866970491021</v>
      </c>
      <c r="Y686" s="8">
        <f t="shared" si="458"/>
        <v>3953.3692339252293</v>
      </c>
      <c r="Z686">
        <f t="shared" si="459"/>
        <v>-174.19401270772426</v>
      </c>
    </row>
    <row r="687" spans="1:26" x14ac:dyDescent="0.25">
      <c r="A687" t="s">
        <v>48</v>
      </c>
      <c r="D687">
        <f t="shared" ref="D687:W687" si="464">D75*D177</f>
        <v>364.86894070197718</v>
      </c>
      <c r="E687">
        <f t="shared" si="464"/>
        <v>253.78753353847401</v>
      </c>
      <c r="F687">
        <f t="shared" si="464"/>
        <v>258.65350445986843</v>
      </c>
      <c r="G687">
        <f t="shared" si="464"/>
        <v>413.47161372120956</v>
      </c>
      <c r="H687">
        <f t="shared" si="464"/>
        <v>231.29543703119057</v>
      </c>
      <c r="I687">
        <f t="shared" si="464"/>
        <v>220.05151031622941</v>
      </c>
      <c r="J687">
        <f t="shared" si="464"/>
        <v>209.06520634080238</v>
      </c>
      <c r="K687">
        <f t="shared" si="464"/>
        <v>178.46625516203375</v>
      </c>
      <c r="L687">
        <f t="shared" si="464"/>
        <v>138.20864814988965</v>
      </c>
      <c r="M687">
        <f t="shared" si="464"/>
        <v>149.5460543479698</v>
      </c>
      <c r="N687">
        <f t="shared" si="464"/>
        <v>133.70644440404237</v>
      </c>
      <c r="O687">
        <f t="shared" si="464"/>
        <v>114.52925795730626</v>
      </c>
      <c r="P687">
        <f t="shared" si="464"/>
        <v>143.37997944475484</v>
      </c>
      <c r="Q687">
        <f t="shared" si="464"/>
        <v>123.40384022434606</v>
      </c>
      <c r="R687">
        <f t="shared" si="464"/>
        <v>138.18564117261963</v>
      </c>
      <c r="S687">
        <f t="shared" si="464"/>
        <v>182.40928589855943</v>
      </c>
      <c r="T687">
        <f t="shared" si="464"/>
        <v>158.09745604878646</v>
      </c>
      <c r="U687">
        <f t="shared" si="464"/>
        <v>136.50490404466882</v>
      </c>
      <c r="V687">
        <f t="shared" si="464"/>
        <v>212.1672714306489</v>
      </c>
      <c r="W687">
        <f t="shared" si="464"/>
        <v>244.33097166510029</v>
      </c>
      <c r="Y687" s="8">
        <f t="shared" si="458"/>
        <v>4004.1297560604776</v>
      </c>
      <c r="Z687">
        <f t="shared" si="459"/>
        <v>-238.97735317494516</v>
      </c>
    </row>
    <row r="688" spans="1:26" x14ac:dyDescent="0.25">
      <c r="A688" t="s">
        <v>49</v>
      </c>
      <c r="D688">
        <f t="shared" ref="D688:W688" si="465">D76*D178</f>
        <v>330.23289033708551</v>
      </c>
      <c r="E688">
        <f t="shared" si="465"/>
        <v>300.33393000254932</v>
      </c>
      <c r="F688">
        <f t="shared" si="465"/>
        <v>407.28169313850634</v>
      </c>
      <c r="G688">
        <f t="shared" si="465"/>
        <v>373.58138920851098</v>
      </c>
      <c r="H688">
        <f t="shared" si="465"/>
        <v>242.18302010646173</v>
      </c>
      <c r="I688">
        <f t="shared" si="465"/>
        <v>298.76608437550021</v>
      </c>
      <c r="J688">
        <f t="shared" si="465"/>
        <v>237.5997564999002</v>
      </c>
      <c r="K688">
        <f t="shared" si="465"/>
        <v>175.67508845510639</v>
      </c>
      <c r="L688">
        <f t="shared" si="465"/>
        <v>160.41278023435348</v>
      </c>
      <c r="M688">
        <f t="shared" si="465"/>
        <v>173.829130348761</v>
      </c>
      <c r="N688">
        <f t="shared" si="465"/>
        <v>165.45855136522951</v>
      </c>
      <c r="O688">
        <f t="shared" si="465"/>
        <v>96.086448161945626</v>
      </c>
      <c r="P688">
        <f t="shared" si="465"/>
        <v>194.61452362392097</v>
      </c>
      <c r="Q688">
        <f t="shared" si="465"/>
        <v>131.47351034950739</v>
      </c>
      <c r="R688">
        <f t="shared" si="465"/>
        <v>168.15934434942912</v>
      </c>
      <c r="S688">
        <f t="shared" si="465"/>
        <v>225.64651638824978</v>
      </c>
      <c r="T688">
        <f t="shared" si="465"/>
        <v>131.38169029357346</v>
      </c>
      <c r="U688">
        <f t="shared" si="465"/>
        <v>182.35175050353314</v>
      </c>
      <c r="V688">
        <f t="shared" si="465"/>
        <v>211.61264353880026</v>
      </c>
      <c r="W688">
        <f t="shared" si="465"/>
        <v>321.10773526441517</v>
      </c>
      <c r="Y688" s="8">
        <f t="shared" si="458"/>
        <v>4527.78847654534</v>
      </c>
      <c r="Z688">
        <f t="shared" si="459"/>
        <v>-234.49261376224442</v>
      </c>
    </row>
    <row r="689" spans="1:26" x14ac:dyDescent="0.25">
      <c r="A689" t="s">
        <v>50</v>
      </c>
      <c r="D689">
        <f t="shared" ref="D689:W689" si="466">D77*D179</f>
        <v>11.758781562306238</v>
      </c>
      <c r="E689">
        <f t="shared" si="466"/>
        <v>346.91799185828557</v>
      </c>
      <c r="F689">
        <f t="shared" si="466"/>
        <v>314.92625450953489</v>
      </c>
      <c r="G689">
        <f t="shared" si="466"/>
        <v>206.34641767189154</v>
      </c>
      <c r="H689">
        <f t="shared" si="466"/>
        <v>174.76322678486818</v>
      </c>
      <c r="I689">
        <f t="shared" si="466"/>
        <v>211.37530197650193</v>
      </c>
      <c r="J689">
        <f t="shared" si="466"/>
        <v>139.58727075759427</v>
      </c>
      <c r="K689">
        <f t="shared" si="466"/>
        <v>143.45892322577978</v>
      </c>
      <c r="L689">
        <f t="shared" si="466"/>
        <v>166.2497245820866</v>
      </c>
      <c r="M689">
        <f t="shared" si="466"/>
        <v>128.61446009718514</v>
      </c>
      <c r="N689">
        <f t="shared" si="466"/>
        <v>101.64880110604791</v>
      </c>
      <c r="O689">
        <f t="shared" si="466"/>
        <v>141.14830024828197</v>
      </c>
      <c r="P689">
        <f t="shared" si="466"/>
        <v>133.61900884958609</v>
      </c>
      <c r="Q689">
        <f t="shared" si="466"/>
        <v>179.20981742748779</v>
      </c>
      <c r="R689">
        <f t="shared" si="466"/>
        <v>232.48031409297147</v>
      </c>
      <c r="S689">
        <f t="shared" si="466"/>
        <v>214.21993938082684</v>
      </c>
      <c r="T689">
        <f t="shared" si="466"/>
        <v>196.83430189104536</v>
      </c>
      <c r="U689">
        <f t="shared" si="466"/>
        <v>207.73995257830799</v>
      </c>
      <c r="V689">
        <f t="shared" si="466"/>
        <v>298.14856796735762</v>
      </c>
      <c r="W689">
        <f t="shared" si="466"/>
        <v>285.09546476508285</v>
      </c>
      <c r="Y689" s="8">
        <f t="shared" si="458"/>
        <v>3834.1428213330305</v>
      </c>
      <c r="Z689">
        <f t="shared" si="459"/>
        <v>-58.046143820137907</v>
      </c>
    </row>
    <row r="690" spans="1:26" x14ac:dyDescent="0.25">
      <c r="A690" t="s">
        <v>51</v>
      </c>
      <c r="D690">
        <f t="shared" ref="D690:W690" si="467">D78*D180</f>
        <v>90.130558585780847</v>
      </c>
      <c r="E690">
        <f t="shared" si="467"/>
        <v>277.50516384796515</v>
      </c>
      <c r="F690">
        <f t="shared" si="467"/>
        <v>272.36903165342892</v>
      </c>
      <c r="G690">
        <f t="shared" si="467"/>
        <v>305.66723091780887</v>
      </c>
      <c r="H690">
        <f t="shared" si="467"/>
        <v>248.50733551096687</v>
      </c>
      <c r="I690">
        <f t="shared" si="467"/>
        <v>213.77075205704077</v>
      </c>
      <c r="J690">
        <f t="shared" si="467"/>
        <v>241.76419718201126</v>
      </c>
      <c r="K690">
        <f t="shared" si="467"/>
        <v>224.27349163430014</v>
      </c>
      <c r="L690">
        <f t="shared" si="467"/>
        <v>178.0042949435869</v>
      </c>
      <c r="M690">
        <f t="shared" si="467"/>
        <v>208.24915256355814</v>
      </c>
      <c r="N690">
        <f t="shared" si="467"/>
        <v>156.83683220690651</v>
      </c>
      <c r="O690">
        <f t="shared" si="467"/>
        <v>150.26550534203739</v>
      </c>
      <c r="P690">
        <f t="shared" si="467"/>
        <v>231.79090733101268</v>
      </c>
      <c r="Q690">
        <f t="shared" si="467"/>
        <v>219.2882118791531</v>
      </c>
      <c r="R690">
        <f t="shared" si="467"/>
        <v>61.711605791704315</v>
      </c>
      <c r="S690">
        <f t="shared" si="467"/>
        <v>66.373783781745061</v>
      </c>
      <c r="T690">
        <f t="shared" si="467"/>
        <v>71.155377481525917</v>
      </c>
      <c r="U690">
        <f t="shared" si="467"/>
        <v>77.207749221365987</v>
      </c>
      <c r="V690">
        <f t="shared" si="467"/>
        <v>279.12808513691033</v>
      </c>
      <c r="W690">
        <f t="shared" si="467"/>
        <v>432.59003764308659</v>
      </c>
      <c r="Y690" s="8">
        <f t="shared" si="458"/>
        <v>4006.5893047118952</v>
      </c>
      <c r="Z690">
        <f t="shared" si="459"/>
        <v>-249.536512883879</v>
      </c>
    </row>
    <row r="691" spans="1:26" x14ac:dyDescent="0.25">
      <c r="A691" t="s">
        <v>52</v>
      </c>
      <c r="D691">
        <f t="shared" ref="D691:W691" si="468">D79*D181</f>
        <v>337.40882765560843</v>
      </c>
      <c r="E691">
        <f t="shared" si="468"/>
        <v>308.82149230080654</v>
      </c>
      <c r="F691">
        <f t="shared" si="468"/>
        <v>351.73721115723652</v>
      </c>
      <c r="G691">
        <f t="shared" si="468"/>
        <v>270.92699088797946</v>
      </c>
      <c r="H691">
        <f t="shared" si="468"/>
        <v>212.08503571438285</v>
      </c>
      <c r="I691">
        <f t="shared" si="468"/>
        <v>181.6403961438802</v>
      </c>
      <c r="J691">
        <f t="shared" si="468"/>
        <v>165.87380530495801</v>
      </c>
      <c r="K691">
        <f t="shared" si="468"/>
        <v>255.3635908050081</v>
      </c>
      <c r="L691">
        <f t="shared" si="468"/>
        <v>204.72624103587302</v>
      </c>
      <c r="M691">
        <f t="shared" si="468"/>
        <v>188.57981897892975</v>
      </c>
      <c r="N691">
        <f t="shared" si="468"/>
        <v>187.54600267298193</v>
      </c>
      <c r="O691">
        <f t="shared" si="468"/>
        <v>122.30891659704646</v>
      </c>
      <c r="P691">
        <f t="shared" si="468"/>
        <v>129.65799719554798</v>
      </c>
      <c r="Q691">
        <f t="shared" si="468"/>
        <v>191.22448779373156</v>
      </c>
      <c r="R691">
        <f t="shared" si="468"/>
        <v>162.28768550555898</v>
      </c>
      <c r="S691">
        <f t="shared" si="468"/>
        <v>224.30975263820434</v>
      </c>
      <c r="T691">
        <f t="shared" si="468"/>
        <v>184.90106349378178</v>
      </c>
      <c r="U691">
        <f t="shared" si="468"/>
        <v>302.08412132601399</v>
      </c>
      <c r="V691">
        <f t="shared" si="468"/>
        <v>273.09921963839349</v>
      </c>
      <c r="W691">
        <f t="shared" si="468"/>
        <v>326.60883134543241</v>
      </c>
      <c r="Y691" s="8">
        <f t="shared" si="458"/>
        <v>4581.1914881913553</v>
      </c>
      <c r="Z691">
        <f t="shared" si="459"/>
        <v>-225.40999452996641</v>
      </c>
    </row>
    <row r="692" spans="1:26" x14ac:dyDescent="0.25">
      <c r="A692" t="s">
        <v>53</v>
      </c>
      <c r="D692">
        <f t="shared" ref="D692:W692" si="469">D80*D182</f>
        <v>458.99160706337426</v>
      </c>
      <c r="E692">
        <f t="shared" si="469"/>
        <v>404.4572386124986</v>
      </c>
      <c r="F692">
        <f t="shared" si="469"/>
        <v>371.29164428728456</v>
      </c>
      <c r="G692">
        <f t="shared" si="469"/>
        <v>231.65729703490931</v>
      </c>
      <c r="H692">
        <f t="shared" si="469"/>
        <v>275.83463007987552</v>
      </c>
      <c r="I692">
        <f t="shared" si="469"/>
        <v>237.86470618710942</v>
      </c>
      <c r="J692">
        <f t="shared" si="469"/>
        <v>198.59156325834331</v>
      </c>
      <c r="K692">
        <f t="shared" si="469"/>
        <v>179.86176736737517</v>
      </c>
      <c r="L692">
        <f t="shared" si="469"/>
        <v>184.63231293937545</v>
      </c>
      <c r="M692">
        <f t="shared" si="469"/>
        <v>224.81781679937561</v>
      </c>
      <c r="N692">
        <f t="shared" si="469"/>
        <v>225.3221397242784</v>
      </c>
      <c r="O692">
        <f t="shared" si="469"/>
        <v>140.4666936579832</v>
      </c>
      <c r="P692">
        <f t="shared" si="469"/>
        <v>156.97431371040619</v>
      </c>
      <c r="Q692">
        <f t="shared" si="469"/>
        <v>221.4918513700645</v>
      </c>
      <c r="R692">
        <f t="shared" si="469"/>
        <v>225.53441442683405</v>
      </c>
      <c r="S692">
        <f t="shared" si="469"/>
        <v>200.75808213628952</v>
      </c>
      <c r="T692">
        <f t="shared" si="469"/>
        <v>221.02654692374298</v>
      </c>
      <c r="U692">
        <f t="shared" si="469"/>
        <v>240.91366778840134</v>
      </c>
      <c r="V692">
        <f t="shared" si="469"/>
        <v>289.61382201942979</v>
      </c>
      <c r="W692">
        <f t="shared" si="469"/>
        <v>264.29820039737132</v>
      </c>
      <c r="Y692" s="8">
        <f t="shared" si="458"/>
        <v>4954.4003157843226</v>
      </c>
      <c r="Z692">
        <f t="shared" si="459"/>
        <v>-255.95304444589365</v>
      </c>
    </row>
    <row r="693" spans="1:26" x14ac:dyDescent="0.25">
      <c r="A693" t="s">
        <v>54</v>
      </c>
      <c r="D693">
        <f t="shared" ref="D693:W693" si="470">D81*D183</f>
        <v>556.62582038087987</v>
      </c>
      <c r="E693">
        <f t="shared" si="470"/>
        <v>257.92875739919265</v>
      </c>
      <c r="F693">
        <f t="shared" si="470"/>
        <v>241.80025136336479</v>
      </c>
      <c r="G693">
        <f t="shared" si="470"/>
        <v>365.26581996269607</v>
      </c>
      <c r="H693">
        <f t="shared" si="470"/>
        <v>247.46755586447745</v>
      </c>
      <c r="I693">
        <f t="shared" si="470"/>
        <v>185.10906135617816</v>
      </c>
      <c r="J693">
        <f t="shared" si="470"/>
        <v>185.32132100253469</v>
      </c>
      <c r="K693">
        <f t="shared" si="470"/>
        <v>143.69959044292108</v>
      </c>
      <c r="L693">
        <f t="shared" si="470"/>
        <v>125.75300756069886</v>
      </c>
      <c r="M693">
        <f t="shared" si="470"/>
        <v>86.875185002102683</v>
      </c>
      <c r="N693">
        <f t="shared" si="470"/>
        <v>108.47651569705701</v>
      </c>
      <c r="O693">
        <f t="shared" si="470"/>
        <v>149.5460543479698</v>
      </c>
      <c r="P693">
        <f t="shared" si="470"/>
        <v>157.02341076664635</v>
      </c>
      <c r="Q693">
        <f t="shared" si="470"/>
        <v>185.24166028098023</v>
      </c>
      <c r="R693">
        <f t="shared" si="470"/>
        <v>84.094735536894305</v>
      </c>
      <c r="S693">
        <f t="shared" si="470"/>
        <v>118.88015554004187</v>
      </c>
      <c r="T693">
        <f t="shared" si="470"/>
        <v>161.41225384938764</v>
      </c>
      <c r="U693">
        <f t="shared" si="470"/>
        <v>200.15236934915018</v>
      </c>
      <c r="V693">
        <f t="shared" si="470"/>
        <v>283.37384100776518</v>
      </c>
      <c r="W693">
        <f t="shared" si="470"/>
        <v>248.51046802244983</v>
      </c>
      <c r="Y693" s="8">
        <f t="shared" si="458"/>
        <v>4092.5578347333894</v>
      </c>
      <c r="Z693">
        <f t="shared" si="459"/>
        <v>-240.16418614703628</v>
      </c>
    </row>
    <row r="694" spans="1:26" x14ac:dyDescent="0.25">
      <c r="A694" t="s">
        <v>55</v>
      </c>
      <c r="D694">
        <f t="shared" ref="D694:W694" si="471">D82*D184</f>
        <v>263.03513036252821</v>
      </c>
      <c r="E694">
        <f t="shared" si="471"/>
        <v>303.0486407794524</v>
      </c>
      <c r="F694">
        <f t="shared" si="471"/>
        <v>260.79918778121078</v>
      </c>
      <c r="G694">
        <f t="shared" si="471"/>
        <v>203.19001235609497</v>
      </c>
      <c r="H694">
        <f t="shared" si="471"/>
        <v>166.12235307309692</v>
      </c>
      <c r="I694">
        <f t="shared" si="471"/>
        <v>107.32954153685978</v>
      </c>
      <c r="J694">
        <f t="shared" si="471"/>
        <v>126.26911517824229</v>
      </c>
      <c r="K694">
        <f t="shared" si="471"/>
        <v>138.2815187759395</v>
      </c>
      <c r="L694">
        <f t="shared" si="471"/>
        <v>122.10459744810646</v>
      </c>
      <c r="M694">
        <f t="shared" si="471"/>
        <v>112.25632507840741</v>
      </c>
      <c r="N694">
        <f t="shared" si="471"/>
        <v>90.409230748553369</v>
      </c>
      <c r="O694">
        <f t="shared" si="471"/>
        <v>88.083091254376967</v>
      </c>
      <c r="P694">
        <f t="shared" si="471"/>
        <v>117.02109537273505</v>
      </c>
      <c r="Q694">
        <f t="shared" si="471"/>
        <v>114.19399132685834</v>
      </c>
      <c r="R694">
        <f t="shared" si="471"/>
        <v>88.724713266680681</v>
      </c>
      <c r="S694">
        <f t="shared" si="471"/>
        <v>131.08010153132312</v>
      </c>
      <c r="T694">
        <f t="shared" si="471"/>
        <v>154.42532639372061</v>
      </c>
      <c r="U694">
        <f t="shared" si="471"/>
        <v>75.020964553344456</v>
      </c>
      <c r="V694">
        <f t="shared" si="471"/>
        <v>101.18426531733948</v>
      </c>
      <c r="W694">
        <f t="shared" si="471"/>
        <v>188.92114542261621</v>
      </c>
      <c r="Y694" s="8">
        <f t="shared" si="458"/>
        <v>2951.5003475574872</v>
      </c>
      <c r="Z694">
        <f t="shared" si="459"/>
        <v>-204.51410696435221</v>
      </c>
    </row>
    <row r="695" spans="1:26" x14ac:dyDescent="0.25">
      <c r="A695" t="s">
        <v>56</v>
      </c>
      <c r="D695">
        <f t="shared" ref="D695:W695" si="472">D83*D185</f>
        <v>275.44317405647382</v>
      </c>
      <c r="E695">
        <f t="shared" si="472"/>
        <v>257.92564868079268</v>
      </c>
      <c r="F695">
        <f t="shared" si="472"/>
        <v>252.0348110844613</v>
      </c>
      <c r="G695">
        <f t="shared" si="472"/>
        <v>171.25632962724737</v>
      </c>
      <c r="H695">
        <f t="shared" si="472"/>
        <v>233.52777255073448</v>
      </c>
      <c r="I695">
        <f t="shared" si="472"/>
        <v>133.64617880572246</v>
      </c>
      <c r="J695">
        <f t="shared" si="472"/>
        <v>111.30099577696075</v>
      </c>
      <c r="K695">
        <f t="shared" si="472"/>
        <v>140.91736448350758</v>
      </c>
      <c r="L695">
        <f t="shared" si="472"/>
        <v>137.48265330663469</v>
      </c>
      <c r="M695">
        <f t="shared" si="472"/>
        <v>110.88870487561249</v>
      </c>
      <c r="N695">
        <f t="shared" si="472"/>
        <v>100.14524415556438</v>
      </c>
      <c r="O695">
        <f t="shared" si="472"/>
        <v>142.0943135697668</v>
      </c>
      <c r="P695">
        <f t="shared" si="472"/>
        <v>157.52526557138009</v>
      </c>
      <c r="Q695">
        <f t="shared" si="472"/>
        <v>105.96342063911983</v>
      </c>
      <c r="R695">
        <f t="shared" si="472"/>
        <v>115.43837143706077</v>
      </c>
      <c r="S695">
        <f t="shared" si="472"/>
        <v>147.96325710681538</v>
      </c>
      <c r="T695">
        <f t="shared" si="472"/>
        <v>175.42578390655299</v>
      </c>
      <c r="U695">
        <f t="shared" si="472"/>
        <v>202.75153609357781</v>
      </c>
      <c r="V695">
        <f t="shared" si="472"/>
        <v>149.97212266064005</v>
      </c>
      <c r="W695">
        <f t="shared" si="472"/>
        <v>196.55145301982125</v>
      </c>
      <c r="Y695" s="8">
        <f t="shared" si="458"/>
        <v>3318.2544014084469</v>
      </c>
      <c r="Z695">
        <f t="shared" si="459"/>
        <v>-150.13595229792162</v>
      </c>
    </row>
    <row r="696" spans="1:26" x14ac:dyDescent="0.25">
      <c r="A696" t="s">
        <v>57</v>
      </c>
      <c r="D696">
        <f t="shared" ref="D696:W696" si="473">D84*D186</f>
        <v>253.47998353162575</v>
      </c>
      <c r="E696">
        <f t="shared" si="473"/>
        <v>217.92094183936845</v>
      </c>
      <c r="F696">
        <f t="shared" si="473"/>
        <v>156.11538440962846</v>
      </c>
      <c r="G696">
        <f t="shared" si="473"/>
        <v>195.85078799688802</v>
      </c>
      <c r="H696">
        <f t="shared" si="473"/>
        <v>142.82267624974403</v>
      </c>
      <c r="I696">
        <f t="shared" si="473"/>
        <v>80.375012063203243</v>
      </c>
      <c r="J696">
        <f t="shared" si="473"/>
        <v>154.61360661512907</v>
      </c>
      <c r="K696">
        <f t="shared" si="473"/>
        <v>150.97013190140569</v>
      </c>
      <c r="L696">
        <f t="shared" si="473"/>
        <v>105.64954401060395</v>
      </c>
      <c r="M696">
        <f t="shared" si="473"/>
        <v>122.01942885383534</v>
      </c>
      <c r="N696">
        <f t="shared" si="473"/>
        <v>170.43809796294173</v>
      </c>
      <c r="O696">
        <f t="shared" si="473"/>
        <v>95.812938623060433</v>
      </c>
      <c r="P696">
        <f t="shared" si="473"/>
        <v>42.938083099616271</v>
      </c>
      <c r="Q696">
        <f t="shared" si="473"/>
        <v>71.320145380472141</v>
      </c>
      <c r="R696">
        <f t="shared" si="473"/>
        <v>68.82636290580993</v>
      </c>
      <c r="S696">
        <f t="shared" si="473"/>
        <v>140.76289394382155</v>
      </c>
      <c r="T696">
        <f t="shared" si="473"/>
        <v>168.71461491990354</v>
      </c>
      <c r="U696">
        <f t="shared" si="473"/>
        <v>128.36007856146915</v>
      </c>
      <c r="V696">
        <f t="shared" si="473"/>
        <v>202.52248633645888</v>
      </c>
      <c r="W696">
        <f t="shared" si="473"/>
        <v>227.34879678656549</v>
      </c>
      <c r="Y696" s="8">
        <f t="shared" si="458"/>
        <v>2896.8619959915504</v>
      </c>
      <c r="Z696">
        <f t="shared" si="459"/>
        <v>-178.15463946550577</v>
      </c>
    </row>
    <row r="697" spans="1:26" x14ac:dyDescent="0.25">
      <c r="A697" t="s">
        <v>58</v>
      </c>
      <c r="D697">
        <f t="shared" ref="D697:W697" si="474">D85*D187</f>
        <v>206.94118153777205</v>
      </c>
      <c r="E697">
        <f t="shared" si="474"/>
        <v>218.17978606377127</v>
      </c>
      <c r="F697">
        <f t="shared" si="474"/>
        <v>183.70934295885652</v>
      </c>
      <c r="G697">
        <f t="shared" si="474"/>
        <v>164.24515796624749</v>
      </c>
      <c r="H697">
        <f t="shared" si="474"/>
        <v>115.88805566406722</v>
      </c>
      <c r="I697">
        <f t="shared" si="474"/>
        <v>132.75987560791486</v>
      </c>
      <c r="J697">
        <f t="shared" si="474"/>
        <v>119.07882935191476</v>
      </c>
      <c r="K697">
        <f t="shared" si="474"/>
        <v>135.18442239295166</v>
      </c>
      <c r="L697">
        <f t="shared" si="474"/>
        <v>146.69743229540643</v>
      </c>
      <c r="M697">
        <f t="shared" si="474"/>
        <v>124.84788598882361</v>
      </c>
      <c r="N697">
        <f t="shared" si="474"/>
        <v>109.67903623422676</v>
      </c>
      <c r="O697">
        <f t="shared" si="474"/>
        <v>101.13568986599579</v>
      </c>
      <c r="P697">
        <f t="shared" si="474"/>
        <v>101.91584187126149</v>
      </c>
      <c r="Q697">
        <f t="shared" si="474"/>
        <v>130.8380833061878</v>
      </c>
      <c r="R697">
        <f t="shared" si="474"/>
        <v>124.10757728803829</v>
      </c>
      <c r="S697">
        <f t="shared" si="474"/>
        <v>108.5258363528786</v>
      </c>
      <c r="T697">
        <f t="shared" si="474"/>
        <v>197.03834699248335</v>
      </c>
      <c r="U697">
        <f t="shared" si="474"/>
        <v>195.17094090017957</v>
      </c>
      <c r="V697">
        <f t="shared" si="474"/>
        <v>108.40089528957036</v>
      </c>
      <c r="W697">
        <f t="shared" si="474"/>
        <v>156.13553754007648</v>
      </c>
      <c r="Y697" s="8">
        <f t="shared" si="458"/>
        <v>2880.4797554686247</v>
      </c>
      <c r="Z697">
        <f t="shared" si="459"/>
        <v>-143.48799321135402</v>
      </c>
    </row>
    <row r="698" spans="1:26" x14ac:dyDescent="0.25">
      <c r="A698" t="s">
        <v>59</v>
      </c>
      <c r="D698">
        <f t="shared" ref="D698:W698" si="475">D86*D188</f>
        <v>249.60390580709003</v>
      </c>
      <c r="E698">
        <f t="shared" si="475"/>
        <v>238.9460018481434</v>
      </c>
      <c r="F698">
        <f t="shared" si="475"/>
        <v>222.94692227183225</v>
      </c>
      <c r="G698">
        <f t="shared" si="475"/>
        <v>204.91513033526036</v>
      </c>
      <c r="H698">
        <f t="shared" si="475"/>
        <v>191.94496636388206</v>
      </c>
      <c r="I698">
        <f t="shared" si="475"/>
        <v>163.04701097465889</v>
      </c>
      <c r="J698">
        <f t="shared" si="475"/>
        <v>163.21419827805482</v>
      </c>
      <c r="K698">
        <f t="shared" si="475"/>
        <v>159.34673671221034</v>
      </c>
      <c r="L698">
        <f t="shared" si="475"/>
        <v>142.40063218304519</v>
      </c>
      <c r="M698">
        <f t="shared" si="475"/>
        <v>114.12175710258732</v>
      </c>
      <c r="N698">
        <f t="shared" si="475"/>
        <v>123.62941726629309</v>
      </c>
      <c r="O698">
        <f t="shared" si="475"/>
        <v>120.13773855674053</v>
      </c>
      <c r="P698">
        <f t="shared" si="475"/>
        <v>128.15502274615937</v>
      </c>
      <c r="Q698">
        <f t="shared" si="475"/>
        <v>121.54803367385715</v>
      </c>
      <c r="R698">
        <f t="shared" si="475"/>
        <v>153.54036116817596</v>
      </c>
      <c r="S698">
        <f t="shared" si="475"/>
        <v>175.39683949051002</v>
      </c>
      <c r="T698">
        <f t="shared" si="475"/>
        <v>179.71495863116454</v>
      </c>
      <c r="U698">
        <f t="shared" si="475"/>
        <v>180.52351442425041</v>
      </c>
      <c r="V698">
        <f t="shared" si="475"/>
        <v>239.6875915422936</v>
      </c>
      <c r="W698">
        <f t="shared" si="475"/>
        <v>237.39320013746922</v>
      </c>
      <c r="Y698" s="8">
        <f t="shared" si="458"/>
        <v>3510.2139395136778</v>
      </c>
      <c r="Z698">
        <f t="shared" si="459"/>
        <v>-129.3131396846708</v>
      </c>
    </row>
    <row r="699" spans="1:26" x14ac:dyDescent="0.25">
      <c r="A699" t="s">
        <v>60</v>
      </c>
      <c r="D699">
        <f t="shared" ref="D699:W699" si="476">D87*D189</f>
        <v>244.73348334157706</v>
      </c>
      <c r="E699">
        <f t="shared" si="476"/>
        <v>228.96201139452475</v>
      </c>
      <c r="F699">
        <f t="shared" si="476"/>
        <v>217.24197562994411</v>
      </c>
      <c r="G699">
        <f t="shared" si="476"/>
        <v>206.57501575308942</v>
      </c>
      <c r="H699">
        <f t="shared" si="476"/>
        <v>197.96855051978355</v>
      </c>
      <c r="I699">
        <f t="shared" si="476"/>
        <v>176.17275668249471</v>
      </c>
      <c r="J699">
        <f t="shared" si="476"/>
        <v>178.2480923927946</v>
      </c>
      <c r="K699">
        <f t="shared" si="476"/>
        <v>174.53690815378729</v>
      </c>
      <c r="L699">
        <f t="shared" si="476"/>
        <v>153.92662205036953</v>
      </c>
      <c r="M699">
        <f t="shared" si="476"/>
        <v>99.485078908466008</v>
      </c>
      <c r="N699">
        <f t="shared" si="476"/>
        <v>95.67848045907094</v>
      </c>
      <c r="O699">
        <f t="shared" si="476"/>
        <v>76.458708367544929</v>
      </c>
      <c r="P699">
        <f t="shared" si="476"/>
        <v>100.62703726779597</v>
      </c>
      <c r="Q699">
        <f t="shared" si="476"/>
        <v>102.25805468573792</v>
      </c>
      <c r="R699">
        <f t="shared" si="476"/>
        <v>150.35086343689329</v>
      </c>
      <c r="S699">
        <f t="shared" si="476"/>
        <v>140.8039744114329</v>
      </c>
      <c r="T699">
        <f t="shared" si="476"/>
        <v>91.242629099973755</v>
      </c>
      <c r="U699">
        <f t="shared" si="476"/>
        <v>186.50499132547148</v>
      </c>
      <c r="V699">
        <f t="shared" si="476"/>
        <v>239.05728917071895</v>
      </c>
      <c r="W699">
        <f t="shared" si="476"/>
        <v>240.85548043102011</v>
      </c>
      <c r="Y699" s="8">
        <f t="shared" si="458"/>
        <v>3301.6880034824917</v>
      </c>
      <c r="Z699">
        <f t="shared" si="459"/>
        <v>-122.50324627110301</v>
      </c>
    </row>
    <row r="700" spans="1:26" x14ac:dyDescent="0.25">
      <c r="A700" t="s">
        <v>61</v>
      </c>
      <c r="D700">
        <f t="shared" ref="D700:W700" si="477">D88*D190</f>
        <v>273.5253717308899</v>
      </c>
      <c r="E700">
        <f t="shared" si="477"/>
        <v>299.12330580977721</v>
      </c>
      <c r="F700">
        <f t="shared" si="477"/>
        <v>252.11921709077902</v>
      </c>
      <c r="G700">
        <f t="shared" si="477"/>
        <v>195.05536692931577</v>
      </c>
      <c r="H700">
        <f t="shared" si="477"/>
        <v>157.7243370463317</v>
      </c>
      <c r="I700">
        <f t="shared" si="477"/>
        <v>93.855563019379574</v>
      </c>
      <c r="J700">
        <f t="shared" si="477"/>
        <v>86.403327476531402</v>
      </c>
      <c r="K700">
        <f t="shared" si="477"/>
        <v>81.883674036265049</v>
      </c>
      <c r="L700">
        <f t="shared" si="477"/>
        <v>82.617186326327385</v>
      </c>
      <c r="M700">
        <f t="shared" si="477"/>
        <v>105.98380626246734</v>
      </c>
      <c r="N700">
        <f t="shared" si="477"/>
        <v>98.299669177085136</v>
      </c>
      <c r="O700">
        <f t="shared" si="477"/>
        <v>77.047987766339403</v>
      </c>
      <c r="P700">
        <f t="shared" si="477"/>
        <v>101.6022088148719</v>
      </c>
      <c r="Q700">
        <f t="shared" si="477"/>
        <v>98.197529114248141</v>
      </c>
      <c r="R700">
        <f t="shared" si="477"/>
        <v>127.64516088022012</v>
      </c>
      <c r="S700">
        <f t="shared" si="477"/>
        <v>177.20421690977375</v>
      </c>
      <c r="T700">
        <f t="shared" si="477"/>
        <v>154.43070288274581</v>
      </c>
      <c r="U700">
        <f t="shared" si="477"/>
        <v>149.08753970067426</v>
      </c>
      <c r="V700">
        <f t="shared" si="477"/>
        <v>180.17861043479525</v>
      </c>
      <c r="W700">
        <f t="shared" si="477"/>
        <v>163.64480138632865</v>
      </c>
      <c r="Y700" s="8">
        <f t="shared" si="458"/>
        <v>2955.6295827951467</v>
      </c>
      <c r="Z700">
        <f t="shared" si="459"/>
        <v>-133.70164013429465</v>
      </c>
    </row>
    <row r="701" spans="1:26" x14ac:dyDescent="0.25">
      <c r="A701" t="s">
        <v>62</v>
      </c>
      <c r="D701">
        <f t="shared" ref="D701:W701" si="478">D89*D191</f>
        <v>245.38086862154162</v>
      </c>
      <c r="E701">
        <f t="shared" si="478"/>
        <v>225.70008371745024</v>
      </c>
      <c r="F701">
        <f t="shared" si="478"/>
        <v>193.69336769526933</v>
      </c>
      <c r="G701">
        <f t="shared" si="478"/>
        <v>155.46034597895095</v>
      </c>
      <c r="H701">
        <f t="shared" si="478"/>
        <v>153.77085550027928</v>
      </c>
      <c r="I701">
        <f t="shared" si="478"/>
        <v>146.01416411797277</v>
      </c>
      <c r="J701">
        <f t="shared" si="478"/>
        <v>139.16625820376794</v>
      </c>
      <c r="K701">
        <f t="shared" si="478"/>
        <v>113.65069177997751</v>
      </c>
      <c r="L701">
        <f t="shared" si="478"/>
        <v>122.77498151438336</v>
      </c>
      <c r="M701">
        <f t="shared" si="478"/>
        <v>108.21283378876255</v>
      </c>
      <c r="N701">
        <f t="shared" si="478"/>
        <v>112.26656118356594</v>
      </c>
      <c r="O701">
        <f t="shared" si="478"/>
        <v>112.11118100451191</v>
      </c>
      <c r="P701">
        <f t="shared" si="478"/>
        <v>119.04603565326148</v>
      </c>
      <c r="Q701">
        <f t="shared" si="478"/>
        <v>112.34334159467434</v>
      </c>
      <c r="R701">
        <f t="shared" si="478"/>
        <v>242.00054472393825</v>
      </c>
      <c r="S701">
        <f t="shared" si="478"/>
        <v>261.29229388282891</v>
      </c>
      <c r="T701">
        <f t="shared" si="478"/>
        <v>275.98134589619087</v>
      </c>
      <c r="U701">
        <f t="shared" si="478"/>
        <v>253.5325972824092</v>
      </c>
      <c r="V701">
        <f t="shared" si="478"/>
        <v>274.70253700767154</v>
      </c>
      <c r="W701">
        <f t="shared" si="478"/>
        <v>292.50893887823634</v>
      </c>
      <c r="Y701" s="8">
        <f t="shared" si="458"/>
        <v>3659.6098280256442</v>
      </c>
      <c r="Z701">
        <f t="shared" si="459"/>
        <v>-28.146545071469127</v>
      </c>
    </row>
    <row r="702" spans="1:26" x14ac:dyDescent="0.25">
      <c r="A702" t="s">
        <v>63</v>
      </c>
      <c r="D702">
        <f t="shared" ref="D702:W702" si="479">D90*D192</f>
        <v>201.11941655696634</v>
      </c>
      <c r="E702">
        <f t="shared" si="479"/>
        <v>163.85658995637846</v>
      </c>
      <c r="F702">
        <f t="shared" si="479"/>
        <v>175.26145589022764</v>
      </c>
      <c r="G702">
        <f t="shared" si="479"/>
        <v>181.14614960431237</v>
      </c>
      <c r="H702">
        <f t="shared" si="479"/>
        <v>205.84926572081892</v>
      </c>
      <c r="I702">
        <f t="shared" si="479"/>
        <v>160.59526174875643</v>
      </c>
      <c r="J702">
        <f t="shared" si="479"/>
        <v>141.81990619586679</v>
      </c>
      <c r="K702">
        <f t="shared" si="479"/>
        <v>141.19773621947073</v>
      </c>
      <c r="L702">
        <f t="shared" si="479"/>
        <v>121.87420703672932</v>
      </c>
      <c r="M702">
        <f t="shared" si="479"/>
        <v>74.140528418021006</v>
      </c>
      <c r="N702">
        <f t="shared" si="479"/>
        <v>103.23628254277048</v>
      </c>
      <c r="O702">
        <f t="shared" si="479"/>
        <v>98.690975157416162</v>
      </c>
      <c r="P702">
        <f t="shared" si="479"/>
        <v>102.55514143114365</v>
      </c>
      <c r="Q702">
        <f t="shared" si="479"/>
        <v>88.647918654885657</v>
      </c>
      <c r="R702">
        <f t="shared" si="479"/>
        <v>85.14319283505418</v>
      </c>
      <c r="S702">
        <f t="shared" si="479"/>
        <v>144.82083380935541</v>
      </c>
      <c r="T702">
        <f t="shared" si="479"/>
        <v>147.76788550964937</v>
      </c>
      <c r="U702">
        <f t="shared" si="479"/>
        <v>145.54687105997971</v>
      </c>
      <c r="V702">
        <f t="shared" si="479"/>
        <v>230.096897905296</v>
      </c>
      <c r="W702">
        <f t="shared" si="479"/>
        <v>221.80931152088738</v>
      </c>
      <c r="Y702" s="8">
        <f t="shared" si="458"/>
        <v>2935.1758277739855</v>
      </c>
      <c r="Z702">
        <f t="shared" si="459"/>
        <v>-98.161484663393196</v>
      </c>
    </row>
    <row r="703" spans="1:26" x14ac:dyDescent="0.25">
      <c r="A703" t="s">
        <v>64</v>
      </c>
      <c r="D703">
        <f t="shared" ref="D703:W703" si="480">D91*D193</f>
        <v>244.80015609915637</v>
      </c>
      <c r="E703">
        <f t="shared" si="480"/>
        <v>247.75419537385602</v>
      </c>
      <c r="F703">
        <f t="shared" si="480"/>
        <v>211.34756657783763</v>
      </c>
      <c r="G703">
        <f t="shared" si="480"/>
        <v>251.30748399798574</v>
      </c>
      <c r="H703">
        <f t="shared" si="480"/>
        <v>209.0976843475143</v>
      </c>
      <c r="I703">
        <f t="shared" si="480"/>
        <v>158.90170536317214</v>
      </c>
      <c r="J703">
        <f t="shared" si="480"/>
        <v>150.40673269617412</v>
      </c>
      <c r="K703">
        <f t="shared" si="480"/>
        <v>159.06182651495968</v>
      </c>
      <c r="L703">
        <f t="shared" si="480"/>
        <v>161.94192567093512</v>
      </c>
      <c r="M703">
        <f t="shared" si="480"/>
        <v>128.10931225326161</v>
      </c>
      <c r="N703">
        <f t="shared" si="480"/>
        <v>136.84317539841214</v>
      </c>
      <c r="O703">
        <f t="shared" si="480"/>
        <v>120.04847008453835</v>
      </c>
      <c r="P703">
        <f t="shared" si="480"/>
        <v>118.8167589619302</v>
      </c>
      <c r="Q703">
        <f t="shared" si="480"/>
        <v>111.66061145584187</v>
      </c>
      <c r="R703">
        <f t="shared" si="480"/>
        <v>129.68350600526301</v>
      </c>
      <c r="S703">
        <f t="shared" si="480"/>
        <v>125.80690381491925</v>
      </c>
      <c r="T703">
        <f t="shared" si="480"/>
        <v>130.02459449856929</v>
      </c>
      <c r="U703">
        <f t="shared" si="480"/>
        <v>127.35460661759966</v>
      </c>
      <c r="V703">
        <f t="shared" si="480"/>
        <v>265.31344390816156</v>
      </c>
      <c r="W703">
        <f t="shared" si="480"/>
        <v>259.68342690387652</v>
      </c>
      <c r="Y703" s="8">
        <f t="shared" si="458"/>
        <v>3447.9640865439642</v>
      </c>
      <c r="Z703">
        <f t="shared" si="459"/>
        <v>-172.49433307845959</v>
      </c>
    </row>
    <row r="704" spans="1:26" x14ac:dyDescent="0.25">
      <c r="A704" t="s">
        <v>65</v>
      </c>
      <c r="D704">
        <f t="shared" ref="D704:W704" si="481">D92*D194</f>
        <v>374.09715706024781</v>
      </c>
      <c r="E704">
        <f t="shared" si="481"/>
        <v>339.98356563006143</v>
      </c>
      <c r="F704">
        <f t="shared" si="481"/>
        <v>314.67246942729668</v>
      </c>
      <c r="G704">
        <f t="shared" si="481"/>
        <v>275.44937495741959</v>
      </c>
      <c r="H704">
        <f t="shared" si="481"/>
        <v>260.34642465466516</v>
      </c>
      <c r="I704">
        <f t="shared" si="481"/>
        <v>257.78007284514302</v>
      </c>
      <c r="J704">
        <f t="shared" si="481"/>
        <v>295.60528773166715</v>
      </c>
      <c r="K704">
        <f t="shared" si="481"/>
        <v>300.7579034723081</v>
      </c>
      <c r="L704">
        <f t="shared" si="481"/>
        <v>187.10599111520148</v>
      </c>
      <c r="M704">
        <f t="shared" si="481"/>
        <v>158.5171950264037</v>
      </c>
      <c r="N704">
        <f t="shared" si="481"/>
        <v>165.44056685331279</v>
      </c>
      <c r="O704">
        <f t="shared" si="481"/>
        <v>207.71235441210646</v>
      </c>
      <c r="P704">
        <f t="shared" si="481"/>
        <v>209.49265536456716</v>
      </c>
      <c r="Q704">
        <f t="shared" si="481"/>
        <v>213.08129195157338</v>
      </c>
      <c r="R704">
        <f t="shared" si="481"/>
        <v>201.23369979910274</v>
      </c>
      <c r="S704">
        <f t="shared" si="481"/>
        <v>175.20525464817382</v>
      </c>
      <c r="T704">
        <f t="shared" si="481"/>
        <v>196.59040180990249</v>
      </c>
      <c r="U704">
        <f t="shared" si="481"/>
        <v>230.11626685917062</v>
      </c>
      <c r="V704">
        <f t="shared" si="481"/>
        <v>252.42544934883395</v>
      </c>
      <c r="W704">
        <f t="shared" si="481"/>
        <v>257.20218077182881</v>
      </c>
      <c r="Y704" s="8">
        <f t="shared" si="458"/>
        <v>4872.8155637389864</v>
      </c>
      <c r="Z704">
        <f t="shared" si="459"/>
        <v>-247.18148999835381</v>
      </c>
    </row>
    <row r="705" spans="1:26" x14ac:dyDescent="0.25">
      <c r="A705" t="s">
        <v>66</v>
      </c>
      <c r="D705">
        <f t="shared" ref="D705:W705" si="482">D93*D195</f>
        <v>175.38004340929757</v>
      </c>
      <c r="E705">
        <f t="shared" si="482"/>
        <v>186.28762723555076</v>
      </c>
      <c r="F705">
        <f t="shared" si="482"/>
        <v>201.28365977583945</v>
      </c>
      <c r="G705">
        <f t="shared" si="482"/>
        <v>179.43870925253748</v>
      </c>
      <c r="H705">
        <f t="shared" si="482"/>
        <v>166.26899180920736</v>
      </c>
      <c r="I705">
        <f t="shared" si="482"/>
        <v>158.48017400764229</v>
      </c>
      <c r="J705">
        <f t="shared" si="482"/>
        <v>177.82711998471012</v>
      </c>
      <c r="K705">
        <f t="shared" si="482"/>
        <v>174.60141249083128</v>
      </c>
      <c r="L705">
        <f t="shared" si="482"/>
        <v>149.9204305323006</v>
      </c>
      <c r="M705">
        <f t="shared" si="482"/>
        <v>110.7870464366021</v>
      </c>
      <c r="N705">
        <f t="shared" si="482"/>
        <v>96.280591000455217</v>
      </c>
      <c r="O705">
        <f t="shared" si="482"/>
        <v>125.06961503135017</v>
      </c>
      <c r="P705">
        <f t="shared" si="482"/>
        <v>149.16478099942387</v>
      </c>
      <c r="Q705">
        <f t="shared" si="482"/>
        <v>146.77461380132448</v>
      </c>
      <c r="R705">
        <f t="shared" si="482"/>
        <v>294.42508143766105</v>
      </c>
      <c r="S705">
        <f t="shared" si="482"/>
        <v>306.02446534850048</v>
      </c>
      <c r="T705">
        <f t="shared" si="482"/>
        <v>336.49864167421748</v>
      </c>
      <c r="U705">
        <f t="shared" si="482"/>
        <v>308.34510210749437</v>
      </c>
      <c r="V705">
        <f t="shared" si="482"/>
        <v>209.57767619596012</v>
      </c>
      <c r="W705">
        <f t="shared" si="482"/>
        <v>198.27246684534305</v>
      </c>
      <c r="Y705" s="8">
        <f t="shared" si="458"/>
        <v>3850.7082493762491</v>
      </c>
      <c r="Z705">
        <f t="shared" si="459"/>
        <v>-6.6368400717132481</v>
      </c>
    </row>
    <row r="706" spans="1:26" x14ac:dyDescent="0.25">
      <c r="A706" t="s">
        <v>67</v>
      </c>
      <c r="D706">
        <f t="shared" ref="D706:W706" si="483">D94*D196</f>
        <v>180.4226912614451</v>
      </c>
      <c r="E706">
        <f t="shared" si="483"/>
        <v>168.11094251759724</v>
      </c>
      <c r="F706">
        <f t="shared" si="483"/>
        <v>156.92027748857976</v>
      </c>
      <c r="G706">
        <f t="shared" si="483"/>
        <v>163.00383222049902</v>
      </c>
      <c r="H706">
        <f t="shared" si="483"/>
        <v>164.91055331946177</v>
      </c>
      <c r="I706">
        <f t="shared" si="483"/>
        <v>182.24252181592354</v>
      </c>
      <c r="J706">
        <f t="shared" si="483"/>
        <v>185.01542705605402</v>
      </c>
      <c r="K706">
        <f t="shared" si="483"/>
        <v>175.37677636279781</v>
      </c>
      <c r="L706">
        <f t="shared" si="483"/>
        <v>142.19230854350408</v>
      </c>
      <c r="M706">
        <f t="shared" si="483"/>
        <v>109.0819349871653</v>
      </c>
      <c r="N706">
        <f t="shared" si="483"/>
        <v>98.473436317623566</v>
      </c>
      <c r="O706">
        <f t="shared" si="483"/>
        <v>129.82781999972048</v>
      </c>
      <c r="P706">
        <f t="shared" si="483"/>
        <v>129.59216468351875</v>
      </c>
      <c r="Q706">
        <f t="shared" si="483"/>
        <v>117.20007277278675</v>
      </c>
      <c r="R706">
        <f t="shared" si="483"/>
        <v>62.594677984006417</v>
      </c>
      <c r="S706">
        <f t="shared" si="483"/>
        <v>62.648148905519911</v>
      </c>
      <c r="T706">
        <f t="shared" si="483"/>
        <v>62.077086746442177</v>
      </c>
      <c r="U706">
        <f t="shared" si="483"/>
        <v>72.55294939982727</v>
      </c>
      <c r="V706">
        <f t="shared" si="483"/>
        <v>241.98379476758453</v>
      </c>
      <c r="W706">
        <f t="shared" si="483"/>
        <v>274.21351117781188</v>
      </c>
      <c r="Y706" s="8">
        <f t="shared" si="458"/>
        <v>2878.4409283278701</v>
      </c>
      <c r="Z706">
        <f t="shared" si="459"/>
        <v>-152.16427496252462</v>
      </c>
    </row>
    <row r="707" spans="1:26" x14ac:dyDescent="0.25">
      <c r="Y707" s="8"/>
    </row>
    <row r="708" spans="1:26" x14ac:dyDescent="0.25">
      <c r="A708" t="s">
        <v>68</v>
      </c>
      <c r="D708">
        <f t="shared" ref="D708:W708" si="484">D96*D198</f>
        <v>190.53095033676718</v>
      </c>
      <c r="E708">
        <f t="shared" si="484"/>
        <v>140.02013412469006</v>
      </c>
      <c r="F708">
        <f t="shared" si="484"/>
        <v>147.7377518681601</v>
      </c>
      <c r="G708">
        <f t="shared" si="484"/>
        <v>249.49950607146397</v>
      </c>
      <c r="H708">
        <f t="shared" si="484"/>
        <v>170.52231485527568</v>
      </c>
      <c r="I708">
        <f t="shared" si="484"/>
        <v>305.18907308672408</v>
      </c>
      <c r="J708">
        <f t="shared" si="484"/>
        <v>230.84300363713885</v>
      </c>
      <c r="K708">
        <f t="shared" si="484"/>
        <v>173.68984280161868</v>
      </c>
      <c r="L708">
        <f t="shared" si="484"/>
        <v>130.85806882778476</v>
      </c>
      <c r="M708">
        <f t="shared" si="484"/>
        <v>112.1434175317207</v>
      </c>
      <c r="N708">
        <f t="shared" si="484"/>
        <v>91.094982402104719</v>
      </c>
      <c r="O708">
        <f t="shared" si="484"/>
        <v>89.616430041353908</v>
      </c>
      <c r="P708">
        <f t="shared" si="484"/>
        <v>121.1770256341965</v>
      </c>
      <c r="Q708">
        <f t="shared" si="484"/>
        <v>121.63034123444912</v>
      </c>
      <c r="R708">
        <f t="shared" si="484"/>
        <v>124.98929284251071</v>
      </c>
      <c r="S708">
        <f t="shared" si="484"/>
        <v>140.8501235257657</v>
      </c>
      <c r="T708">
        <f t="shared" si="484"/>
        <v>179.03522879461661</v>
      </c>
      <c r="U708">
        <f t="shared" si="484"/>
        <v>181.29211203010095</v>
      </c>
      <c r="V708">
        <f t="shared" si="484"/>
        <v>207.48089854096855</v>
      </c>
      <c r="W708">
        <f t="shared" si="484"/>
        <v>222.37208935023318</v>
      </c>
      <c r="Y708" s="8">
        <f t="shared" si="458"/>
        <v>3330.5725875376434</v>
      </c>
      <c r="Z708">
        <f>SUMPRODUCT($D$712:$W$712,D708:W708)</f>
        <v>-96.460460331218613</v>
      </c>
    </row>
    <row r="709" spans="1:26" x14ac:dyDescent="0.25">
      <c r="A709" t="s">
        <v>312</v>
      </c>
      <c r="D709">
        <f t="shared" ref="D709:W709" si="485">D97*D199</f>
        <v>269.72775872366265</v>
      </c>
      <c r="E709">
        <f t="shared" si="485"/>
        <v>240.75890213160756</v>
      </c>
      <c r="F709">
        <f t="shared" si="485"/>
        <v>120.94723440010435</v>
      </c>
      <c r="G709">
        <f t="shared" si="485"/>
        <v>124.07803723250728</v>
      </c>
      <c r="H709">
        <f t="shared" si="485"/>
        <v>156.9970055214072</v>
      </c>
      <c r="I709">
        <f t="shared" si="485"/>
        <v>131.54522785070034</v>
      </c>
      <c r="J709">
        <f t="shared" si="485"/>
        <v>129.65755464892575</v>
      </c>
      <c r="K709">
        <f t="shared" si="485"/>
        <v>49.129007761663011</v>
      </c>
      <c r="L709">
        <f t="shared" si="485"/>
        <v>76.033280424703008</v>
      </c>
      <c r="M709">
        <f t="shared" si="485"/>
        <v>83.475720867837765</v>
      </c>
      <c r="N709">
        <f t="shared" si="485"/>
        <v>54.516134948785279</v>
      </c>
      <c r="O709">
        <f t="shared" si="485"/>
        <v>62.14855068290229</v>
      </c>
      <c r="P709">
        <f t="shared" si="485"/>
        <v>83.52</v>
      </c>
      <c r="Q709">
        <f t="shared" si="485"/>
        <v>95.55</v>
      </c>
      <c r="R709">
        <f t="shared" si="485"/>
        <v>119.88000000000001</v>
      </c>
      <c r="S709">
        <f t="shared" si="485"/>
        <v>37.619999999999997</v>
      </c>
      <c r="T709">
        <f t="shared" si="485"/>
        <v>107.80000000000001</v>
      </c>
      <c r="U709">
        <f t="shared" si="485"/>
        <v>140.57999999999998</v>
      </c>
      <c r="V709">
        <f t="shared" si="485"/>
        <v>201.95999999999998</v>
      </c>
      <c r="W709">
        <f t="shared" si="485"/>
        <v>218.39999999999998</v>
      </c>
      <c r="Y709" s="8">
        <f t="shared" si="458"/>
        <v>2504.3244151948065</v>
      </c>
      <c r="Z709">
        <f>SUMPRODUCT($D$712:$W$712,D709:W709)</f>
        <v>-83.528211340145489</v>
      </c>
    </row>
    <row r="710" spans="1:26" x14ac:dyDescent="0.25">
      <c r="A710" t="s">
        <v>313</v>
      </c>
      <c r="D710">
        <f t="shared" ref="D710:W710" si="486">D98*D200</f>
        <v>244.72</v>
      </c>
      <c r="E710">
        <f t="shared" si="486"/>
        <v>225.09000000000003</v>
      </c>
      <c r="F710">
        <f t="shared" si="486"/>
        <v>126.69000000000001</v>
      </c>
      <c r="G710">
        <f t="shared" si="486"/>
        <v>115.26</v>
      </c>
      <c r="H710">
        <f t="shared" si="486"/>
        <v>165.92</v>
      </c>
      <c r="I710">
        <f t="shared" si="486"/>
        <v>137.73999999999998</v>
      </c>
      <c r="J710">
        <f t="shared" si="486"/>
        <v>132.99</v>
      </c>
      <c r="K710">
        <f t="shared" si="486"/>
        <v>105.06</v>
      </c>
      <c r="L710">
        <f t="shared" si="486"/>
        <v>87.420000000000016</v>
      </c>
      <c r="M710">
        <f t="shared" si="486"/>
        <v>78.960000000000008</v>
      </c>
      <c r="N710">
        <f t="shared" si="486"/>
        <v>70.550000000000011</v>
      </c>
      <c r="O710">
        <f t="shared" si="486"/>
        <v>60.59</v>
      </c>
      <c r="P710">
        <f t="shared" si="486"/>
        <v>130.39461075141062</v>
      </c>
      <c r="Q710">
        <f t="shared" si="486"/>
        <v>128.741483379626</v>
      </c>
      <c r="R710">
        <f t="shared" si="486"/>
        <v>156.80675336034395</v>
      </c>
      <c r="S710">
        <f t="shared" si="486"/>
        <v>169.17819194770539</v>
      </c>
      <c r="T710">
        <f t="shared" si="486"/>
        <v>181.81960596060841</v>
      </c>
      <c r="U710">
        <f t="shared" si="486"/>
        <v>191.67783573894798</v>
      </c>
      <c r="V710">
        <f t="shared" si="486"/>
        <v>238.90775806370991</v>
      </c>
      <c r="W710">
        <f t="shared" si="486"/>
        <v>245.56921270315706</v>
      </c>
      <c r="Y710" s="8">
        <f t="shared" si="458"/>
        <v>2994.0854519055097</v>
      </c>
      <c r="Z710">
        <f>SUMPRODUCT($D$712:$W$712,D710:W710)</f>
        <v>-37.822082825226936</v>
      </c>
    </row>
    <row r="711" spans="1:26" x14ac:dyDescent="0.25">
      <c r="A711" t="s">
        <v>676</v>
      </c>
      <c r="D711">
        <f t="shared" ref="D711:W711" si="487">D99*D201</f>
        <v>273.70392425007424</v>
      </c>
      <c r="E711">
        <f t="shared" si="487"/>
        <v>236.63502255211185</v>
      </c>
      <c r="F711">
        <f t="shared" si="487"/>
        <v>237.19843900461868</v>
      </c>
      <c r="G711">
        <f t="shared" si="487"/>
        <v>245.94091249371519</v>
      </c>
      <c r="H711">
        <f t="shared" si="487"/>
        <v>251.24069179806497</v>
      </c>
      <c r="I711">
        <f t="shared" si="487"/>
        <v>153.37276290486182</v>
      </c>
      <c r="J711">
        <f t="shared" si="487"/>
        <v>151.95638983296908</v>
      </c>
      <c r="K711">
        <f t="shared" si="487"/>
        <v>153.21499704819669</v>
      </c>
      <c r="L711">
        <f t="shared" si="487"/>
        <v>147.36409857331617</v>
      </c>
      <c r="M711">
        <f t="shared" si="487"/>
        <v>115.5440173472572</v>
      </c>
      <c r="N711">
        <f t="shared" si="487"/>
        <v>119.86230715647901</v>
      </c>
      <c r="O711">
        <f t="shared" si="487"/>
        <v>116.68204084492983</v>
      </c>
      <c r="P711">
        <f t="shared" si="487"/>
        <v>95.820747844601598</v>
      </c>
      <c r="Q711">
        <f t="shared" si="487"/>
        <v>106.44763458547817</v>
      </c>
      <c r="R711">
        <f t="shared" si="487"/>
        <v>147.50119194395032</v>
      </c>
      <c r="S711">
        <f t="shared" si="487"/>
        <v>157.44872767190969</v>
      </c>
      <c r="T711">
        <f t="shared" si="487"/>
        <v>169.23064629891493</v>
      </c>
      <c r="U711">
        <f t="shared" si="487"/>
        <v>183.85434474385048</v>
      </c>
      <c r="V711">
        <f t="shared" si="487"/>
        <v>214.40386524298438</v>
      </c>
      <c r="W711">
        <f t="shared" si="487"/>
        <v>224.26232411237351</v>
      </c>
      <c r="Y711" s="8">
        <f t="shared" ref="Y711" si="488">SUM(D711:W711)</f>
        <v>3501.6850862506576</v>
      </c>
      <c r="Z711">
        <f>SUMPRODUCT($D$712:$W$712,D711:W711)</f>
        <v>-152.34426677569655</v>
      </c>
    </row>
    <row r="712" spans="1:26" x14ac:dyDescent="0.25">
      <c r="A712" s="2" t="s">
        <v>69</v>
      </c>
      <c r="D712" s="3">
        <f>CORREL($B$2:$B$26,D682:D706)</f>
        <v>-0.23136855454846977</v>
      </c>
      <c r="E712" s="3">
        <f t="shared" ref="E712:W712" si="489">CORREL($B$2:$B$26,E682:E706)</f>
        <v>-0.14661739196358001</v>
      </c>
      <c r="F712" s="3">
        <f t="shared" si="489"/>
        <v>-0.10668235195671902</v>
      </c>
      <c r="G712" s="3">
        <f t="shared" si="489"/>
        <v>-0.2247116035912532</v>
      </c>
      <c r="H712" s="3">
        <f t="shared" si="489"/>
        <v>3.7319019843206694E-2</v>
      </c>
      <c r="I712" s="3">
        <f t="shared" si="489"/>
        <v>8.3012815666042183E-2</v>
      </c>
      <c r="J712" s="3">
        <f t="shared" si="489"/>
        <v>-1.0371174724802557E-2</v>
      </c>
      <c r="K712" s="3">
        <f t="shared" si="489"/>
        <v>-0.20984773415853267</v>
      </c>
      <c r="L712" s="3">
        <f t="shared" si="489"/>
        <v>-0.17593885952510224</v>
      </c>
      <c r="M712" s="3">
        <f t="shared" si="489"/>
        <v>-0.27890700878245012</v>
      </c>
      <c r="N712" s="3">
        <f t="shared" si="489"/>
        <v>-0.3468080457180725</v>
      </c>
      <c r="O712" s="3">
        <f t="shared" si="489"/>
        <v>-0.16456751763437005</v>
      </c>
      <c r="P712" s="3">
        <f t="shared" si="489"/>
        <v>5.7805027355861058E-2</v>
      </c>
      <c r="Q712" s="3">
        <f t="shared" si="489"/>
        <v>-0.10860577127820271</v>
      </c>
      <c r="R712" s="3">
        <f t="shared" si="489"/>
        <v>0.23660427876981183</v>
      </c>
      <c r="S712" s="3">
        <f t="shared" si="489"/>
        <v>0.13986569323905612</v>
      </c>
      <c r="T712" s="3">
        <f t="shared" si="489"/>
        <v>0.10095171521469366</v>
      </c>
      <c r="U712" s="3">
        <f t="shared" si="489"/>
        <v>0.21263267253270296</v>
      </c>
      <c r="V712" s="3">
        <f t="shared" si="489"/>
        <v>0.23909676708401673</v>
      </c>
      <c r="W712" s="3">
        <f t="shared" si="489"/>
        <v>-6.9031221154765877E-3</v>
      </c>
    </row>
    <row r="715" spans="1:26" x14ac:dyDescent="0.25">
      <c r="D715" t="s">
        <v>238</v>
      </c>
      <c r="E715" t="s">
        <v>239</v>
      </c>
      <c r="F715" t="s">
        <v>240</v>
      </c>
      <c r="G715" t="s">
        <v>241</v>
      </c>
      <c r="H715" t="s">
        <v>242</v>
      </c>
      <c r="I715" t="s">
        <v>243</v>
      </c>
      <c r="J715" t="s">
        <v>244</v>
      </c>
      <c r="K715" t="s">
        <v>245</v>
      </c>
      <c r="L715" t="s">
        <v>336</v>
      </c>
      <c r="M715" t="s">
        <v>406</v>
      </c>
      <c r="N715" t="s">
        <v>407</v>
      </c>
      <c r="O715" t="s">
        <v>408</v>
      </c>
      <c r="P715" t="s">
        <v>536</v>
      </c>
      <c r="Q715" t="s">
        <v>537</v>
      </c>
      <c r="R715" t="s">
        <v>538</v>
      </c>
      <c r="S715" t="s">
        <v>539</v>
      </c>
      <c r="T715" t="s">
        <v>648</v>
      </c>
      <c r="U715" t="s">
        <v>649</v>
      </c>
      <c r="V715" t="s">
        <v>650</v>
      </c>
      <c r="W715" t="s">
        <v>651</v>
      </c>
      <c r="Y715" t="s">
        <v>246</v>
      </c>
      <c r="Z715" t="s">
        <v>247</v>
      </c>
    </row>
    <row r="716" spans="1:26" x14ac:dyDescent="0.25">
      <c r="A716" t="s">
        <v>43</v>
      </c>
      <c r="D716">
        <f t="shared" ref="D716:W716" si="490">D70*D206</f>
        <v>287.96106223422589</v>
      </c>
      <c r="E716">
        <f t="shared" si="490"/>
        <v>252.12412722910165</v>
      </c>
      <c r="F716">
        <f t="shared" si="490"/>
        <v>287.48638592848675</v>
      </c>
      <c r="G716">
        <f t="shared" si="490"/>
        <v>341.04880099102411</v>
      </c>
      <c r="H716">
        <f t="shared" si="490"/>
        <v>263.11804429951468</v>
      </c>
      <c r="I716">
        <f t="shared" si="490"/>
        <v>98.573618091276344</v>
      </c>
      <c r="J716">
        <f t="shared" si="490"/>
        <v>145.53652262000114</v>
      </c>
      <c r="K716">
        <f t="shared" si="490"/>
        <v>109.33913973268776</v>
      </c>
      <c r="L716">
        <f t="shared" si="490"/>
        <v>146.7405538762352</v>
      </c>
      <c r="M716">
        <f t="shared" si="490"/>
        <v>90.202085760491144</v>
      </c>
      <c r="N716">
        <f t="shared" si="490"/>
        <v>123.06222959870507</v>
      </c>
      <c r="O716">
        <f t="shared" si="490"/>
        <v>192.20746802841322</v>
      </c>
      <c r="P716">
        <f t="shared" si="490"/>
        <v>141.25664824953358</v>
      </c>
      <c r="Q716">
        <f t="shared" si="490"/>
        <v>143.7235875925939</v>
      </c>
      <c r="R716">
        <f t="shared" si="490"/>
        <v>130.13071566264514</v>
      </c>
      <c r="S716">
        <f t="shared" si="490"/>
        <v>187.1692778270573</v>
      </c>
      <c r="T716">
        <f t="shared" si="490"/>
        <v>166.71678490448716</v>
      </c>
      <c r="U716">
        <f t="shared" si="490"/>
        <v>157.74483187202313</v>
      </c>
      <c r="V716">
        <f t="shared" si="490"/>
        <v>232.55423657136438</v>
      </c>
      <c r="W716">
        <f t="shared" si="490"/>
        <v>270.92605735225857</v>
      </c>
      <c r="Y716" s="8">
        <f t="shared" ref="Y716:Y744" si="491">SUM(D716:W716)</f>
        <v>3767.6221784221261</v>
      </c>
      <c r="Z716">
        <f t="shared" ref="Z716:Z740" si="492">SUMPRODUCT($D$746:$W$746,D716:W716)</f>
        <v>-95.452213780534066</v>
      </c>
    </row>
    <row r="717" spans="1:26" x14ac:dyDescent="0.25">
      <c r="A717" t="s">
        <v>44</v>
      </c>
      <c r="D717">
        <f t="shared" ref="D717:W717" si="493">D71*D207</f>
        <v>347.27545101254742</v>
      </c>
      <c r="E717">
        <f t="shared" si="493"/>
        <v>281.69975430071509</v>
      </c>
      <c r="F717">
        <f t="shared" si="493"/>
        <v>226.89273690321153</v>
      </c>
      <c r="G717">
        <f t="shared" si="493"/>
        <v>198.57059538351498</v>
      </c>
      <c r="H717">
        <f t="shared" si="493"/>
        <v>214.35260472513508</v>
      </c>
      <c r="I717">
        <f t="shared" si="493"/>
        <v>156.42332166296944</v>
      </c>
      <c r="J717">
        <f t="shared" si="493"/>
        <v>188.52126603298768</v>
      </c>
      <c r="K717">
        <f t="shared" si="493"/>
        <v>225.35557197603526</v>
      </c>
      <c r="L717">
        <f t="shared" si="493"/>
        <v>155.17859602690973</v>
      </c>
      <c r="M717">
        <f t="shared" si="493"/>
        <v>170.71451905889265</v>
      </c>
      <c r="N717">
        <f t="shared" si="493"/>
        <v>101.36265440937092</v>
      </c>
      <c r="O717">
        <f t="shared" si="493"/>
        <v>222.821288294114</v>
      </c>
      <c r="P717">
        <f t="shared" si="493"/>
        <v>124.35312425081946</v>
      </c>
      <c r="Q717">
        <f t="shared" si="493"/>
        <v>177.01009851472756</v>
      </c>
      <c r="R717">
        <f t="shared" si="493"/>
        <v>185.65686325953703</v>
      </c>
      <c r="S717">
        <f t="shared" si="493"/>
        <v>175.33602480896153</v>
      </c>
      <c r="T717">
        <f t="shared" si="493"/>
        <v>176.35215801587998</v>
      </c>
      <c r="U717">
        <f t="shared" si="493"/>
        <v>164.05416135685269</v>
      </c>
      <c r="V717">
        <f t="shared" si="493"/>
        <v>213.42168094536473</v>
      </c>
      <c r="W717">
        <f t="shared" si="493"/>
        <v>315.58343620815782</v>
      </c>
      <c r="Y717" s="8">
        <f t="shared" si="491"/>
        <v>4020.9359071467038</v>
      </c>
      <c r="Z717">
        <f t="shared" si="492"/>
        <v>-38.115629065627139</v>
      </c>
    </row>
    <row r="718" spans="1:26" x14ac:dyDescent="0.25">
      <c r="A718" t="s">
        <v>45</v>
      </c>
      <c r="D718">
        <f t="shared" ref="D718:W718" si="494">D72*D208</f>
        <v>395.17037247519198</v>
      </c>
      <c r="E718">
        <f t="shared" si="494"/>
        <v>367.70428690625232</v>
      </c>
      <c r="F718">
        <f t="shared" si="494"/>
        <v>371.51006454979722</v>
      </c>
      <c r="G718">
        <f t="shared" si="494"/>
        <v>277.52741912614357</v>
      </c>
      <c r="H718">
        <f t="shared" si="494"/>
        <v>214.60478963509004</v>
      </c>
      <c r="I718">
        <f t="shared" si="494"/>
        <v>190.26019333302429</v>
      </c>
      <c r="J718">
        <f t="shared" si="494"/>
        <v>157.78340541962251</v>
      </c>
      <c r="K718">
        <f t="shared" si="494"/>
        <v>141.8646736669487</v>
      </c>
      <c r="L718">
        <f t="shared" si="494"/>
        <v>141.92014758428112</v>
      </c>
      <c r="M718">
        <f t="shared" si="494"/>
        <v>240.57389698727081</v>
      </c>
      <c r="N718">
        <f t="shared" si="494"/>
        <v>191.75962540298664</v>
      </c>
      <c r="O718">
        <f t="shared" si="494"/>
        <v>197.49674482457692</v>
      </c>
      <c r="P718">
        <f t="shared" si="494"/>
        <v>230.12163430125312</v>
      </c>
      <c r="Q718">
        <f t="shared" si="494"/>
        <v>228.8758054500428</v>
      </c>
      <c r="R718">
        <f t="shared" si="494"/>
        <v>222.95159090873159</v>
      </c>
      <c r="S718">
        <f t="shared" si="494"/>
        <v>254.86684454520767</v>
      </c>
      <c r="T718">
        <f t="shared" si="494"/>
        <v>204.42894212207275</v>
      </c>
      <c r="U718">
        <f t="shared" si="494"/>
        <v>226.21749513794063</v>
      </c>
      <c r="V718">
        <f t="shared" si="494"/>
        <v>262.43009648382008</v>
      </c>
      <c r="W718">
        <f t="shared" si="494"/>
        <v>287.42733805057134</v>
      </c>
      <c r="Y718" s="8">
        <f t="shared" si="491"/>
        <v>4805.4953669108263</v>
      </c>
      <c r="Z718">
        <f t="shared" si="492"/>
        <v>-73.590476176555825</v>
      </c>
    </row>
    <row r="719" spans="1:26" x14ac:dyDescent="0.25">
      <c r="A719" t="s">
        <v>46</v>
      </c>
      <c r="D719">
        <f t="shared" ref="D719:W719" si="495">D73*D209</f>
        <v>438.55138293953871</v>
      </c>
      <c r="E719">
        <f t="shared" si="495"/>
        <v>275.50751968176934</v>
      </c>
      <c r="F719">
        <f t="shared" si="495"/>
        <v>264.32482966379933</v>
      </c>
      <c r="G719">
        <f t="shared" si="495"/>
        <v>294.5253591745481</v>
      </c>
      <c r="H719">
        <f t="shared" si="495"/>
        <v>278.43421555683329</v>
      </c>
      <c r="I719">
        <f t="shared" si="495"/>
        <v>208.72507744841872</v>
      </c>
      <c r="J719">
        <f t="shared" si="495"/>
        <v>175.82252884728985</v>
      </c>
      <c r="K719">
        <f t="shared" si="495"/>
        <v>239.82538037322917</v>
      </c>
      <c r="L719">
        <f t="shared" si="495"/>
        <v>227.29282405224183</v>
      </c>
      <c r="M719">
        <f t="shared" si="495"/>
        <v>105.03687185819764</v>
      </c>
      <c r="N719">
        <f t="shared" si="495"/>
        <v>139.01938924432898</v>
      </c>
      <c r="O719">
        <f t="shared" si="495"/>
        <v>190.40471653330417</v>
      </c>
      <c r="P719">
        <f t="shared" si="495"/>
        <v>318.39082241838901</v>
      </c>
      <c r="Q719">
        <f t="shared" si="495"/>
        <v>181.93485374389189</v>
      </c>
      <c r="R719">
        <f t="shared" si="495"/>
        <v>194.19787302491963</v>
      </c>
      <c r="S719">
        <f t="shared" si="495"/>
        <v>135.30857046491769</v>
      </c>
      <c r="T719">
        <f t="shared" si="495"/>
        <v>166.7227685941219</v>
      </c>
      <c r="U719">
        <f t="shared" si="495"/>
        <v>207.6426375941634</v>
      </c>
      <c r="V719">
        <f t="shared" si="495"/>
        <v>293.64597889819998</v>
      </c>
      <c r="W719">
        <f t="shared" si="495"/>
        <v>242.24274595521209</v>
      </c>
      <c r="Y719" s="8">
        <f t="shared" si="491"/>
        <v>4577.5563460673147</v>
      </c>
      <c r="Z719">
        <f t="shared" si="492"/>
        <v>-85.027093789966614</v>
      </c>
    </row>
    <row r="720" spans="1:26" x14ac:dyDescent="0.25">
      <c r="A720" t="s">
        <v>47</v>
      </c>
      <c r="D720">
        <f t="shared" ref="D720:W720" si="496">D74*D210</f>
        <v>245.53934452218255</v>
      </c>
      <c r="E720">
        <f t="shared" si="496"/>
        <v>157.73919112467769</v>
      </c>
      <c r="F720">
        <f t="shared" si="496"/>
        <v>257.18420835413968</v>
      </c>
      <c r="G720">
        <f t="shared" si="496"/>
        <v>299.47571865296584</v>
      </c>
      <c r="H720">
        <f t="shared" si="496"/>
        <v>232.42510821924407</v>
      </c>
      <c r="I720">
        <f t="shared" si="496"/>
        <v>99.422208282252953</v>
      </c>
      <c r="J720">
        <f t="shared" si="496"/>
        <v>119.45083971261371</v>
      </c>
      <c r="K720">
        <f t="shared" si="496"/>
        <v>108.5240876001013</v>
      </c>
      <c r="L720">
        <f t="shared" si="496"/>
        <v>41.627048990968845</v>
      </c>
      <c r="M720">
        <f t="shared" si="496"/>
        <v>43.394974603766592</v>
      </c>
      <c r="N720">
        <f t="shared" si="496"/>
        <v>43.374199353539744</v>
      </c>
      <c r="O720">
        <f t="shared" si="496"/>
        <v>58.216800604125126</v>
      </c>
      <c r="P720">
        <f t="shared" si="496"/>
        <v>88.519048970304638</v>
      </c>
      <c r="Q720">
        <f t="shared" si="496"/>
        <v>66.730924724644197</v>
      </c>
      <c r="R720">
        <f t="shared" si="496"/>
        <v>153.52530496308304</v>
      </c>
      <c r="S720">
        <f t="shared" si="496"/>
        <v>51.413373941743252</v>
      </c>
      <c r="T720">
        <f t="shared" si="496"/>
        <v>86.176391408116771</v>
      </c>
      <c r="U720">
        <f t="shared" si="496"/>
        <v>121.06653199185928</v>
      </c>
      <c r="V720">
        <f t="shared" si="496"/>
        <v>75.100199928501567</v>
      </c>
      <c r="W720">
        <f t="shared" si="496"/>
        <v>252.92818155869341</v>
      </c>
      <c r="Y720" s="8">
        <f t="shared" si="491"/>
        <v>2601.8336875075242</v>
      </c>
      <c r="Z720">
        <f t="shared" si="492"/>
        <v>-71.652013850226226</v>
      </c>
    </row>
    <row r="721" spans="1:26" x14ac:dyDescent="0.25">
      <c r="A721" t="s">
        <v>48</v>
      </c>
      <c r="D721">
        <f t="shared" ref="D721:W721" si="497">D75*D211</f>
        <v>371.78397787622504</v>
      </c>
      <c r="E721">
        <f t="shared" si="497"/>
        <v>290.32334641188629</v>
      </c>
      <c r="F721">
        <f t="shared" si="497"/>
        <v>301.25076936842919</v>
      </c>
      <c r="G721">
        <f t="shared" si="497"/>
        <v>355.89058241077305</v>
      </c>
      <c r="H721">
        <f t="shared" si="497"/>
        <v>230.30794473051108</v>
      </c>
      <c r="I721">
        <f t="shared" si="497"/>
        <v>164.17361209704424</v>
      </c>
      <c r="J721">
        <f t="shared" si="497"/>
        <v>136.35921820559682</v>
      </c>
      <c r="K721">
        <f t="shared" si="497"/>
        <v>114.82684359432581</v>
      </c>
      <c r="L721">
        <f t="shared" si="497"/>
        <v>59.891698321787857</v>
      </c>
      <c r="M721">
        <f t="shared" si="497"/>
        <v>66.817068997359357</v>
      </c>
      <c r="N721">
        <f t="shared" si="497"/>
        <v>43.799711285165266</v>
      </c>
      <c r="O721">
        <f t="shared" si="497"/>
        <v>48.300845805330333</v>
      </c>
      <c r="P721">
        <f t="shared" si="497"/>
        <v>81.384616930091511</v>
      </c>
      <c r="Q721">
        <f t="shared" si="497"/>
        <v>103.25653783041872</v>
      </c>
      <c r="R721">
        <f t="shared" si="497"/>
        <v>107.69576579890949</v>
      </c>
      <c r="S721">
        <f t="shared" si="497"/>
        <v>91.084697508776884</v>
      </c>
      <c r="T721">
        <f t="shared" si="497"/>
        <v>146.90569608338697</v>
      </c>
      <c r="U721">
        <f t="shared" si="497"/>
        <v>97.112168728814837</v>
      </c>
      <c r="V721">
        <f t="shared" si="497"/>
        <v>158.97220597056491</v>
      </c>
      <c r="W721">
        <f t="shared" si="497"/>
        <v>197.53732880872008</v>
      </c>
      <c r="Y721" s="8">
        <f t="shared" si="491"/>
        <v>3167.6746367641181</v>
      </c>
      <c r="Z721">
        <f t="shared" si="492"/>
        <v>-160.67210026420361</v>
      </c>
    </row>
    <row r="722" spans="1:26" x14ac:dyDescent="0.25">
      <c r="A722" t="s">
        <v>49</v>
      </c>
      <c r="D722">
        <f t="shared" ref="D722:W722" si="498">D76*D212</f>
        <v>288.8208772431052</v>
      </c>
      <c r="E722">
        <f t="shared" si="498"/>
        <v>251.88872370623434</v>
      </c>
      <c r="F722">
        <f t="shared" si="498"/>
        <v>322.02528267907081</v>
      </c>
      <c r="G722">
        <f t="shared" si="498"/>
        <v>221.06508368251446</v>
      </c>
      <c r="H722">
        <f t="shared" si="498"/>
        <v>96.482541968395608</v>
      </c>
      <c r="I722">
        <f t="shared" si="498"/>
        <v>149.76983128395023</v>
      </c>
      <c r="J722">
        <f t="shared" si="498"/>
        <v>106.26284180383045</v>
      </c>
      <c r="K722">
        <f t="shared" si="498"/>
        <v>83.204972627180126</v>
      </c>
      <c r="L722">
        <f t="shared" si="498"/>
        <v>64.432100605547532</v>
      </c>
      <c r="M722">
        <f t="shared" si="498"/>
        <v>80.601212252983743</v>
      </c>
      <c r="N722">
        <f t="shared" si="498"/>
        <v>62.531735621015891</v>
      </c>
      <c r="O722">
        <f t="shared" si="498"/>
        <v>19.557404290525106</v>
      </c>
      <c r="P722">
        <f t="shared" si="498"/>
        <v>88.508272069243603</v>
      </c>
      <c r="Q722">
        <f t="shared" si="498"/>
        <v>31.072443991844779</v>
      </c>
      <c r="R722">
        <f t="shared" si="498"/>
        <v>47.805860843150107</v>
      </c>
      <c r="S722">
        <f t="shared" si="498"/>
        <v>96.018024749055357</v>
      </c>
      <c r="T722">
        <f t="shared" si="498"/>
        <v>60.92486063623948</v>
      </c>
      <c r="U722">
        <f t="shared" si="498"/>
        <v>101.1689745542828</v>
      </c>
      <c r="V722">
        <f t="shared" si="498"/>
        <v>195.5835587339225</v>
      </c>
      <c r="W722">
        <f t="shared" si="498"/>
        <v>202.73269594698658</v>
      </c>
      <c r="Y722" s="8">
        <f t="shared" si="491"/>
        <v>2570.457299289078</v>
      </c>
      <c r="Z722">
        <f t="shared" si="492"/>
        <v>-144.69779948636037</v>
      </c>
    </row>
    <row r="723" spans="1:26" x14ac:dyDescent="0.25">
      <c r="A723" t="s">
        <v>50</v>
      </c>
      <c r="D723">
        <f t="shared" ref="D723:W723" si="499">D77*D213</f>
        <v>7.9194150373070773</v>
      </c>
      <c r="E723">
        <f t="shared" si="499"/>
        <v>156.79578386432541</v>
      </c>
      <c r="F723">
        <f t="shared" si="499"/>
        <v>158.61447173049973</v>
      </c>
      <c r="G723">
        <f t="shared" si="499"/>
        <v>97.707594132106266</v>
      </c>
      <c r="H723">
        <f t="shared" si="499"/>
        <v>52.956504950626119</v>
      </c>
      <c r="I723">
        <f t="shared" si="499"/>
        <v>113.94947755468577</v>
      </c>
      <c r="J723">
        <f t="shared" si="499"/>
        <v>91.854704926829896</v>
      </c>
      <c r="K723">
        <f t="shared" si="499"/>
        <v>97.087436608209174</v>
      </c>
      <c r="L723">
        <f t="shared" si="499"/>
        <v>110.55581176131015</v>
      </c>
      <c r="M723">
        <f t="shared" si="499"/>
        <v>72.208109848230407</v>
      </c>
      <c r="N723">
        <f t="shared" si="499"/>
        <v>53.43404787585041</v>
      </c>
      <c r="O723">
        <f t="shared" si="499"/>
        <v>90.439182440451205</v>
      </c>
      <c r="P723">
        <f t="shared" si="499"/>
        <v>78.499349043394105</v>
      </c>
      <c r="Q723">
        <f t="shared" si="499"/>
        <v>130.49875503650733</v>
      </c>
      <c r="R723">
        <f t="shared" si="499"/>
        <v>180.57453321739212</v>
      </c>
      <c r="S723">
        <f t="shared" si="499"/>
        <v>143.41268909885986</v>
      </c>
      <c r="T723">
        <f t="shared" si="499"/>
        <v>133.32361633181233</v>
      </c>
      <c r="U723">
        <f t="shared" si="499"/>
        <v>141.98161095206626</v>
      </c>
      <c r="V723">
        <f t="shared" si="499"/>
        <v>190.58265272756583</v>
      </c>
      <c r="W723">
        <f t="shared" si="499"/>
        <v>210.80197164395196</v>
      </c>
      <c r="Y723" s="8">
        <f t="shared" si="491"/>
        <v>2313.1977187819816</v>
      </c>
      <c r="Z723">
        <f t="shared" si="492"/>
        <v>101.6984869096182</v>
      </c>
    </row>
    <row r="724" spans="1:26" x14ac:dyDescent="0.25">
      <c r="A724" t="s">
        <v>51</v>
      </c>
      <c r="D724">
        <f t="shared" ref="D724:W724" si="500">D78*D214</f>
        <v>90.130558585780847</v>
      </c>
      <c r="E724">
        <f t="shared" si="500"/>
        <v>125.28175503707816</v>
      </c>
      <c r="F724">
        <f t="shared" si="500"/>
        <v>120.13019005738536</v>
      </c>
      <c r="G724">
        <f t="shared" si="500"/>
        <v>122.84459898284851</v>
      </c>
      <c r="H724">
        <f t="shared" si="500"/>
        <v>104.98579382336527</v>
      </c>
      <c r="I724">
        <f t="shared" si="500"/>
        <v>80.459471890190741</v>
      </c>
      <c r="J724">
        <f t="shared" si="500"/>
        <v>94.179409730933415</v>
      </c>
      <c r="K724">
        <f t="shared" si="500"/>
        <v>103.19148675544699</v>
      </c>
      <c r="L724">
        <f t="shared" si="500"/>
        <v>64.057267445717912</v>
      </c>
      <c r="M724">
        <f t="shared" si="500"/>
        <v>97.703405823055547</v>
      </c>
      <c r="N724">
        <f t="shared" si="500"/>
        <v>54.805791858258644</v>
      </c>
      <c r="O724">
        <f t="shared" si="500"/>
        <v>53.354978259182722</v>
      </c>
      <c r="P724">
        <f t="shared" si="500"/>
        <v>88.692043294268402</v>
      </c>
      <c r="Q724">
        <f t="shared" si="500"/>
        <v>81.347318532726305</v>
      </c>
      <c r="R724">
        <f t="shared" si="500"/>
        <v>118.51425959063536</v>
      </c>
      <c r="S724">
        <f t="shared" si="500"/>
        <v>143.04204233655508</v>
      </c>
      <c r="T724">
        <f t="shared" si="500"/>
        <v>168.6256648107717</v>
      </c>
      <c r="U724">
        <f t="shared" si="500"/>
        <v>181.82027605282974</v>
      </c>
      <c r="V724">
        <f t="shared" si="500"/>
        <v>125.59350342244781</v>
      </c>
      <c r="W724">
        <f t="shared" si="500"/>
        <v>293.69409694043713</v>
      </c>
      <c r="Y724" s="8">
        <f t="shared" si="491"/>
        <v>2312.4539132299155</v>
      </c>
      <c r="Z724">
        <f t="shared" si="492"/>
        <v>78.089886847958439</v>
      </c>
    </row>
    <row r="725" spans="1:26" x14ac:dyDescent="0.25">
      <c r="A725" t="s">
        <v>52</v>
      </c>
      <c r="D725">
        <f t="shared" ref="D725:W725" si="501">D79*D215</f>
        <v>224.78936449791482</v>
      </c>
      <c r="E725">
        <f t="shared" si="501"/>
        <v>222.11478665481502</v>
      </c>
      <c r="F725">
        <f t="shared" si="501"/>
        <v>269.73467906022199</v>
      </c>
      <c r="G725">
        <f t="shared" si="501"/>
        <v>170.85973292629572</v>
      </c>
      <c r="H725">
        <f t="shared" si="501"/>
        <v>145.11832330074611</v>
      </c>
      <c r="I725">
        <f t="shared" si="501"/>
        <v>103.73108549150044</v>
      </c>
      <c r="J725">
        <f t="shared" si="501"/>
        <v>83.340320777639619</v>
      </c>
      <c r="K725">
        <f t="shared" si="501"/>
        <v>164.5755071187603</v>
      </c>
      <c r="L725">
        <f t="shared" si="501"/>
        <v>127.91323817664029</v>
      </c>
      <c r="M725">
        <f t="shared" si="501"/>
        <v>92.017578020814526</v>
      </c>
      <c r="N725">
        <f t="shared" si="501"/>
        <v>90.602341229303988</v>
      </c>
      <c r="O725">
        <f t="shared" si="501"/>
        <v>38.083762684199002</v>
      </c>
      <c r="P725">
        <f t="shared" si="501"/>
        <v>34.797012489424972</v>
      </c>
      <c r="Q725">
        <f t="shared" si="501"/>
        <v>101.37195611734235</v>
      </c>
      <c r="R725">
        <f t="shared" si="501"/>
        <v>61.922552539836275</v>
      </c>
      <c r="S725">
        <f t="shared" si="501"/>
        <v>120.35230817841448</v>
      </c>
      <c r="T725">
        <f t="shared" si="501"/>
        <v>93.098347632914241</v>
      </c>
      <c r="U725">
        <f t="shared" si="501"/>
        <v>144.03488395715488</v>
      </c>
      <c r="V725">
        <f t="shared" si="501"/>
        <v>164.04882551315029</v>
      </c>
      <c r="W725">
        <f t="shared" si="501"/>
        <v>219.33359234148867</v>
      </c>
      <c r="Y725" s="8">
        <f t="shared" si="491"/>
        <v>2671.8401987085781</v>
      </c>
      <c r="Z725">
        <f t="shared" si="492"/>
        <v>-105.64927482723699</v>
      </c>
    </row>
    <row r="726" spans="1:26" x14ac:dyDescent="0.25">
      <c r="A726" t="s">
        <v>53</v>
      </c>
      <c r="D726">
        <f t="shared" ref="D726:W726" si="502">D80*D216</f>
        <v>333.62379489091552</v>
      </c>
      <c r="E726">
        <f t="shared" si="502"/>
        <v>314.38315581362451</v>
      </c>
      <c r="F726">
        <f t="shared" si="502"/>
        <v>259.63720289118856</v>
      </c>
      <c r="G726">
        <f t="shared" si="502"/>
        <v>154.85616581158217</v>
      </c>
      <c r="H726">
        <f t="shared" si="502"/>
        <v>188.61422873583209</v>
      </c>
      <c r="I726">
        <f t="shared" si="502"/>
        <v>111.40985852567121</v>
      </c>
      <c r="J726">
        <f t="shared" si="502"/>
        <v>81.770598004349338</v>
      </c>
      <c r="K726">
        <f t="shared" si="502"/>
        <v>84.781700542983629</v>
      </c>
      <c r="L726">
        <f t="shared" si="502"/>
        <v>95.975030241095311</v>
      </c>
      <c r="M726">
        <f t="shared" si="502"/>
        <v>116.47323623838781</v>
      </c>
      <c r="N726">
        <f t="shared" si="502"/>
        <v>139.94225349540181</v>
      </c>
      <c r="O726">
        <f t="shared" si="502"/>
        <v>61.037719271568939</v>
      </c>
      <c r="P726">
        <f t="shared" si="502"/>
        <v>75.499396613156904</v>
      </c>
      <c r="Q726">
        <f t="shared" si="502"/>
        <v>157.03932012560776</v>
      </c>
      <c r="R726">
        <f t="shared" si="502"/>
        <v>129.21150736118912</v>
      </c>
      <c r="S726">
        <f t="shared" si="502"/>
        <v>115.28283684728353</v>
      </c>
      <c r="T726">
        <f t="shared" si="502"/>
        <v>151.7200953930413</v>
      </c>
      <c r="U726">
        <f t="shared" si="502"/>
        <v>141.40464399327425</v>
      </c>
      <c r="V726">
        <f t="shared" si="502"/>
        <v>175.82247919451675</v>
      </c>
      <c r="W726">
        <f t="shared" si="502"/>
        <v>155.39646536139898</v>
      </c>
      <c r="Y726" s="8">
        <f t="shared" si="491"/>
        <v>3043.8816893520693</v>
      </c>
      <c r="Z726">
        <f t="shared" si="492"/>
        <v>-114.73925773125541</v>
      </c>
    </row>
    <row r="727" spans="1:26" x14ac:dyDescent="0.25">
      <c r="A727" t="s">
        <v>54</v>
      </c>
      <c r="D727">
        <f t="shared" ref="D727:W727" si="503">D81*D217</f>
        <v>522.93326777907293</v>
      </c>
      <c r="E727">
        <f t="shared" si="503"/>
        <v>301.12355182047048</v>
      </c>
      <c r="F727">
        <f t="shared" si="503"/>
        <v>260.81538712233908</v>
      </c>
      <c r="G727">
        <f t="shared" si="503"/>
        <v>362.2419881904155</v>
      </c>
      <c r="H727">
        <f t="shared" si="503"/>
        <v>104.98808116106024</v>
      </c>
      <c r="I727">
        <f t="shared" si="503"/>
        <v>185.87568864268701</v>
      </c>
      <c r="J727">
        <f t="shared" si="503"/>
        <v>120.09676063075197</v>
      </c>
      <c r="K727">
        <f t="shared" si="503"/>
        <v>91.210383457929254</v>
      </c>
      <c r="L727">
        <f t="shared" si="503"/>
        <v>48.239833490721949</v>
      </c>
      <c r="M727">
        <f t="shared" si="503"/>
        <v>132.52899600631974</v>
      </c>
      <c r="N727">
        <f t="shared" si="503"/>
        <v>60.811385301380035</v>
      </c>
      <c r="O727">
        <f t="shared" si="503"/>
        <v>66.817068997359357</v>
      </c>
      <c r="P727">
        <f t="shared" si="503"/>
        <v>283.62323411257472</v>
      </c>
      <c r="Q727">
        <f t="shared" si="503"/>
        <v>131.68140377174922</v>
      </c>
      <c r="R727">
        <f t="shared" si="503"/>
        <v>136.48036069999907</v>
      </c>
      <c r="S727">
        <f t="shared" si="503"/>
        <v>194.19787302491963</v>
      </c>
      <c r="T727">
        <f t="shared" si="503"/>
        <v>207.6426375941634</v>
      </c>
      <c r="U727">
        <f t="shared" si="503"/>
        <v>258.22687201242758</v>
      </c>
      <c r="V727">
        <f t="shared" si="503"/>
        <v>292.2527439296839</v>
      </c>
      <c r="W727">
        <f t="shared" si="503"/>
        <v>284.89471516483275</v>
      </c>
      <c r="Y727" s="8">
        <f t="shared" si="491"/>
        <v>4046.6822329108572</v>
      </c>
      <c r="Z727">
        <f t="shared" si="492"/>
        <v>-53.194517839338623</v>
      </c>
    </row>
    <row r="728" spans="1:26" x14ac:dyDescent="0.25">
      <c r="A728" t="s">
        <v>55</v>
      </c>
      <c r="D728">
        <f t="shared" ref="D728:W728" si="504">D82*D218</f>
        <v>280.12724387923146</v>
      </c>
      <c r="E728">
        <f t="shared" si="504"/>
        <v>275.80621908871143</v>
      </c>
      <c r="F728">
        <f t="shared" si="504"/>
        <v>211.40553117799922</v>
      </c>
      <c r="G728">
        <f t="shared" si="504"/>
        <v>225.33121015114025</v>
      </c>
      <c r="H728">
        <f t="shared" si="504"/>
        <v>149.10236900480771</v>
      </c>
      <c r="I728">
        <f t="shared" si="504"/>
        <v>135.04616325085522</v>
      </c>
      <c r="J728">
        <f t="shared" si="504"/>
        <v>123.29731877179823</v>
      </c>
      <c r="K728">
        <f t="shared" si="504"/>
        <v>123.38494173959843</v>
      </c>
      <c r="L728">
        <f t="shared" si="504"/>
        <v>162.07847103233607</v>
      </c>
      <c r="M728">
        <f t="shared" si="504"/>
        <v>138.86207380411045</v>
      </c>
      <c r="N728">
        <f t="shared" si="504"/>
        <v>139.17593807671673</v>
      </c>
      <c r="O728">
        <f t="shared" si="504"/>
        <v>134.71335653734371</v>
      </c>
      <c r="P728">
        <f t="shared" si="504"/>
        <v>146.55288902585221</v>
      </c>
      <c r="Q728">
        <f t="shared" si="504"/>
        <v>164.93751351243199</v>
      </c>
      <c r="R728">
        <f t="shared" si="504"/>
        <v>60.644312369307755</v>
      </c>
      <c r="S728">
        <f t="shared" si="504"/>
        <v>65.725810803737374</v>
      </c>
      <c r="T728">
        <f t="shared" si="504"/>
        <v>68.419491574382363</v>
      </c>
      <c r="U728">
        <f t="shared" si="504"/>
        <v>75.020964553344456</v>
      </c>
      <c r="V728">
        <f t="shared" si="504"/>
        <v>102.01661111432213</v>
      </c>
      <c r="W728">
        <f t="shared" si="504"/>
        <v>194.97774910211731</v>
      </c>
      <c r="Y728" s="8">
        <f t="shared" si="491"/>
        <v>2976.626178570144</v>
      </c>
      <c r="Z728">
        <f t="shared" si="492"/>
        <v>-185.56273721115917</v>
      </c>
    </row>
    <row r="729" spans="1:26" x14ac:dyDescent="0.25">
      <c r="A729" t="s">
        <v>56</v>
      </c>
      <c r="D729">
        <f t="shared" ref="D729:W729" si="505">D83*D219</f>
        <v>312.65793396873102</v>
      </c>
      <c r="E729">
        <f t="shared" si="505"/>
        <v>296.91137328447866</v>
      </c>
      <c r="F729">
        <f t="shared" si="505"/>
        <v>237.52054823772545</v>
      </c>
      <c r="G729">
        <f t="shared" si="505"/>
        <v>213.20596919929076</v>
      </c>
      <c r="H729">
        <f t="shared" si="505"/>
        <v>312.31928243045814</v>
      </c>
      <c r="I729">
        <f t="shared" si="505"/>
        <v>205.5459792475994</v>
      </c>
      <c r="J729">
        <f t="shared" si="505"/>
        <v>177.44716372638999</v>
      </c>
      <c r="K729">
        <f t="shared" si="505"/>
        <v>250.73204923902199</v>
      </c>
      <c r="L729">
        <f t="shared" si="505"/>
        <v>212.77744964616596</v>
      </c>
      <c r="M729">
        <f t="shared" si="505"/>
        <v>143.89952637145441</v>
      </c>
      <c r="N729">
        <f t="shared" si="505"/>
        <v>225.65347833667457</v>
      </c>
      <c r="O729">
        <f t="shared" si="505"/>
        <v>186.88302128831674</v>
      </c>
      <c r="P729">
        <f t="shared" si="505"/>
        <v>196.43185365815069</v>
      </c>
      <c r="Q729">
        <f t="shared" si="505"/>
        <v>161.07152899806141</v>
      </c>
      <c r="R729">
        <f t="shared" si="505"/>
        <v>179.62159469745708</v>
      </c>
      <c r="S729">
        <f t="shared" si="505"/>
        <v>193.83246613812906</v>
      </c>
      <c r="T729">
        <f t="shared" si="505"/>
        <v>230.20646858565627</v>
      </c>
      <c r="U729">
        <f t="shared" si="505"/>
        <v>288.50254629653199</v>
      </c>
      <c r="V729">
        <f t="shared" si="505"/>
        <v>253.43824599026871</v>
      </c>
      <c r="W729">
        <f t="shared" si="505"/>
        <v>208.59716357649953</v>
      </c>
      <c r="Y729" s="8">
        <f t="shared" si="491"/>
        <v>4487.2556429170627</v>
      </c>
      <c r="Z729">
        <f t="shared" si="492"/>
        <v>-52.462165149899612</v>
      </c>
    </row>
    <row r="730" spans="1:26" x14ac:dyDescent="0.25">
      <c r="A730" t="s">
        <v>57</v>
      </c>
      <c r="D730">
        <f t="shared" ref="D730:W730" si="506">D84*D220</f>
        <v>289.64991434171122</v>
      </c>
      <c r="E730">
        <f t="shared" si="506"/>
        <v>208.70064942300246</v>
      </c>
      <c r="F730">
        <f t="shared" si="506"/>
        <v>176.74815279641442</v>
      </c>
      <c r="G730">
        <f t="shared" si="506"/>
        <v>183.49267131923591</v>
      </c>
      <c r="H730">
        <f t="shared" si="506"/>
        <v>170.15581635771508</v>
      </c>
      <c r="I730">
        <f t="shared" si="506"/>
        <v>108.56970000988542</v>
      </c>
      <c r="J730">
        <f t="shared" si="506"/>
        <v>187.30608952821234</v>
      </c>
      <c r="K730">
        <f t="shared" si="506"/>
        <v>119.6030743865074</v>
      </c>
      <c r="L730">
        <f t="shared" si="506"/>
        <v>159.54857576517637</v>
      </c>
      <c r="M730">
        <f t="shared" si="506"/>
        <v>155.46976520166328</v>
      </c>
      <c r="N730">
        <f t="shared" si="506"/>
        <v>202.87016747779163</v>
      </c>
      <c r="O730">
        <f t="shared" si="506"/>
        <v>143.95708332733435</v>
      </c>
      <c r="P730">
        <f t="shared" si="506"/>
        <v>51.808264856113901</v>
      </c>
      <c r="Q730">
        <f t="shared" si="506"/>
        <v>101.51948377175894</v>
      </c>
      <c r="R730">
        <f t="shared" si="506"/>
        <v>83.622097128666724</v>
      </c>
      <c r="S730">
        <f t="shared" si="506"/>
        <v>129.7152041564955</v>
      </c>
      <c r="T730">
        <f t="shared" si="506"/>
        <v>181.72372825226725</v>
      </c>
      <c r="U730">
        <f t="shared" si="506"/>
        <v>156.41369968517347</v>
      </c>
      <c r="V730">
        <f t="shared" si="506"/>
        <v>156.11213466531453</v>
      </c>
      <c r="W730">
        <f t="shared" si="506"/>
        <v>233.25943334295258</v>
      </c>
      <c r="Y730" s="8">
        <f t="shared" si="491"/>
        <v>3200.2457057933925</v>
      </c>
      <c r="Z730">
        <f t="shared" si="492"/>
        <v>-108.90915601876844</v>
      </c>
    </row>
    <row r="731" spans="1:26" x14ac:dyDescent="0.25">
      <c r="A731" t="s">
        <v>58</v>
      </c>
      <c r="D731">
        <f t="shared" ref="D731:W731" si="507">D85*D221</f>
        <v>277.53947654241369</v>
      </c>
      <c r="E731">
        <f t="shared" si="507"/>
        <v>228.34355464832879</v>
      </c>
      <c r="F731">
        <f t="shared" si="507"/>
        <v>204.30207464367555</v>
      </c>
      <c r="G731">
        <f t="shared" si="507"/>
        <v>177.89391302921018</v>
      </c>
      <c r="H731">
        <f t="shared" si="507"/>
        <v>166.96049909746304</v>
      </c>
      <c r="I731">
        <f t="shared" si="507"/>
        <v>179.5958896722714</v>
      </c>
      <c r="J731">
        <f t="shared" si="507"/>
        <v>191.69046809752643</v>
      </c>
      <c r="K731">
        <f t="shared" si="507"/>
        <v>151.06191250070719</v>
      </c>
      <c r="L731">
        <f t="shared" si="507"/>
        <v>115.37987986151927</v>
      </c>
      <c r="M731">
        <f t="shared" si="507"/>
        <v>153.95701310953331</v>
      </c>
      <c r="N731">
        <f t="shared" si="507"/>
        <v>160.09177040060655</v>
      </c>
      <c r="O731">
        <f t="shared" si="507"/>
        <v>147.60098110671797</v>
      </c>
      <c r="P731">
        <f t="shared" si="507"/>
        <v>107.05269329162162</v>
      </c>
      <c r="Q731">
        <f t="shared" si="507"/>
        <v>154.58241263169714</v>
      </c>
      <c r="R731">
        <f t="shared" si="507"/>
        <v>151.16002844374273</v>
      </c>
      <c r="S731">
        <f t="shared" si="507"/>
        <v>200.65512180429388</v>
      </c>
      <c r="T731">
        <f t="shared" si="507"/>
        <v>237.37035090940037</v>
      </c>
      <c r="U731">
        <f t="shared" si="507"/>
        <v>249.41363092561724</v>
      </c>
      <c r="V731">
        <f t="shared" si="507"/>
        <v>154.44960436734564</v>
      </c>
      <c r="W731">
        <f t="shared" si="507"/>
        <v>234.10598976655172</v>
      </c>
      <c r="Y731" s="8">
        <f t="shared" si="491"/>
        <v>3643.2072648502435</v>
      </c>
      <c r="Z731">
        <f t="shared" si="492"/>
        <v>-3.5509308928317971</v>
      </c>
    </row>
    <row r="732" spans="1:26" x14ac:dyDescent="0.25">
      <c r="A732" t="s">
        <v>59</v>
      </c>
      <c r="D732">
        <f t="shared" ref="D732:W732" si="508">D86*D222</f>
        <v>214.07149070466681</v>
      </c>
      <c r="E732">
        <f t="shared" si="508"/>
        <v>210.7493624992789</v>
      </c>
      <c r="F732">
        <f t="shared" si="508"/>
        <v>194.87658154699312</v>
      </c>
      <c r="G732">
        <f t="shared" si="508"/>
        <v>182.66144339396959</v>
      </c>
      <c r="H732">
        <f t="shared" si="508"/>
        <v>169.06819727564985</v>
      </c>
      <c r="I732">
        <f t="shared" si="508"/>
        <v>150.602483873707</v>
      </c>
      <c r="J732">
        <f t="shared" si="508"/>
        <v>147.7684091051745</v>
      </c>
      <c r="K732">
        <f t="shared" si="508"/>
        <v>140.18162614221242</v>
      </c>
      <c r="L732">
        <f t="shared" si="508"/>
        <v>123.69790188800096</v>
      </c>
      <c r="M732">
        <f t="shared" si="508"/>
        <v>115.75020091547161</v>
      </c>
      <c r="N732">
        <f t="shared" si="508"/>
        <v>118.47138442428633</v>
      </c>
      <c r="O732">
        <f t="shared" si="508"/>
        <v>121.57494445327339</v>
      </c>
      <c r="P732">
        <f t="shared" si="508"/>
        <v>137.00346063020677</v>
      </c>
      <c r="Q732">
        <f t="shared" si="508"/>
        <v>134.84540863784864</v>
      </c>
      <c r="R732">
        <f t="shared" si="508"/>
        <v>155.07029079534544</v>
      </c>
      <c r="S732">
        <f t="shared" si="508"/>
        <v>173.42468690976293</v>
      </c>
      <c r="T732">
        <f t="shared" si="508"/>
        <v>164.90781982828094</v>
      </c>
      <c r="U732">
        <f t="shared" si="508"/>
        <v>176.5879402630033</v>
      </c>
      <c r="V732">
        <f t="shared" si="508"/>
        <v>198.41201367986579</v>
      </c>
      <c r="W732">
        <f t="shared" si="508"/>
        <v>222.22596568590865</v>
      </c>
      <c r="Y732" s="8">
        <f t="shared" si="491"/>
        <v>3251.951612652907</v>
      </c>
      <c r="Z732">
        <f t="shared" si="492"/>
        <v>0.81324339516649147</v>
      </c>
    </row>
    <row r="733" spans="1:26" x14ac:dyDescent="0.25">
      <c r="A733" t="s">
        <v>60</v>
      </c>
      <c r="D733">
        <f t="shared" ref="D733:W733" si="509">D87*D223</f>
        <v>199.29510234199864</v>
      </c>
      <c r="E733">
        <f t="shared" si="509"/>
        <v>206.57794809802195</v>
      </c>
      <c r="F733">
        <f t="shared" si="509"/>
        <v>198.33633837670115</v>
      </c>
      <c r="G733">
        <f t="shared" si="509"/>
        <v>175.305366538496</v>
      </c>
      <c r="H733">
        <f t="shared" si="509"/>
        <v>178.41706108396858</v>
      </c>
      <c r="I733">
        <f t="shared" si="509"/>
        <v>167.46474558008572</v>
      </c>
      <c r="J733">
        <f t="shared" si="509"/>
        <v>163.97215999209521</v>
      </c>
      <c r="K733">
        <f t="shared" si="509"/>
        <v>152.74012072158166</v>
      </c>
      <c r="L733">
        <f t="shared" si="509"/>
        <v>129.71910078711502</v>
      </c>
      <c r="M733">
        <f t="shared" si="509"/>
        <v>126.96613631410921</v>
      </c>
      <c r="N733">
        <f t="shared" si="509"/>
        <v>114.58063934747068</v>
      </c>
      <c r="O733">
        <f t="shared" si="509"/>
        <v>95.633041473034012</v>
      </c>
      <c r="P733">
        <f t="shared" si="509"/>
        <v>142.55546986889334</v>
      </c>
      <c r="Q733">
        <f t="shared" si="509"/>
        <v>163.92398410792913</v>
      </c>
      <c r="R733">
        <f t="shared" si="509"/>
        <v>178.84975248953947</v>
      </c>
      <c r="S733">
        <f t="shared" si="509"/>
        <v>145.23792120850564</v>
      </c>
      <c r="T733">
        <f t="shared" si="509"/>
        <v>103.13387200721482</v>
      </c>
      <c r="U733">
        <f t="shared" si="509"/>
        <v>217.52103661732141</v>
      </c>
      <c r="V733">
        <f t="shared" si="509"/>
        <v>201.59441338602278</v>
      </c>
      <c r="W733">
        <f t="shared" si="509"/>
        <v>229.71850973175668</v>
      </c>
      <c r="Y733" s="8">
        <f t="shared" si="491"/>
        <v>3291.5427200718609</v>
      </c>
      <c r="Z733">
        <f t="shared" si="492"/>
        <v>11.532200056198654</v>
      </c>
    </row>
    <row r="734" spans="1:26" x14ac:dyDescent="0.25">
      <c r="A734" t="s">
        <v>61</v>
      </c>
      <c r="D734">
        <f t="shared" ref="D734:W734" si="510">D88*D224</f>
        <v>271.89671282830153</v>
      </c>
      <c r="E734">
        <f t="shared" si="510"/>
        <v>268.8525943935739</v>
      </c>
      <c r="F734">
        <f t="shared" si="510"/>
        <v>208.303074580886</v>
      </c>
      <c r="G734">
        <f t="shared" si="510"/>
        <v>224.40584754449682</v>
      </c>
      <c r="H734">
        <f t="shared" si="510"/>
        <v>148.37447807459776</v>
      </c>
      <c r="I734">
        <f t="shared" si="510"/>
        <v>118.09450133371708</v>
      </c>
      <c r="J734">
        <f t="shared" si="510"/>
        <v>108.79851571059744</v>
      </c>
      <c r="K734">
        <f t="shared" si="510"/>
        <v>108.90216336561866</v>
      </c>
      <c r="L734">
        <f t="shared" si="510"/>
        <v>112.97797402368052</v>
      </c>
      <c r="M734">
        <f t="shared" si="510"/>
        <v>139.38707480904236</v>
      </c>
      <c r="N734">
        <f t="shared" si="510"/>
        <v>99.019275109684585</v>
      </c>
      <c r="O734">
        <f t="shared" si="510"/>
        <v>91.744784130056814</v>
      </c>
      <c r="P734">
        <f t="shared" si="510"/>
        <v>135.4600858526089</v>
      </c>
      <c r="Q734">
        <f t="shared" si="510"/>
        <v>154.58443190713282</v>
      </c>
      <c r="R734">
        <f t="shared" si="510"/>
        <v>182.3623443917084</v>
      </c>
      <c r="S734">
        <f t="shared" si="510"/>
        <v>239.28758512531851</v>
      </c>
      <c r="T734">
        <f t="shared" si="510"/>
        <v>173.5501409532923</v>
      </c>
      <c r="U734">
        <f t="shared" si="510"/>
        <v>171.20682081573466</v>
      </c>
      <c r="V734">
        <f t="shared" si="510"/>
        <v>169.13972924140739</v>
      </c>
      <c r="W734">
        <f t="shared" si="510"/>
        <v>206.58010733590791</v>
      </c>
      <c r="Y734" s="8">
        <f t="shared" si="491"/>
        <v>3332.9282415273647</v>
      </c>
      <c r="Z734">
        <f t="shared" si="492"/>
        <v>-7.2453168012715743</v>
      </c>
    </row>
    <row r="735" spans="1:26" x14ac:dyDescent="0.25">
      <c r="A735" t="s">
        <v>62</v>
      </c>
      <c r="D735">
        <f t="shared" ref="D735:W735" si="511">D89*D225</f>
        <v>196.79733825865284</v>
      </c>
      <c r="E735">
        <f t="shared" si="511"/>
        <v>162.81015764394223</v>
      </c>
      <c r="F735">
        <f t="shared" si="511"/>
        <v>181.58314467870659</v>
      </c>
      <c r="G735">
        <f t="shared" si="511"/>
        <v>138.13060654195957</v>
      </c>
      <c r="H735">
        <f t="shared" si="511"/>
        <v>152.18542114108649</v>
      </c>
      <c r="I735">
        <f t="shared" si="511"/>
        <v>138.17544446830266</v>
      </c>
      <c r="J735">
        <f t="shared" si="511"/>
        <v>136.08422286184057</v>
      </c>
      <c r="K735">
        <f t="shared" si="511"/>
        <v>123.76475849683348</v>
      </c>
      <c r="L735">
        <f t="shared" si="511"/>
        <v>118.40958874562146</v>
      </c>
      <c r="M735">
        <f t="shared" si="511"/>
        <v>131.07404005628334</v>
      </c>
      <c r="N735">
        <f t="shared" si="511"/>
        <v>120.86579032380142</v>
      </c>
      <c r="O735">
        <f t="shared" si="511"/>
        <v>114.52147536807719</v>
      </c>
      <c r="P735">
        <f t="shared" si="511"/>
        <v>120.23020849722732</v>
      </c>
      <c r="Q735">
        <f t="shared" si="511"/>
        <v>119.08085041335427</v>
      </c>
      <c r="R735">
        <f t="shared" si="511"/>
        <v>190.93042812968179</v>
      </c>
      <c r="S735">
        <f t="shared" si="511"/>
        <v>208.69324290470126</v>
      </c>
      <c r="T735">
        <f t="shared" si="511"/>
        <v>193.09474702598141</v>
      </c>
      <c r="U735">
        <f t="shared" si="511"/>
        <v>212.51458307268047</v>
      </c>
      <c r="V735">
        <f t="shared" si="511"/>
        <v>235.66637058068315</v>
      </c>
      <c r="W735">
        <f t="shared" si="511"/>
        <v>251.48506562067863</v>
      </c>
      <c r="Y735" s="8">
        <f t="shared" si="491"/>
        <v>3246.0974848300962</v>
      </c>
      <c r="Z735">
        <f t="shared" si="492"/>
        <v>76.024774774508245</v>
      </c>
    </row>
    <row r="736" spans="1:26" x14ac:dyDescent="0.25">
      <c r="A736" t="s">
        <v>63</v>
      </c>
      <c r="D736">
        <f t="shared" ref="D736:W736" si="512">D90*D226</f>
        <v>168.12072528650506</v>
      </c>
      <c r="E736">
        <f t="shared" si="512"/>
        <v>150.27371014223115</v>
      </c>
      <c r="F736">
        <f t="shared" si="512"/>
        <v>162.13399137254567</v>
      </c>
      <c r="G736">
        <f t="shared" si="512"/>
        <v>147.72989167794438</v>
      </c>
      <c r="H736">
        <f t="shared" si="512"/>
        <v>163.78841193372455</v>
      </c>
      <c r="I736">
        <f t="shared" si="512"/>
        <v>159.49188620600702</v>
      </c>
      <c r="J736">
        <f t="shared" si="512"/>
        <v>139.07309097990949</v>
      </c>
      <c r="K736">
        <f t="shared" si="512"/>
        <v>114.58580605155208</v>
      </c>
      <c r="L736">
        <f t="shared" si="512"/>
        <v>111.1249061118903</v>
      </c>
      <c r="M736">
        <f t="shared" si="512"/>
        <v>63.577962360216745</v>
      </c>
      <c r="N736">
        <f t="shared" si="512"/>
        <v>105.4356280512222</v>
      </c>
      <c r="O736">
        <f t="shared" si="512"/>
        <v>108.95369667402058</v>
      </c>
      <c r="P736">
        <f t="shared" si="512"/>
        <v>131.10667908715524</v>
      </c>
      <c r="Q736">
        <f t="shared" si="512"/>
        <v>111.7760585888974</v>
      </c>
      <c r="R736">
        <f t="shared" si="512"/>
        <v>86.660406348902328</v>
      </c>
      <c r="S736">
        <f t="shared" si="512"/>
        <v>114.70457360510213</v>
      </c>
      <c r="T736">
        <f t="shared" si="512"/>
        <v>127.62803548317058</v>
      </c>
      <c r="U736">
        <f t="shared" si="512"/>
        <v>147.7404347102048</v>
      </c>
      <c r="V736">
        <f t="shared" si="512"/>
        <v>169.3726965009719</v>
      </c>
      <c r="W736">
        <f t="shared" si="512"/>
        <v>189.92294709373675</v>
      </c>
      <c r="Y736" s="8">
        <f t="shared" si="491"/>
        <v>2673.2015382659101</v>
      </c>
      <c r="Z736">
        <f t="shared" si="492"/>
        <v>-17.840313834826915</v>
      </c>
    </row>
    <row r="737" spans="1:26" x14ac:dyDescent="0.25">
      <c r="A737" t="s">
        <v>64</v>
      </c>
      <c r="D737">
        <f t="shared" ref="D737:W737" si="513">D91*D227</f>
        <v>214.72981193117687</v>
      </c>
      <c r="E737">
        <f t="shared" si="513"/>
        <v>241.44061845610184</v>
      </c>
      <c r="F737">
        <f t="shared" si="513"/>
        <v>175.77281473408954</v>
      </c>
      <c r="G737">
        <f t="shared" si="513"/>
        <v>193.73181390885713</v>
      </c>
      <c r="H737">
        <f t="shared" si="513"/>
        <v>186.35682405041348</v>
      </c>
      <c r="I737">
        <f t="shared" si="513"/>
        <v>153.09190667397979</v>
      </c>
      <c r="J737">
        <f t="shared" si="513"/>
        <v>152.0924131196798</v>
      </c>
      <c r="K737">
        <f t="shared" si="513"/>
        <v>150.68168862334915</v>
      </c>
      <c r="L737">
        <f t="shared" si="513"/>
        <v>152.17039448816794</v>
      </c>
      <c r="M737">
        <f t="shared" si="513"/>
        <v>130.80817444598188</v>
      </c>
      <c r="N737">
        <f t="shared" si="513"/>
        <v>133.05170871440069</v>
      </c>
      <c r="O737">
        <f t="shared" si="513"/>
        <v>121.50648474254623</v>
      </c>
      <c r="P737">
        <f t="shared" si="513"/>
        <v>113.50556363598035</v>
      </c>
      <c r="Q737">
        <f t="shared" si="513"/>
        <v>104.91989091445444</v>
      </c>
      <c r="R737">
        <f t="shared" si="513"/>
        <v>152.92319880188649</v>
      </c>
      <c r="S737">
        <f t="shared" si="513"/>
        <v>152.8158291257198</v>
      </c>
      <c r="T737">
        <f t="shared" si="513"/>
        <v>157.61250761070167</v>
      </c>
      <c r="U737">
        <f t="shared" si="513"/>
        <v>154.4146903192744</v>
      </c>
      <c r="V737">
        <f t="shared" si="513"/>
        <v>220.84043196836174</v>
      </c>
      <c r="W737">
        <f t="shared" si="513"/>
        <v>252.94139149123333</v>
      </c>
      <c r="Y737" s="8">
        <f t="shared" si="491"/>
        <v>3315.408157756357</v>
      </c>
      <c r="Z737">
        <f t="shared" si="492"/>
        <v>-26.883229988240345</v>
      </c>
    </row>
    <row r="738" spans="1:26" x14ac:dyDescent="0.25">
      <c r="A738" t="s">
        <v>65</v>
      </c>
      <c r="D738">
        <f t="shared" ref="D738:W738" si="514">D92*D228</f>
        <v>307.04297217628891</v>
      </c>
      <c r="E738">
        <f t="shared" si="514"/>
        <v>384.70660988807356</v>
      </c>
      <c r="F738">
        <f t="shared" si="514"/>
        <v>345.02339073464555</v>
      </c>
      <c r="G738">
        <f t="shared" si="514"/>
        <v>273.40339747616093</v>
      </c>
      <c r="H738">
        <f t="shared" si="514"/>
        <v>250.32794962238103</v>
      </c>
      <c r="I738">
        <f t="shared" si="514"/>
        <v>244.36963570158451</v>
      </c>
      <c r="J738">
        <f t="shared" si="514"/>
        <v>255.13871677061178</v>
      </c>
      <c r="K738">
        <f t="shared" si="514"/>
        <v>235.01709484664269</v>
      </c>
      <c r="L738">
        <f t="shared" si="514"/>
        <v>137.38696741507695</v>
      </c>
      <c r="M738">
        <f t="shared" si="514"/>
        <v>122.14604101592565</v>
      </c>
      <c r="N738">
        <f t="shared" si="514"/>
        <v>133.13712500433076</v>
      </c>
      <c r="O738">
        <f t="shared" si="514"/>
        <v>174.07754732219837</v>
      </c>
      <c r="P738">
        <f t="shared" si="514"/>
        <v>184.11915168004293</v>
      </c>
      <c r="Q738">
        <f t="shared" si="514"/>
        <v>182.4499487102016</v>
      </c>
      <c r="R738">
        <f t="shared" si="514"/>
        <v>168.79189631488188</v>
      </c>
      <c r="S738">
        <f t="shared" si="514"/>
        <v>153.4324138536185</v>
      </c>
      <c r="T738">
        <f t="shared" si="514"/>
        <v>174.79978128979494</v>
      </c>
      <c r="U738">
        <f t="shared" si="514"/>
        <v>196.90569703104509</v>
      </c>
      <c r="V738">
        <f t="shared" si="514"/>
        <v>197.65293932196241</v>
      </c>
      <c r="W738">
        <f t="shared" si="514"/>
        <v>205.91685490669414</v>
      </c>
      <c r="Y738" s="8">
        <f t="shared" si="491"/>
        <v>4325.8461310821622</v>
      </c>
      <c r="Z738">
        <f t="shared" si="492"/>
        <v>-115.92376740864924</v>
      </c>
    </row>
    <row r="739" spans="1:26" x14ac:dyDescent="0.25">
      <c r="A739" t="s">
        <v>66</v>
      </c>
      <c r="D739">
        <f t="shared" ref="D739:W739" si="515">D93*D229</f>
        <v>126.9815779561399</v>
      </c>
      <c r="E739">
        <f t="shared" si="515"/>
        <v>128.70596495061386</v>
      </c>
      <c r="F739">
        <f t="shared" si="515"/>
        <v>149.11871140419262</v>
      </c>
      <c r="G739">
        <f t="shared" si="515"/>
        <v>137.10308448469971</v>
      </c>
      <c r="H739">
        <f t="shared" si="515"/>
        <v>145.2927406874478</v>
      </c>
      <c r="I739">
        <f t="shared" si="515"/>
        <v>143.7953310471176</v>
      </c>
      <c r="J739">
        <f t="shared" si="515"/>
        <v>147.18878673958483</v>
      </c>
      <c r="K739">
        <f t="shared" si="515"/>
        <v>149.28147491440561</v>
      </c>
      <c r="L739">
        <f t="shared" si="515"/>
        <v>115.34197130540136</v>
      </c>
      <c r="M739">
        <f t="shared" si="515"/>
        <v>89.220591298610799</v>
      </c>
      <c r="N739">
        <f t="shared" si="515"/>
        <v>72.909201287039437</v>
      </c>
      <c r="O739">
        <f t="shared" si="515"/>
        <v>96.474381476059946</v>
      </c>
      <c r="P739">
        <f t="shared" si="515"/>
        <v>111.0151851076951</v>
      </c>
      <c r="Q739">
        <f t="shared" si="515"/>
        <v>121.37856747961381</v>
      </c>
      <c r="R739">
        <f t="shared" si="515"/>
        <v>212.17982255975761</v>
      </c>
      <c r="S739">
        <f t="shared" si="515"/>
        <v>228.87645503491404</v>
      </c>
      <c r="T739">
        <f t="shared" si="515"/>
        <v>241.07442369237162</v>
      </c>
      <c r="U739">
        <f t="shared" si="515"/>
        <v>224.63018383167065</v>
      </c>
      <c r="V739">
        <f t="shared" si="515"/>
        <v>192.73703186081639</v>
      </c>
      <c r="W739">
        <f t="shared" si="515"/>
        <v>200.64003372627795</v>
      </c>
      <c r="Y739" s="8">
        <f t="shared" si="491"/>
        <v>3033.945520844431</v>
      </c>
      <c r="Z739">
        <f t="shared" si="492"/>
        <v>138.31399490158896</v>
      </c>
    </row>
    <row r="740" spans="1:26" x14ac:dyDescent="0.25">
      <c r="A740" t="s">
        <v>67</v>
      </c>
      <c r="D740">
        <f t="shared" ref="D740:W740" si="516">D94*D230</f>
        <v>155.00273931191578</v>
      </c>
      <c r="E740">
        <f t="shared" si="516"/>
        <v>138.4446977441481</v>
      </c>
      <c r="F740">
        <f t="shared" si="516"/>
        <v>135.67335071093999</v>
      </c>
      <c r="G740">
        <f t="shared" si="516"/>
        <v>137.80607516467558</v>
      </c>
      <c r="H740">
        <f t="shared" si="516"/>
        <v>141.45879958329172</v>
      </c>
      <c r="I740">
        <f t="shared" si="516"/>
        <v>154.69471222580498</v>
      </c>
      <c r="J740">
        <f t="shared" si="516"/>
        <v>142.08999802793466</v>
      </c>
      <c r="K740">
        <f t="shared" si="516"/>
        <v>148.1634036457647</v>
      </c>
      <c r="L740">
        <f t="shared" si="516"/>
        <v>117.48068830882799</v>
      </c>
      <c r="M740">
        <f t="shared" si="516"/>
        <v>99.797861548469896</v>
      </c>
      <c r="N740">
        <f t="shared" si="516"/>
        <v>92.592623893380761</v>
      </c>
      <c r="O740">
        <f t="shared" si="516"/>
        <v>110.99617002040122</v>
      </c>
      <c r="P740">
        <f t="shared" si="516"/>
        <v>107.93610618609442</v>
      </c>
      <c r="Q740">
        <f t="shared" si="516"/>
        <v>92.33709132026793</v>
      </c>
      <c r="R740">
        <f t="shared" si="516"/>
        <v>42.077339532992326</v>
      </c>
      <c r="S740">
        <f t="shared" si="516"/>
        <v>47.61474088978926</v>
      </c>
      <c r="T740">
        <f t="shared" si="516"/>
        <v>47.040006466811185</v>
      </c>
      <c r="U740">
        <f t="shared" si="516"/>
        <v>55.928061065557912</v>
      </c>
      <c r="V740">
        <f t="shared" si="516"/>
        <v>190.26546946270037</v>
      </c>
      <c r="W740">
        <f t="shared" si="516"/>
        <v>227.28356985227572</v>
      </c>
      <c r="Y740" s="8">
        <f t="shared" si="491"/>
        <v>2384.6835049620445</v>
      </c>
      <c r="Z740">
        <f t="shared" si="492"/>
        <v>-73.253321619806599</v>
      </c>
    </row>
    <row r="741" spans="1:26" x14ac:dyDescent="0.25">
      <c r="Y741" s="8"/>
    </row>
    <row r="742" spans="1:26" x14ac:dyDescent="0.25">
      <c r="A742" t="s">
        <v>68</v>
      </c>
      <c r="D742">
        <f t="shared" ref="D742:W742" si="517">D96*D232</f>
        <v>151.14160514614881</v>
      </c>
      <c r="E742">
        <f t="shared" si="517"/>
        <v>132.89020006182722</v>
      </c>
      <c r="F742">
        <f t="shared" si="517"/>
        <v>148.42989271287087</v>
      </c>
      <c r="G742">
        <f t="shared" si="517"/>
        <v>230.65202725858467</v>
      </c>
      <c r="H742">
        <f t="shared" si="517"/>
        <v>150.54150840327094</v>
      </c>
      <c r="I742">
        <f t="shared" si="517"/>
        <v>150.52036439316251</v>
      </c>
      <c r="J742">
        <f t="shared" si="517"/>
        <v>111.34487221583016</v>
      </c>
      <c r="K742">
        <f t="shared" si="517"/>
        <v>96.930301060732887</v>
      </c>
      <c r="L742">
        <f t="shared" si="517"/>
        <v>66.933923739221015</v>
      </c>
      <c r="M742">
        <f t="shared" si="517"/>
        <v>125.83261521115369</v>
      </c>
      <c r="N742">
        <f t="shared" si="517"/>
        <v>101.49411109020706</v>
      </c>
      <c r="O742">
        <f t="shared" si="517"/>
        <v>96.073641526792741</v>
      </c>
      <c r="P742">
        <f t="shared" si="517"/>
        <v>140.47931283039566</v>
      </c>
      <c r="Q742">
        <f t="shared" si="517"/>
        <v>140.23995924046366</v>
      </c>
      <c r="R742">
        <f t="shared" si="517"/>
        <v>149.17128945052519</v>
      </c>
      <c r="S742">
        <f t="shared" si="517"/>
        <v>171.59812910984328</v>
      </c>
      <c r="T742">
        <f t="shared" si="517"/>
        <v>173.65130970196037</v>
      </c>
      <c r="U742">
        <f t="shared" si="517"/>
        <v>193.88109702490928</v>
      </c>
      <c r="V742">
        <f t="shared" si="517"/>
        <v>196.46040545760539</v>
      </c>
      <c r="W742">
        <f t="shared" si="517"/>
        <v>226.52627830811159</v>
      </c>
      <c r="Y742" s="8">
        <f t="shared" si="491"/>
        <v>2954.7928439436173</v>
      </c>
      <c r="Z742">
        <f>SUMPRODUCT($D$746:$W$746,D742:W742)</f>
        <v>53.003212405885108</v>
      </c>
    </row>
    <row r="743" spans="1:26" x14ac:dyDescent="0.25">
      <c r="A743" t="s">
        <v>312</v>
      </c>
      <c r="D743">
        <f t="shared" ref="D743:W743" si="518">D97*D233</f>
        <v>222.63969651933951</v>
      </c>
      <c r="E743">
        <f t="shared" si="518"/>
        <v>206.32402105356937</v>
      </c>
      <c r="F743">
        <f t="shared" si="518"/>
        <v>123.57303238178271</v>
      </c>
      <c r="G743">
        <f t="shared" si="518"/>
        <v>129.6239276427176</v>
      </c>
      <c r="H743">
        <f t="shared" si="518"/>
        <v>167.28258901682037</v>
      </c>
      <c r="I743">
        <f t="shared" si="518"/>
        <v>136.11614037763081</v>
      </c>
      <c r="J743">
        <f t="shared" si="518"/>
        <v>119.7153820453517</v>
      </c>
      <c r="K743">
        <f t="shared" si="518"/>
        <v>47.435170379037523</v>
      </c>
      <c r="L743">
        <f t="shared" si="518"/>
        <v>57.512005032902891</v>
      </c>
      <c r="M743">
        <f t="shared" si="518"/>
        <v>65.622851458355498</v>
      </c>
      <c r="N743">
        <f t="shared" si="518"/>
        <v>40.201821100194365</v>
      </c>
      <c r="O743">
        <f t="shared" si="518"/>
        <v>71.321523023625645</v>
      </c>
      <c r="P743">
        <f t="shared" si="518"/>
        <v>131.51999999999998</v>
      </c>
      <c r="Q743">
        <f t="shared" si="518"/>
        <v>178.5</v>
      </c>
      <c r="R743">
        <f t="shared" si="518"/>
        <v>143.19</v>
      </c>
      <c r="S743">
        <f t="shared" si="518"/>
        <v>48.18</v>
      </c>
      <c r="T743">
        <f t="shared" si="518"/>
        <v>94.08</v>
      </c>
      <c r="U743">
        <f t="shared" si="518"/>
        <v>143.70399999999998</v>
      </c>
      <c r="V743">
        <f t="shared" si="518"/>
        <v>194.04000000000002</v>
      </c>
      <c r="W743">
        <f t="shared" si="518"/>
        <v>196.56</v>
      </c>
      <c r="Y743" s="8">
        <f t="shared" si="491"/>
        <v>2517.1421600313279</v>
      </c>
      <c r="Z743">
        <f>SUMPRODUCT($D$746:$W$746,D743:W743)</f>
        <v>9.3374310470705595</v>
      </c>
    </row>
    <row r="744" spans="1:26" x14ac:dyDescent="0.25">
      <c r="A744" t="s">
        <v>313</v>
      </c>
      <c r="D744">
        <f t="shared" ref="D744:W744" si="519">D98*D234</f>
        <v>196.87999999999997</v>
      </c>
      <c r="E744">
        <f t="shared" si="519"/>
        <v>230.58</v>
      </c>
      <c r="F744">
        <f t="shared" si="519"/>
        <v>993.84</v>
      </c>
      <c r="G744">
        <f t="shared" si="519"/>
        <v>119.78</v>
      </c>
      <c r="H744">
        <f t="shared" si="519"/>
        <v>153.68</v>
      </c>
      <c r="I744">
        <f t="shared" si="519"/>
        <v>149.1</v>
      </c>
      <c r="J744">
        <f t="shared" si="519"/>
        <v>125.84000000000002</v>
      </c>
      <c r="K744">
        <f t="shared" si="519"/>
        <v>73.44</v>
      </c>
      <c r="L744">
        <f t="shared" si="519"/>
        <v>68.62</v>
      </c>
      <c r="M744">
        <f t="shared" si="519"/>
        <v>60.480000000000004</v>
      </c>
      <c r="N744">
        <f t="shared" si="519"/>
        <v>52.290000000000006</v>
      </c>
      <c r="O744">
        <f t="shared" si="519"/>
        <v>64.240000000000009</v>
      </c>
      <c r="P744">
        <f t="shared" si="519"/>
        <v>129.9053157783508</v>
      </c>
      <c r="Q744">
        <f t="shared" si="519"/>
        <v>142.22336968980775</v>
      </c>
      <c r="R744">
        <f t="shared" si="519"/>
        <v>139.74133074194961</v>
      </c>
      <c r="S744">
        <f t="shared" si="519"/>
        <v>164.11184063636341</v>
      </c>
      <c r="T744">
        <f t="shared" si="519"/>
        <v>174.87703092296212</v>
      </c>
      <c r="U744">
        <f t="shared" si="519"/>
        <v>173.72721446335137</v>
      </c>
      <c r="V744">
        <f t="shared" si="519"/>
        <v>186.40763319815102</v>
      </c>
      <c r="W744">
        <f t="shared" si="519"/>
        <v>200.96571264407314</v>
      </c>
      <c r="Y744" s="8">
        <f t="shared" si="491"/>
        <v>3600.7294480750088</v>
      </c>
      <c r="Z744">
        <f>SUMPRODUCT($D$746:$W$746,D744:W744)</f>
        <v>-140.89869665591806</v>
      </c>
    </row>
    <row r="745" spans="1:26" ht="18.75" customHeight="1" x14ac:dyDescent="0.25">
      <c r="A745" t="s">
        <v>676</v>
      </c>
      <c r="D745">
        <f t="shared" ref="D745:W745" si="520">D99*D235</f>
        <v>216.8755323541927</v>
      </c>
      <c r="E745">
        <f t="shared" si="520"/>
        <v>240.15164616966413</v>
      </c>
      <c r="F745">
        <f t="shared" si="520"/>
        <v>226.88936982307524</v>
      </c>
      <c r="G745">
        <f t="shared" si="520"/>
        <v>230.80418447684852</v>
      </c>
      <c r="H745">
        <f t="shared" si="520"/>
        <v>221.28140167238107</v>
      </c>
      <c r="I745">
        <f t="shared" si="520"/>
        <v>151.04362182731083</v>
      </c>
      <c r="J745">
        <f t="shared" si="520"/>
        <v>147.54430093439092</v>
      </c>
      <c r="K745">
        <f t="shared" si="520"/>
        <v>142.03734511887438</v>
      </c>
      <c r="L745">
        <f t="shared" si="520"/>
        <v>132.91903029433604</v>
      </c>
      <c r="M745">
        <f t="shared" si="520"/>
        <v>118.42294673062834</v>
      </c>
      <c r="N745">
        <f t="shared" si="520"/>
        <v>117.92635301041733</v>
      </c>
      <c r="O745">
        <f t="shared" si="520"/>
        <v>120.56812703302003</v>
      </c>
      <c r="P745">
        <f t="shared" si="520"/>
        <v>120.48927793890759</v>
      </c>
      <c r="Q745">
        <f t="shared" si="520"/>
        <v>144.94410250056552</v>
      </c>
      <c r="R745">
        <f t="shared" si="520"/>
        <v>147.78231413134762</v>
      </c>
      <c r="S745">
        <f t="shared" si="520"/>
        <v>157.19655688317684</v>
      </c>
      <c r="T745">
        <f t="shared" si="520"/>
        <v>165.69146363640328</v>
      </c>
      <c r="U745">
        <f t="shared" si="520"/>
        <v>191.35144752510448</v>
      </c>
      <c r="V745">
        <f t="shared" si="520"/>
        <v>186.94804299086368</v>
      </c>
      <c r="W745">
        <f t="shared" si="520"/>
        <v>223.58352604176227</v>
      </c>
      <c r="Y745" s="8">
        <f t="shared" ref="Y745" si="521">SUM(D745:W745)</f>
        <v>3404.4505910932703</v>
      </c>
      <c r="Z745">
        <f>SUMPRODUCT($D$746:$W$746,D745:W745)</f>
        <v>-38.02993981456838</v>
      </c>
    </row>
    <row r="746" spans="1:26" x14ac:dyDescent="0.25">
      <c r="A746" s="2" t="s">
        <v>69</v>
      </c>
      <c r="D746" s="3">
        <f>CORREL($B$2:$B$26,D716:D740)</f>
        <v>-0.20473487777925795</v>
      </c>
      <c r="E746" s="3">
        <f t="shared" ref="E746:W746" si="522">CORREL($B$2:$B$26,E716:E740)</f>
        <v>-0.26165901038037048</v>
      </c>
      <c r="F746" s="3">
        <f t="shared" si="522"/>
        <v>-0.22155388513070773</v>
      </c>
      <c r="G746" s="3">
        <f t="shared" si="522"/>
        <v>-0.22665027954958655</v>
      </c>
      <c r="H746" s="3">
        <f t="shared" si="522"/>
        <v>-7.0419663685013636E-2</v>
      </c>
      <c r="I746" s="3">
        <f t="shared" si="522"/>
        <v>6.0509831072284352E-2</v>
      </c>
      <c r="J746" s="3">
        <f t="shared" si="522"/>
        <v>-7.3307663054859784E-3</v>
      </c>
      <c r="K746" s="3">
        <f t="shared" si="522"/>
        <v>-2.2157444669022121E-2</v>
      </c>
      <c r="L746" s="3">
        <f t="shared" si="522"/>
        <v>-0.19875631362852864</v>
      </c>
      <c r="M746" s="3">
        <f t="shared" si="522"/>
        <v>-0.10092359609633923</v>
      </c>
      <c r="N746" s="3">
        <f t="shared" si="522"/>
        <v>-0.26863372003981201</v>
      </c>
      <c r="O746" s="3">
        <f t="shared" si="522"/>
        <v>7.1861873068681578E-3</v>
      </c>
      <c r="P746" s="3">
        <f t="shared" si="522"/>
        <v>7.9731278068846459E-2</v>
      </c>
      <c r="Q746" s="3">
        <f t="shared" si="522"/>
        <v>3.997573214289972E-2</v>
      </c>
      <c r="R746" s="3">
        <f t="shared" si="522"/>
        <v>0.51668484719428576</v>
      </c>
      <c r="S746" s="3">
        <f t="shared" si="522"/>
        <v>0.25879847549262525</v>
      </c>
      <c r="T746" s="3">
        <f t="shared" si="522"/>
        <v>0.15591507320368406</v>
      </c>
      <c r="U746" s="3">
        <f t="shared" si="522"/>
        <v>0.21803843818342322</v>
      </c>
      <c r="V746" s="3">
        <f t="shared" si="522"/>
        <v>0.13453834600552453</v>
      </c>
      <c r="W746" s="3">
        <f t="shared" si="522"/>
        <v>0.11850981791423816</v>
      </c>
    </row>
    <row r="749" spans="1:26" x14ac:dyDescent="0.25">
      <c r="D749" t="s">
        <v>248</v>
      </c>
      <c r="E749" t="s">
        <v>249</v>
      </c>
      <c r="F749" t="s">
        <v>250</v>
      </c>
      <c r="G749" t="s">
        <v>251</v>
      </c>
      <c r="H749" t="s">
        <v>252</v>
      </c>
      <c r="I749" t="s">
        <v>253</v>
      </c>
      <c r="J749" t="s">
        <v>254</v>
      </c>
      <c r="K749" t="s">
        <v>255</v>
      </c>
      <c r="L749" t="s">
        <v>337</v>
      </c>
      <c r="M749" t="s">
        <v>409</v>
      </c>
      <c r="N749" t="s">
        <v>410</v>
      </c>
      <c r="O749" t="s">
        <v>411</v>
      </c>
      <c r="P749" t="s">
        <v>540</v>
      </c>
      <c r="Q749" t="s">
        <v>541</v>
      </c>
      <c r="R749" t="s">
        <v>542</v>
      </c>
      <c r="S749" t="s">
        <v>543</v>
      </c>
      <c r="T749" t="s">
        <v>652</v>
      </c>
      <c r="U749" t="s">
        <v>653</v>
      </c>
      <c r="V749" t="s">
        <v>654</v>
      </c>
      <c r="W749" t="s">
        <v>655</v>
      </c>
      <c r="Y749" t="s">
        <v>256</v>
      </c>
      <c r="Z749" t="s">
        <v>257</v>
      </c>
    </row>
    <row r="750" spans="1:26" x14ac:dyDescent="0.25">
      <c r="A750" t="s">
        <v>43</v>
      </c>
      <c r="D750">
        <f t="shared" ref="D750:W750" si="523">D104*D138</f>
        <v>3518.5794700173706</v>
      </c>
      <c r="E750">
        <f t="shared" si="523"/>
        <v>2452.2332145086798</v>
      </c>
      <c r="F750">
        <f t="shared" si="523"/>
        <v>3161.7365928460154</v>
      </c>
      <c r="G750">
        <f t="shared" si="523"/>
        <v>7321.888850086747</v>
      </c>
      <c r="H750">
        <f t="shared" si="523"/>
        <v>4801.9490271161148</v>
      </c>
      <c r="I750">
        <f t="shared" si="523"/>
        <v>2679.2121541114079</v>
      </c>
      <c r="J750">
        <f t="shared" si="523"/>
        <v>4009.2430376789844</v>
      </c>
      <c r="K750">
        <f t="shared" si="523"/>
        <v>3623.6865448467142</v>
      </c>
      <c r="L750">
        <f t="shared" si="523"/>
        <v>2568.3981995559357</v>
      </c>
      <c r="M750">
        <f t="shared" si="523"/>
        <v>2313.1878079503217</v>
      </c>
      <c r="N750">
        <f t="shared" si="523"/>
        <v>3113.1316531539096</v>
      </c>
      <c r="O750">
        <f t="shared" si="523"/>
        <v>4078.642040399398</v>
      </c>
      <c r="P750">
        <f t="shared" si="523"/>
        <v>2971.7902906537479</v>
      </c>
      <c r="Q750">
        <f t="shared" si="523"/>
        <v>3125.801568128993</v>
      </c>
      <c r="R750">
        <f t="shared" si="523"/>
        <v>11379.849840789777</v>
      </c>
      <c r="S750">
        <f t="shared" si="523"/>
        <v>4228.9735065260575</v>
      </c>
      <c r="T750">
        <f t="shared" si="523"/>
        <v>2802.1974915216074</v>
      </c>
      <c r="U750">
        <f t="shared" si="523"/>
        <v>2945.6712144626267</v>
      </c>
      <c r="V750">
        <f t="shared" si="523"/>
        <v>4847.9529986908847</v>
      </c>
      <c r="W750">
        <f t="shared" si="523"/>
        <v>4747.1130044856864</v>
      </c>
      <c r="Y750" s="8">
        <f t="shared" ref="Y750:Y778" si="524">SUM(D750:W750)</f>
        <v>80691.238507530987</v>
      </c>
      <c r="Z750">
        <f t="shared" ref="Z750:Z774" si="525">SUMPRODUCT($D$780:$W$780,D750:W750)</f>
        <v>-2542.4524399474722</v>
      </c>
    </row>
    <row r="751" spans="1:26" x14ac:dyDescent="0.25">
      <c r="A751" t="s">
        <v>44</v>
      </c>
      <c r="D751">
        <f t="shared" ref="D751:W751" si="526">D105*D139</f>
        <v>2397.005664514943</v>
      </c>
      <c r="E751">
        <f t="shared" si="526"/>
        <v>2384.1597912253692</v>
      </c>
      <c r="F751">
        <f t="shared" si="526"/>
        <v>2169.9903094337251</v>
      </c>
      <c r="G751">
        <f t="shared" si="526"/>
        <v>3083.3829268892882</v>
      </c>
      <c r="H751">
        <f t="shared" si="526"/>
        <v>3058.2061348634097</v>
      </c>
      <c r="I751">
        <f t="shared" si="526"/>
        <v>2002.2428586550375</v>
      </c>
      <c r="J751">
        <f t="shared" si="526"/>
        <v>2078.7073418001655</v>
      </c>
      <c r="K751">
        <f t="shared" si="526"/>
        <v>3371.3405376204437</v>
      </c>
      <c r="L751">
        <f t="shared" si="526"/>
        <v>2180.2911184599106</v>
      </c>
      <c r="M751">
        <f t="shared" si="526"/>
        <v>3814.1047217073328</v>
      </c>
      <c r="N751">
        <f t="shared" si="526"/>
        <v>2147.4729365148423</v>
      </c>
      <c r="O751">
        <f t="shared" si="526"/>
        <v>3976.931885301391</v>
      </c>
      <c r="P751">
        <f t="shared" si="526"/>
        <v>1826.5378000143337</v>
      </c>
      <c r="Q751">
        <f t="shared" si="526"/>
        <v>2355.6726587351313</v>
      </c>
      <c r="R751">
        <f t="shared" si="526"/>
        <v>2863.8664256733482</v>
      </c>
      <c r="S751">
        <f t="shared" si="526"/>
        <v>2565.6798169644289</v>
      </c>
      <c r="T751">
        <f t="shared" si="526"/>
        <v>1857.5304202768373</v>
      </c>
      <c r="U751">
        <f t="shared" si="526"/>
        <v>1544.7839174161413</v>
      </c>
      <c r="V751">
        <f t="shared" si="526"/>
        <v>2147.2604553637152</v>
      </c>
      <c r="W751">
        <f t="shared" si="526"/>
        <v>3640.0137851440245</v>
      </c>
      <c r="Y751" s="8">
        <f t="shared" si="524"/>
        <v>51465.181506573812</v>
      </c>
      <c r="Z751">
        <f t="shared" si="525"/>
        <v>-523.3863311573532</v>
      </c>
    </row>
    <row r="752" spans="1:26" x14ac:dyDescent="0.25">
      <c r="A752" t="s">
        <v>45</v>
      </c>
      <c r="D752">
        <f t="shared" ref="D752:W752" si="527">D106*D140</f>
        <v>2363.4747838285834</v>
      </c>
      <c r="E752">
        <f t="shared" si="527"/>
        <v>2220.9642104506752</v>
      </c>
      <c r="F752">
        <f t="shared" si="527"/>
        <v>2249.3608108788367</v>
      </c>
      <c r="G752">
        <f t="shared" si="527"/>
        <v>2170.9007964856987</v>
      </c>
      <c r="H752">
        <f t="shared" si="527"/>
        <v>2347.8163796950371</v>
      </c>
      <c r="I752">
        <f t="shared" si="527"/>
        <v>1723.230647421972</v>
      </c>
      <c r="J752">
        <f t="shared" si="527"/>
        <v>1825.1192881393497</v>
      </c>
      <c r="K752">
        <f t="shared" si="527"/>
        <v>1945.7359043615349</v>
      </c>
      <c r="L752">
        <f t="shared" si="527"/>
        <v>3310.9519972927674</v>
      </c>
      <c r="M752">
        <f t="shared" si="527"/>
        <v>2732.1817336053928</v>
      </c>
      <c r="N752">
        <f t="shared" si="527"/>
        <v>1429.0747364431218</v>
      </c>
      <c r="O752">
        <f t="shared" si="527"/>
        <v>2508.1615654467278</v>
      </c>
      <c r="P752">
        <f t="shared" si="527"/>
        <v>2901.6664090380718</v>
      </c>
      <c r="Q752">
        <f t="shared" si="527"/>
        <v>2727.7164823667576</v>
      </c>
      <c r="R752">
        <f t="shared" si="527"/>
        <v>2586.3427947861064</v>
      </c>
      <c r="S752">
        <f t="shared" si="527"/>
        <v>3766.2338982380829</v>
      </c>
      <c r="T752">
        <f t="shared" si="527"/>
        <v>3277.5920875785882</v>
      </c>
      <c r="U752">
        <f t="shared" si="527"/>
        <v>4073.2076457555258</v>
      </c>
      <c r="V752">
        <f t="shared" si="527"/>
        <v>2717.9519043627597</v>
      </c>
      <c r="W752">
        <f t="shared" si="527"/>
        <v>3582.0888774541691</v>
      </c>
      <c r="Y752" s="8">
        <f t="shared" si="524"/>
        <v>52459.772953629756</v>
      </c>
      <c r="Z752">
        <f t="shared" si="525"/>
        <v>-131.35499928055765</v>
      </c>
    </row>
    <row r="753" spans="1:26" x14ac:dyDescent="0.25">
      <c r="A753" t="s">
        <v>46</v>
      </c>
      <c r="D753">
        <f t="shared" ref="D753:W753" si="528">D107*D141</f>
        <v>4371.4520705918221</v>
      </c>
      <c r="E753">
        <f t="shared" si="528"/>
        <v>2813.0512744839898</v>
      </c>
      <c r="F753">
        <f t="shared" si="528"/>
        <v>2488.2563224181736</v>
      </c>
      <c r="G753">
        <f t="shared" si="528"/>
        <v>3089.3207371735753</v>
      </c>
      <c r="H753">
        <f t="shared" si="528"/>
        <v>2267.2749572814055</v>
      </c>
      <c r="I753">
        <f t="shared" si="528"/>
        <v>2349.7619558053284</v>
      </c>
      <c r="J753">
        <f t="shared" si="528"/>
        <v>2403.3420942256175</v>
      </c>
      <c r="K753">
        <f t="shared" si="528"/>
        <v>3187.7003766981934</v>
      </c>
      <c r="L753">
        <f t="shared" si="528"/>
        <v>3924.8057270511304</v>
      </c>
      <c r="M753">
        <f t="shared" si="528"/>
        <v>1895.9207577526133</v>
      </c>
      <c r="N753">
        <f t="shared" si="528"/>
        <v>2716.999190920993</v>
      </c>
      <c r="O753">
        <f t="shared" si="528"/>
        <v>2560.4956984256874</v>
      </c>
      <c r="P753">
        <f t="shared" si="528"/>
        <v>2815.871378667176</v>
      </c>
      <c r="Q753">
        <f t="shared" si="528"/>
        <v>3829.537066830937</v>
      </c>
      <c r="R753">
        <f t="shared" si="528"/>
        <v>2598.8491613736282</v>
      </c>
      <c r="S753">
        <f t="shared" si="528"/>
        <v>1781.4235054584196</v>
      </c>
      <c r="T753">
        <f t="shared" si="528"/>
        <v>1968.2734619584123</v>
      </c>
      <c r="U753">
        <f t="shared" si="528"/>
        <v>3088.6783139759455</v>
      </c>
      <c r="V753">
        <f t="shared" si="528"/>
        <v>2934.8465589681064</v>
      </c>
      <c r="W753">
        <f t="shared" si="528"/>
        <v>2052.0558529198343</v>
      </c>
      <c r="Y753" s="8">
        <f t="shared" si="524"/>
        <v>55137.916462980982</v>
      </c>
      <c r="Z753">
        <f t="shared" si="525"/>
        <v>-1129.8723018491185</v>
      </c>
    </row>
    <row r="754" spans="1:26" x14ac:dyDescent="0.25">
      <c r="A754" t="s">
        <v>47</v>
      </c>
      <c r="D754">
        <f t="shared" ref="D754:W754" si="529">D108*D142</f>
        <v>1706.4245818755444</v>
      </c>
      <c r="E754">
        <f t="shared" si="529"/>
        <v>1675.4875081071334</v>
      </c>
      <c r="F754">
        <f t="shared" si="529"/>
        <v>2555.9876473218642</v>
      </c>
      <c r="G754">
        <f t="shared" si="529"/>
        <v>2789.2776874305068</v>
      </c>
      <c r="H754">
        <f t="shared" si="529"/>
        <v>2220.8987243716829</v>
      </c>
      <c r="I754">
        <f t="shared" si="529"/>
        <v>1018.9929928516902</v>
      </c>
      <c r="J754">
        <f t="shared" si="529"/>
        <v>1636.3675892626377</v>
      </c>
      <c r="K754">
        <f t="shared" si="529"/>
        <v>2031.0151332305245</v>
      </c>
      <c r="L754">
        <f t="shared" si="529"/>
        <v>854.41832743594534</v>
      </c>
      <c r="M754">
        <f t="shared" si="529"/>
        <v>864.03526493193226</v>
      </c>
      <c r="N754">
        <f t="shared" si="529"/>
        <v>782.33558819727602</v>
      </c>
      <c r="O754">
        <f t="shared" si="529"/>
        <v>752.39069838564512</v>
      </c>
      <c r="P754">
        <f t="shared" si="529"/>
        <v>1107.020968713193</v>
      </c>
      <c r="Q754">
        <f t="shared" si="529"/>
        <v>1369.2203055852535</v>
      </c>
      <c r="R754">
        <f t="shared" si="529"/>
        <v>2560.1831714473951</v>
      </c>
      <c r="S754">
        <f t="shared" si="529"/>
        <v>772.29324238784341</v>
      </c>
      <c r="T754">
        <f t="shared" si="529"/>
        <v>1430.3711503669138</v>
      </c>
      <c r="U754">
        <f t="shared" si="529"/>
        <v>1493.687862053592</v>
      </c>
      <c r="V754">
        <f t="shared" si="529"/>
        <v>1118.4487512918042</v>
      </c>
      <c r="W754">
        <f t="shared" si="529"/>
        <v>1681.0156467594347</v>
      </c>
      <c r="Y754" s="8">
        <f t="shared" si="524"/>
        <v>30419.872842007822</v>
      </c>
      <c r="Z754">
        <f t="shared" si="525"/>
        <v>-1159.1832420601854</v>
      </c>
    </row>
    <row r="755" spans="1:26" x14ac:dyDescent="0.25">
      <c r="A755" t="s">
        <v>48</v>
      </c>
      <c r="D755">
        <f t="shared" ref="D755:W755" si="530">D109*D143</f>
        <v>2423.54508657936</v>
      </c>
      <c r="E755">
        <f t="shared" si="530"/>
        <v>1688.2169868357773</v>
      </c>
      <c r="F755">
        <f t="shared" si="530"/>
        <v>1747.1526993794923</v>
      </c>
      <c r="G755">
        <f t="shared" si="530"/>
        <v>3722.3883173258932</v>
      </c>
      <c r="H755">
        <f t="shared" si="530"/>
        <v>1623.9381270105937</v>
      </c>
      <c r="I755">
        <f t="shared" si="530"/>
        <v>1912.7509206580701</v>
      </c>
      <c r="J755">
        <f t="shared" si="530"/>
        <v>1572.1993421250922</v>
      </c>
      <c r="K755">
        <f t="shared" si="530"/>
        <v>1308.2192945371507</v>
      </c>
      <c r="L755">
        <f t="shared" si="530"/>
        <v>791.72193111064701</v>
      </c>
      <c r="M755">
        <f t="shared" si="530"/>
        <v>984.47641763874208</v>
      </c>
      <c r="N755">
        <f t="shared" si="530"/>
        <v>726.66109468912975</v>
      </c>
      <c r="O755">
        <f t="shared" si="530"/>
        <v>712.11321227099688</v>
      </c>
      <c r="P755">
        <f t="shared" si="530"/>
        <v>924.25482838605637</v>
      </c>
      <c r="Q755">
        <f t="shared" si="530"/>
        <v>736.4587217109862</v>
      </c>
      <c r="R755">
        <f t="shared" si="530"/>
        <v>1036.9539955700029</v>
      </c>
      <c r="S755">
        <f t="shared" si="530"/>
        <v>1331.7642256826171</v>
      </c>
      <c r="T755">
        <f t="shared" si="530"/>
        <v>1281.7015396016857</v>
      </c>
      <c r="U755">
        <f t="shared" si="530"/>
        <v>965.79803970811884</v>
      </c>
      <c r="V755">
        <f t="shared" si="530"/>
        <v>1675.5466468560091</v>
      </c>
      <c r="W755">
        <f t="shared" si="530"/>
        <v>2107.5325854222488</v>
      </c>
      <c r="Y755" s="8">
        <f t="shared" si="524"/>
        <v>29273.394013098674</v>
      </c>
      <c r="Z755">
        <f t="shared" si="525"/>
        <v>-1576.021181973354</v>
      </c>
    </row>
    <row r="756" spans="1:26" x14ac:dyDescent="0.25">
      <c r="A756" t="s">
        <v>49</v>
      </c>
      <c r="D756">
        <f t="shared" ref="D756:W756" si="531">D110*D144</f>
        <v>2606.3581427030194</v>
      </c>
      <c r="E756">
        <f t="shared" si="531"/>
        <v>2407.5105545846277</v>
      </c>
      <c r="F756">
        <f t="shared" si="531"/>
        <v>3645.8346070809193</v>
      </c>
      <c r="G756">
        <f t="shared" si="531"/>
        <v>2767.1312354632541</v>
      </c>
      <c r="H756">
        <f t="shared" si="531"/>
        <v>1587.5099871644602</v>
      </c>
      <c r="I756">
        <f t="shared" si="531"/>
        <v>2359.2790573967213</v>
      </c>
      <c r="J756">
        <f t="shared" si="531"/>
        <v>1755.2030532861313</v>
      </c>
      <c r="K756">
        <f t="shared" si="531"/>
        <v>1338.4660056972311</v>
      </c>
      <c r="L756">
        <f t="shared" si="531"/>
        <v>1162.3844310257027</v>
      </c>
      <c r="M756">
        <f t="shared" si="531"/>
        <v>1178.7666418554772</v>
      </c>
      <c r="N756">
        <f t="shared" si="531"/>
        <v>1128.5881599392405</v>
      </c>
      <c r="O756">
        <f t="shared" si="531"/>
        <v>499.29761937530623</v>
      </c>
      <c r="P756">
        <f t="shared" si="531"/>
        <v>1183.7731101625748</v>
      </c>
      <c r="Q756">
        <f t="shared" si="531"/>
        <v>632.37859261067513</v>
      </c>
      <c r="R756">
        <f t="shared" si="531"/>
        <v>1070.9289652097057</v>
      </c>
      <c r="S756">
        <f t="shared" si="531"/>
        <v>1568.6198180718568</v>
      </c>
      <c r="T756">
        <f t="shared" si="531"/>
        <v>850.2951335839324</v>
      </c>
      <c r="U756">
        <f t="shared" si="531"/>
        <v>1127.5451413904282</v>
      </c>
      <c r="V756">
        <f t="shared" si="531"/>
        <v>1391.6833789357431</v>
      </c>
      <c r="W756">
        <f t="shared" si="531"/>
        <v>1766.0748361529929</v>
      </c>
      <c r="Y756" s="8">
        <f t="shared" si="524"/>
        <v>32027.628471690001</v>
      </c>
      <c r="Z756">
        <f t="shared" si="525"/>
        <v>-1830.5138309342401</v>
      </c>
    </row>
    <row r="757" spans="1:26" x14ac:dyDescent="0.25">
      <c r="A757" t="s">
        <v>50</v>
      </c>
      <c r="D757">
        <f t="shared" ref="D757:W757" si="532">D111*D145</f>
        <v>3773.6007838733472</v>
      </c>
      <c r="E757">
        <f t="shared" si="532"/>
        <v>1791.4684890672818</v>
      </c>
      <c r="F757">
        <f t="shared" si="532"/>
        <v>1897.5758746319684</v>
      </c>
      <c r="G757">
        <f t="shared" si="532"/>
        <v>1358.0943176685162</v>
      </c>
      <c r="H757">
        <f t="shared" si="532"/>
        <v>973.06934933676871</v>
      </c>
      <c r="I757">
        <f t="shared" si="532"/>
        <v>1699.4116249320193</v>
      </c>
      <c r="J757">
        <f t="shared" si="532"/>
        <v>1386.9326713727878</v>
      </c>
      <c r="K757">
        <f t="shared" si="532"/>
        <v>1586.0368892599927</v>
      </c>
      <c r="L757">
        <f t="shared" si="532"/>
        <v>2119.8226830238937</v>
      </c>
      <c r="M757">
        <f t="shared" si="532"/>
        <v>1481.0736177136562</v>
      </c>
      <c r="N757">
        <f t="shared" si="532"/>
        <v>1214.9912005843985</v>
      </c>
      <c r="O757">
        <f t="shared" si="532"/>
        <v>1959.0395976869243</v>
      </c>
      <c r="P757">
        <f t="shared" si="532"/>
        <v>1502.9726049569188</v>
      </c>
      <c r="Q757">
        <f t="shared" si="532"/>
        <v>2040.6902103405812</v>
      </c>
      <c r="R757">
        <f t="shared" si="532"/>
        <v>2392.0197029066371</v>
      </c>
      <c r="S757">
        <f t="shared" si="532"/>
        <v>2048.0768469267564</v>
      </c>
      <c r="T757">
        <f t="shared" si="532"/>
        <v>1799.4752987010343</v>
      </c>
      <c r="U757">
        <f t="shared" si="532"/>
        <v>2108.5855684646526</v>
      </c>
      <c r="V757">
        <f t="shared" si="532"/>
        <v>2061.9861040794308</v>
      </c>
      <c r="W757">
        <f t="shared" si="532"/>
        <v>2517.8007138413591</v>
      </c>
      <c r="Y757" s="8">
        <f t="shared" si="524"/>
        <v>37712.724149368922</v>
      </c>
      <c r="Z757">
        <f t="shared" si="525"/>
        <v>-934.47522513187573</v>
      </c>
    </row>
    <row r="758" spans="1:26" x14ac:dyDescent="0.25">
      <c r="A758" t="s">
        <v>51</v>
      </c>
      <c r="D758">
        <f t="shared" ref="D758:W758" si="533">D112*D146</f>
        <v>2887.1044918397024</v>
      </c>
      <c r="E758">
        <f t="shared" si="533"/>
        <v>1420.6789526656635</v>
      </c>
      <c r="F758">
        <f t="shared" si="533"/>
        <v>1435.1529621919763</v>
      </c>
      <c r="G758">
        <f t="shared" si="533"/>
        <v>1535.1017993941116</v>
      </c>
      <c r="H758">
        <f t="shared" si="533"/>
        <v>1369.4990112318294</v>
      </c>
      <c r="I758">
        <f t="shared" si="533"/>
        <v>1250.1759955223101</v>
      </c>
      <c r="J758">
        <f t="shared" si="533"/>
        <v>1371.6387010705062</v>
      </c>
      <c r="K758">
        <f t="shared" si="533"/>
        <v>1615.341037539948</v>
      </c>
      <c r="L758">
        <f t="shared" si="533"/>
        <v>1245.8668037330478</v>
      </c>
      <c r="M758">
        <f t="shared" si="533"/>
        <v>1980.0543257808515</v>
      </c>
      <c r="N758">
        <f t="shared" si="533"/>
        <v>1141.9422415913502</v>
      </c>
      <c r="O758">
        <f t="shared" si="533"/>
        <v>1447.661005461109</v>
      </c>
      <c r="P758">
        <f t="shared" si="533"/>
        <v>1532.953680966692</v>
      </c>
      <c r="Q758">
        <f t="shared" si="533"/>
        <v>3034.375060300536</v>
      </c>
      <c r="R758">
        <f t="shared" si="533"/>
        <v>1653.0128575698229</v>
      </c>
      <c r="S758">
        <f t="shared" si="533"/>
        <v>1855.6896145739274</v>
      </c>
      <c r="T758">
        <f t="shared" si="533"/>
        <v>1872.1431120674079</v>
      </c>
      <c r="U758">
        <f t="shared" si="533"/>
        <v>1899.0680796703232</v>
      </c>
      <c r="V758">
        <f t="shared" si="533"/>
        <v>2860.8803777923804</v>
      </c>
      <c r="W758">
        <f t="shared" si="533"/>
        <v>2802.5716112059072</v>
      </c>
      <c r="Y758" s="8">
        <f t="shared" si="524"/>
        <v>36210.911722169403</v>
      </c>
      <c r="Z758">
        <f t="shared" si="525"/>
        <v>-920.17138109748316</v>
      </c>
    </row>
    <row r="759" spans="1:26" x14ac:dyDescent="0.25">
      <c r="A759" t="s">
        <v>52</v>
      </c>
      <c r="D759">
        <f t="shared" ref="D759:W759" si="534">D113*D147</f>
        <v>2839.8051489410723</v>
      </c>
      <c r="E759">
        <f t="shared" si="534"/>
        <v>2428.5875662823464</v>
      </c>
      <c r="F759">
        <f t="shared" si="534"/>
        <v>3092.4452853911457</v>
      </c>
      <c r="G759">
        <f t="shared" si="534"/>
        <v>2276.4890669705851</v>
      </c>
      <c r="H759">
        <f t="shared" si="534"/>
        <v>1904.3425696864849</v>
      </c>
      <c r="I759">
        <f t="shared" si="534"/>
        <v>1342.5269768792718</v>
      </c>
      <c r="J759">
        <f t="shared" si="534"/>
        <v>1139.1357405151275</v>
      </c>
      <c r="K759">
        <f t="shared" si="534"/>
        <v>1870.8885207890012</v>
      </c>
      <c r="L759">
        <f t="shared" si="534"/>
        <v>1691.1426242465639</v>
      </c>
      <c r="M759">
        <f t="shared" si="534"/>
        <v>1440.0044982443105</v>
      </c>
      <c r="N759">
        <f t="shared" si="534"/>
        <v>1479.3213460626953</v>
      </c>
      <c r="O759">
        <f t="shared" si="534"/>
        <v>866.0212543280328</v>
      </c>
      <c r="P759">
        <f t="shared" si="534"/>
        <v>805.12577228348687</v>
      </c>
      <c r="Q759">
        <f t="shared" si="534"/>
        <v>1518.3168999613627</v>
      </c>
      <c r="R759">
        <f t="shared" si="534"/>
        <v>1065.9529558868071</v>
      </c>
      <c r="S759">
        <f t="shared" si="534"/>
        <v>1710.5017694110277</v>
      </c>
      <c r="T759">
        <f t="shared" si="534"/>
        <v>1304.7368493308581</v>
      </c>
      <c r="U759">
        <f t="shared" si="534"/>
        <v>1809.0821681064697</v>
      </c>
      <c r="V759">
        <f t="shared" si="534"/>
        <v>1778.0047216391281</v>
      </c>
      <c r="W759">
        <f t="shared" si="534"/>
        <v>2293.5372345972883</v>
      </c>
      <c r="Y759" s="8">
        <f t="shared" si="524"/>
        <v>34655.968969553061</v>
      </c>
      <c r="Z759">
        <f t="shared" si="525"/>
        <v>-1675.8472877431454</v>
      </c>
    </row>
    <row r="760" spans="1:26" x14ac:dyDescent="0.25">
      <c r="A760" t="s">
        <v>53</v>
      </c>
      <c r="D760">
        <f t="shared" ref="D760:W760" si="535">D114*D148</f>
        <v>2855.5935025523659</v>
      </c>
      <c r="E760">
        <f t="shared" si="535"/>
        <v>2760.2886632787204</v>
      </c>
      <c r="F760">
        <f t="shared" si="535"/>
        <v>2740.0444094707946</v>
      </c>
      <c r="G760">
        <f t="shared" si="535"/>
        <v>1806.02773953305</v>
      </c>
      <c r="H760">
        <f t="shared" si="535"/>
        <v>2465.8468281537212</v>
      </c>
      <c r="I760">
        <f t="shared" si="535"/>
        <v>1692.7893228178646</v>
      </c>
      <c r="J760">
        <f t="shared" si="535"/>
        <v>1461.2113033817157</v>
      </c>
      <c r="K760">
        <f t="shared" si="535"/>
        <v>1632.9716380336356</v>
      </c>
      <c r="L760">
        <f t="shared" si="535"/>
        <v>1582.7811844637069</v>
      </c>
      <c r="M760">
        <f t="shared" si="535"/>
        <v>1828.7997459825522</v>
      </c>
      <c r="N760">
        <f t="shared" si="535"/>
        <v>1848.1131765492339</v>
      </c>
      <c r="O760">
        <f t="shared" si="535"/>
        <v>1287.2376473652575</v>
      </c>
      <c r="P760">
        <f t="shared" si="535"/>
        <v>1419.9994869407599</v>
      </c>
      <c r="Q760">
        <f t="shared" si="535"/>
        <v>1906.6266353193507</v>
      </c>
      <c r="R760">
        <f t="shared" si="535"/>
        <v>1676.0877063266028</v>
      </c>
      <c r="S760">
        <f t="shared" si="535"/>
        <v>1740.2440405156501</v>
      </c>
      <c r="T760">
        <f t="shared" si="535"/>
        <v>2336.1539665224154</v>
      </c>
      <c r="U760">
        <f t="shared" si="535"/>
        <v>1832.0820361064636</v>
      </c>
      <c r="V760">
        <f t="shared" si="535"/>
        <v>2143.7458175500819</v>
      </c>
      <c r="W760">
        <f t="shared" si="535"/>
        <v>1989.4323900994877</v>
      </c>
      <c r="Y760" s="8">
        <f t="shared" si="524"/>
        <v>39006.077240963423</v>
      </c>
      <c r="Z760">
        <f t="shared" si="525"/>
        <v>-1173.0544786980508</v>
      </c>
    </row>
    <row r="761" spans="1:26" x14ac:dyDescent="0.25">
      <c r="A761" t="s">
        <v>54</v>
      </c>
      <c r="D761">
        <f t="shared" ref="D761:W761" si="536">D115*D149</f>
        <v>5090.5340344671949</v>
      </c>
      <c r="E761">
        <f t="shared" si="536"/>
        <v>1734.4685350883678</v>
      </c>
      <c r="F761">
        <f t="shared" si="536"/>
        <v>1769.2700851171469</v>
      </c>
      <c r="G761">
        <f t="shared" si="536"/>
        <v>2647.2739819162334</v>
      </c>
      <c r="H761">
        <f t="shared" si="536"/>
        <v>1378.6340358967607</v>
      </c>
      <c r="I761">
        <f t="shared" si="536"/>
        <v>2176.9545789680619</v>
      </c>
      <c r="J761">
        <f t="shared" si="536"/>
        <v>1625.2435804760446</v>
      </c>
      <c r="K761">
        <f t="shared" si="536"/>
        <v>1192.2992331812716</v>
      </c>
      <c r="L761">
        <f t="shared" si="536"/>
        <v>692.5325735937962</v>
      </c>
      <c r="M761">
        <f t="shared" si="536"/>
        <v>2860.6497069106108</v>
      </c>
      <c r="N761">
        <f t="shared" si="536"/>
        <v>832.22965934645049</v>
      </c>
      <c r="O761">
        <f t="shared" si="536"/>
        <v>984.47641763874208</v>
      </c>
      <c r="P761">
        <f t="shared" si="536"/>
        <v>2869.3491469963251</v>
      </c>
      <c r="Q761">
        <f t="shared" si="536"/>
        <v>1465.768015345245</v>
      </c>
      <c r="R761">
        <f t="shared" si="536"/>
        <v>1811.9591314941476</v>
      </c>
      <c r="S761">
        <f t="shared" si="536"/>
        <v>2598.8491613736282</v>
      </c>
      <c r="T761">
        <f t="shared" si="536"/>
        <v>3069.2515164837641</v>
      </c>
      <c r="U761">
        <f t="shared" si="536"/>
        <v>2148.6921867067426</v>
      </c>
      <c r="V761">
        <f t="shared" si="536"/>
        <v>1958.4633197691444</v>
      </c>
      <c r="W761">
        <f t="shared" si="536"/>
        <v>1298.2283373444084</v>
      </c>
      <c r="Y761" s="8">
        <f t="shared" si="524"/>
        <v>40205.127238114088</v>
      </c>
      <c r="Z761">
        <f t="shared" si="525"/>
        <v>-728.45060862961145</v>
      </c>
    </row>
    <row r="762" spans="1:26" x14ac:dyDescent="0.25">
      <c r="A762" t="s">
        <v>55</v>
      </c>
      <c r="D762">
        <f t="shared" ref="D762:W762" si="537">D116*D150</f>
        <v>3257.8604312357925</v>
      </c>
      <c r="E762">
        <f t="shared" si="537"/>
        <v>3377.1052155634256</v>
      </c>
      <c r="F762">
        <f t="shared" si="537"/>
        <v>2179.7274279897583</v>
      </c>
      <c r="G762">
        <f t="shared" si="537"/>
        <v>2355.2514007315267</v>
      </c>
      <c r="H762">
        <f t="shared" si="537"/>
        <v>1347.8668376524543</v>
      </c>
      <c r="I762">
        <f t="shared" si="537"/>
        <v>1652.8776855919107</v>
      </c>
      <c r="J762">
        <f t="shared" si="537"/>
        <v>1583.3878398139536</v>
      </c>
      <c r="K762">
        <f t="shared" si="537"/>
        <v>1757.4003833401139</v>
      </c>
      <c r="L762">
        <f t="shared" si="537"/>
        <v>1907.2735297114955</v>
      </c>
      <c r="M762">
        <f t="shared" si="537"/>
        <v>2056.2057640632333</v>
      </c>
      <c r="N762">
        <f t="shared" si="537"/>
        <v>2288.7751372987145</v>
      </c>
      <c r="O762">
        <f t="shared" si="537"/>
        <v>1891.6134396236412</v>
      </c>
      <c r="P762">
        <f t="shared" si="537"/>
        <v>2487.7983620810683</v>
      </c>
      <c r="Q762">
        <f t="shared" si="537"/>
        <v>3038.9846850375602</v>
      </c>
      <c r="R762">
        <f t="shared" si="537"/>
        <v>2513.8594727024301</v>
      </c>
      <c r="S762">
        <f t="shared" si="537"/>
        <v>2535.5400802360682</v>
      </c>
      <c r="T762">
        <f t="shared" si="537"/>
        <v>604.71260203853876</v>
      </c>
      <c r="U762">
        <f t="shared" si="537"/>
        <v>2475.2254853596537</v>
      </c>
      <c r="V762">
        <f t="shared" si="537"/>
        <v>2848.8575147349675</v>
      </c>
      <c r="W762">
        <f t="shared" si="537"/>
        <v>3491.5827899233063</v>
      </c>
      <c r="Y762" s="8">
        <f t="shared" si="524"/>
        <v>45651.90608472962</v>
      </c>
      <c r="Z762">
        <f t="shared" si="525"/>
        <v>-2120.5607903141477</v>
      </c>
    </row>
    <row r="763" spans="1:26" x14ac:dyDescent="0.25">
      <c r="A763" t="s">
        <v>56</v>
      </c>
      <c r="D763">
        <f t="shared" ref="D763:W763" si="538">D117*D151</f>
        <v>2038.7818906889524</v>
      </c>
      <c r="E763">
        <f t="shared" si="538"/>
        <v>2789.8902960573623</v>
      </c>
      <c r="F763">
        <f t="shared" si="538"/>
        <v>2236.3740491217372</v>
      </c>
      <c r="G763">
        <f t="shared" si="538"/>
        <v>2788.3004584523128</v>
      </c>
      <c r="H763">
        <f t="shared" si="538"/>
        <v>3498.6007708045945</v>
      </c>
      <c r="I763">
        <f t="shared" si="538"/>
        <v>2133.45307266088</v>
      </c>
      <c r="J763">
        <f t="shared" si="538"/>
        <v>2558.0835530861696</v>
      </c>
      <c r="K763">
        <f t="shared" si="538"/>
        <v>2925.0265800777347</v>
      </c>
      <c r="L763">
        <f t="shared" si="538"/>
        <v>2372.4206327288566</v>
      </c>
      <c r="M763">
        <f t="shared" si="538"/>
        <v>1948.9550905798199</v>
      </c>
      <c r="N763">
        <f t="shared" si="538"/>
        <v>3813.1476664327047</v>
      </c>
      <c r="O763">
        <f t="shared" si="538"/>
        <v>2546.7554345606654</v>
      </c>
      <c r="P763">
        <f t="shared" si="538"/>
        <v>1821.9100216534969</v>
      </c>
      <c r="Q763">
        <f t="shared" si="538"/>
        <v>1686.4760748587876</v>
      </c>
      <c r="R763">
        <f t="shared" si="538"/>
        <v>2297.3908338998458</v>
      </c>
      <c r="S763">
        <f t="shared" si="538"/>
        <v>2730.4729231294709</v>
      </c>
      <c r="T763">
        <f t="shared" si="538"/>
        <v>2655.0750648718576</v>
      </c>
      <c r="U763">
        <f t="shared" si="538"/>
        <v>2633.3966032794583</v>
      </c>
      <c r="V763">
        <f t="shared" si="538"/>
        <v>3043.6432964716496</v>
      </c>
      <c r="W763">
        <f t="shared" si="538"/>
        <v>2656.6759595347912</v>
      </c>
      <c r="Y763" s="8">
        <f t="shared" si="524"/>
        <v>51174.830272951149</v>
      </c>
      <c r="Z763">
        <f t="shared" si="525"/>
        <v>-1117.5820032674574</v>
      </c>
    </row>
    <row r="764" spans="1:26" x14ac:dyDescent="0.25">
      <c r="A764" t="s">
        <v>57</v>
      </c>
      <c r="D764">
        <f t="shared" ref="D764:W764" si="539">D118*D152</f>
        <v>2370.2465415596248</v>
      </c>
      <c r="E764">
        <f t="shared" si="539"/>
        <v>1494.4682103254295</v>
      </c>
      <c r="F764">
        <f t="shared" si="539"/>
        <v>1482.8623570145342</v>
      </c>
      <c r="G764">
        <f t="shared" si="539"/>
        <v>1764.5301587474064</v>
      </c>
      <c r="H764">
        <f t="shared" si="539"/>
        <v>1467.6476495621594</v>
      </c>
      <c r="I764">
        <f t="shared" si="539"/>
        <v>1001.66154503879</v>
      </c>
      <c r="J764">
        <f t="shared" si="539"/>
        <v>1909.2278873851801</v>
      </c>
      <c r="K764">
        <f t="shared" si="539"/>
        <v>1362.6219593293431</v>
      </c>
      <c r="L764">
        <f t="shared" si="539"/>
        <v>1565.1640829522103</v>
      </c>
      <c r="M764">
        <f t="shared" si="539"/>
        <v>2010.2021771369107</v>
      </c>
      <c r="N764">
        <f t="shared" si="539"/>
        <v>2408.1536825111721</v>
      </c>
      <c r="O764">
        <f t="shared" si="539"/>
        <v>2310.8602516530914</v>
      </c>
      <c r="P764">
        <f t="shared" si="539"/>
        <v>647.16327434725724</v>
      </c>
      <c r="Q764">
        <f t="shared" si="539"/>
        <v>706.13611060127926</v>
      </c>
      <c r="R764">
        <f t="shared" si="539"/>
        <v>905.5905153613852</v>
      </c>
      <c r="S764">
        <f t="shared" si="539"/>
        <v>837.77110283825368</v>
      </c>
      <c r="T764">
        <f t="shared" si="539"/>
        <v>1420.5170610305627</v>
      </c>
      <c r="U764">
        <f t="shared" si="539"/>
        <v>1054.4333505865955</v>
      </c>
      <c r="V764">
        <f t="shared" si="539"/>
        <v>794.031829204372</v>
      </c>
      <c r="W764">
        <f t="shared" si="539"/>
        <v>1688.2509807669501</v>
      </c>
      <c r="Y764" s="8">
        <f t="shared" si="524"/>
        <v>29201.540727952506</v>
      </c>
      <c r="Z764">
        <f t="shared" si="525"/>
        <v>-796.30605468178021</v>
      </c>
    </row>
    <row r="765" spans="1:26" x14ac:dyDescent="0.25">
      <c r="A765" t="s">
        <v>58</v>
      </c>
      <c r="D765">
        <f t="shared" ref="D765:W765" si="540">D119*D153</f>
        <v>2696.9422215251457</v>
      </c>
      <c r="E765">
        <f t="shared" si="540"/>
        <v>2107.2998519175967</v>
      </c>
      <c r="F765">
        <f t="shared" si="540"/>
        <v>1675.4294394676856</v>
      </c>
      <c r="G765">
        <f t="shared" si="540"/>
        <v>1381.7255313445435</v>
      </c>
      <c r="H765">
        <f t="shared" si="540"/>
        <v>1408.1461802638225</v>
      </c>
      <c r="I765">
        <f t="shared" si="540"/>
        <v>2030.0451340002464</v>
      </c>
      <c r="J765">
        <f t="shared" si="540"/>
        <v>1597.7890703071184</v>
      </c>
      <c r="K765">
        <f t="shared" si="540"/>
        <v>1940.0263587647303</v>
      </c>
      <c r="L765">
        <f t="shared" si="540"/>
        <v>1616.5199563921949</v>
      </c>
      <c r="M765">
        <f t="shared" si="540"/>
        <v>1544.2920175490763</v>
      </c>
      <c r="N765">
        <f t="shared" si="540"/>
        <v>1229.9542733767776</v>
      </c>
      <c r="O765">
        <f t="shared" si="540"/>
        <v>1188.4304591486396</v>
      </c>
      <c r="P765">
        <f t="shared" si="540"/>
        <v>966.57758570875103</v>
      </c>
      <c r="Q765">
        <f t="shared" si="540"/>
        <v>1963.8340513281814</v>
      </c>
      <c r="R765">
        <f t="shared" si="540"/>
        <v>1826.6122255700966</v>
      </c>
      <c r="S765">
        <f t="shared" si="540"/>
        <v>2311.7449121532823</v>
      </c>
      <c r="T765">
        <f t="shared" si="540"/>
        <v>2710.8736044380971</v>
      </c>
      <c r="U765">
        <f t="shared" si="540"/>
        <v>2244.160054000376</v>
      </c>
      <c r="V765">
        <f t="shared" si="540"/>
        <v>906.05821565461565</v>
      </c>
      <c r="W765">
        <f t="shared" si="540"/>
        <v>2349.2696475913363</v>
      </c>
      <c r="Y765" s="8">
        <f t="shared" si="524"/>
        <v>35695.730790502304</v>
      </c>
      <c r="Z765">
        <f t="shared" si="525"/>
        <v>-329.32982093380554</v>
      </c>
    </row>
    <row r="766" spans="1:26" x14ac:dyDescent="0.25">
      <c r="A766" t="s">
        <v>59</v>
      </c>
      <c r="D766">
        <f t="shared" ref="D766:W766" si="541">D120*D154</f>
        <v>2375.0814678817901</v>
      </c>
      <c r="E766">
        <f t="shared" si="541"/>
        <v>2801.8217128738056</v>
      </c>
      <c r="F766">
        <f t="shared" si="541"/>
        <v>2160.6146381050999</v>
      </c>
      <c r="G766">
        <f t="shared" si="541"/>
        <v>2150.3346683640884</v>
      </c>
      <c r="H766">
        <f t="shared" si="541"/>
        <v>1995.518434048651</v>
      </c>
      <c r="I766">
        <f t="shared" si="541"/>
        <v>2193.9310892350541</v>
      </c>
      <c r="J766">
        <f t="shared" si="541"/>
        <v>1936.8311617612662</v>
      </c>
      <c r="K766">
        <f t="shared" si="541"/>
        <v>2022.6283419641268</v>
      </c>
      <c r="L766">
        <f t="shared" si="541"/>
        <v>2245.7699963851287</v>
      </c>
      <c r="M766">
        <f t="shared" si="541"/>
        <v>1811.92405210995</v>
      </c>
      <c r="N766">
        <f t="shared" si="541"/>
        <v>1877.3849500439474</v>
      </c>
      <c r="O766">
        <f t="shared" si="541"/>
        <v>2037.3378881348631</v>
      </c>
      <c r="P766">
        <f t="shared" si="541"/>
        <v>2015.7756526409121</v>
      </c>
      <c r="Q766">
        <f t="shared" si="541"/>
        <v>1958.7294750944484</v>
      </c>
      <c r="R766">
        <f t="shared" si="541"/>
        <v>2117.3002909870138</v>
      </c>
      <c r="S766">
        <f t="shared" si="541"/>
        <v>2201.8676510490236</v>
      </c>
      <c r="T766">
        <f t="shared" si="541"/>
        <v>2047.6017797075058</v>
      </c>
      <c r="U766">
        <f t="shared" si="541"/>
        <v>1824.9384597060405</v>
      </c>
      <c r="V766">
        <f t="shared" si="541"/>
        <v>1992.8562292159106</v>
      </c>
      <c r="W766">
        <f t="shared" si="541"/>
        <v>1950.5105909817144</v>
      </c>
      <c r="Y766" s="8">
        <f t="shared" si="524"/>
        <v>41718.758530290339</v>
      </c>
      <c r="Z766">
        <f t="shared" si="525"/>
        <v>-652.58347375890639</v>
      </c>
    </row>
    <row r="767" spans="1:26" x14ac:dyDescent="0.25">
      <c r="A767" t="s">
        <v>60</v>
      </c>
      <c r="D767">
        <f t="shared" ref="D767:W767" si="542">D121*D155</f>
        <v>2089.872727971363</v>
      </c>
      <c r="E767">
        <f t="shared" si="542"/>
        <v>2545.830127203049</v>
      </c>
      <c r="F767">
        <f t="shared" si="542"/>
        <v>2076.0817757020282</v>
      </c>
      <c r="G767">
        <f t="shared" si="542"/>
        <v>2047.9573445984495</v>
      </c>
      <c r="H767">
        <f t="shared" si="542"/>
        <v>2010.0361140844541</v>
      </c>
      <c r="I767">
        <f t="shared" si="542"/>
        <v>2169.8043510636203</v>
      </c>
      <c r="J767">
        <f t="shared" si="542"/>
        <v>1949.2881938376831</v>
      </c>
      <c r="K767">
        <f t="shared" si="542"/>
        <v>1896.1641746693506</v>
      </c>
      <c r="L767">
        <f t="shared" si="542"/>
        <v>2056.034860569549</v>
      </c>
      <c r="M767">
        <f t="shared" si="542"/>
        <v>2164.1192297762523</v>
      </c>
      <c r="N767">
        <f t="shared" si="542"/>
        <v>1775.1193119231564</v>
      </c>
      <c r="O767">
        <f t="shared" si="542"/>
        <v>2212.7087708354752</v>
      </c>
      <c r="P767">
        <f t="shared" si="542"/>
        <v>2334.2660644434191</v>
      </c>
      <c r="Q767">
        <f t="shared" si="542"/>
        <v>2930.1119564156897</v>
      </c>
      <c r="R767">
        <f t="shared" si="542"/>
        <v>3970.9365779981458</v>
      </c>
      <c r="S767">
        <f t="shared" si="542"/>
        <v>3342.5699984763201</v>
      </c>
      <c r="T767">
        <f t="shared" si="542"/>
        <v>2683.9298793511834</v>
      </c>
      <c r="U767">
        <f t="shared" si="542"/>
        <v>2148.2084209740951</v>
      </c>
      <c r="V767">
        <f t="shared" si="542"/>
        <v>1993.6119495939138</v>
      </c>
      <c r="W767">
        <f t="shared" si="542"/>
        <v>1988.2009229888574</v>
      </c>
      <c r="Y767" s="8">
        <f t="shared" si="524"/>
        <v>46384.85275247605</v>
      </c>
      <c r="Z767">
        <f t="shared" si="525"/>
        <v>-113.81540295935696</v>
      </c>
    </row>
    <row r="768" spans="1:26" x14ac:dyDescent="0.25">
      <c r="A768" t="s">
        <v>61</v>
      </c>
      <c r="D768">
        <f t="shared" ref="D768:W768" si="543">D122*D156</f>
        <v>3299.5085868081355</v>
      </c>
      <c r="E768">
        <f t="shared" si="543"/>
        <v>3206.4721135955506</v>
      </c>
      <c r="F768">
        <f t="shared" si="543"/>
        <v>2162.8603460280137</v>
      </c>
      <c r="G768">
        <f t="shared" si="543"/>
        <v>2335.9932973060786</v>
      </c>
      <c r="H768">
        <f t="shared" si="543"/>
        <v>1660.2132275040451</v>
      </c>
      <c r="I768">
        <f t="shared" si="543"/>
        <v>2261.4600824982454</v>
      </c>
      <c r="J768">
        <f t="shared" si="543"/>
        <v>1831.7692972361931</v>
      </c>
      <c r="K768">
        <f t="shared" si="543"/>
        <v>2750.1681324085794</v>
      </c>
      <c r="L768">
        <f t="shared" si="543"/>
        <v>3065.4750025683961</v>
      </c>
      <c r="M768">
        <f t="shared" si="543"/>
        <v>2143.2552011739344</v>
      </c>
      <c r="N768">
        <f t="shared" si="543"/>
        <v>1579.686293059101</v>
      </c>
      <c r="O768">
        <f t="shared" si="543"/>
        <v>2278.303783019785</v>
      </c>
      <c r="P768">
        <f t="shared" si="543"/>
        <v>2387.5927774210072</v>
      </c>
      <c r="Q768">
        <f t="shared" si="543"/>
        <v>2943.3157495722112</v>
      </c>
      <c r="R768">
        <f t="shared" si="543"/>
        <v>3054.7896054306216</v>
      </c>
      <c r="S768">
        <f t="shared" si="543"/>
        <v>3945.2810555434962</v>
      </c>
      <c r="T768">
        <f t="shared" si="543"/>
        <v>2640.8869504714671</v>
      </c>
      <c r="U768">
        <f t="shared" si="543"/>
        <v>1369.3312161670599</v>
      </c>
      <c r="V768">
        <f t="shared" si="543"/>
        <v>2048.9106501451643</v>
      </c>
      <c r="W768">
        <f t="shared" si="543"/>
        <v>2126.384246564779</v>
      </c>
      <c r="Y768" s="8">
        <f t="shared" si="524"/>
        <v>49091.657614521871</v>
      </c>
      <c r="Z768">
        <f t="shared" si="525"/>
        <v>-109.38713931014576</v>
      </c>
    </row>
    <row r="769" spans="1:26" x14ac:dyDescent="0.25">
      <c r="A769" t="s">
        <v>62</v>
      </c>
      <c r="D769">
        <f t="shared" ref="D769:W769" si="544">D123*D157</f>
        <v>1972.0935382465066</v>
      </c>
      <c r="E769">
        <f t="shared" si="544"/>
        <v>1830.5721034366215</v>
      </c>
      <c r="F769">
        <f t="shared" si="544"/>
        <v>1767.8516896026993</v>
      </c>
      <c r="G769">
        <f t="shared" si="544"/>
        <v>1752.1666153934248</v>
      </c>
      <c r="H769">
        <f t="shared" si="544"/>
        <v>1707.0092922495166</v>
      </c>
      <c r="I769">
        <f t="shared" si="544"/>
        <v>1915.940807288868</v>
      </c>
      <c r="J769">
        <f t="shared" si="544"/>
        <v>1956.8731589198519</v>
      </c>
      <c r="K769">
        <f t="shared" si="544"/>
        <v>1841.1917840902179</v>
      </c>
      <c r="L769">
        <f t="shared" si="544"/>
        <v>1997.2088565241547</v>
      </c>
      <c r="M769">
        <f t="shared" si="544"/>
        <v>1868.2790279909498</v>
      </c>
      <c r="N769">
        <f t="shared" si="544"/>
        <v>2002.9060995099651</v>
      </c>
      <c r="O769">
        <f t="shared" si="544"/>
        <v>1967.322024822889</v>
      </c>
      <c r="P769">
        <f t="shared" si="544"/>
        <v>2009.7812977872863</v>
      </c>
      <c r="Q769">
        <f t="shared" si="544"/>
        <v>2051.3781179908756</v>
      </c>
      <c r="R769">
        <f t="shared" si="544"/>
        <v>2138.0811481089081</v>
      </c>
      <c r="S769">
        <f t="shared" si="544"/>
        <v>2045.4308771359015</v>
      </c>
      <c r="T769">
        <f t="shared" si="544"/>
        <v>1892.3102183499684</v>
      </c>
      <c r="U769">
        <f t="shared" si="544"/>
        <v>2039.9219043238088</v>
      </c>
      <c r="V769">
        <f t="shared" si="544"/>
        <v>2111.4128057053053</v>
      </c>
      <c r="W769">
        <f t="shared" si="544"/>
        <v>2033.1184844620823</v>
      </c>
      <c r="Y769" s="8">
        <f t="shared" si="524"/>
        <v>38900.849851939798</v>
      </c>
      <c r="Z769">
        <f t="shared" si="525"/>
        <v>-467.22992309983294</v>
      </c>
    </row>
    <row r="770" spans="1:26" x14ac:dyDescent="0.25">
      <c r="A770" t="s">
        <v>63</v>
      </c>
      <c r="D770">
        <f t="shared" ref="D770:W770" si="545">D124*D158</f>
        <v>2022.791493141639</v>
      </c>
      <c r="E770">
        <f t="shared" si="545"/>
        <v>1804.5008386075801</v>
      </c>
      <c r="F770">
        <f t="shared" si="545"/>
        <v>2074.5311851954261</v>
      </c>
      <c r="G770">
        <f t="shared" si="545"/>
        <v>2004.0495308162583</v>
      </c>
      <c r="H770">
        <f t="shared" si="545"/>
        <v>2020.2311456618818</v>
      </c>
      <c r="I770">
        <f t="shared" si="545"/>
        <v>2109.3836534590309</v>
      </c>
      <c r="J770">
        <f t="shared" si="545"/>
        <v>1970.1378673987026</v>
      </c>
      <c r="K770">
        <f t="shared" si="545"/>
        <v>2008.9572224834242</v>
      </c>
      <c r="L770">
        <f t="shared" si="545"/>
        <v>2537.0827619867182</v>
      </c>
      <c r="M770">
        <f t="shared" si="545"/>
        <v>1395.6035142728795</v>
      </c>
      <c r="N770">
        <f t="shared" si="545"/>
        <v>1781.9452224661541</v>
      </c>
      <c r="O770">
        <f t="shared" si="545"/>
        <v>1987.2349003490715</v>
      </c>
      <c r="P770">
        <f t="shared" si="545"/>
        <v>2105.2474721705807</v>
      </c>
      <c r="Q770">
        <f t="shared" si="545"/>
        <v>1788.690335493151</v>
      </c>
      <c r="R770">
        <f t="shared" si="545"/>
        <v>1808.6259765706068</v>
      </c>
      <c r="S770">
        <f t="shared" si="545"/>
        <v>2004.3718258057866</v>
      </c>
      <c r="T770">
        <f t="shared" si="545"/>
        <v>1958.5031207266702</v>
      </c>
      <c r="U770">
        <f t="shared" si="545"/>
        <v>1977.3344698400817</v>
      </c>
      <c r="V770">
        <f t="shared" si="545"/>
        <v>1648.441127919466</v>
      </c>
      <c r="W770">
        <f t="shared" si="545"/>
        <v>1634.8097975795301</v>
      </c>
      <c r="Y770" s="8">
        <f t="shared" si="524"/>
        <v>38642.473461944646</v>
      </c>
      <c r="Z770">
        <f t="shared" si="525"/>
        <v>-226.89431743149987</v>
      </c>
    </row>
    <row r="771" spans="1:26" x14ac:dyDescent="0.25">
      <c r="A771" t="s">
        <v>64</v>
      </c>
      <c r="D771">
        <f t="shared" ref="D771:W771" si="546">D125*D159</f>
        <v>2028.1654464816045</v>
      </c>
      <c r="E771">
        <f t="shared" si="546"/>
        <v>2815.4883563727285</v>
      </c>
      <c r="F771">
        <f t="shared" si="546"/>
        <v>1616.7792314233443</v>
      </c>
      <c r="G771">
        <f t="shared" si="546"/>
        <v>2147.416375547275</v>
      </c>
      <c r="H771">
        <f t="shared" si="546"/>
        <v>1822.4152131435926</v>
      </c>
      <c r="I771">
        <f t="shared" si="546"/>
        <v>2090.1834744101989</v>
      </c>
      <c r="J771">
        <f t="shared" si="546"/>
        <v>1765.7096752044813</v>
      </c>
      <c r="K771">
        <f t="shared" si="546"/>
        <v>1819.8785930061601</v>
      </c>
      <c r="L771">
        <f t="shared" si="546"/>
        <v>1880.8132124090248</v>
      </c>
      <c r="M771">
        <f t="shared" si="546"/>
        <v>1926.2855734281989</v>
      </c>
      <c r="N771">
        <f t="shared" si="546"/>
        <v>1982.8513205252466</v>
      </c>
      <c r="O771">
        <f t="shared" si="546"/>
        <v>1982.3751682614677</v>
      </c>
      <c r="P771">
        <f t="shared" si="546"/>
        <v>1697.070828111697</v>
      </c>
      <c r="Q771">
        <f t="shared" si="546"/>
        <v>1539.4295503529029</v>
      </c>
      <c r="R771">
        <f t="shared" si="546"/>
        <v>1737.1951945402432</v>
      </c>
      <c r="S771">
        <f t="shared" si="546"/>
        <v>1573.2640689917237</v>
      </c>
      <c r="T771">
        <f t="shared" si="546"/>
        <v>1850.4519029540204</v>
      </c>
      <c r="U771">
        <f t="shared" si="546"/>
        <v>1697.4955331392093</v>
      </c>
      <c r="V771">
        <f t="shared" si="546"/>
        <v>1890.8582787036496</v>
      </c>
      <c r="W771">
        <f t="shared" si="546"/>
        <v>1808.6099412525541</v>
      </c>
      <c r="Y771" s="8">
        <f t="shared" si="524"/>
        <v>37672.736938259324</v>
      </c>
      <c r="Z771">
        <f t="shared" si="525"/>
        <v>-741.90346221527466</v>
      </c>
    </row>
    <row r="772" spans="1:26" x14ac:dyDescent="0.25">
      <c r="A772" t="s">
        <v>65</v>
      </c>
      <c r="D772">
        <f t="shared" ref="D772:W772" si="547">D126*D160</f>
        <v>3253.478106903322</v>
      </c>
      <c r="E772">
        <f t="shared" si="547"/>
        <v>5125.8905413073944</v>
      </c>
      <c r="F772">
        <f t="shared" si="547"/>
        <v>3160.0584256374809</v>
      </c>
      <c r="G772">
        <f t="shared" si="547"/>
        <v>2674.7842118095996</v>
      </c>
      <c r="H772">
        <f t="shared" si="547"/>
        <v>2758.1286997718594</v>
      </c>
      <c r="I772">
        <f t="shared" si="547"/>
        <v>3256.0381902976624</v>
      </c>
      <c r="J772">
        <f t="shared" si="547"/>
        <v>2478.6332242377243</v>
      </c>
      <c r="K772">
        <f t="shared" si="547"/>
        <v>2192.2010328008391</v>
      </c>
      <c r="L772">
        <f t="shared" si="547"/>
        <v>2379.1175584556458</v>
      </c>
      <c r="M772">
        <f t="shared" si="547"/>
        <v>1741.4173238375795</v>
      </c>
      <c r="N772">
        <f t="shared" si="547"/>
        <v>2045.4598056275643</v>
      </c>
      <c r="O772">
        <f t="shared" si="547"/>
        <v>1949.1695993089993</v>
      </c>
      <c r="P772">
        <f t="shared" si="547"/>
        <v>1877.8606967998203</v>
      </c>
      <c r="Q772">
        <f t="shared" si="547"/>
        <v>1577.4757090891483</v>
      </c>
      <c r="R772">
        <f t="shared" si="547"/>
        <v>1956.0330274172059</v>
      </c>
      <c r="S772">
        <f t="shared" si="547"/>
        <v>1753.5797913061999</v>
      </c>
      <c r="T772">
        <f t="shared" si="547"/>
        <v>1874.9884501757997</v>
      </c>
      <c r="U772">
        <f t="shared" si="547"/>
        <v>2072.5411249746107</v>
      </c>
      <c r="V772">
        <f t="shared" si="547"/>
        <v>2279.9304985876715</v>
      </c>
      <c r="W772">
        <f t="shared" si="547"/>
        <v>2101.3598811554471</v>
      </c>
      <c r="Y772" s="8">
        <f t="shared" si="524"/>
        <v>48508.145899501578</v>
      </c>
      <c r="Z772">
        <f t="shared" si="525"/>
        <v>-1797.6298286486792</v>
      </c>
    </row>
    <row r="773" spans="1:26" x14ac:dyDescent="0.25">
      <c r="A773" t="s">
        <v>66</v>
      </c>
      <c r="D773">
        <f t="shared" ref="D773:W773" si="548">D127*D161</f>
        <v>1317.8291581407859</v>
      </c>
      <c r="E773">
        <f t="shared" si="548"/>
        <v>1672.7322992909949</v>
      </c>
      <c r="F773">
        <f t="shared" si="548"/>
        <v>1846.5571595142574</v>
      </c>
      <c r="G773">
        <f t="shared" si="548"/>
        <v>1668.7694406596001</v>
      </c>
      <c r="H773">
        <f t="shared" si="548"/>
        <v>1798.5685922045072</v>
      </c>
      <c r="I773">
        <f t="shared" si="548"/>
        <v>1558.4957427307127</v>
      </c>
      <c r="J773">
        <f t="shared" si="548"/>
        <v>1586.8931762680947</v>
      </c>
      <c r="K773">
        <f t="shared" si="548"/>
        <v>1552.2138977093121</v>
      </c>
      <c r="L773">
        <f t="shared" si="548"/>
        <v>1522.3408334209803</v>
      </c>
      <c r="M773">
        <f t="shared" si="548"/>
        <v>1614.6026506411758</v>
      </c>
      <c r="N773">
        <f t="shared" si="548"/>
        <v>1566.440464164662</v>
      </c>
      <c r="O773">
        <f t="shared" si="548"/>
        <v>1924.5464940208999</v>
      </c>
      <c r="P773">
        <f t="shared" si="548"/>
        <v>1703.3234636343673</v>
      </c>
      <c r="Q773">
        <f t="shared" si="548"/>
        <v>1489.6618217411662</v>
      </c>
      <c r="R773">
        <f t="shared" si="548"/>
        <v>1746.3012533809481</v>
      </c>
      <c r="S773">
        <f t="shared" si="548"/>
        <v>1936.4565912710398</v>
      </c>
      <c r="T773">
        <f t="shared" si="548"/>
        <v>2345.3597079563247</v>
      </c>
      <c r="U773">
        <f t="shared" si="548"/>
        <v>1984.8248693122675</v>
      </c>
      <c r="V773">
        <f t="shared" si="548"/>
        <v>1836.2380081973911</v>
      </c>
      <c r="W773">
        <f t="shared" si="548"/>
        <v>1894.1132192336354</v>
      </c>
      <c r="Y773" s="8">
        <f t="shared" si="524"/>
        <v>34566.268843493119</v>
      </c>
      <c r="Z773">
        <f t="shared" si="525"/>
        <v>-218.59560290452004</v>
      </c>
    </row>
    <row r="774" spans="1:26" x14ac:dyDescent="0.25">
      <c r="A774" t="s">
        <v>67</v>
      </c>
      <c r="D774">
        <f t="shared" ref="D774:W774" si="549">D128*D162</f>
        <v>1389.3816536717309</v>
      </c>
      <c r="E774">
        <f t="shared" si="549"/>
        <v>1778.4542308951238</v>
      </c>
      <c r="F774">
        <f t="shared" si="549"/>
        <v>1785.330800034468</v>
      </c>
      <c r="G774">
        <f t="shared" si="549"/>
        <v>1747.6888472432368</v>
      </c>
      <c r="H774">
        <f t="shared" si="549"/>
        <v>1801.7350993150526</v>
      </c>
      <c r="I774">
        <f t="shared" si="549"/>
        <v>1639.5671374304902</v>
      </c>
      <c r="J774">
        <f t="shared" si="549"/>
        <v>1533.7141237004307</v>
      </c>
      <c r="K774">
        <f t="shared" si="549"/>
        <v>1751.9521100846039</v>
      </c>
      <c r="L774">
        <f t="shared" si="549"/>
        <v>1674.0097146577912</v>
      </c>
      <c r="M774">
        <f t="shared" si="549"/>
        <v>2232.1262623510102</v>
      </c>
      <c r="N774">
        <f t="shared" si="549"/>
        <v>1910.5429299803627</v>
      </c>
      <c r="O774">
        <f t="shared" si="549"/>
        <v>2027.8548491194981</v>
      </c>
      <c r="P774">
        <f t="shared" si="549"/>
        <v>1901.3244933601973</v>
      </c>
      <c r="Q774">
        <f t="shared" si="549"/>
        <v>1741.6800913852967</v>
      </c>
      <c r="R774">
        <f t="shared" si="549"/>
        <v>1571.380910971239</v>
      </c>
      <c r="S774">
        <f t="shared" si="549"/>
        <v>1621.0357666723819</v>
      </c>
      <c r="T774">
        <f t="shared" si="549"/>
        <v>1698.5658690258065</v>
      </c>
      <c r="U774">
        <f t="shared" si="549"/>
        <v>1757.8266091096209</v>
      </c>
      <c r="V774">
        <f t="shared" si="549"/>
        <v>2055.9891104141934</v>
      </c>
      <c r="W774">
        <f t="shared" si="549"/>
        <v>1759.6003994933794</v>
      </c>
      <c r="Y774" s="8">
        <f t="shared" si="524"/>
        <v>35379.761008915906</v>
      </c>
      <c r="Z774">
        <f t="shared" si="525"/>
        <v>-369.01796280636808</v>
      </c>
    </row>
    <row r="775" spans="1:26" x14ac:dyDescent="0.25">
      <c r="Y775" s="8"/>
    </row>
    <row r="776" spans="1:26" x14ac:dyDescent="0.25">
      <c r="A776" t="s">
        <v>68</v>
      </c>
      <c r="D776">
        <f t="shared" ref="D776:W776" si="550">D130*D164</f>
        <v>2736.4178477857918</v>
      </c>
      <c r="E776">
        <f t="shared" si="550"/>
        <v>2205.4524008258022</v>
      </c>
      <c r="F776">
        <f t="shared" si="550"/>
        <v>2164.1498766956147</v>
      </c>
      <c r="G776">
        <f t="shared" si="550"/>
        <v>2195.1773293948686</v>
      </c>
      <c r="H776">
        <f t="shared" si="550"/>
        <v>2119.6476466526342</v>
      </c>
      <c r="I776">
        <f t="shared" si="550"/>
        <v>1006.0627369127299</v>
      </c>
      <c r="J776">
        <f t="shared" si="550"/>
        <v>839.43870250146108</v>
      </c>
      <c r="K776">
        <f t="shared" si="550"/>
        <v>941.77639397427868</v>
      </c>
      <c r="L776">
        <f t="shared" si="550"/>
        <v>937.78826160832898</v>
      </c>
      <c r="M776">
        <f t="shared" si="550"/>
        <v>1919.358126732652</v>
      </c>
      <c r="N776">
        <f t="shared" si="550"/>
        <v>1917.2369856367247</v>
      </c>
      <c r="O776">
        <f t="shared" si="550"/>
        <v>1958.376129223371</v>
      </c>
      <c r="P776">
        <f t="shared" si="550"/>
        <v>1873.4061357504308</v>
      </c>
      <c r="Q776">
        <f t="shared" si="550"/>
        <v>1897.9129151828311</v>
      </c>
      <c r="R776">
        <f t="shared" si="550"/>
        <v>2096.1161857545771</v>
      </c>
      <c r="S776">
        <f t="shared" si="550"/>
        <v>2251.1382610061514</v>
      </c>
      <c r="T776">
        <f t="shared" si="550"/>
        <v>2494.3186953409922</v>
      </c>
      <c r="U776">
        <f t="shared" si="550"/>
        <v>1960.3820774830094</v>
      </c>
      <c r="V776">
        <f t="shared" si="550"/>
        <v>1911.1961400466294</v>
      </c>
      <c r="W776">
        <f t="shared" si="550"/>
        <v>1690.7740586025323</v>
      </c>
      <c r="Y776" s="8">
        <f t="shared" si="524"/>
        <v>37116.126907111422</v>
      </c>
      <c r="Z776">
        <f>SUMPRODUCT($D$780:$W$780,D776:W776)</f>
        <v>-913.73726289615047</v>
      </c>
    </row>
    <row r="777" spans="1:26" x14ac:dyDescent="0.25">
      <c r="A777" t="s">
        <v>312</v>
      </c>
      <c r="D777">
        <f t="shared" ref="D777:W777" si="551">D131*D165</f>
        <v>2504.3593718119573</v>
      </c>
      <c r="E777">
        <f t="shared" si="551"/>
        <v>2996.1362228735429</v>
      </c>
      <c r="F777">
        <f t="shared" si="551"/>
        <v>2331.5528555755054</v>
      </c>
      <c r="G777">
        <f t="shared" si="551"/>
        <v>2587.4165402581948</v>
      </c>
      <c r="H777">
        <f t="shared" si="551"/>
        <v>3148.4578191199525</v>
      </c>
      <c r="I777">
        <f t="shared" si="551"/>
        <v>3017.1786667379642</v>
      </c>
      <c r="J777">
        <f t="shared" si="551"/>
        <v>2876.6627944165311</v>
      </c>
      <c r="K777">
        <f t="shared" si="551"/>
        <v>5893.5250778321215</v>
      </c>
      <c r="L777">
        <f t="shared" si="551"/>
        <v>2278.6626178690349</v>
      </c>
      <c r="M777">
        <f t="shared" si="551"/>
        <v>2159.3428773444607</v>
      </c>
      <c r="N777">
        <f t="shared" si="551"/>
        <v>2225.6954867594641</v>
      </c>
      <c r="O777">
        <f t="shared" si="551"/>
        <v>2275.7613976789003</v>
      </c>
      <c r="P777">
        <f t="shared" si="551"/>
        <v>4743.2</v>
      </c>
      <c r="Q777">
        <f t="shared" si="551"/>
        <v>4754.4000000000005</v>
      </c>
      <c r="R777">
        <f t="shared" si="551"/>
        <v>5173.74</v>
      </c>
      <c r="S777">
        <f t="shared" si="551"/>
        <v>1358.9700000000003</v>
      </c>
      <c r="T777">
        <f t="shared" si="551"/>
        <v>2592.92</v>
      </c>
      <c r="U777">
        <f t="shared" si="551"/>
        <v>1948.7999999999997</v>
      </c>
      <c r="V777">
        <f t="shared" si="551"/>
        <v>1856.91</v>
      </c>
      <c r="W777">
        <f t="shared" si="551"/>
        <v>1606.45</v>
      </c>
      <c r="Y777" s="8">
        <f t="shared" si="524"/>
        <v>58330.141728277631</v>
      </c>
      <c r="Z777">
        <f>SUMPRODUCT($D$780:$W$780,D777:W777)</f>
        <v>509.41560774300456</v>
      </c>
    </row>
    <row r="778" spans="1:26" x14ac:dyDescent="0.25">
      <c r="A778" t="s">
        <v>313</v>
      </c>
      <c r="D778">
        <f t="shared" ref="D778:W778" si="552">D132*D166</f>
        <v>2164.6400000000003</v>
      </c>
      <c r="E778">
        <f t="shared" si="552"/>
        <v>2914.89</v>
      </c>
      <c r="F778">
        <f t="shared" si="552"/>
        <v>2737.9199999999996</v>
      </c>
      <c r="G778">
        <f t="shared" si="552"/>
        <v>2496.48</v>
      </c>
      <c r="H778">
        <f t="shared" si="552"/>
        <v>3092.98</v>
      </c>
      <c r="I778">
        <f t="shared" si="552"/>
        <v>2692.0399999999995</v>
      </c>
      <c r="J778">
        <f t="shared" si="552"/>
        <v>2763.18</v>
      </c>
      <c r="K778">
        <f t="shared" si="552"/>
        <v>5148.3899999999994</v>
      </c>
      <c r="L778">
        <f t="shared" si="552"/>
        <v>2534.2400000000002</v>
      </c>
      <c r="M778">
        <f t="shared" si="552"/>
        <v>2311.02</v>
      </c>
      <c r="N778">
        <f t="shared" si="552"/>
        <v>2348.02</v>
      </c>
      <c r="O778">
        <f t="shared" si="552"/>
        <v>2445.84</v>
      </c>
      <c r="P778">
        <f t="shared" si="552"/>
        <v>1969.9735735098848</v>
      </c>
      <c r="Q778">
        <f t="shared" si="552"/>
        <v>1900.3590638819294</v>
      </c>
      <c r="R778">
        <f t="shared" si="552"/>
        <v>2046.606697560703</v>
      </c>
      <c r="S778">
        <f t="shared" si="552"/>
        <v>2004.3810146040873</v>
      </c>
      <c r="T778">
        <f t="shared" si="552"/>
        <v>1908.2689862152756</v>
      </c>
      <c r="U778">
        <f t="shared" si="552"/>
        <v>1907.9304212292591</v>
      </c>
      <c r="V778">
        <f t="shared" si="552"/>
        <v>1993.4066330442079</v>
      </c>
      <c r="W778">
        <f t="shared" si="552"/>
        <v>2000.5148177746503</v>
      </c>
      <c r="Y778" s="8">
        <f t="shared" si="524"/>
        <v>49381.081207819996</v>
      </c>
      <c r="Z778">
        <f>SUMPRODUCT($D$780:$W$780,D778:W778)</f>
        <v>-286.64095891123537</v>
      </c>
    </row>
    <row r="779" spans="1:26" x14ac:dyDescent="0.25">
      <c r="A779" t="s">
        <v>676</v>
      </c>
      <c r="D779">
        <f t="shared" ref="D779:W779" si="553">D133*D167</f>
        <v>2864.2720314136709</v>
      </c>
      <c r="E779">
        <f t="shared" si="553"/>
        <v>2299.1814306861634</v>
      </c>
      <c r="F779">
        <f t="shared" si="553"/>
        <v>2168.1760985815868</v>
      </c>
      <c r="G779">
        <f t="shared" si="553"/>
        <v>2208.546257149028</v>
      </c>
      <c r="H779">
        <f t="shared" si="553"/>
        <v>2119.6476466526342</v>
      </c>
      <c r="I779">
        <f t="shared" si="553"/>
        <v>2090.6572094975268</v>
      </c>
      <c r="J779">
        <f t="shared" si="553"/>
        <v>1899.2217053260613</v>
      </c>
      <c r="K779">
        <f t="shared" si="553"/>
        <v>2002.5435033161307</v>
      </c>
      <c r="L779">
        <f t="shared" si="553"/>
        <v>2076.7516069926887</v>
      </c>
      <c r="M779">
        <f t="shared" si="553"/>
        <v>1796.5764532436315</v>
      </c>
      <c r="N779">
        <f t="shared" si="553"/>
        <v>1777.2273912291478</v>
      </c>
      <c r="O779">
        <f t="shared" si="553"/>
        <v>1925.5029862340896</v>
      </c>
      <c r="P779">
        <f t="shared" si="553"/>
        <v>1940.6638153559154</v>
      </c>
      <c r="Q779">
        <f t="shared" si="553"/>
        <v>2293.2686861327638</v>
      </c>
      <c r="R779">
        <f t="shared" si="553"/>
        <v>2238.7199999999998</v>
      </c>
      <c r="S779">
        <f t="shared" si="553"/>
        <v>2350.2400000000002</v>
      </c>
      <c r="T779">
        <f t="shared" si="553"/>
        <v>2177.7966804819675</v>
      </c>
      <c r="U779">
        <f t="shared" si="553"/>
        <v>1846.2760265881611</v>
      </c>
      <c r="V779">
        <f t="shared" si="553"/>
        <v>1834.7770261617975</v>
      </c>
      <c r="W779">
        <f t="shared" si="553"/>
        <v>1960.6072128324872</v>
      </c>
      <c r="Y779" s="8">
        <f t="shared" ref="Y779" si="554">SUM(D779:W779)</f>
        <v>41870.653767875454</v>
      </c>
      <c r="Z779">
        <f>SUMPRODUCT($D$780:$W$780,D779:W779)</f>
        <v>-614.70422913830089</v>
      </c>
    </row>
    <row r="780" spans="1:26" x14ac:dyDescent="0.25">
      <c r="A780" s="2" t="s">
        <v>69</v>
      </c>
      <c r="D780" s="3">
        <f>CORREL($B$2:$B$26,D750:D774)</f>
        <v>-0.2299258267149519</v>
      </c>
      <c r="E780" s="3">
        <f t="shared" ref="E780:W780" si="555">CORREL($B$2:$B$26,E750:E774)</f>
        <v>-0.21208517315940317</v>
      </c>
      <c r="F780" s="3">
        <f t="shared" si="555"/>
        <v>-0.15559872465023555</v>
      </c>
      <c r="G780" s="3">
        <f t="shared" si="555"/>
        <v>-0.20167247521573109</v>
      </c>
      <c r="H780" s="3">
        <f t="shared" si="555"/>
        <v>-1.6191818221170857E-3</v>
      </c>
      <c r="I780" s="3">
        <f t="shared" si="555"/>
        <v>9.5307285403558373E-2</v>
      </c>
      <c r="J780" s="3">
        <f t="shared" si="555"/>
        <v>-3.1205459009082715E-2</v>
      </c>
      <c r="K780" s="3">
        <f t="shared" si="555"/>
        <v>0.160779904384799</v>
      </c>
      <c r="L780" s="3">
        <f t="shared" si="555"/>
        <v>0.16895045952028426</v>
      </c>
      <c r="M780" s="3">
        <f t="shared" si="555"/>
        <v>0.10820628432144212</v>
      </c>
      <c r="N780" s="3">
        <f t="shared" si="555"/>
        <v>-0.20499938597992651</v>
      </c>
      <c r="O780" s="3">
        <f t="shared" si="555"/>
        <v>0.16567197211081852</v>
      </c>
      <c r="P780" s="3">
        <f t="shared" si="555"/>
        <v>0.1424529084390842</v>
      </c>
      <c r="Q780" s="3">
        <f t="shared" si="555"/>
        <v>7.4166340489516244E-2</v>
      </c>
      <c r="R780" s="3">
        <f t="shared" si="555"/>
        <v>-3.3709277415863895E-2</v>
      </c>
      <c r="S780" s="3">
        <f t="shared" si="555"/>
        <v>0.11406389735018559</v>
      </c>
      <c r="T780" s="3">
        <f t="shared" si="555"/>
        <v>0.32362271016473343</v>
      </c>
      <c r="U780" s="3">
        <f t="shared" si="555"/>
        <v>-9.3581370602183314E-2</v>
      </c>
      <c r="V780" s="3">
        <f t="shared" si="555"/>
        <v>-0.20355437264170587</v>
      </c>
      <c r="W780" s="3">
        <f t="shared" si="555"/>
        <v>-0.2253833260053964</v>
      </c>
    </row>
    <row r="783" spans="1:26" x14ac:dyDescent="0.25">
      <c r="D783" t="s">
        <v>258</v>
      </c>
      <c r="E783" t="s">
        <v>259</v>
      </c>
      <c r="F783" t="s">
        <v>260</v>
      </c>
      <c r="G783" t="s">
        <v>261</v>
      </c>
      <c r="H783" t="s">
        <v>262</v>
      </c>
      <c r="I783" t="s">
        <v>263</v>
      </c>
      <c r="J783" t="s">
        <v>264</v>
      </c>
      <c r="K783" t="s">
        <v>265</v>
      </c>
      <c r="L783" t="s">
        <v>338</v>
      </c>
      <c r="M783" t="s">
        <v>412</v>
      </c>
      <c r="N783" t="s">
        <v>413</v>
      </c>
      <c r="O783" t="s">
        <v>414</v>
      </c>
      <c r="P783" t="s">
        <v>544</v>
      </c>
      <c r="Q783" t="s">
        <v>545</v>
      </c>
      <c r="R783" t="s">
        <v>546</v>
      </c>
      <c r="S783" t="s">
        <v>547</v>
      </c>
      <c r="T783" t="s">
        <v>656</v>
      </c>
      <c r="U783" t="s">
        <v>657</v>
      </c>
      <c r="V783" t="s">
        <v>658</v>
      </c>
      <c r="W783" t="s">
        <v>659</v>
      </c>
      <c r="Y783" t="s">
        <v>266</v>
      </c>
      <c r="Z783" t="s">
        <v>267</v>
      </c>
    </row>
    <row r="784" spans="1:26" x14ac:dyDescent="0.25">
      <c r="A784" t="s">
        <v>43</v>
      </c>
      <c r="D784">
        <f t="shared" ref="D784:W784" si="556">D104*D172</f>
        <v>971.2857786807557</v>
      </c>
      <c r="E784">
        <f t="shared" si="556"/>
        <v>509.9920692303856</v>
      </c>
      <c r="F784">
        <f t="shared" si="556"/>
        <v>630.88410342669852</v>
      </c>
      <c r="G784">
        <f t="shared" si="556"/>
        <v>1641.8869158639416</v>
      </c>
      <c r="H784">
        <f t="shared" si="556"/>
        <v>964.7313396536349</v>
      </c>
      <c r="I784">
        <f t="shared" si="556"/>
        <v>832.08491714572733</v>
      </c>
      <c r="J784">
        <f t="shared" si="556"/>
        <v>873.49635259484046</v>
      </c>
      <c r="K784">
        <f t="shared" si="556"/>
        <v>743.96343854383065</v>
      </c>
      <c r="L784">
        <f t="shared" si="556"/>
        <v>500.12964079423932</v>
      </c>
      <c r="M784">
        <f t="shared" si="556"/>
        <v>474.38087884653947</v>
      </c>
      <c r="N784">
        <f t="shared" si="556"/>
        <v>586.47749314512816</v>
      </c>
      <c r="O784">
        <f t="shared" si="556"/>
        <v>725.31013036329171</v>
      </c>
      <c r="P784">
        <f t="shared" si="556"/>
        <v>374.37367312508957</v>
      </c>
      <c r="Q784">
        <f t="shared" si="556"/>
        <v>760.12650055679444</v>
      </c>
      <c r="R784">
        <f t="shared" si="556"/>
        <v>3208.5579072868663</v>
      </c>
      <c r="S784">
        <f t="shared" si="556"/>
        <v>906.89243186759074</v>
      </c>
      <c r="T784">
        <f t="shared" si="556"/>
        <v>627.24929828161885</v>
      </c>
      <c r="U784">
        <f t="shared" si="556"/>
        <v>497.32118996213035</v>
      </c>
      <c r="V784">
        <f t="shared" si="556"/>
        <v>998.59909454874628</v>
      </c>
      <c r="W784">
        <f t="shared" si="556"/>
        <v>857.12744287526027</v>
      </c>
      <c r="Y784" s="8">
        <f t="shared" ref="Y784:Y812" si="557">SUM(D784:W784)</f>
        <v>17684.870596793109</v>
      </c>
      <c r="Z784">
        <f t="shared" ref="Z784:Z808" si="558">SUMPRODUCT($D$814:$W$814,D784:W784)</f>
        <v>-1127.7827263603372</v>
      </c>
    </row>
    <row r="785" spans="1:26" x14ac:dyDescent="0.25">
      <c r="A785" t="s">
        <v>44</v>
      </c>
      <c r="D785">
        <f t="shared" ref="D785:W785" si="559">D105*D173</f>
        <v>662.95789385821627</v>
      </c>
      <c r="E785">
        <f t="shared" si="559"/>
        <v>781.07148634614782</v>
      </c>
      <c r="F785">
        <f t="shared" si="559"/>
        <v>674.21633517311636</v>
      </c>
      <c r="G785">
        <f t="shared" si="559"/>
        <v>760.94602464960133</v>
      </c>
      <c r="H785">
        <f t="shared" si="559"/>
        <v>684.856826653025</v>
      </c>
      <c r="I785">
        <f t="shared" si="559"/>
        <v>612.78892680874242</v>
      </c>
      <c r="J785">
        <f t="shared" si="559"/>
        <v>596.32841594927277</v>
      </c>
      <c r="K785">
        <f t="shared" si="559"/>
        <v>761.3695004564064</v>
      </c>
      <c r="L785">
        <f t="shared" si="559"/>
        <v>646.87289120148591</v>
      </c>
      <c r="M785">
        <f t="shared" si="559"/>
        <v>658.82249027749879</v>
      </c>
      <c r="N785">
        <f t="shared" si="559"/>
        <v>510.7333592659715</v>
      </c>
      <c r="O785">
        <f t="shared" si="559"/>
        <v>552.49683277051349</v>
      </c>
      <c r="P785">
        <f t="shared" si="559"/>
        <v>517.68054587036715</v>
      </c>
      <c r="Q785">
        <f t="shared" si="559"/>
        <v>614.62033568561242</v>
      </c>
      <c r="R785">
        <f t="shared" si="559"/>
        <v>436.45584067079744</v>
      </c>
      <c r="S785">
        <f t="shared" si="559"/>
        <v>669.00994513674641</v>
      </c>
      <c r="T785">
        <f t="shared" si="559"/>
        <v>523.49024515915937</v>
      </c>
      <c r="U785">
        <f t="shared" si="559"/>
        <v>578.41528889747167</v>
      </c>
      <c r="V785">
        <f t="shared" si="559"/>
        <v>807.90522585123051</v>
      </c>
      <c r="W785">
        <f t="shared" si="559"/>
        <v>1077.6272846420147</v>
      </c>
      <c r="Y785" s="8">
        <f t="shared" si="557"/>
        <v>13128.665695323398</v>
      </c>
      <c r="Z785">
        <f t="shared" si="558"/>
        <v>-703.95829709943234</v>
      </c>
    </row>
    <row r="786" spans="1:26" x14ac:dyDescent="0.25">
      <c r="A786" t="s">
        <v>45</v>
      </c>
      <c r="D786">
        <f t="shared" ref="D786:W786" si="560">D106*D174</f>
        <v>675.70003963273518</v>
      </c>
      <c r="E786">
        <f t="shared" si="560"/>
        <v>594.71438197476573</v>
      </c>
      <c r="F786">
        <f t="shared" si="560"/>
        <v>632.13438236839841</v>
      </c>
      <c r="G786">
        <f t="shared" si="560"/>
        <v>721.22977578905579</v>
      </c>
      <c r="H786">
        <f t="shared" si="560"/>
        <v>881.35666534509699</v>
      </c>
      <c r="I786">
        <f t="shared" si="560"/>
        <v>527.73157865066003</v>
      </c>
      <c r="J786">
        <f t="shared" si="560"/>
        <v>570.39039907016627</v>
      </c>
      <c r="K786">
        <f t="shared" si="560"/>
        <v>638.62155766575427</v>
      </c>
      <c r="L786">
        <f t="shared" si="560"/>
        <v>817.76218997586375</v>
      </c>
      <c r="M786">
        <f t="shared" si="560"/>
        <v>462.48646428078251</v>
      </c>
      <c r="N786">
        <f t="shared" si="560"/>
        <v>304.5326327374637</v>
      </c>
      <c r="O786">
        <f t="shared" si="560"/>
        <v>517.68202702443841</v>
      </c>
      <c r="P786">
        <f t="shared" si="560"/>
        <v>804.11802630496561</v>
      </c>
      <c r="Q786">
        <f t="shared" si="560"/>
        <v>589.22677801401289</v>
      </c>
      <c r="R786">
        <f t="shared" si="560"/>
        <v>802.76662182012751</v>
      </c>
      <c r="S786">
        <f t="shared" si="560"/>
        <v>851.78880208440194</v>
      </c>
      <c r="T786">
        <f t="shared" si="560"/>
        <v>611.36599798344366</v>
      </c>
      <c r="U786">
        <f t="shared" si="560"/>
        <v>806.06203847232428</v>
      </c>
      <c r="V786">
        <f t="shared" si="560"/>
        <v>572.60327321063505</v>
      </c>
      <c r="W786">
        <f t="shared" si="560"/>
        <v>921.32193322693206</v>
      </c>
      <c r="Y786" s="8">
        <f t="shared" si="557"/>
        <v>13303.595565632022</v>
      </c>
      <c r="Z786">
        <f t="shared" si="558"/>
        <v>-459.55671342696837</v>
      </c>
    </row>
    <row r="787" spans="1:26" x14ac:dyDescent="0.25">
      <c r="A787" t="s">
        <v>46</v>
      </c>
      <c r="D787">
        <f t="shared" ref="D787:W787" si="561">D107*D175</f>
        <v>1210.0797595005631</v>
      </c>
      <c r="E787">
        <f t="shared" si="561"/>
        <v>863.29582746954225</v>
      </c>
      <c r="F787">
        <f t="shared" si="561"/>
        <v>910.66854411653981</v>
      </c>
      <c r="G787">
        <f t="shared" si="561"/>
        <v>978.0275176573266</v>
      </c>
      <c r="H787">
        <f t="shared" si="561"/>
        <v>636.25750573458038</v>
      </c>
      <c r="I787">
        <f t="shared" si="561"/>
        <v>988.89811543822543</v>
      </c>
      <c r="J787">
        <f t="shared" si="561"/>
        <v>719.1430747221716</v>
      </c>
      <c r="K787">
        <f t="shared" si="561"/>
        <v>648.07070715593159</v>
      </c>
      <c r="L787">
        <f t="shared" si="561"/>
        <v>800.45583952138122</v>
      </c>
      <c r="M787">
        <f t="shared" si="561"/>
        <v>270.74821159962227</v>
      </c>
      <c r="N787">
        <f t="shared" si="561"/>
        <v>405.69451119908592</v>
      </c>
      <c r="O787">
        <f t="shared" si="561"/>
        <v>385.91129775147789</v>
      </c>
      <c r="P787">
        <f t="shared" si="561"/>
        <v>566.61788280846474</v>
      </c>
      <c r="Q787">
        <f t="shared" si="561"/>
        <v>582.23382054014701</v>
      </c>
      <c r="R787">
        <f t="shared" si="561"/>
        <v>533.80817304617244</v>
      </c>
      <c r="S787">
        <f t="shared" si="561"/>
        <v>306.24311226963744</v>
      </c>
      <c r="T787">
        <f t="shared" si="561"/>
        <v>554.27850095281667</v>
      </c>
      <c r="U787">
        <f t="shared" si="561"/>
        <v>725.29161770273356</v>
      </c>
      <c r="V787">
        <f t="shared" si="561"/>
        <v>609.06111519330102</v>
      </c>
      <c r="W787">
        <f t="shared" si="561"/>
        <v>608.68818866877552</v>
      </c>
      <c r="Y787" s="8">
        <f t="shared" si="557"/>
        <v>13303.473323048496</v>
      </c>
      <c r="Z787">
        <f t="shared" si="558"/>
        <v>-757.28295943279829</v>
      </c>
    </row>
    <row r="788" spans="1:26" x14ac:dyDescent="0.25">
      <c r="A788" t="s">
        <v>47</v>
      </c>
      <c r="D788">
        <f t="shared" ref="D788:W788" si="562">D108*D176</f>
        <v>747.86244913080645</v>
      </c>
      <c r="E788">
        <f t="shared" si="562"/>
        <v>960.97260559323786</v>
      </c>
      <c r="F788">
        <f t="shared" si="562"/>
        <v>1242.1418723771906</v>
      </c>
      <c r="G788">
        <f t="shared" si="562"/>
        <v>1134.0770457028511</v>
      </c>
      <c r="H788">
        <f t="shared" si="562"/>
        <v>920.66208151147396</v>
      </c>
      <c r="I788">
        <f t="shared" si="562"/>
        <v>629.37177186031704</v>
      </c>
      <c r="J788">
        <f t="shared" si="562"/>
        <v>1118.0729749521176</v>
      </c>
      <c r="K788">
        <f t="shared" si="562"/>
        <v>927.66985913631504</v>
      </c>
      <c r="L788">
        <f t="shared" si="562"/>
        <v>509.90993517004569</v>
      </c>
      <c r="M788">
        <f t="shared" si="562"/>
        <v>682.59352273526827</v>
      </c>
      <c r="N788">
        <f t="shared" si="562"/>
        <v>538.49541952939001</v>
      </c>
      <c r="O788">
        <f t="shared" si="562"/>
        <v>497.48210203247095</v>
      </c>
      <c r="P788">
        <f t="shared" si="562"/>
        <v>838.9900001850948</v>
      </c>
      <c r="Q788">
        <f t="shared" si="562"/>
        <v>866.33181140963347</v>
      </c>
      <c r="R788">
        <f t="shared" si="562"/>
        <v>949.29568668546915</v>
      </c>
      <c r="S788">
        <f t="shared" si="562"/>
        <v>462.47358664917465</v>
      </c>
      <c r="T788">
        <f t="shared" si="562"/>
        <v>754.30432597928927</v>
      </c>
      <c r="U788">
        <f t="shared" si="562"/>
        <v>913.20479254983582</v>
      </c>
      <c r="V788">
        <f t="shared" si="562"/>
        <v>761.39099293688719</v>
      </c>
      <c r="W788">
        <f t="shared" si="562"/>
        <v>542.70737809498189</v>
      </c>
      <c r="Y788" s="8">
        <f t="shared" si="557"/>
        <v>15998.010214221849</v>
      </c>
      <c r="Z788">
        <f t="shared" si="558"/>
        <v>-796.06481031327837</v>
      </c>
    </row>
    <row r="789" spans="1:26" x14ac:dyDescent="0.25">
      <c r="A789" t="s">
        <v>48</v>
      </c>
      <c r="D789">
        <f t="shared" ref="D789:W789" si="563">D109*D177</f>
        <v>952.18848700063052</v>
      </c>
      <c r="E789">
        <f t="shared" si="563"/>
        <v>577.1230451026064</v>
      </c>
      <c r="F789">
        <f t="shared" si="563"/>
        <v>583.83631842626767</v>
      </c>
      <c r="G789">
        <f t="shared" si="563"/>
        <v>1425.1568258604786</v>
      </c>
      <c r="H789">
        <f t="shared" si="563"/>
        <v>606.53801135421031</v>
      </c>
      <c r="I789">
        <f t="shared" si="563"/>
        <v>807.0640643678729</v>
      </c>
      <c r="J789">
        <f t="shared" si="563"/>
        <v>788.27874695186506</v>
      </c>
      <c r="K789">
        <f t="shared" si="563"/>
        <v>636.24059848182765</v>
      </c>
      <c r="L789">
        <f t="shared" si="563"/>
        <v>561.06235541419574</v>
      </c>
      <c r="M789">
        <f t="shared" si="563"/>
        <v>658.62692997346767</v>
      </c>
      <c r="N789">
        <f t="shared" si="563"/>
        <v>651.32281726807275</v>
      </c>
      <c r="O789">
        <f t="shared" si="563"/>
        <v>487.78932975624872</v>
      </c>
      <c r="P789">
        <f t="shared" si="563"/>
        <v>518.20600829459613</v>
      </c>
      <c r="Q789">
        <f t="shared" si="563"/>
        <v>303.90394089648663</v>
      </c>
      <c r="R789">
        <f t="shared" si="563"/>
        <v>409.6827999939112</v>
      </c>
      <c r="S789">
        <f t="shared" si="563"/>
        <v>800.2979467168376</v>
      </c>
      <c r="T789">
        <f t="shared" si="563"/>
        <v>433.99223218219146</v>
      </c>
      <c r="U789">
        <f t="shared" si="563"/>
        <v>438.15312790610773</v>
      </c>
      <c r="V789">
        <f t="shared" si="563"/>
        <v>761.03068984137496</v>
      </c>
      <c r="W789">
        <f t="shared" si="563"/>
        <v>840.24522653626445</v>
      </c>
      <c r="Y789" s="8">
        <f t="shared" si="557"/>
        <v>13240.739502325514</v>
      </c>
      <c r="Z789">
        <f t="shared" si="558"/>
        <v>-921.01026060665652</v>
      </c>
    </row>
    <row r="790" spans="1:26" x14ac:dyDescent="0.25">
      <c r="A790" t="s">
        <v>49</v>
      </c>
      <c r="D790">
        <f t="shared" ref="D790:W790" si="564">D110*D178</f>
        <v>1050.6727250552744</v>
      </c>
      <c r="E790">
        <f t="shared" si="564"/>
        <v>979.00647514574905</v>
      </c>
      <c r="F790">
        <f t="shared" si="564"/>
        <v>1487.7526111325849</v>
      </c>
      <c r="G790">
        <f t="shared" si="564"/>
        <v>1595.9863437261183</v>
      </c>
      <c r="H790">
        <f t="shared" si="564"/>
        <v>1326.7033058631919</v>
      </c>
      <c r="I790">
        <f t="shared" si="564"/>
        <v>1408.7613642581039</v>
      </c>
      <c r="J790">
        <f t="shared" si="564"/>
        <v>1173.2387127573015</v>
      </c>
      <c r="K790">
        <f t="shared" si="564"/>
        <v>803.91220390652427</v>
      </c>
      <c r="L790">
        <f t="shared" si="564"/>
        <v>809.62762662813623</v>
      </c>
      <c r="M790">
        <f t="shared" si="564"/>
        <v>782.11647791088205</v>
      </c>
      <c r="N790">
        <f t="shared" si="564"/>
        <v>858.29694315201039</v>
      </c>
      <c r="O790">
        <f t="shared" si="564"/>
        <v>626.50462658974106</v>
      </c>
      <c r="P790">
        <f t="shared" si="564"/>
        <v>847.83716972616014</v>
      </c>
      <c r="Q790">
        <f t="shared" si="564"/>
        <v>772.07698656129764</v>
      </c>
      <c r="R790">
        <f t="shared" si="564"/>
        <v>1090.2014664156916</v>
      </c>
      <c r="S790">
        <f t="shared" si="564"/>
        <v>1124.2904429829734</v>
      </c>
      <c r="T790">
        <f t="shared" si="564"/>
        <v>537.07133580990626</v>
      </c>
      <c r="U790">
        <f t="shared" si="564"/>
        <v>668.99775046780871</v>
      </c>
      <c r="V790">
        <f t="shared" si="564"/>
        <v>576.76833216914463</v>
      </c>
      <c r="W790">
        <f t="shared" si="564"/>
        <v>1112.604889295151</v>
      </c>
      <c r="Y790" s="8">
        <f t="shared" si="557"/>
        <v>19632.427789553756</v>
      </c>
      <c r="Z790">
        <f t="shared" si="558"/>
        <v>-1198.0425050485328</v>
      </c>
    </row>
    <row r="791" spans="1:26" x14ac:dyDescent="0.25">
      <c r="A791" t="s">
        <v>50</v>
      </c>
      <c r="D791">
        <f t="shared" ref="D791:W791" si="565">D111*D179</f>
        <v>670.52194385889823</v>
      </c>
      <c r="E791">
        <f t="shared" si="565"/>
        <v>1405.7110731901514</v>
      </c>
      <c r="F791">
        <f t="shared" si="565"/>
        <v>1256.795144185704</v>
      </c>
      <c r="G791">
        <f t="shared" si="565"/>
        <v>859.89471303168943</v>
      </c>
      <c r="H791">
        <f t="shared" si="565"/>
        <v>922.23070206614705</v>
      </c>
      <c r="I791">
        <f t="shared" si="565"/>
        <v>961.67484391107757</v>
      </c>
      <c r="J791">
        <f t="shared" si="565"/>
        <v>591.51164271835933</v>
      </c>
      <c r="K791">
        <f t="shared" si="565"/>
        <v>650.80887618724751</v>
      </c>
      <c r="L791">
        <f t="shared" si="565"/>
        <v>850.25286922010446</v>
      </c>
      <c r="M791">
        <f t="shared" si="565"/>
        <v>642.05528512801777</v>
      </c>
      <c r="N791">
        <f t="shared" si="565"/>
        <v>525.15604235708395</v>
      </c>
      <c r="O791">
        <f t="shared" si="565"/>
        <v>697.99673367045489</v>
      </c>
      <c r="P791">
        <f t="shared" si="565"/>
        <v>653.06115506902347</v>
      </c>
      <c r="Q791">
        <f t="shared" si="565"/>
        <v>734.18589190759917</v>
      </c>
      <c r="R791">
        <f t="shared" si="565"/>
        <v>911.22936139560215</v>
      </c>
      <c r="S791">
        <f t="shared" si="565"/>
        <v>896.04881995896039</v>
      </c>
      <c r="T791">
        <f t="shared" si="565"/>
        <v>778.65908923922666</v>
      </c>
      <c r="U791">
        <f t="shared" si="565"/>
        <v>878.42028762913117</v>
      </c>
      <c r="V791">
        <f t="shared" si="565"/>
        <v>1211.1568851264678</v>
      </c>
      <c r="W791">
        <f t="shared" si="565"/>
        <v>1142.6448179917222</v>
      </c>
      <c r="Y791" s="8">
        <f t="shared" si="557"/>
        <v>17240.016177842666</v>
      </c>
      <c r="Z791">
        <f t="shared" si="558"/>
        <v>-708.14352867891705</v>
      </c>
    </row>
    <row r="792" spans="1:26" x14ac:dyDescent="0.25">
      <c r="A792" t="s">
        <v>51</v>
      </c>
      <c r="D792">
        <f t="shared" ref="D792:W792" si="566">D112*D180</f>
        <v>291.71292876883041</v>
      </c>
      <c r="E792">
        <f t="shared" si="566"/>
        <v>1149.226749373348</v>
      </c>
      <c r="F792">
        <f t="shared" si="566"/>
        <v>1179.9921354445046</v>
      </c>
      <c r="G792">
        <f t="shared" si="566"/>
        <v>1378.2716911186867</v>
      </c>
      <c r="H792">
        <f t="shared" si="566"/>
        <v>1119.5461384920045</v>
      </c>
      <c r="I792">
        <f t="shared" si="566"/>
        <v>1051.7763788294171</v>
      </c>
      <c r="J792">
        <f t="shared" si="566"/>
        <v>1150.8070722621844</v>
      </c>
      <c r="K792">
        <f t="shared" si="566"/>
        <v>1112.0115728410578</v>
      </c>
      <c r="L792">
        <f t="shared" si="566"/>
        <v>984.50098526899001</v>
      </c>
      <c r="M792">
        <f t="shared" si="566"/>
        <v>1131.3006868156142</v>
      </c>
      <c r="N792">
        <f t="shared" si="566"/>
        <v>878.17135992972203</v>
      </c>
      <c r="O792">
        <f t="shared" si="566"/>
        <v>955.82432048781322</v>
      </c>
      <c r="P792">
        <f t="shared" si="566"/>
        <v>1235.1126857138777</v>
      </c>
      <c r="Q792">
        <f t="shared" si="566"/>
        <v>2262.2440423620715</v>
      </c>
      <c r="R792">
        <f t="shared" si="566"/>
        <v>236.53912786899096</v>
      </c>
      <c r="S792">
        <f t="shared" si="566"/>
        <v>252.48237103673057</v>
      </c>
      <c r="T792">
        <f t="shared" si="566"/>
        <v>237.18918507021007</v>
      </c>
      <c r="U792">
        <f t="shared" si="566"/>
        <v>251.30456702142794</v>
      </c>
      <c r="V792">
        <f t="shared" si="566"/>
        <v>1517.4998758316801</v>
      </c>
      <c r="W792">
        <f t="shared" si="566"/>
        <v>1733.8622028429606</v>
      </c>
      <c r="Y792" s="8">
        <f t="shared" si="557"/>
        <v>20109.376077380119</v>
      </c>
      <c r="Z792">
        <f t="shared" si="558"/>
        <v>-1372.2731361203714</v>
      </c>
    </row>
    <row r="793" spans="1:26" x14ac:dyDescent="0.25">
      <c r="A793" t="s">
        <v>52</v>
      </c>
      <c r="D793">
        <f t="shared" ref="D793:W793" si="567">D113*D181</f>
        <v>1405.39350085909</v>
      </c>
      <c r="E793">
        <f t="shared" si="567"/>
        <v>1147.8384613674129</v>
      </c>
      <c r="F793">
        <f t="shared" si="567"/>
        <v>1313.7010164309975</v>
      </c>
      <c r="G793">
        <f t="shared" si="567"/>
        <v>1161.3510437823345</v>
      </c>
      <c r="H793">
        <f t="shared" si="567"/>
        <v>870.0736891947173</v>
      </c>
      <c r="I793">
        <f t="shared" si="567"/>
        <v>741.31507631489376</v>
      </c>
      <c r="J793">
        <f t="shared" si="567"/>
        <v>713.88292486539683</v>
      </c>
      <c r="K793">
        <f t="shared" si="567"/>
        <v>951.11833625267457</v>
      </c>
      <c r="L793">
        <f t="shared" si="567"/>
        <v>841.05966129120736</v>
      </c>
      <c r="M793">
        <f t="shared" si="567"/>
        <v>925.59624738684079</v>
      </c>
      <c r="N793">
        <f t="shared" si="567"/>
        <v>922.42149792505086</v>
      </c>
      <c r="O793">
        <f t="shared" si="567"/>
        <v>745.78892781403226</v>
      </c>
      <c r="P793">
        <f t="shared" si="567"/>
        <v>822.54799303356515</v>
      </c>
      <c r="Q793">
        <f t="shared" si="567"/>
        <v>886.43934434841105</v>
      </c>
      <c r="R793">
        <f t="shared" si="567"/>
        <v>862.77279704984608</v>
      </c>
      <c r="S793">
        <f t="shared" si="567"/>
        <v>1038.9824372679116</v>
      </c>
      <c r="T793">
        <f t="shared" si="567"/>
        <v>857.18275741373543</v>
      </c>
      <c r="U793">
        <f t="shared" si="567"/>
        <v>1347.8929049005117</v>
      </c>
      <c r="V793">
        <f t="shared" si="567"/>
        <v>1083.2250282998327</v>
      </c>
      <c r="W793">
        <f t="shared" si="567"/>
        <v>1241.6647578155796</v>
      </c>
      <c r="Y793" s="8">
        <f t="shared" si="557"/>
        <v>19880.248403614041</v>
      </c>
      <c r="Z793">
        <f t="shared" si="558"/>
        <v>-1088.0242377683519</v>
      </c>
    </row>
    <row r="794" spans="1:26" x14ac:dyDescent="0.25">
      <c r="A794" t="s">
        <v>53</v>
      </c>
      <c r="D794">
        <f t="shared" ref="D794:W794" si="568">D114*D182</f>
        <v>1565.3746876168545</v>
      </c>
      <c r="E794">
        <f t="shared" si="568"/>
        <v>1352.6464762466367</v>
      </c>
      <c r="F794">
        <f t="shared" si="568"/>
        <v>1461.0736904822809</v>
      </c>
      <c r="G794">
        <f t="shared" si="568"/>
        <v>902.99619899776553</v>
      </c>
      <c r="H794">
        <f t="shared" si="568"/>
        <v>1155.3601709366694</v>
      </c>
      <c r="I794">
        <f t="shared" si="568"/>
        <v>1138.8275284816834</v>
      </c>
      <c r="J794">
        <f t="shared" si="568"/>
        <v>1062.7818897850343</v>
      </c>
      <c r="K794">
        <f t="shared" si="568"/>
        <v>981.2076515402855</v>
      </c>
      <c r="L794">
        <f t="shared" si="568"/>
        <v>906.77001257380437</v>
      </c>
      <c r="M794">
        <f t="shared" si="568"/>
        <v>1087.3031268317895</v>
      </c>
      <c r="N794">
        <f t="shared" si="568"/>
        <v>947.33262343077433</v>
      </c>
      <c r="O794">
        <f t="shared" si="568"/>
        <v>768.71514300610636</v>
      </c>
      <c r="P794">
        <f t="shared" si="568"/>
        <v>833.27383218963871</v>
      </c>
      <c r="Q794">
        <f t="shared" si="568"/>
        <v>879.56739336903922</v>
      </c>
      <c r="R794">
        <f t="shared" si="568"/>
        <v>1000.0702429318289</v>
      </c>
      <c r="S794">
        <f t="shared" si="568"/>
        <v>941.26330126392224</v>
      </c>
      <c r="T794">
        <f t="shared" si="568"/>
        <v>991.48829298393059</v>
      </c>
      <c r="U794">
        <f t="shared" si="568"/>
        <v>1082.2301003715761</v>
      </c>
      <c r="V794">
        <f t="shared" si="568"/>
        <v>1202.3307163961495</v>
      </c>
      <c r="W794">
        <f t="shared" si="568"/>
        <v>1150.7508010631402</v>
      </c>
      <c r="Y794" s="8">
        <f t="shared" si="557"/>
        <v>21411.363880498913</v>
      </c>
      <c r="Z794">
        <f t="shared" si="558"/>
        <v>-1116.4965378503821</v>
      </c>
    </row>
    <row r="795" spans="1:26" x14ac:dyDescent="0.25">
      <c r="A795" t="s">
        <v>54</v>
      </c>
      <c r="D795">
        <f t="shared" ref="D795:W795" si="569">D115*D183</f>
        <v>1904.100752752596</v>
      </c>
      <c r="E795">
        <f t="shared" si="569"/>
        <v>583.48127914851341</v>
      </c>
      <c r="F795">
        <f t="shared" si="569"/>
        <v>620.85725621725942</v>
      </c>
      <c r="G795">
        <f t="shared" si="569"/>
        <v>1054.1208674899367</v>
      </c>
      <c r="H795">
        <f t="shared" si="569"/>
        <v>1119.5461384920045</v>
      </c>
      <c r="I795">
        <f t="shared" si="569"/>
        <v>713.06237928049518</v>
      </c>
      <c r="J795">
        <f t="shared" si="569"/>
        <v>797.99347737710025</v>
      </c>
      <c r="K795">
        <f t="shared" si="569"/>
        <v>587.24634104025438</v>
      </c>
      <c r="L795">
        <f t="shared" si="569"/>
        <v>555.28761634155876</v>
      </c>
      <c r="M795">
        <f t="shared" si="569"/>
        <v>460.53388958482964</v>
      </c>
      <c r="N795">
        <f t="shared" si="569"/>
        <v>408.32809653190458</v>
      </c>
      <c r="O795">
        <f t="shared" si="569"/>
        <v>658.62692997346767</v>
      </c>
      <c r="P795">
        <f t="shared" si="569"/>
        <v>574.64142776544156</v>
      </c>
      <c r="Q795">
        <f t="shared" si="569"/>
        <v>721.63227968969636</v>
      </c>
      <c r="R795">
        <f t="shared" si="569"/>
        <v>306.24311226963744</v>
      </c>
      <c r="S795">
        <f t="shared" si="569"/>
        <v>533.80817304617244</v>
      </c>
      <c r="T795">
        <f t="shared" si="569"/>
        <v>718.91412918886283</v>
      </c>
      <c r="U795">
        <f t="shared" si="569"/>
        <v>582.39850097617341</v>
      </c>
      <c r="V795">
        <f t="shared" si="569"/>
        <v>736.04400089718979</v>
      </c>
      <c r="W795">
        <f t="shared" si="569"/>
        <v>516.25538410639024</v>
      </c>
      <c r="Y795" s="8">
        <f t="shared" si="557"/>
        <v>14153.122032169484</v>
      </c>
      <c r="Z795">
        <f t="shared" si="558"/>
        <v>-866.08919784845557</v>
      </c>
    </row>
    <row r="796" spans="1:26" x14ac:dyDescent="0.25">
      <c r="A796" t="s">
        <v>55</v>
      </c>
      <c r="D796">
        <f t="shared" ref="D796:W796" si="570">D116*D184</f>
        <v>1079.5068763689108</v>
      </c>
      <c r="E796">
        <f t="shared" si="570"/>
        <v>1318.3393880194992</v>
      </c>
      <c r="F796">
        <f t="shared" si="570"/>
        <v>1036.6278859830361</v>
      </c>
      <c r="G796">
        <f t="shared" si="570"/>
        <v>700.4437677983409</v>
      </c>
      <c r="H796">
        <f t="shared" si="570"/>
        <v>532.89962038137548</v>
      </c>
      <c r="I796">
        <f t="shared" si="570"/>
        <v>398.75083424770941</v>
      </c>
      <c r="J796">
        <f t="shared" si="570"/>
        <v>469.38341790573674</v>
      </c>
      <c r="K796">
        <f t="shared" si="570"/>
        <v>595.36203686035753</v>
      </c>
      <c r="L796">
        <f t="shared" si="570"/>
        <v>429.61166083110794</v>
      </c>
      <c r="M796">
        <f t="shared" si="570"/>
        <v>474.11566089308269</v>
      </c>
      <c r="N796">
        <f t="shared" si="570"/>
        <v>405.31512469827715</v>
      </c>
      <c r="O796">
        <f t="shared" si="570"/>
        <v>348.57903454151375</v>
      </c>
      <c r="P796">
        <f t="shared" si="570"/>
        <v>518.7181949249109</v>
      </c>
      <c r="Q796">
        <f t="shared" si="570"/>
        <v>564.62434287182396</v>
      </c>
      <c r="R796">
        <f t="shared" si="570"/>
        <v>404.02150320459356</v>
      </c>
      <c r="S796">
        <f t="shared" si="570"/>
        <v>541.51656867342183</v>
      </c>
      <c r="T796">
        <f t="shared" si="570"/>
        <v>157.17866620201326</v>
      </c>
      <c r="U796">
        <f t="shared" si="570"/>
        <v>291.67552563246454</v>
      </c>
      <c r="V796">
        <f t="shared" si="570"/>
        <v>581.88812226590824</v>
      </c>
      <c r="W796">
        <f t="shared" si="570"/>
        <v>1000.4093632674852</v>
      </c>
      <c r="Y796" s="8">
        <f t="shared" si="557"/>
        <v>11848.967595571568</v>
      </c>
      <c r="Z796">
        <f t="shared" si="558"/>
        <v>-990.13508055602779</v>
      </c>
    </row>
    <row r="797" spans="1:26" x14ac:dyDescent="0.25">
      <c r="A797" t="s">
        <v>56</v>
      </c>
      <c r="D797">
        <f t="shared" ref="D797:W797" si="571">D117*D185</f>
        <v>717.30896152783714</v>
      </c>
      <c r="E797">
        <f t="shared" si="571"/>
        <v>933.06810805694147</v>
      </c>
      <c r="F797">
        <f t="shared" si="571"/>
        <v>864.7899995009725</v>
      </c>
      <c r="G797">
        <f t="shared" si="571"/>
        <v>761.27172543223344</v>
      </c>
      <c r="H797">
        <f t="shared" si="571"/>
        <v>869.61581150619497</v>
      </c>
      <c r="I797">
        <f t="shared" si="571"/>
        <v>459.81914607091016</v>
      </c>
      <c r="J797">
        <f t="shared" si="571"/>
        <v>521.27407532287305</v>
      </c>
      <c r="K797">
        <f t="shared" si="571"/>
        <v>540.36023642240229</v>
      </c>
      <c r="L797">
        <f t="shared" si="571"/>
        <v>474.07099007331101</v>
      </c>
      <c r="M797">
        <f t="shared" si="571"/>
        <v>402.92970804310153</v>
      </c>
      <c r="N797">
        <f t="shared" si="571"/>
        <v>471.50554386219522</v>
      </c>
      <c r="O797">
        <f t="shared" si="571"/>
        <v>580.02462356342699</v>
      </c>
      <c r="P797">
        <f t="shared" si="571"/>
        <v>461.49252000721106</v>
      </c>
      <c r="Q797">
        <f t="shared" si="571"/>
        <v>332.81447273618085</v>
      </c>
      <c r="R797">
        <f t="shared" si="571"/>
        <v>440.07860209655991</v>
      </c>
      <c r="S797">
        <f t="shared" si="571"/>
        <v>649.8016149812272</v>
      </c>
      <c r="T797">
        <f t="shared" si="571"/>
        <v>649.44164851547578</v>
      </c>
      <c r="U797">
        <f t="shared" si="571"/>
        <v>601.75263289595603</v>
      </c>
      <c r="V797">
        <f t="shared" si="571"/>
        <v>606.10771557830981</v>
      </c>
      <c r="W797">
        <f t="shared" si="571"/>
        <v>760.12171438112068</v>
      </c>
      <c r="Y797" s="8">
        <f t="shared" si="557"/>
        <v>12097.64985057444</v>
      </c>
      <c r="Z797">
        <f t="shared" si="558"/>
        <v>-581.97129699217294</v>
      </c>
    </row>
    <row r="798" spans="1:26" x14ac:dyDescent="0.25">
      <c r="A798" t="s">
        <v>57</v>
      </c>
      <c r="D798">
        <f t="shared" ref="D798:W798" si="572">D118*D186</f>
        <v>774.48670588417826</v>
      </c>
      <c r="E798">
        <f t="shared" si="572"/>
        <v>581.55212728078368</v>
      </c>
      <c r="F798">
        <f t="shared" si="572"/>
        <v>463.19219764123227</v>
      </c>
      <c r="G798">
        <f t="shared" si="572"/>
        <v>690.0622786342584</v>
      </c>
      <c r="H798">
        <f t="shared" si="572"/>
        <v>397.57824823206852</v>
      </c>
      <c r="I798">
        <f t="shared" si="572"/>
        <v>236.91982592830968</v>
      </c>
      <c r="J798">
        <f t="shared" si="572"/>
        <v>507.78157083432524</v>
      </c>
      <c r="K798">
        <f t="shared" si="572"/>
        <v>544.1349601950177</v>
      </c>
      <c r="L798">
        <f t="shared" si="572"/>
        <v>311.92083160048918</v>
      </c>
      <c r="M798">
        <f t="shared" si="572"/>
        <v>434.67720541937717</v>
      </c>
      <c r="N798">
        <f t="shared" si="572"/>
        <v>622.42875641682144</v>
      </c>
      <c r="O798">
        <f t="shared" si="572"/>
        <v>383.22828453197138</v>
      </c>
      <c r="P798">
        <f t="shared" si="572"/>
        <v>143.63314839159597</v>
      </c>
      <c r="Q798">
        <f t="shared" si="572"/>
        <v>147.4957033571103</v>
      </c>
      <c r="R798">
        <f t="shared" si="572"/>
        <v>188.30748339506482</v>
      </c>
      <c r="S798">
        <f t="shared" si="572"/>
        <v>335.7222152772855</v>
      </c>
      <c r="T798">
        <f t="shared" si="572"/>
        <v>450.42438760290327</v>
      </c>
      <c r="U798">
        <f t="shared" si="572"/>
        <v>302.6589686618052</v>
      </c>
      <c r="V798">
        <f t="shared" si="572"/>
        <v>434.31989923034627</v>
      </c>
      <c r="W798">
        <f t="shared" si="572"/>
        <v>560.5023913862442</v>
      </c>
      <c r="Y798" s="8">
        <f t="shared" si="557"/>
        <v>8511.0271899011859</v>
      </c>
      <c r="Z798">
        <f t="shared" si="558"/>
        <v>-665.08649481845998</v>
      </c>
    </row>
    <row r="799" spans="1:26" x14ac:dyDescent="0.25">
      <c r="A799" t="s">
        <v>58</v>
      </c>
      <c r="D799">
        <f t="shared" ref="D799:W799" si="573">D119*D187</f>
        <v>754.6761394979294</v>
      </c>
      <c r="E799">
        <f t="shared" si="573"/>
        <v>775.45438720135439</v>
      </c>
      <c r="F799">
        <f t="shared" si="573"/>
        <v>482.38981317749955</v>
      </c>
      <c r="G799">
        <f t="shared" si="573"/>
        <v>434.93962967659849</v>
      </c>
      <c r="H799">
        <f t="shared" si="573"/>
        <v>327.81829539575676</v>
      </c>
      <c r="I799">
        <f t="shared" si="573"/>
        <v>488.55598683386125</v>
      </c>
      <c r="J799">
        <f t="shared" si="573"/>
        <v>326.75716243030627</v>
      </c>
      <c r="K799">
        <f t="shared" si="573"/>
        <v>552.53069031452071</v>
      </c>
      <c r="L799">
        <f t="shared" si="573"/>
        <v>582.68276018915913</v>
      </c>
      <c r="M799">
        <f t="shared" si="573"/>
        <v>348.36019064827474</v>
      </c>
      <c r="N799">
        <f t="shared" si="573"/>
        <v>265.90474449775144</v>
      </c>
      <c r="O799">
        <f t="shared" si="573"/>
        <v>250.13381664677797</v>
      </c>
      <c r="P799">
        <f t="shared" si="573"/>
        <v>316.58362736006359</v>
      </c>
      <c r="Q799">
        <f t="shared" si="573"/>
        <v>494.11732384808499</v>
      </c>
      <c r="R799">
        <f t="shared" si="573"/>
        <v>464.67839183185043</v>
      </c>
      <c r="S799">
        <f t="shared" si="573"/>
        <v>369.72797443367028</v>
      </c>
      <c r="T799">
        <f t="shared" si="573"/>
        <v>706.40715757064436</v>
      </c>
      <c r="U799">
        <f t="shared" si="573"/>
        <v>567.73659934977093</v>
      </c>
      <c r="V799">
        <f t="shared" si="573"/>
        <v>216.29203238543221</v>
      </c>
      <c r="W799">
        <f t="shared" si="573"/>
        <v>547.29262618203632</v>
      </c>
      <c r="Y799" s="8">
        <f t="shared" si="557"/>
        <v>9273.0393494713426</v>
      </c>
      <c r="Z799">
        <f t="shared" si="558"/>
        <v>-375.65963936886453</v>
      </c>
    </row>
    <row r="800" spans="1:26" x14ac:dyDescent="0.25">
      <c r="A800" t="s">
        <v>59</v>
      </c>
      <c r="D800">
        <f t="shared" ref="D800:W800" si="574">D120*D188</f>
        <v>795.34458951585964</v>
      </c>
      <c r="E800">
        <f t="shared" si="574"/>
        <v>830.6489313791393</v>
      </c>
      <c r="F800">
        <f t="shared" si="574"/>
        <v>675.02059394392404</v>
      </c>
      <c r="G800">
        <f t="shared" si="574"/>
        <v>669.91460049726766</v>
      </c>
      <c r="H800">
        <f t="shared" si="574"/>
        <v>608.58108362125267</v>
      </c>
      <c r="I800">
        <f t="shared" si="574"/>
        <v>578.75297731388491</v>
      </c>
      <c r="J800">
        <f t="shared" si="574"/>
        <v>540.35442866066376</v>
      </c>
      <c r="K800">
        <f t="shared" si="574"/>
        <v>582.15586269603352</v>
      </c>
      <c r="L800">
        <f t="shared" si="574"/>
        <v>636.50451127697602</v>
      </c>
      <c r="M800">
        <f t="shared" si="574"/>
        <v>445.58724900988153</v>
      </c>
      <c r="N800">
        <f t="shared" si="574"/>
        <v>503.3995753622799</v>
      </c>
      <c r="O800">
        <f t="shared" si="574"/>
        <v>516.8314915547403</v>
      </c>
      <c r="P800">
        <f t="shared" si="574"/>
        <v>503.67268863359294</v>
      </c>
      <c r="Q800">
        <f t="shared" si="574"/>
        <v>461.93212292206243</v>
      </c>
      <c r="R800">
        <f t="shared" si="574"/>
        <v>597.05194510705678</v>
      </c>
      <c r="S800">
        <f t="shared" si="574"/>
        <v>651.47813977969827</v>
      </c>
      <c r="T800">
        <f t="shared" si="574"/>
        <v>645.04531043222698</v>
      </c>
      <c r="U800">
        <f t="shared" si="574"/>
        <v>562.16337120305059</v>
      </c>
      <c r="V800">
        <f t="shared" si="574"/>
        <v>729.98082461647653</v>
      </c>
      <c r="W800">
        <f t="shared" si="574"/>
        <v>663.95900223999422</v>
      </c>
      <c r="Y800" s="8">
        <f t="shared" si="557"/>
        <v>12198.37929976606</v>
      </c>
      <c r="Z800">
        <f t="shared" si="558"/>
        <v>-558.22977369403691</v>
      </c>
    </row>
    <row r="801" spans="1:26" x14ac:dyDescent="0.25">
      <c r="A801" t="s">
        <v>60</v>
      </c>
      <c r="D801">
        <f t="shared" ref="D801:W801" si="575">D121*D189</f>
        <v>733.77140315360839</v>
      </c>
      <c r="E801">
        <f t="shared" si="575"/>
        <v>756.59514274423395</v>
      </c>
      <c r="F801">
        <f t="shared" si="575"/>
        <v>623.78399930192461</v>
      </c>
      <c r="G801">
        <f t="shared" si="575"/>
        <v>671.66053264654465</v>
      </c>
      <c r="H801">
        <f t="shared" si="575"/>
        <v>616.46834114918488</v>
      </c>
      <c r="I801">
        <f t="shared" si="575"/>
        <v>598.17042890131256</v>
      </c>
      <c r="J801">
        <f t="shared" si="575"/>
        <v>563.56234372269569</v>
      </c>
      <c r="K801">
        <f t="shared" si="575"/>
        <v>588.1243289882658</v>
      </c>
      <c r="L801">
        <f t="shared" si="575"/>
        <v>656.06502828928046</v>
      </c>
      <c r="M801">
        <f t="shared" si="575"/>
        <v>461.64312310470035</v>
      </c>
      <c r="N801">
        <f t="shared" si="575"/>
        <v>420.97643677947497</v>
      </c>
      <c r="O801">
        <f t="shared" si="575"/>
        <v>489.47779233145786</v>
      </c>
      <c r="P801">
        <f t="shared" si="575"/>
        <v>485.58908649558367</v>
      </c>
      <c r="Q801">
        <f t="shared" si="575"/>
        <v>482.50304861020004</v>
      </c>
      <c r="R801">
        <f t="shared" si="575"/>
        <v>961.59135995612019</v>
      </c>
      <c r="S801">
        <f t="shared" si="575"/>
        <v>907.71155074392789</v>
      </c>
      <c r="T801">
        <f t="shared" si="575"/>
        <v>677.91315774868656</v>
      </c>
      <c r="U801">
        <f t="shared" si="575"/>
        <v>637.54225569119524</v>
      </c>
      <c r="V801">
        <f t="shared" si="575"/>
        <v>710.17488890701145</v>
      </c>
      <c r="W801">
        <f t="shared" si="575"/>
        <v>658.91700473372532</v>
      </c>
      <c r="Y801" s="8">
        <f t="shared" si="557"/>
        <v>12702.241253999133</v>
      </c>
      <c r="Z801">
        <f t="shared" si="558"/>
        <v>-484.59013307568057</v>
      </c>
    </row>
    <row r="802" spans="1:26" x14ac:dyDescent="0.25">
      <c r="A802" t="s">
        <v>61</v>
      </c>
      <c r="D802">
        <f t="shared" ref="D802:W802" si="576">D122*D190</f>
        <v>1172.6977114036504</v>
      </c>
      <c r="E802">
        <f t="shared" si="576"/>
        <v>1294.9886946845356</v>
      </c>
      <c r="F802">
        <f t="shared" si="576"/>
        <v>992.86246484469348</v>
      </c>
      <c r="G802">
        <f t="shared" si="576"/>
        <v>656.48254231295516</v>
      </c>
      <c r="H802">
        <f t="shared" si="576"/>
        <v>556.6995623771453</v>
      </c>
      <c r="I802">
        <f t="shared" si="576"/>
        <v>469.92616953413722</v>
      </c>
      <c r="J802">
        <f t="shared" si="576"/>
        <v>409.18823831966404</v>
      </c>
      <c r="K802">
        <f t="shared" si="576"/>
        <v>514.59837707503084</v>
      </c>
      <c r="L802">
        <f t="shared" si="576"/>
        <v>500.95140986725619</v>
      </c>
      <c r="M802">
        <f t="shared" si="576"/>
        <v>429.54426631405101</v>
      </c>
      <c r="N802">
        <f t="shared" si="576"/>
        <v>433.602886870514</v>
      </c>
      <c r="O802">
        <f t="shared" si="576"/>
        <v>525.67914209462299</v>
      </c>
      <c r="P802">
        <f t="shared" si="576"/>
        <v>521.80270308853301</v>
      </c>
      <c r="Q802">
        <f t="shared" si="576"/>
        <v>481.66153183669871</v>
      </c>
      <c r="R802">
        <f t="shared" si="576"/>
        <v>610.4257798458367</v>
      </c>
      <c r="S802">
        <f t="shared" si="576"/>
        <v>926.033255528572</v>
      </c>
      <c r="T802">
        <f t="shared" si="576"/>
        <v>702.77452285198888</v>
      </c>
      <c r="U802">
        <f t="shared" si="576"/>
        <v>370.93837300120629</v>
      </c>
      <c r="V802">
        <f t="shared" si="576"/>
        <v>637.90153946598809</v>
      </c>
      <c r="W802">
        <f t="shared" si="576"/>
        <v>498.10512578486572</v>
      </c>
      <c r="Y802" s="8">
        <f t="shared" si="557"/>
        <v>12706.864297101945</v>
      </c>
      <c r="Z802">
        <f t="shared" si="558"/>
        <v>-649.27581280167954</v>
      </c>
    </row>
    <row r="803" spans="1:26" x14ac:dyDescent="0.25">
      <c r="A803" t="s">
        <v>62</v>
      </c>
      <c r="D803">
        <f t="shared" ref="D803:W803" si="577">D123*D191</f>
        <v>721.04959334904925</v>
      </c>
      <c r="E803">
        <f t="shared" si="577"/>
        <v>706.73372063829777</v>
      </c>
      <c r="F803">
        <f t="shared" si="577"/>
        <v>495.42749485364141</v>
      </c>
      <c r="G803">
        <f t="shared" si="577"/>
        <v>502.23581878878946</v>
      </c>
      <c r="H803">
        <f t="shared" si="577"/>
        <v>444.70296001944342</v>
      </c>
      <c r="I803">
        <f t="shared" si="577"/>
        <v>537.03291369658825</v>
      </c>
      <c r="J803">
        <f t="shared" si="577"/>
        <v>490.34285349746796</v>
      </c>
      <c r="K803">
        <f t="shared" si="577"/>
        <v>426.2564332931475</v>
      </c>
      <c r="L803">
        <f t="shared" si="577"/>
        <v>542.76171961380226</v>
      </c>
      <c r="M803">
        <f t="shared" si="577"/>
        <v>368.0542632198231</v>
      </c>
      <c r="N803">
        <f t="shared" si="577"/>
        <v>461.09731514742566</v>
      </c>
      <c r="O803">
        <f t="shared" si="577"/>
        <v>466.78558289588887</v>
      </c>
      <c r="P803">
        <f t="shared" si="577"/>
        <v>512.68956436421661</v>
      </c>
      <c r="Q803">
        <f t="shared" si="577"/>
        <v>466.57840291271856</v>
      </c>
      <c r="R803">
        <f t="shared" si="577"/>
        <v>884.70826503343937</v>
      </c>
      <c r="S803">
        <f t="shared" si="577"/>
        <v>871.73131444445926</v>
      </c>
      <c r="T803">
        <f t="shared" si="577"/>
        <v>948.35135443206138</v>
      </c>
      <c r="U803">
        <f t="shared" si="577"/>
        <v>918.89135998863549</v>
      </c>
      <c r="V803">
        <f t="shared" si="577"/>
        <v>804.0838462319598</v>
      </c>
      <c r="W803">
        <f t="shared" si="577"/>
        <v>877.0578471878564</v>
      </c>
      <c r="Y803" s="8">
        <f t="shared" si="557"/>
        <v>12446.572623608712</v>
      </c>
      <c r="Z803">
        <f t="shared" si="558"/>
        <v>-339.03354049888753</v>
      </c>
    </row>
    <row r="804" spans="1:26" x14ac:dyDescent="0.25">
      <c r="A804" t="s">
        <v>63</v>
      </c>
      <c r="D804">
        <f t="shared" ref="D804:W804" si="578">D124*D192</f>
        <v>701.91904119750347</v>
      </c>
      <c r="E804">
        <f t="shared" si="578"/>
        <v>516.5500982725639</v>
      </c>
      <c r="F804">
        <f t="shared" si="578"/>
        <v>598.46505811726468</v>
      </c>
      <c r="G804">
        <f t="shared" si="578"/>
        <v>683.7381801316692</v>
      </c>
      <c r="H804">
        <f t="shared" si="578"/>
        <v>691.9125617230527</v>
      </c>
      <c r="I804">
        <f t="shared" si="578"/>
        <v>520.61884956530275</v>
      </c>
      <c r="J804">
        <f t="shared" si="578"/>
        <v>519.77332648135132</v>
      </c>
      <c r="K804">
        <f t="shared" si="578"/>
        <v>650.42288097979849</v>
      </c>
      <c r="L804">
        <f t="shared" si="578"/>
        <v>701.30928076058012</v>
      </c>
      <c r="M804">
        <f t="shared" si="578"/>
        <v>341.41653913376513</v>
      </c>
      <c r="N804">
        <f t="shared" si="578"/>
        <v>394.80971659541325</v>
      </c>
      <c r="O804">
        <f t="shared" si="578"/>
        <v>395.64581820198953</v>
      </c>
      <c r="P804">
        <f t="shared" si="578"/>
        <v>404.66128920582469</v>
      </c>
      <c r="Q804">
        <f t="shared" si="578"/>
        <v>346.16731637610667</v>
      </c>
      <c r="R804">
        <f t="shared" si="578"/>
        <v>406.95358814597012</v>
      </c>
      <c r="S804">
        <f t="shared" si="578"/>
        <v>571.15428724660057</v>
      </c>
      <c r="T804">
        <f t="shared" si="578"/>
        <v>553.02975247118763</v>
      </c>
      <c r="U804">
        <f t="shared" si="578"/>
        <v>474.60389766801489</v>
      </c>
      <c r="V804">
        <f t="shared" si="578"/>
        <v>686.17820189905183</v>
      </c>
      <c r="W804">
        <f t="shared" si="578"/>
        <v>609.90289193154513</v>
      </c>
      <c r="Y804" s="8">
        <f t="shared" si="557"/>
        <v>10769.232576104558</v>
      </c>
      <c r="Z804">
        <f t="shared" si="558"/>
        <v>-462.01413269286974</v>
      </c>
    </row>
    <row r="805" spans="1:26" x14ac:dyDescent="0.25">
      <c r="A805" t="s">
        <v>64</v>
      </c>
      <c r="D805">
        <f t="shared" ref="D805:W805" si="579">D125*D193</f>
        <v>680.14437726461358</v>
      </c>
      <c r="E805">
        <f t="shared" si="579"/>
        <v>843.35452111065047</v>
      </c>
      <c r="F805">
        <f t="shared" si="579"/>
        <v>589.65573515600738</v>
      </c>
      <c r="G805">
        <f t="shared" si="579"/>
        <v>860.23320255172666</v>
      </c>
      <c r="H805">
        <f t="shared" si="579"/>
        <v>593.12498007335751</v>
      </c>
      <c r="I805">
        <f t="shared" si="579"/>
        <v>549.47662061432504</v>
      </c>
      <c r="J805">
        <f t="shared" si="579"/>
        <v>472.0953198123089</v>
      </c>
      <c r="K805">
        <f t="shared" si="579"/>
        <v>519.12238928837439</v>
      </c>
      <c r="L805">
        <f t="shared" si="579"/>
        <v>520.01982787885004</v>
      </c>
      <c r="M805">
        <f t="shared" si="579"/>
        <v>481.42403988814658</v>
      </c>
      <c r="N805">
        <f t="shared" si="579"/>
        <v>522.53044098762155</v>
      </c>
      <c r="O805">
        <f t="shared" si="579"/>
        <v>513.85485641754178</v>
      </c>
      <c r="P805">
        <f t="shared" si="579"/>
        <v>455.9379214094464</v>
      </c>
      <c r="Q805">
        <f t="shared" si="579"/>
        <v>441.38950481015269</v>
      </c>
      <c r="R805">
        <f t="shared" si="579"/>
        <v>432.61963781618635</v>
      </c>
      <c r="S805">
        <f t="shared" si="579"/>
        <v>414.22008668008419</v>
      </c>
      <c r="T805">
        <f t="shared" si="579"/>
        <v>461.50392182362458</v>
      </c>
      <c r="U805">
        <f t="shared" si="579"/>
        <v>425.49187705628935</v>
      </c>
      <c r="V805">
        <f t="shared" si="579"/>
        <v>711.30383722039517</v>
      </c>
      <c r="W805">
        <f t="shared" si="579"/>
        <v>600.07227354999782</v>
      </c>
      <c r="Y805" s="8">
        <f t="shared" si="557"/>
        <v>11087.575371409703</v>
      </c>
      <c r="Z805">
        <f t="shared" si="558"/>
        <v>-666.02524485216475</v>
      </c>
    </row>
    <row r="806" spans="1:26" x14ac:dyDescent="0.25">
      <c r="A806" t="s">
        <v>65</v>
      </c>
      <c r="D806">
        <f t="shared" ref="D806:W806" si="580">D126*D194</f>
        <v>1080.5977425351055</v>
      </c>
      <c r="E806">
        <f t="shared" si="580"/>
        <v>1141.1766008058075</v>
      </c>
      <c r="F806">
        <f t="shared" si="580"/>
        <v>808.51800200077901</v>
      </c>
      <c r="G806">
        <f t="shared" si="580"/>
        <v>775.34667357183037</v>
      </c>
      <c r="H806">
        <f t="shared" si="580"/>
        <v>851.42365808948705</v>
      </c>
      <c r="I806">
        <f t="shared" si="580"/>
        <v>1001.6681155778872</v>
      </c>
      <c r="J806">
        <f t="shared" si="580"/>
        <v>866.14556320434474</v>
      </c>
      <c r="K806">
        <f t="shared" si="580"/>
        <v>877.50153457921556</v>
      </c>
      <c r="L806">
        <f t="shared" si="580"/>
        <v>1000.0331313304105</v>
      </c>
      <c r="M806">
        <f t="shared" si="580"/>
        <v>618.61271386225781</v>
      </c>
      <c r="N806">
        <f t="shared" si="580"/>
        <v>708.37098741397665</v>
      </c>
      <c r="O806">
        <f t="shared" si="580"/>
        <v>663.78498947771618</v>
      </c>
      <c r="P806">
        <f t="shared" si="580"/>
        <v>598.93771964159225</v>
      </c>
      <c r="Q806">
        <f t="shared" si="580"/>
        <v>556.98498186876395</v>
      </c>
      <c r="R806">
        <f t="shared" si="580"/>
        <v>666.54658701510334</v>
      </c>
      <c r="S806">
        <f t="shared" si="580"/>
        <v>506.75986534565237</v>
      </c>
      <c r="T806">
        <f t="shared" si="580"/>
        <v>540.08666235795829</v>
      </c>
      <c r="U806">
        <f t="shared" si="580"/>
        <v>671.74594949000721</v>
      </c>
      <c r="V806">
        <f t="shared" si="580"/>
        <v>810.26934991481164</v>
      </c>
      <c r="W806">
        <f t="shared" si="580"/>
        <v>765.21862608594824</v>
      </c>
      <c r="Y806" s="8">
        <f t="shared" si="557"/>
        <v>15509.729454168653</v>
      </c>
      <c r="Z806">
        <f t="shared" si="558"/>
        <v>-864.95723401318355</v>
      </c>
    </row>
    <row r="807" spans="1:26" x14ac:dyDescent="0.25">
      <c r="A807" t="s">
        <v>66</v>
      </c>
      <c r="D807">
        <f t="shared" ref="D807:W807" si="581">D127*D195</f>
        <v>520.17565659664081</v>
      </c>
      <c r="E807">
        <f t="shared" si="581"/>
        <v>642.83532007520262</v>
      </c>
      <c r="F807">
        <f t="shared" si="581"/>
        <v>645.35092062349281</v>
      </c>
      <c r="G807">
        <f t="shared" si="581"/>
        <v>566.05123271859566</v>
      </c>
      <c r="H807">
        <f t="shared" si="581"/>
        <v>532.30563308521812</v>
      </c>
      <c r="I807">
        <f t="shared" si="581"/>
        <v>422.18899045469266</v>
      </c>
      <c r="J807">
        <f t="shared" si="581"/>
        <v>469.88596792472759</v>
      </c>
      <c r="K807">
        <f t="shared" si="581"/>
        <v>455.93509437344505</v>
      </c>
      <c r="L807">
        <f t="shared" si="581"/>
        <v>500.36561616232905</v>
      </c>
      <c r="M807">
        <f t="shared" si="581"/>
        <v>504.79749038108508</v>
      </c>
      <c r="N807">
        <f t="shared" si="581"/>
        <v>445.77800644429584</v>
      </c>
      <c r="O807">
        <f t="shared" si="581"/>
        <v>607.3273937854143</v>
      </c>
      <c r="P807">
        <f t="shared" si="581"/>
        <v>600.6829620849004</v>
      </c>
      <c r="Q807">
        <f t="shared" si="581"/>
        <v>454.42826956404741</v>
      </c>
      <c r="R807">
        <f t="shared" si="581"/>
        <v>640.50745539364107</v>
      </c>
      <c r="S807">
        <f t="shared" si="581"/>
        <v>699.86069824983463</v>
      </c>
      <c r="T807">
        <f t="shared" si="581"/>
        <v>853.52157758839451</v>
      </c>
      <c r="U807">
        <f t="shared" si="581"/>
        <v>694.69143065324431</v>
      </c>
      <c r="V807">
        <f t="shared" si="581"/>
        <v>498.55255705187921</v>
      </c>
      <c r="W807">
        <f t="shared" si="581"/>
        <v>457.05733332778721</v>
      </c>
      <c r="Y807" s="8">
        <f t="shared" si="557"/>
        <v>11212.299606538869</v>
      </c>
      <c r="Z807">
        <f t="shared" si="558"/>
        <v>-301.89536055831377</v>
      </c>
    </row>
    <row r="808" spans="1:26" x14ac:dyDescent="0.25">
      <c r="A808" t="s">
        <v>67</v>
      </c>
      <c r="D808">
        <f t="shared" ref="D808:W808" si="582">D128*D196</f>
        <v>436.68575027148842</v>
      </c>
      <c r="E808">
        <f t="shared" si="582"/>
        <v>542.36273659185576</v>
      </c>
      <c r="F808">
        <f t="shared" si="582"/>
        <v>536.85976571268441</v>
      </c>
      <c r="G808">
        <f t="shared" si="582"/>
        <v>523.56526517277109</v>
      </c>
      <c r="H808">
        <f t="shared" si="582"/>
        <v>524.45438309971689</v>
      </c>
      <c r="I808">
        <f t="shared" si="582"/>
        <v>481.26552577917812</v>
      </c>
      <c r="J808">
        <f t="shared" si="582"/>
        <v>504.75491152874434</v>
      </c>
      <c r="K808">
        <f t="shared" si="582"/>
        <v>502.14903265316445</v>
      </c>
      <c r="L808">
        <f t="shared" si="582"/>
        <v>485.07519154395334</v>
      </c>
      <c r="M808">
        <f t="shared" si="582"/>
        <v>530.71791610824391</v>
      </c>
      <c r="N808">
        <f t="shared" si="582"/>
        <v>482.89775280470872</v>
      </c>
      <c r="O808">
        <f t="shared" si="582"/>
        <v>585.70487980571124</v>
      </c>
      <c r="P808">
        <f t="shared" si="582"/>
        <v>545.24260612560829</v>
      </c>
      <c r="Q808">
        <f t="shared" si="582"/>
        <v>510.0584488521867</v>
      </c>
      <c r="R808">
        <f t="shared" si="582"/>
        <v>359.2087374035163</v>
      </c>
      <c r="S808">
        <f t="shared" si="582"/>
        <v>339.90692398909249</v>
      </c>
      <c r="T808">
        <f t="shared" si="582"/>
        <v>353.1286672804203</v>
      </c>
      <c r="U808">
        <f t="shared" si="582"/>
        <v>363.20740625981568</v>
      </c>
      <c r="V808">
        <f t="shared" si="582"/>
        <v>794.39367423898079</v>
      </c>
      <c r="W808">
        <f t="shared" si="582"/>
        <v>715.6962083134747</v>
      </c>
      <c r="Y808" s="8">
        <f t="shared" si="557"/>
        <v>10117.335783535316</v>
      </c>
      <c r="Z808">
        <f t="shared" si="558"/>
        <v>-551.45552886654548</v>
      </c>
    </row>
    <row r="809" spans="1:26" x14ac:dyDescent="0.25">
      <c r="Y809" s="8"/>
    </row>
    <row r="810" spans="1:26" x14ac:dyDescent="0.25">
      <c r="A810" t="s">
        <v>68</v>
      </c>
      <c r="D810">
        <f t="shared" ref="D810:W810" si="583">D130*D198</f>
        <v>756.03605126662751</v>
      </c>
      <c r="E810">
        <f t="shared" si="583"/>
        <v>601.79726619167911</v>
      </c>
      <c r="F810">
        <f t="shared" si="583"/>
        <v>571.12266724463984</v>
      </c>
      <c r="G810">
        <f t="shared" si="583"/>
        <v>630.66375316910603</v>
      </c>
      <c r="H810">
        <f t="shared" si="583"/>
        <v>646.75102772122955</v>
      </c>
      <c r="I810">
        <f t="shared" si="583"/>
        <v>627.8032369457361</v>
      </c>
      <c r="J810">
        <f t="shared" si="583"/>
        <v>528.14728527040779</v>
      </c>
      <c r="K810">
        <f t="shared" si="583"/>
        <v>511.45450571226991</v>
      </c>
      <c r="L810">
        <f t="shared" si="583"/>
        <v>522.54382631041574</v>
      </c>
      <c r="M810">
        <f t="shared" si="583"/>
        <v>444.13014145427746</v>
      </c>
      <c r="N810">
        <f t="shared" si="583"/>
        <v>463.64257024110697</v>
      </c>
      <c r="O810">
        <f t="shared" si="583"/>
        <v>488.47169234187646</v>
      </c>
      <c r="P810">
        <f t="shared" si="583"/>
        <v>462.14993015961653</v>
      </c>
      <c r="Q810">
        <f t="shared" si="583"/>
        <v>450.56749813721416</v>
      </c>
      <c r="R810">
        <f t="shared" si="583"/>
        <v>474.27963766055058</v>
      </c>
      <c r="S810">
        <f t="shared" si="583"/>
        <v>523.90529136552925</v>
      </c>
      <c r="T810">
        <f t="shared" si="583"/>
        <v>726.74699691333376</v>
      </c>
      <c r="U810">
        <f t="shared" si="583"/>
        <v>546.18243118893668</v>
      </c>
      <c r="V810">
        <f t="shared" si="583"/>
        <v>618.14467277711674</v>
      </c>
      <c r="W810">
        <f t="shared" si="583"/>
        <v>533.10734969522514</v>
      </c>
      <c r="Y810" s="8">
        <f t="shared" si="557"/>
        <v>11127.647831766893</v>
      </c>
      <c r="Z810">
        <f>SUMPRODUCT($D$814:$W$814,D810:W810)</f>
        <v>-452.66296198617852</v>
      </c>
    </row>
    <row r="811" spans="1:26" x14ac:dyDescent="0.25">
      <c r="A811" t="s">
        <v>312</v>
      </c>
      <c r="D811">
        <f t="shared" ref="D811:W811" si="584">D131*D199</f>
        <v>1120.0933915103105</v>
      </c>
      <c r="E811">
        <f t="shared" si="584"/>
        <v>1127.3228438941624</v>
      </c>
      <c r="F811">
        <f t="shared" si="584"/>
        <v>675.96877035614511</v>
      </c>
      <c r="G811">
        <f t="shared" si="584"/>
        <v>800.38774272792568</v>
      </c>
      <c r="H811">
        <f t="shared" si="584"/>
        <v>947.3971067954144</v>
      </c>
      <c r="I811">
        <f t="shared" si="584"/>
        <v>890.32257609904138</v>
      </c>
      <c r="J811">
        <f t="shared" si="584"/>
        <v>898.38146365331193</v>
      </c>
      <c r="K811">
        <f t="shared" si="584"/>
        <v>684.6585898435244</v>
      </c>
      <c r="L811">
        <f t="shared" si="584"/>
        <v>626.48273687315213</v>
      </c>
      <c r="M811">
        <f t="shared" si="584"/>
        <v>628.26651383635874</v>
      </c>
      <c r="N811">
        <f t="shared" si="584"/>
        <v>534.48587185822566</v>
      </c>
      <c r="O811">
        <f t="shared" si="584"/>
        <v>608.20499129387031</v>
      </c>
      <c r="P811">
        <f t="shared" si="584"/>
        <v>765.59999999999991</v>
      </c>
      <c r="Q811">
        <f t="shared" si="584"/>
        <v>772.59</v>
      </c>
      <c r="R811">
        <f t="shared" si="584"/>
        <v>940.68</v>
      </c>
      <c r="S811">
        <f t="shared" si="584"/>
        <v>266.19</v>
      </c>
      <c r="T811">
        <f t="shared" si="584"/>
        <v>859.09999999999991</v>
      </c>
      <c r="U811">
        <f t="shared" si="584"/>
        <v>554.4</v>
      </c>
      <c r="V811">
        <f t="shared" si="584"/>
        <v>572.22</v>
      </c>
      <c r="W811">
        <f t="shared" si="584"/>
        <v>534</v>
      </c>
      <c r="Y811" s="8">
        <f t="shared" si="557"/>
        <v>14806.752598741443</v>
      </c>
      <c r="Z811">
        <f>SUMPRODUCT($D$814:$W$814,D811:W811)</f>
        <v>-759.06940550928084</v>
      </c>
    </row>
    <row r="812" spans="1:26" x14ac:dyDescent="0.25">
      <c r="A812" t="s">
        <v>313</v>
      </c>
      <c r="D812">
        <f t="shared" ref="D812:W812" si="585">D132*D200</f>
        <v>867.16000000000008</v>
      </c>
      <c r="E812">
        <f t="shared" si="585"/>
        <v>987.69</v>
      </c>
      <c r="F812">
        <f t="shared" si="585"/>
        <v>734.39</v>
      </c>
      <c r="G812">
        <f t="shared" si="585"/>
        <v>757.8599999999999</v>
      </c>
      <c r="H812">
        <f t="shared" si="585"/>
        <v>1008.9399999999999</v>
      </c>
      <c r="I812">
        <f t="shared" si="585"/>
        <v>781.81999999999994</v>
      </c>
      <c r="J812">
        <f t="shared" si="585"/>
        <v>839.79000000000008</v>
      </c>
      <c r="K812">
        <f t="shared" si="585"/>
        <v>948.63</v>
      </c>
      <c r="L812">
        <f t="shared" si="585"/>
        <v>699.36000000000013</v>
      </c>
      <c r="M812">
        <f t="shared" si="585"/>
        <v>652.36000000000013</v>
      </c>
      <c r="N812">
        <f t="shared" si="585"/>
        <v>597.54999999999995</v>
      </c>
      <c r="O812">
        <f t="shared" si="585"/>
        <v>642.42000000000007</v>
      </c>
      <c r="P812">
        <f t="shared" si="585"/>
        <v>498.42035881065266</v>
      </c>
      <c r="Q812">
        <f t="shared" si="585"/>
        <v>455.82378283137484</v>
      </c>
      <c r="R812">
        <f t="shared" si="585"/>
        <v>591.26503220331995</v>
      </c>
      <c r="S812">
        <f t="shared" si="585"/>
        <v>586.20825220565803</v>
      </c>
      <c r="T812">
        <f t="shared" si="585"/>
        <v>622.73395488219899</v>
      </c>
      <c r="U812">
        <f t="shared" si="585"/>
        <v>616.15133211878629</v>
      </c>
      <c r="V812">
        <f t="shared" si="585"/>
        <v>753.0321913804413</v>
      </c>
      <c r="W812">
        <f t="shared" si="585"/>
        <v>708.9134812788227</v>
      </c>
      <c r="Y812" s="8">
        <f t="shared" si="557"/>
        <v>14350.518385711255</v>
      </c>
      <c r="Z812">
        <f>SUMPRODUCT($D$814:$W$814,D812:W812)</f>
        <v>-739.11086963721812</v>
      </c>
    </row>
    <row r="813" spans="1:26" x14ac:dyDescent="0.25">
      <c r="A813" t="s">
        <v>676</v>
      </c>
      <c r="D813">
        <f t="shared" ref="D813:W813" si="586">D133*D201</f>
        <v>776.86658948722595</v>
      </c>
      <c r="E813">
        <f t="shared" si="586"/>
        <v>580.01078073001599</v>
      </c>
      <c r="F813">
        <f t="shared" si="586"/>
        <v>587.01232206376994</v>
      </c>
      <c r="G813">
        <f t="shared" si="586"/>
        <v>623.17281382337933</v>
      </c>
      <c r="H813">
        <f t="shared" si="586"/>
        <v>648.27196111656792</v>
      </c>
      <c r="I813">
        <f t="shared" si="586"/>
        <v>548.29421414769376</v>
      </c>
      <c r="J813">
        <f t="shared" si="586"/>
        <v>513.84220436261023</v>
      </c>
      <c r="K813">
        <f t="shared" si="586"/>
        <v>577.2056275969577</v>
      </c>
      <c r="L813">
        <f t="shared" si="586"/>
        <v>612.65848578121222</v>
      </c>
      <c r="M813">
        <f t="shared" si="586"/>
        <v>443.65396645064135</v>
      </c>
      <c r="N813">
        <f t="shared" si="586"/>
        <v>464.00545089442898</v>
      </c>
      <c r="O813">
        <f t="shared" si="586"/>
        <v>486.27294677215599</v>
      </c>
      <c r="P813">
        <f t="shared" si="586"/>
        <v>427.69297917191335</v>
      </c>
      <c r="Q813">
        <f t="shared" si="586"/>
        <v>444.93730063190429</v>
      </c>
      <c r="R813">
        <f t="shared" si="586"/>
        <v>581.03510069812853</v>
      </c>
      <c r="S813">
        <f t="shared" si="586"/>
        <v>621.39764521180359</v>
      </c>
      <c r="T813">
        <f t="shared" si="586"/>
        <v>640.31337845144355</v>
      </c>
      <c r="U813">
        <f t="shared" si="586"/>
        <v>555.53116716916543</v>
      </c>
      <c r="V813">
        <f t="shared" si="586"/>
        <v>637.1588963288051</v>
      </c>
      <c r="W813">
        <f t="shared" si="586"/>
        <v>651.7493189905</v>
      </c>
      <c r="Y813" s="8">
        <f t="shared" ref="Y813" si="587">SUM(D813:W813)</f>
        <v>11421.083149880324</v>
      </c>
      <c r="Z813">
        <f>SUMPRODUCT($D$814:$W$814,D813:W813)</f>
        <v>-500.6127934863606</v>
      </c>
    </row>
    <row r="814" spans="1:26" x14ac:dyDescent="0.25">
      <c r="A814" s="2" t="s">
        <v>69</v>
      </c>
      <c r="D814" s="3">
        <f>CORREL($B$2:$B$26,D784:D808)</f>
        <v>-0.27747577058301204</v>
      </c>
      <c r="E814" s="3">
        <f t="shared" ref="E814:W814" si="588">CORREL($B$2:$B$26,E784:E808)</f>
        <v>-0.116003701202159</v>
      </c>
      <c r="F814" s="3">
        <f t="shared" si="588"/>
        <v>-7.3035525761369846E-2</v>
      </c>
      <c r="G814" s="3">
        <f t="shared" si="588"/>
        <v>-0.24221880096198123</v>
      </c>
      <c r="H814" s="3">
        <f t="shared" si="588"/>
        <v>2.1687332352783268E-2</v>
      </c>
      <c r="I814" s="3">
        <f t="shared" si="588"/>
        <v>4.8798462272743766E-3</v>
      </c>
      <c r="J814" s="3">
        <f t="shared" si="588"/>
        <v>-5.2390382488758352E-2</v>
      </c>
      <c r="K814" s="3">
        <f t="shared" si="588"/>
        <v>-0.10268126172792416</v>
      </c>
      <c r="L814" s="3">
        <f t="shared" si="588"/>
        <v>0.12542371656091442</v>
      </c>
      <c r="M814" s="3">
        <f t="shared" si="588"/>
        <v>-0.1346907185002672</v>
      </c>
      <c r="N814" s="3">
        <f t="shared" si="588"/>
        <v>-0.28871611726393742</v>
      </c>
      <c r="O814" s="3">
        <f t="shared" si="588"/>
        <v>-5.0830586718190074E-2</v>
      </c>
      <c r="P814" s="3">
        <f t="shared" si="588"/>
        <v>4.9460416043945764E-2</v>
      </c>
      <c r="Q814" s="3">
        <f t="shared" si="588"/>
        <v>-5.6015996352653072E-2</v>
      </c>
      <c r="R814" s="3">
        <f t="shared" si="588"/>
        <v>-8.0652611003668759E-2</v>
      </c>
      <c r="S814" s="3">
        <f t="shared" si="588"/>
        <v>0.13122157345485702</v>
      </c>
      <c r="T814" s="3">
        <f t="shared" si="588"/>
        <v>0.35446764773903544</v>
      </c>
      <c r="U814" s="3">
        <f t="shared" si="588"/>
        <v>8.3565925102731697E-2</v>
      </c>
      <c r="V814" s="3">
        <f t="shared" si="588"/>
        <v>2.0316610330440802E-2</v>
      </c>
      <c r="W814" s="3">
        <f t="shared" si="588"/>
        <v>-0.19968928138679631</v>
      </c>
    </row>
    <row r="817" spans="1:26" x14ac:dyDescent="0.25">
      <c r="D817" t="s">
        <v>268</v>
      </c>
      <c r="E817" t="s">
        <v>269</v>
      </c>
      <c r="F817" t="s">
        <v>270</v>
      </c>
      <c r="G817" t="s">
        <v>271</v>
      </c>
      <c r="H817" t="s">
        <v>272</v>
      </c>
      <c r="I817" t="s">
        <v>273</v>
      </c>
      <c r="J817" t="s">
        <v>274</v>
      </c>
      <c r="K817" t="s">
        <v>275</v>
      </c>
      <c r="L817" t="s">
        <v>339</v>
      </c>
      <c r="M817" t="s">
        <v>415</v>
      </c>
      <c r="N817" t="s">
        <v>416</v>
      </c>
      <c r="O817" t="s">
        <v>417</v>
      </c>
      <c r="P817" t="s">
        <v>548</v>
      </c>
      <c r="Q817" t="s">
        <v>549</v>
      </c>
      <c r="R817" t="s">
        <v>550</v>
      </c>
      <c r="S817" t="s">
        <v>551</v>
      </c>
      <c r="T817" t="s">
        <v>660</v>
      </c>
      <c r="U817" t="s">
        <v>661</v>
      </c>
      <c r="V817" t="s">
        <v>662</v>
      </c>
      <c r="W817" t="s">
        <v>663</v>
      </c>
      <c r="Y817" t="s">
        <v>276</v>
      </c>
      <c r="Z817" t="s">
        <v>277</v>
      </c>
    </row>
    <row r="818" spans="1:26" x14ac:dyDescent="0.25">
      <c r="A818" t="s">
        <v>43</v>
      </c>
      <c r="D818">
        <f t="shared" ref="D818:W818" si="589">D104*D206</f>
        <v>998.68182725413135</v>
      </c>
      <c r="E818">
        <f t="shared" si="589"/>
        <v>669.0301238242223</v>
      </c>
      <c r="F818">
        <f t="shared" si="589"/>
        <v>837.79054382185018</v>
      </c>
      <c r="G818">
        <f t="shared" si="589"/>
        <v>1965.0891621672206</v>
      </c>
      <c r="H818">
        <f t="shared" si="589"/>
        <v>1382.3194325127895</v>
      </c>
      <c r="I818">
        <f t="shared" si="589"/>
        <v>611.43168079936697</v>
      </c>
      <c r="J818">
        <f t="shared" si="589"/>
        <v>873.46527328061779</v>
      </c>
      <c r="K818">
        <f t="shared" si="589"/>
        <v>756.72448281801815</v>
      </c>
      <c r="L818">
        <f t="shared" si="589"/>
        <v>567.59442080019903</v>
      </c>
      <c r="M818">
        <f t="shared" si="589"/>
        <v>402.94509664563407</v>
      </c>
      <c r="N818">
        <f t="shared" si="589"/>
        <v>661.74504073181492</v>
      </c>
      <c r="O818">
        <f t="shared" si="589"/>
        <v>959.5459015896605</v>
      </c>
      <c r="P818">
        <f t="shared" si="589"/>
        <v>642.96068153862836</v>
      </c>
      <c r="Q818">
        <f t="shared" si="589"/>
        <v>717.90158680430659</v>
      </c>
      <c r="R818">
        <f t="shared" si="589"/>
        <v>2343.1342801164978</v>
      </c>
      <c r="S818">
        <f t="shared" si="589"/>
        <v>973.17138013940519</v>
      </c>
      <c r="T818">
        <f t="shared" si="589"/>
        <v>631.88134371477088</v>
      </c>
      <c r="U818">
        <f t="shared" si="589"/>
        <v>640.97026819484881</v>
      </c>
      <c r="V818">
        <f t="shared" si="589"/>
        <v>1155.5664591982602</v>
      </c>
      <c r="W818">
        <f t="shared" si="589"/>
        <v>1186.8124670994123</v>
      </c>
      <c r="Y818" s="8">
        <f t="shared" ref="Y818:Y846" si="590">SUM(D818:W818)</f>
        <v>18978.761453051655</v>
      </c>
      <c r="Z818">
        <f t="shared" ref="Z818:Z842" si="591">SUMPRODUCT($D$848:$W$848,D818:W818)</f>
        <v>-589.61049844747538</v>
      </c>
    </row>
    <row r="819" spans="1:26" x14ac:dyDescent="0.25">
      <c r="A819" t="s">
        <v>44</v>
      </c>
      <c r="D819">
        <f t="shared" ref="D819:W819" si="592">D105*D207</f>
        <v>857.97432270532249</v>
      </c>
      <c r="E819">
        <f t="shared" si="592"/>
        <v>815.83573224446911</v>
      </c>
      <c r="F819">
        <f t="shared" si="592"/>
        <v>705.21343653806582</v>
      </c>
      <c r="G819">
        <f t="shared" si="592"/>
        <v>957.46173134664787</v>
      </c>
      <c r="H819">
        <f t="shared" si="592"/>
        <v>876.73701327634137</v>
      </c>
      <c r="I819">
        <f t="shared" si="592"/>
        <v>602.32048495279992</v>
      </c>
      <c r="J819">
        <f t="shared" si="592"/>
        <v>608.1047306044311</v>
      </c>
      <c r="K819">
        <f t="shared" si="592"/>
        <v>911.41873810611025</v>
      </c>
      <c r="L819">
        <f t="shared" si="592"/>
        <v>609.57738181191382</v>
      </c>
      <c r="M819">
        <f t="shared" si="592"/>
        <v>906.89055801590018</v>
      </c>
      <c r="N819">
        <f t="shared" si="592"/>
        <v>557.73776532120451</v>
      </c>
      <c r="O819">
        <f t="shared" si="592"/>
        <v>1122.9881565617841</v>
      </c>
      <c r="P819">
        <f t="shared" si="592"/>
        <v>546.79097774746288</v>
      </c>
      <c r="Q819">
        <f t="shared" si="592"/>
        <v>732.70368794851629</v>
      </c>
      <c r="R819">
        <f t="shared" si="592"/>
        <v>761.43588164575795</v>
      </c>
      <c r="S819">
        <f t="shared" si="592"/>
        <v>707.7432962183542</v>
      </c>
      <c r="T819">
        <f t="shared" si="592"/>
        <v>536.61750499593836</v>
      </c>
      <c r="U819">
        <f t="shared" si="592"/>
        <v>522.45537798102157</v>
      </c>
      <c r="V819">
        <f t="shared" si="592"/>
        <v>724.97969832305114</v>
      </c>
      <c r="W819">
        <f t="shared" si="592"/>
        <v>1178.8666782441949</v>
      </c>
      <c r="Y819" s="8">
        <f t="shared" si="590"/>
        <v>15243.853154589287</v>
      </c>
      <c r="Z819">
        <f t="shared" si="591"/>
        <v>-487.49046923066527</v>
      </c>
    </row>
    <row r="820" spans="1:26" x14ac:dyDescent="0.25">
      <c r="A820" t="s">
        <v>45</v>
      </c>
      <c r="D820">
        <f t="shared" ref="D820:W820" si="593">D106*D208</f>
        <v>937.73014838569918</v>
      </c>
      <c r="E820">
        <f t="shared" si="593"/>
        <v>834.42211466731032</v>
      </c>
      <c r="F820">
        <f t="shared" si="593"/>
        <v>901.51071980636925</v>
      </c>
      <c r="G820">
        <f t="shared" si="593"/>
        <v>845.49571909641645</v>
      </c>
      <c r="H820">
        <f t="shared" si="593"/>
        <v>774.85502067111076</v>
      </c>
      <c r="I820">
        <f t="shared" si="593"/>
        <v>554.0887922669009</v>
      </c>
      <c r="J820">
        <f t="shared" si="593"/>
        <v>531.43498236662663</v>
      </c>
      <c r="K820">
        <f t="shared" si="593"/>
        <v>524.84507451688739</v>
      </c>
      <c r="L820">
        <f t="shared" si="593"/>
        <v>813.77036862297302</v>
      </c>
      <c r="M820">
        <f t="shared" si="593"/>
        <v>853.75027053430131</v>
      </c>
      <c r="N820">
        <f t="shared" si="593"/>
        <v>467.27326416292146</v>
      </c>
      <c r="O820">
        <f t="shared" si="593"/>
        <v>838.78891639466417</v>
      </c>
      <c r="P820">
        <f t="shared" si="593"/>
        <v>957.42691779601228</v>
      </c>
      <c r="Q820">
        <f t="shared" si="593"/>
        <v>861.43525993311539</v>
      </c>
      <c r="R820">
        <f t="shared" si="593"/>
        <v>845.11353622393881</v>
      </c>
      <c r="S820">
        <f t="shared" si="593"/>
        <v>1088.0035326382169</v>
      </c>
      <c r="T820">
        <f t="shared" si="593"/>
        <v>884.52386691847437</v>
      </c>
      <c r="U820">
        <f t="shared" si="593"/>
        <v>1134.5490665017135</v>
      </c>
      <c r="V820">
        <f t="shared" si="593"/>
        <v>895.59637690461693</v>
      </c>
      <c r="W820">
        <f t="shared" si="593"/>
        <v>1126.1642280859649</v>
      </c>
      <c r="Y820" s="8">
        <f t="shared" si="590"/>
        <v>16670.778176494234</v>
      </c>
      <c r="Z820">
        <f t="shared" si="591"/>
        <v>-149.5400812170169</v>
      </c>
    </row>
    <row r="821" spans="1:26" x14ac:dyDescent="0.25">
      <c r="A821" t="s">
        <v>46</v>
      </c>
      <c r="D821">
        <f t="shared" ref="D821:W821" si="594">D107*D209</f>
        <v>1442.4062574742743</v>
      </c>
      <c r="E821">
        <f t="shared" si="594"/>
        <v>936.81106956634494</v>
      </c>
      <c r="F821">
        <f t="shared" si="594"/>
        <v>867.58093679246269</v>
      </c>
      <c r="G821">
        <f t="shared" si="594"/>
        <v>968.06179043561701</v>
      </c>
      <c r="H821">
        <f t="shared" si="594"/>
        <v>772.94715421863168</v>
      </c>
      <c r="I821">
        <f t="shared" si="594"/>
        <v>760.30116688202429</v>
      </c>
      <c r="J821">
        <f t="shared" si="594"/>
        <v>705.41001415480628</v>
      </c>
      <c r="K821">
        <f t="shared" si="594"/>
        <v>912.66851919553585</v>
      </c>
      <c r="L821">
        <f t="shared" si="594"/>
        <v>1004.4731327944215</v>
      </c>
      <c r="M821">
        <f t="shared" si="594"/>
        <v>423.16327816779267</v>
      </c>
      <c r="N821">
        <f t="shared" si="594"/>
        <v>665.78647133659115</v>
      </c>
      <c r="O821">
        <f t="shared" si="594"/>
        <v>745.96214874943269</v>
      </c>
      <c r="P821">
        <f t="shared" si="594"/>
        <v>1022.5804170239735</v>
      </c>
      <c r="Q821">
        <f t="shared" si="594"/>
        <v>1074.8520467842882</v>
      </c>
      <c r="R821">
        <f t="shared" si="594"/>
        <v>872.0077067359498</v>
      </c>
      <c r="S821">
        <f t="shared" si="594"/>
        <v>492.74568106290576</v>
      </c>
      <c r="T821">
        <f t="shared" si="594"/>
        <v>633.37805442445517</v>
      </c>
      <c r="U821">
        <f t="shared" si="594"/>
        <v>930.67329864785427</v>
      </c>
      <c r="V821">
        <f t="shared" si="594"/>
        <v>942.75310496636916</v>
      </c>
      <c r="W821">
        <f t="shared" si="594"/>
        <v>720.62568665461311</v>
      </c>
      <c r="Y821" s="8">
        <f t="shared" si="590"/>
        <v>16895.187936068342</v>
      </c>
      <c r="Z821">
        <f t="shared" si="591"/>
        <v>-570.23916745943711</v>
      </c>
    </row>
    <row r="822" spans="1:26" x14ac:dyDescent="0.25">
      <c r="A822" t="s">
        <v>47</v>
      </c>
      <c r="D822">
        <f t="shared" ref="D822:W822" si="595">D108*D210</f>
        <v>700.45443646115984</v>
      </c>
      <c r="E822">
        <f t="shared" si="595"/>
        <v>610.10749960204032</v>
      </c>
      <c r="F822">
        <f t="shared" si="595"/>
        <v>934.70258816171031</v>
      </c>
      <c r="G822">
        <f t="shared" si="595"/>
        <v>1003.2514677311575</v>
      </c>
      <c r="H822">
        <f t="shared" si="595"/>
        <v>784.51244615393034</v>
      </c>
      <c r="I822">
        <f t="shared" si="595"/>
        <v>362.1548568585352</v>
      </c>
      <c r="J822">
        <f t="shared" si="595"/>
        <v>554.33041856581474</v>
      </c>
      <c r="K822">
        <f t="shared" si="595"/>
        <v>555.28670688287809</v>
      </c>
      <c r="L822">
        <f t="shared" si="595"/>
        <v>215.3412240466385</v>
      </c>
      <c r="M822">
        <f t="shared" si="595"/>
        <v>236.74495000601217</v>
      </c>
      <c r="N822">
        <f t="shared" si="595"/>
        <v>216.54808465179082</v>
      </c>
      <c r="O822">
        <f t="shared" si="595"/>
        <v>233.81660243896533</v>
      </c>
      <c r="P822">
        <f t="shared" si="595"/>
        <v>391.30541201346796</v>
      </c>
      <c r="Q822">
        <f t="shared" si="595"/>
        <v>367.80379247198562</v>
      </c>
      <c r="R822">
        <f t="shared" si="595"/>
        <v>671.21712517884089</v>
      </c>
      <c r="S822">
        <f t="shared" si="595"/>
        <v>217.26761278328425</v>
      </c>
      <c r="T822">
        <f t="shared" si="595"/>
        <v>405.97760996200009</v>
      </c>
      <c r="U822">
        <f t="shared" si="595"/>
        <v>502.56945137631766</v>
      </c>
      <c r="V822">
        <f t="shared" si="595"/>
        <v>346.34425417295864</v>
      </c>
      <c r="W822">
        <f t="shared" si="595"/>
        <v>622.44056722296443</v>
      </c>
      <c r="Y822" s="8">
        <f t="shared" si="590"/>
        <v>9932.1771067424525</v>
      </c>
      <c r="Z822">
        <f t="shared" si="591"/>
        <v>-622.36873519437211</v>
      </c>
    </row>
    <row r="823" spans="1:26" x14ac:dyDescent="0.25">
      <c r="A823" t="s">
        <v>48</v>
      </c>
      <c r="D823">
        <f t="shared" ref="D823:W823" si="596">D109*D211</f>
        <v>970.23447022910784</v>
      </c>
      <c r="E823">
        <f t="shared" si="596"/>
        <v>660.20695110386839</v>
      </c>
      <c r="F823">
        <f t="shared" si="596"/>
        <v>679.98746229411051</v>
      </c>
      <c r="G823">
        <f t="shared" si="596"/>
        <v>1226.6861277789258</v>
      </c>
      <c r="H823">
        <f t="shared" si="596"/>
        <v>603.94845911760058</v>
      </c>
      <c r="I823">
        <f t="shared" si="596"/>
        <v>602.12548621268411</v>
      </c>
      <c r="J823">
        <f t="shared" si="596"/>
        <v>514.14137982971295</v>
      </c>
      <c r="K823">
        <f t="shared" si="596"/>
        <v>409.36310129835152</v>
      </c>
      <c r="L823">
        <f t="shared" si="596"/>
        <v>243.13223361924304</v>
      </c>
      <c r="M823">
        <f t="shared" si="596"/>
        <v>294.27403628555578</v>
      </c>
      <c r="N823">
        <f t="shared" si="596"/>
        <v>213.36107976647048</v>
      </c>
      <c r="O823">
        <f t="shared" si="596"/>
        <v>205.71719071841747</v>
      </c>
      <c r="P823">
        <f t="shared" si="596"/>
        <v>294.14146688574067</v>
      </c>
      <c r="Q823">
        <f t="shared" si="596"/>
        <v>254.28761951769883</v>
      </c>
      <c r="R823">
        <f t="shared" si="596"/>
        <v>319.28862149194106</v>
      </c>
      <c r="S823">
        <f t="shared" si="596"/>
        <v>399.62272772744888</v>
      </c>
      <c r="T823">
        <f t="shared" si="596"/>
        <v>403.26980937526042</v>
      </c>
      <c r="U823">
        <f t="shared" si="596"/>
        <v>311.71041644300328</v>
      </c>
      <c r="V823">
        <f t="shared" si="596"/>
        <v>570.22332784691434</v>
      </c>
      <c r="W823">
        <f t="shared" si="596"/>
        <v>679.32360954122851</v>
      </c>
      <c r="Y823" s="8">
        <f t="shared" si="590"/>
        <v>9855.045577083285</v>
      </c>
      <c r="Z823">
        <f t="shared" si="591"/>
        <v>-776.06242999850679</v>
      </c>
    </row>
    <row r="824" spans="1:26" x14ac:dyDescent="0.25">
      <c r="A824" t="s">
        <v>49</v>
      </c>
      <c r="D824">
        <f t="shared" ref="D824:W824" si="597">D110*D212</f>
        <v>918.91579253694294</v>
      </c>
      <c r="E824">
        <f t="shared" si="597"/>
        <v>821.08835163082881</v>
      </c>
      <c r="F824">
        <f t="shared" si="597"/>
        <v>1176.320868892009</v>
      </c>
      <c r="G824">
        <f t="shared" si="597"/>
        <v>944.41764184094075</v>
      </c>
      <c r="H824">
        <f t="shared" si="597"/>
        <v>528.54121371219662</v>
      </c>
      <c r="I824">
        <f t="shared" si="597"/>
        <v>706.2044953506296</v>
      </c>
      <c r="J824">
        <f t="shared" si="597"/>
        <v>524.71299452662186</v>
      </c>
      <c r="K824">
        <f t="shared" si="597"/>
        <v>380.75684782018453</v>
      </c>
      <c r="L824">
        <f t="shared" si="597"/>
        <v>325.19858215613078</v>
      </c>
      <c r="M824">
        <f t="shared" si="597"/>
        <v>362.6523133157952</v>
      </c>
      <c r="N824">
        <f t="shared" si="597"/>
        <v>324.37608748934286</v>
      </c>
      <c r="O824">
        <f t="shared" si="597"/>
        <v>127.51854716753563</v>
      </c>
      <c r="P824">
        <f t="shared" si="597"/>
        <v>385.58583137171814</v>
      </c>
      <c r="Q824">
        <f t="shared" si="597"/>
        <v>182.47264303313023</v>
      </c>
      <c r="R824">
        <f t="shared" si="597"/>
        <v>309.93234301727148</v>
      </c>
      <c r="S824">
        <f t="shared" si="597"/>
        <v>478.41264871876837</v>
      </c>
      <c r="T824">
        <f t="shared" si="597"/>
        <v>249.05294042740795</v>
      </c>
      <c r="U824">
        <f t="shared" si="597"/>
        <v>371.16077145987589</v>
      </c>
      <c r="V824">
        <f t="shared" si="597"/>
        <v>533.07969261291703</v>
      </c>
      <c r="W824">
        <f t="shared" si="597"/>
        <v>702.44769577060072</v>
      </c>
      <c r="Y824" s="8">
        <f t="shared" si="590"/>
        <v>10352.848302850849</v>
      </c>
      <c r="Z824">
        <f t="shared" si="591"/>
        <v>-893.23035811801446</v>
      </c>
    </row>
    <row r="825" spans="1:26" x14ac:dyDescent="0.25">
      <c r="A825" t="s">
        <v>50</v>
      </c>
      <c r="D825">
        <f t="shared" ref="D825:W825" si="598">D111*D213</f>
        <v>451.58943865941308</v>
      </c>
      <c r="E825">
        <f t="shared" si="598"/>
        <v>635.33623156001727</v>
      </c>
      <c r="F825">
        <f t="shared" si="598"/>
        <v>632.99231173638839</v>
      </c>
      <c r="G825">
        <f t="shared" si="598"/>
        <v>407.17083710578629</v>
      </c>
      <c r="H825">
        <f t="shared" si="598"/>
        <v>279.45303847991175</v>
      </c>
      <c r="I825">
        <f t="shared" si="598"/>
        <v>518.42549728602296</v>
      </c>
      <c r="J825">
        <f t="shared" si="598"/>
        <v>389.24127614067078</v>
      </c>
      <c r="K825">
        <f t="shared" si="598"/>
        <v>440.44221223831642</v>
      </c>
      <c r="L825">
        <f t="shared" si="598"/>
        <v>565.41685344325833</v>
      </c>
      <c r="M825">
        <f t="shared" si="598"/>
        <v>360.46956556928762</v>
      </c>
      <c r="N825">
        <f t="shared" si="598"/>
        <v>276.06044345102424</v>
      </c>
      <c r="O825">
        <f t="shared" si="598"/>
        <v>447.23353967579686</v>
      </c>
      <c r="P825">
        <f t="shared" si="598"/>
        <v>383.66453994696127</v>
      </c>
      <c r="Q825">
        <f t="shared" si="598"/>
        <v>534.62665290687221</v>
      </c>
      <c r="R825">
        <f t="shared" si="598"/>
        <v>707.77956933673897</v>
      </c>
      <c r="S825">
        <f t="shared" si="598"/>
        <v>599.87306132939784</v>
      </c>
      <c r="T825">
        <f t="shared" si="598"/>
        <v>527.41643437978371</v>
      </c>
      <c r="U825">
        <f t="shared" si="598"/>
        <v>600.36370463475555</v>
      </c>
      <c r="V825">
        <f t="shared" si="598"/>
        <v>774.19621234581803</v>
      </c>
      <c r="W825">
        <f t="shared" si="598"/>
        <v>844.8811373407035</v>
      </c>
      <c r="Y825" s="8">
        <f t="shared" si="590"/>
        <v>10376.632557566927</v>
      </c>
      <c r="Z825">
        <f t="shared" si="591"/>
        <v>-167.58601416766487</v>
      </c>
    </row>
    <row r="826" spans="1:26" x14ac:dyDescent="0.25">
      <c r="A826" t="s">
        <v>51</v>
      </c>
      <c r="D826">
        <f t="shared" ref="D826:W826" si="599">D112*D214</f>
        <v>291.71292876883041</v>
      </c>
      <c r="E826">
        <f t="shared" si="599"/>
        <v>518.82690073446406</v>
      </c>
      <c r="F826">
        <f t="shared" si="599"/>
        <v>520.4434536358707</v>
      </c>
      <c r="G826">
        <f t="shared" si="599"/>
        <v>553.91358987517481</v>
      </c>
      <c r="H826">
        <f t="shared" si="599"/>
        <v>472.96970059171275</v>
      </c>
      <c r="I826">
        <f t="shared" si="599"/>
        <v>395.86973976969205</v>
      </c>
      <c r="J826">
        <f t="shared" si="599"/>
        <v>448.29768858720195</v>
      </c>
      <c r="K826">
        <f t="shared" si="599"/>
        <v>511.65265522259358</v>
      </c>
      <c r="L826">
        <f t="shared" si="599"/>
        <v>354.28607458002546</v>
      </c>
      <c r="M826">
        <f t="shared" si="599"/>
        <v>530.76773063032181</v>
      </c>
      <c r="N826">
        <f t="shared" si="599"/>
        <v>306.87228306612576</v>
      </c>
      <c r="O826">
        <f t="shared" si="599"/>
        <v>339.38584722516805</v>
      </c>
      <c r="P826">
        <f t="shared" si="599"/>
        <v>472.60122951328009</v>
      </c>
      <c r="Q826">
        <f t="shared" si="599"/>
        <v>839.20373619629402</v>
      </c>
      <c r="R826">
        <f t="shared" si="599"/>
        <v>454.26235865955226</v>
      </c>
      <c r="S826">
        <f t="shared" si="599"/>
        <v>544.12438088248302</v>
      </c>
      <c r="T826">
        <f t="shared" si="599"/>
        <v>562.09643506948657</v>
      </c>
      <c r="U826">
        <f t="shared" si="599"/>
        <v>591.80932237988736</v>
      </c>
      <c r="V826">
        <f t="shared" si="599"/>
        <v>682.79809878446349</v>
      </c>
      <c r="W826">
        <f t="shared" si="599"/>
        <v>1177.1540016445372</v>
      </c>
      <c r="Y826" s="8">
        <f t="shared" si="590"/>
        <v>10569.048155817165</v>
      </c>
      <c r="Z826">
        <f t="shared" si="591"/>
        <v>-221.60706125492132</v>
      </c>
    </row>
    <row r="827" spans="1:26" x14ac:dyDescent="0.25">
      <c r="A827" t="s">
        <v>52</v>
      </c>
      <c r="D827">
        <f t="shared" ref="D827:W827" si="600">D113*D215</f>
        <v>936.30482083909806</v>
      </c>
      <c r="E827">
        <f t="shared" si="600"/>
        <v>825.56396273248686</v>
      </c>
      <c r="F827">
        <f t="shared" si="600"/>
        <v>1007.4302940034901</v>
      </c>
      <c r="G827">
        <f t="shared" si="600"/>
        <v>732.40443310562875</v>
      </c>
      <c r="H827">
        <f t="shared" si="600"/>
        <v>595.34438391057643</v>
      </c>
      <c r="I827">
        <f t="shared" si="600"/>
        <v>423.34975693648437</v>
      </c>
      <c r="J827">
        <f t="shared" si="600"/>
        <v>358.67768178694723</v>
      </c>
      <c r="K827">
        <f t="shared" si="600"/>
        <v>612.97220181345313</v>
      </c>
      <c r="L827">
        <f t="shared" si="600"/>
        <v>525.49523808555409</v>
      </c>
      <c r="M827">
        <f t="shared" si="600"/>
        <v>451.64496058408054</v>
      </c>
      <c r="N827">
        <f t="shared" si="600"/>
        <v>445.61625479150172</v>
      </c>
      <c r="O827">
        <f t="shared" si="600"/>
        <v>232.21895287443576</v>
      </c>
      <c r="P827">
        <f t="shared" si="600"/>
        <v>220.75161891921621</v>
      </c>
      <c r="Q827">
        <f t="shared" si="600"/>
        <v>469.91936729830536</v>
      </c>
      <c r="R827">
        <f t="shared" si="600"/>
        <v>329.19992474370815</v>
      </c>
      <c r="S827">
        <f t="shared" si="600"/>
        <v>557.46097978947375</v>
      </c>
      <c r="T827">
        <f t="shared" si="600"/>
        <v>431.59458808265697</v>
      </c>
      <c r="U827">
        <f t="shared" si="600"/>
        <v>642.68057947506202</v>
      </c>
      <c r="V827">
        <f t="shared" si="600"/>
        <v>650.68583460007244</v>
      </c>
      <c r="W827">
        <f t="shared" si="600"/>
        <v>833.83780742744523</v>
      </c>
      <c r="Y827" s="8">
        <f t="shared" si="590"/>
        <v>11283.153641799678</v>
      </c>
      <c r="Z827">
        <f t="shared" si="591"/>
        <v>-720.03406686409903</v>
      </c>
    </row>
    <row r="828" spans="1:26" x14ac:dyDescent="0.25">
      <c r="A828" t="s">
        <v>53</v>
      </c>
      <c r="D828">
        <f t="shared" ref="D828:W828" si="601">D114*D216</f>
        <v>1137.8121858267627</v>
      </c>
      <c r="E828">
        <f t="shared" si="601"/>
        <v>1051.4072374163102</v>
      </c>
      <c r="F828">
        <f t="shared" si="601"/>
        <v>1021.7011129967866</v>
      </c>
      <c r="G828">
        <f t="shared" si="601"/>
        <v>603.62669731985272</v>
      </c>
      <c r="H828">
        <f t="shared" si="601"/>
        <v>790.02903837786812</v>
      </c>
      <c r="I828">
        <f t="shared" si="601"/>
        <v>533.39823241149656</v>
      </c>
      <c r="J828">
        <f t="shared" si="601"/>
        <v>437.60323575711465</v>
      </c>
      <c r="K828">
        <f t="shared" si="601"/>
        <v>462.51326505347203</v>
      </c>
      <c r="L828">
        <f t="shared" si="601"/>
        <v>471.35454240377146</v>
      </c>
      <c r="M828">
        <f t="shared" si="601"/>
        <v>563.30817440163173</v>
      </c>
      <c r="N828">
        <f t="shared" si="601"/>
        <v>588.36589380359442</v>
      </c>
      <c r="O828">
        <f t="shared" si="601"/>
        <v>334.03376897911369</v>
      </c>
      <c r="P828">
        <f t="shared" si="601"/>
        <v>400.77685359346867</v>
      </c>
      <c r="Q828">
        <f t="shared" si="601"/>
        <v>623.61962575565565</v>
      </c>
      <c r="R828">
        <f t="shared" si="601"/>
        <v>572.9528412978093</v>
      </c>
      <c r="S828">
        <f t="shared" si="601"/>
        <v>540.50876774305186</v>
      </c>
      <c r="T828">
        <f t="shared" si="601"/>
        <v>680.59108956041143</v>
      </c>
      <c r="U828">
        <f t="shared" si="601"/>
        <v>635.21660463141154</v>
      </c>
      <c r="V828">
        <f t="shared" si="601"/>
        <v>729.92637538655902</v>
      </c>
      <c r="W828">
        <f t="shared" si="601"/>
        <v>676.59411501157138</v>
      </c>
      <c r="Y828" s="8">
        <f t="shared" si="590"/>
        <v>12855.339657727716</v>
      </c>
      <c r="Z828">
        <f t="shared" si="591"/>
        <v>-698.29934062771304</v>
      </c>
    </row>
    <row r="829" spans="1:26" x14ac:dyDescent="0.25">
      <c r="A829" t="s">
        <v>54</v>
      </c>
      <c r="D829">
        <f t="shared" ref="D829:W829" si="602">D115*D217</f>
        <v>1788.845562601053</v>
      </c>
      <c r="E829">
        <f t="shared" si="602"/>
        <v>681.1956796504993</v>
      </c>
      <c r="F829">
        <f t="shared" si="602"/>
        <v>669.68137838979794</v>
      </c>
      <c r="G829">
        <f t="shared" si="602"/>
        <v>1045.3943894108611</v>
      </c>
      <c r="H829">
        <f t="shared" si="602"/>
        <v>474.96731618394017</v>
      </c>
      <c r="I829">
        <f t="shared" si="602"/>
        <v>716.01551983954926</v>
      </c>
      <c r="J829">
        <f t="shared" si="602"/>
        <v>517.13656647282482</v>
      </c>
      <c r="K829">
        <f t="shared" si="602"/>
        <v>372.74263472464969</v>
      </c>
      <c r="L829">
        <f t="shared" si="602"/>
        <v>213.01265608973256</v>
      </c>
      <c r="M829">
        <f t="shared" si="602"/>
        <v>702.54922636522201</v>
      </c>
      <c r="N829">
        <f t="shared" si="602"/>
        <v>228.90666286633339</v>
      </c>
      <c r="O829">
        <f t="shared" si="602"/>
        <v>294.27403628555578</v>
      </c>
      <c r="P829">
        <f t="shared" si="602"/>
        <v>1037.9449752248108</v>
      </c>
      <c r="Q829">
        <f t="shared" si="602"/>
        <v>512.98153694157725</v>
      </c>
      <c r="R829">
        <f t="shared" si="602"/>
        <v>497.01292426460481</v>
      </c>
      <c r="S829">
        <f t="shared" si="602"/>
        <v>872.0077067359498</v>
      </c>
      <c r="T829">
        <f t="shared" si="602"/>
        <v>924.81966163347101</v>
      </c>
      <c r="U829">
        <f t="shared" si="602"/>
        <v>751.38227771592722</v>
      </c>
      <c r="V829">
        <f t="shared" si="602"/>
        <v>759.10633864504041</v>
      </c>
      <c r="W829">
        <f t="shared" si="602"/>
        <v>591.83998073680618</v>
      </c>
      <c r="Y829" s="8">
        <f t="shared" si="590"/>
        <v>13651.817030778209</v>
      </c>
      <c r="Z829">
        <f t="shared" si="591"/>
        <v>-417.06130181778332</v>
      </c>
    </row>
    <row r="830" spans="1:26" x14ac:dyDescent="0.25">
      <c r="A830" t="s">
        <v>55</v>
      </c>
      <c r="D830">
        <f t="shared" ref="D830:W830" si="603">D116*D218</f>
        <v>1149.6536056195969</v>
      </c>
      <c r="E830">
        <f t="shared" si="603"/>
        <v>1199.8278598121246</v>
      </c>
      <c r="F830">
        <f t="shared" si="603"/>
        <v>840.29735956853597</v>
      </c>
      <c r="G830">
        <f t="shared" si="603"/>
        <v>776.76968474326713</v>
      </c>
      <c r="H830">
        <f t="shared" si="603"/>
        <v>478.30165158847365</v>
      </c>
      <c r="I830">
        <f t="shared" si="603"/>
        <v>501.7236586232641</v>
      </c>
      <c r="J830">
        <f t="shared" si="603"/>
        <v>458.33628296218677</v>
      </c>
      <c r="K830">
        <f t="shared" si="603"/>
        <v>531.22579851766432</v>
      </c>
      <c r="L830">
        <f t="shared" si="603"/>
        <v>570.25535958841419</v>
      </c>
      <c r="M830">
        <f t="shared" si="603"/>
        <v>586.48529469172502</v>
      </c>
      <c r="N830">
        <f t="shared" si="603"/>
        <v>623.94196067713744</v>
      </c>
      <c r="O830">
        <f t="shared" si="603"/>
        <v>533.11312185924874</v>
      </c>
      <c r="P830">
        <f t="shared" si="603"/>
        <v>649.62347014769773</v>
      </c>
      <c r="Q830">
        <f t="shared" si="603"/>
        <v>815.52220129787099</v>
      </c>
      <c r="R830">
        <f t="shared" si="603"/>
        <v>276.15311836074289</v>
      </c>
      <c r="S830">
        <f t="shared" si="603"/>
        <v>271.52569401400217</v>
      </c>
      <c r="T830">
        <f t="shared" si="603"/>
        <v>69.639382859148654</v>
      </c>
      <c r="U830">
        <f t="shared" si="603"/>
        <v>291.67552563246454</v>
      </c>
      <c r="V830">
        <f t="shared" si="603"/>
        <v>586.67475713807119</v>
      </c>
      <c r="W830">
        <f t="shared" si="603"/>
        <v>1032.4813847292387</v>
      </c>
      <c r="Y830" s="8">
        <f t="shared" si="590"/>
        <v>12243.227172430874</v>
      </c>
      <c r="Z830">
        <f t="shared" si="591"/>
        <v>-1066.413670731265</v>
      </c>
    </row>
    <row r="831" spans="1:26" x14ac:dyDescent="0.25">
      <c r="A831" t="s">
        <v>56</v>
      </c>
      <c r="D831">
        <f t="shared" ref="D831:W831" si="604">D117*D219</f>
        <v>814.22361870752775</v>
      </c>
      <c r="E831">
        <f t="shared" si="604"/>
        <v>1074.1023033114404</v>
      </c>
      <c r="F831">
        <f t="shared" si="604"/>
        <v>814.98819114768378</v>
      </c>
      <c r="G831">
        <f t="shared" si="604"/>
        <v>947.74701990910853</v>
      </c>
      <c r="H831">
        <f t="shared" si="604"/>
        <v>1163.0213540481147</v>
      </c>
      <c r="I831">
        <f t="shared" si="604"/>
        <v>707.19550308529494</v>
      </c>
      <c r="J831">
        <f t="shared" si="604"/>
        <v>831.06719346429759</v>
      </c>
      <c r="K831">
        <f t="shared" si="604"/>
        <v>961.4544658996092</v>
      </c>
      <c r="L831">
        <f t="shared" si="604"/>
        <v>733.70431682063031</v>
      </c>
      <c r="M831">
        <f t="shared" si="604"/>
        <v>522.87917162916051</v>
      </c>
      <c r="N831">
        <f t="shared" si="604"/>
        <v>1062.4255492577786</v>
      </c>
      <c r="O831">
        <f t="shared" si="604"/>
        <v>762.85075278491138</v>
      </c>
      <c r="P831">
        <f t="shared" si="604"/>
        <v>575.47486636872372</v>
      </c>
      <c r="Q831">
        <f t="shared" si="604"/>
        <v>505.90039159711239</v>
      </c>
      <c r="R831">
        <f t="shared" si="604"/>
        <v>684.76035582250108</v>
      </c>
      <c r="S831">
        <f t="shared" si="604"/>
        <v>851.24274766014696</v>
      </c>
      <c r="T831">
        <f t="shared" si="604"/>
        <v>852.24455110221641</v>
      </c>
      <c r="U831">
        <f t="shared" si="604"/>
        <v>856.25574126846084</v>
      </c>
      <c r="V831">
        <f t="shared" si="604"/>
        <v>1024.2628669391397</v>
      </c>
      <c r="W831">
        <f t="shared" si="604"/>
        <v>806.70598541348841</v>
      </c>
      <c r="Y831" s="8">
        <f t="shared" si="590"/>
        <v>16552.506946237347</v>
      </c>
      <c r="Z831">
        <f t="shared" si="591"/>
        <v>-572.09173521313403</v>
      </c>
    </row>
    <row r="832" spans="1:26" x14ac:dyDescent="0.25">
      <c r="A832" t="s">
        <v>57</v>
      </c>
      <c r="D832">
        <f t="shared" ref="D832:W832" si="605">D118*D220</f>
        <v>885.00087814688345</v>
      </c>
      <c r="E832">
        <f t="shared" si="605"/>
        <v>556.94650368339228</v>
      </c>
      <c r="F832">
        <f t="shared" si="605"/>
        <v>524.40933757038647</v>
      </c>
      <c r="G832">
        <f t="shared" si="605"/>
        <v>646.51958860257912</v>
      </c>
      <c r="H832">
        <f t="shared" si="605"/>
        <v>473.66603938790956</v>
      </c>
      <c r="I832">
        <f t="shared" si="605"/>
        <v>320.02874733261626</v>
      </c>
      <c r="J832">
        <f t="shared" si="605"/>
        <v>615.1501310245211</v>
      </c>
      <c r="K832">
        <f t="shared" si="605"/>
        <v>431.08006398912062</v>
      </c>
      <c r="L832">
        <f t="shared" si="605"/>
        <v>471.05290325107734</v>
      </c>
      <c r="M832">
        <f t="shared" si="605"/>
        <v>553.83936558183257</v>
      </c>
      <c r="N832">
        <f t="shared" si="605"/>
        <v>740.86854738738907</v>
      </c>
      <c r="O832">
        <f t="shared" si="605"/>
        <v>575.79307014890333</v>
      </c>
      <c r="P832">
        <f t="shared" si="605"/>
        <v>173.30499306933001</v>
      </c>
      <c r="Q832">
        <f t="shared" si="605"/>
        <v>209.95032446283</v>
      </c>
      <c r="R832">
        <f t="shared" si="605"/>
        <v>228.78830148364071</v>
      </c>
      <c r="S832">
        <f t="shared" si="605"/>
        <v>309.3732621889979</v>
      </c>
      <c r="T832">
        <f t="shared" si="605"/>
        <v>485.15535568630565</v>
      </c>
      <c r="U832">
        <f t="shared" si="605"/>
        <v>368.80632640483867</v>
      </c>
      <c r="V832">
        <f t="shared" si="605"/>
        <v>334.79051054029827</v>
      </c>
      <c r="W832">
        <f t="shared" si="605"/>
        <v>575.07438812119983</v>
      </c>
      <c r="Y832" s="8">
        <f t="shared" si="590"/>
        <v>9479.5986380640534</v>
      </c>
      <c r="Z832">
        <f t="shared" si="591"/>
        <v>-601.6954731923197</v>
      </c>
    </row>
    <row r="833" spans="1:26" x14ac:dyDescent="0.25">
      <c r="A833" t="s">
        <v>58</v>
      </c>
      <c r="D833">
        <f t="shared" ref="D833:W833" si="606">D119*D221</f>
        <v>1012.1350383663219</v>
      </c>
      <c r="E833">
        <f t="shared" si="606"/>
        <v>811.57844379517076</v>
      </c>
      <c r="F833">
        <f t="shared" si="606"/>
        <v>536.46286047199112</v>
      </c>
      <c r="G833">
        <f t="shared" si="606"/>
        <v>471.08306639119269</v>
      </c>
      <c r="H833">
        <f t="shared" si="606"/>
        <v>472.28945122017257</v>
      </c>
      <c r="I833">
        <f t="shared" si="606"/>
        <v>660.9123932088919</v>
      </c>
      <c r="J833">
        <f t="shared" si="606"/>
        <v>526.00645943012626</v>
      </c>
      <c r="K833">
        <f t="shared" si="606"/>
        <v>617.42574563531446</v>
      </c>
      <c r="L833">
        <f t="shared" si="606"/>
        <v>458.28932256034318</v>
      </c>
      <c r="M833">
        <f t="shared" si="606"/>
        <v>429.58271991307197</v>
      </c>
      <c r="N833">
        <f t="shared" si="606"/>
        <v>388.12486657574874</v>
      </c>
      <c r="O833">
        <f t="shared" si="606"/>
        <v>365.05408519931109</v>
      </c>
      <c r="P833">
        <f t="shared" si="606"/>
        <v>332.54035230103551</v>
      </c>
      <c r="Q833">
        <f t="shared" si="606"/>
        <v>583.78910874753103</v>
      </c>
      <c r="R833">
        <f t="shared" si="606"/>
        <v>565.96704618183753</v>
      </c>
      <c r="S833">
        <f t="shared" si="606"/>
        <v>683.59585364738973</v>
      </c>
      <c r="T833">
        <f t="shared" si="606"/>
        <v>851.0024441275516</v>
      </c>
      <c r="U833">
        <f t="shared" si="606"/>
        <v>725.52423019577952</v>
      </c>
      <c r="V833">
        <f t="shared" si="606"/>
        <v>308.17290521910701</v>
      </c>
      <c r="W833">
        <f t="shared" si="606"/>
        <v>820.59782137294872</v>
      </c>
      <c r="Y833" s="8">
        <f t="shared" si="590"/>
        <v>11620.134214560836</v>
      </c>
      <c r="Z833">
        <f t="shared" si="591"/>
        <v>-273.62084932973744</v>
      </c>
    </row>
    <row r="834" spans="1:26" x14ac:dyDescent="0.25">
      <c r="A834" t="s">
        <v>59</v>
      </c>
      <c r="D834">
        <f t="shared" ref="D834:W834" si="607">D120*D222</f>
        <v>682.12314767678242</v>
      </c>
      <c r="E834">
        <f t="shared" si="607"/>
        <v>732.62884247845841</v>
      </c>
      <c r="F834">
        <f t="shared" si="607"/>
        <v>590.03149485608617</v>
      </c>
      <c r="G834">
        <f t="shared" si="607"/>
        <v>597.16218942603507</v>
      </c>
      <c r="H834">
        <f t="shared" si="607"/>
        <v>536.04795506253845</v>
      </c>
      <c r="I834">
        <f t="shared" si="607"/>
        <v>534.57978414778233</v>
      </c>
      <c r="J834">
        <f t="shared" si="607"/>
        <v>489.21794254745157</v>
      </c>
      <c r="K834">
        <f t="shared" si="607"/>
        <v>512.13822877553253</v>
      </c>
      <c r="L834">
        <f t="shared" si="607"/>
        <v>552.90676298404674</v>
      </c>
      <c r="M834">
        <f t="shared" si="607"/>
        <v>451.9454914447399</v>
      </c>
      <c r="N834">
        <f t="shared" si="607"/>
        <v>482.39687552120552</v>
      </c>
      <c r="O834">
        <f t="shared" si="607"/>
        <v>523.01433864425439</v>
      </c>
      <c r="P834">
        <f t="shared" si="607"/>
        <v>538.44866856606154</v>
      </c>
      <c r="Q834">
        <f t="shared" si="607"/>
        <v>512.46757348220092</v>
      </c>
      <c r="R834">
        <f t="shared" si="607"/>
        <v>603.00117860389571</v>
      </c>
      <c r="S834">
        <f t="shared" si="607"/>
        <v>644.1529547968961</v>
      </c>
      <c r="T834">
        <f t="shared" si="607"/>
        <v>591.89850774830813</v>
      </c>
      <c r="U834">
        <f t="shared" si="607"/>
        <v>549.90770664232844</v>
      </c>
      <c r="V834">
        <f t="shared" si="607"/>
        <v>604.27394020640043</v>
      </c>
      <c r="W834">
        <f t="shared" si="607"/>
        <v>621.53815005313015</v>
      </c>
      <c r="Y834" s="8">
        <f t="shared" si="590"/>
        <v>11349.881733664133</v>
      </c>
      <c r="Z834">
        <f t="shared" si="591"/>
        <v>-270.31685737295663</v>
      </c>
    </row>
    <row r="835" spans="1:26" x14ac:dyDescent="0.25">
      <c r="A835" t="s">
        <v>60</v>
      </c>
      <c r="D835">
        <f t="shared" ref="D835:W835" si="608">D121*D223</f>
        <v>597.53591903493543</v>
      </c>
      <c r="E835">
        <f t="shared" si="608"/>
        <v>682.62796599790636</v>
      </c>
      <c r="F835">
        <f t="shared" si="608"/>
        <v>569.49875363988031</v>
      </c>
      <c r="G835">
        <f t="shared" si="608"/>
        <v>569.99001276020977</v>
      </c>
      <c r="H835">
        <f t="shared" si="608"/>
        <v>555.585568467126</v>
      </c>
      <c r="I835">
        <f t="shared" si="608"/>
        <v>568.60357172036368</v>
      </c>
      <c r="J835">
        <f t="shared" si="608"/>
        <v>518.42650067066563</v>
      </c>
      <c r="K835">
        <f t="shared" si="608"/>
        <v>514.67727920226548</v>
      </c>
      <c r="L835">
        <f t="shared" si="608"/>
        <v>552.88789160662498</v>
      </c>
      <c r="M835">
        <f t="shared" si="608"/>
        <v>589.16416752818805</v>
      </c>
      <c r="N835">
        <f t="shared" si="608"/>
        <v>504.14418210839432</v>
      </c>
      <c r="O835">
        <f t="shared" si="608"/>
        <v>612.22914974108278</v>
      </c>
      <c r="P835">
        <f t="shared" si="608"/>
        <v>687.92028731167306</v>
      </c>
      <c r="Q835">
        <f t="shared" si="608"/>
        <v>773.47278231997427</v>
      </c>
      <c r="R835">
        <f t="shared" si="608"/>
        <v>1143.8602532297193</v>
      </c>
      <c r="S835">
        <f t="shared" si="608"/>
        <v>936.29557857347311</v>
      </c>
      <c r="T835">
        <f t="shared" si="608"/>
        <v>766.26254123665944</v>
      </c>
      <c r="U835">
        <f t="shared" si="608"/>
        <v>743.56643948088504</v>
      </c>
      <c r="V835">
        <f t="shared" si="608"/>
        <v>598.88276415806013</v>
      </c>
      <c r="W835">
        <f t="shared" si="608"/>
        <v>628.4491932401537</v>
      </c>
      <c r="Y835" s="8">
        <f t="shared" si="590"/>
        <v>13114.080802028242</v>
      </c>
      <c r="Z835">
        <f t="shared" si="591"/>
        <v>57.57326534168439</v>
      </c>
    </row>
    <row r="836" spans="1:26" x14ac:dyDescent="0.25">
      <c r="A836" t="s">
        <v>61</v>
      </c>
      <c r="D836">
        <f t="shared" ref="D836:W836" si="609">D122*D224</f>
        <v>1165.7150883451884</v>
      </c>
      <c r="E836">
        <f t="shared" si="609"/>
        <v>1163.9382940548696</v>
      </c>
      <c r="F836">
        <f t="shared" si="609"/>
        <v>820.31154328326909</v>
      </c>
      <c r="G836">
        <f t="shared" si="609"/>
        <v>755.26515176221756</v>
      </c>
      <c r="H836">
        <f t="shared" si="609"/>
        <v>523.6985525436196</v>
      </c>
      <c r="I836">
        <f t="shared" si="609"/>
        <v>591.28830374539234</v>
      </c>
      <c r="J836">
        <f t="shared" si="609"/>
        <v>515.24720488925368</v>
      </c>
      <c r="K836">
        <f t="shared" si="609"/>
        <v>684.3962143551056</v>
      </c>
      <c r="L836">
        <f t="shared" si="609"/>
        <v>685.04481800626957</v>
      </c>
      <c r="M836">
        <f t="shared" si="609"/>
        <v>564.92516068197665</v>
      </c>
      <c r="N836">
        <f t="shared" si="609"/>
        <v>436.777090938507</v>
      </c>
      <c r="O836">
        <f t="shared" si="609"/>
        <v>625.95170634961812</v>
      </c>
      <c r="P836">
        <f t="shared" si="609"/>
        <v>695.68801488644283</v>
      </c>
      <c r="Q836">
        <f t="shared" si="609"/>
        <v>758.24081259588365</v>
      </c>
      <c r="R836">
        <f t="shared" si="609"/>
        <v>872.09476271711594</v>
      </c>
      <c r="S836">
        <f t="shared" si="609"/>
        <v>1250.4683315408577</v>
      </c>
      <c r="T836">
        <f t="shared" si="609"/>
        <v>789.78218205709186</v>
      </c>
      <c r="U836">
        <f t="shared" si="609"/>
        <v>425.97241652523195</v>
      </c>
      <c r="V836">
        <f t="shared" si="609"/>
        <v>598.81965682602527</v>
      </c>
      <c r="W836">
        <f t="shared" si="609"/>
        <v>628.79241795333871</v>
      </c>
      <c r="Y836" s="8">
        <f t="shared" si="590"/>
        <v>14552.417724057274</v>
      </c>
      <c r="Z836">
        <f t="shared" si="591"/>
        <v>-287.37238415096272</v>
      </c>
    </row>
    <row r="837" spans="1:26" x14ac:dyDescent="0.25">
      <c r="A837" t="s">
        <v>62</v>
      </c>
      <c r="D837">
        <f t="shared" ref="D837:W837" si="610">D123*D225</f>
        <v>578.28730300256052</v>
      </c>
      <c r="E837">
        <f t="shared" si="610"/>
        <v>509.80676025560035</v>
      </c>
      <c r="F837">
        <f t="shared" si="610"/>
        <v>464.45205401844589</v>
      </c>
      <c r="G837">
        <f t="shared" si="610"/>
        <v>446.24973551638891</v>
      </c>
      <c r="H837">
        <f t="shared" si="610"/>
        <v>440.11790812416876</v>
      </c>
      <c r="I837">
        <f t="shared" si="610"/>
        <v>508.20248838448066</v>
      </c>
      <c r="J837">
        <f t="shared" si="610"/>
        <v>479.48351141522318</v>
      </c>
      <c r="K837">
        <f t="shared" si="610"/>
        <v>464.19008716973116</v>
      </c>
      <c r="L837">
        <f t="shared" si="610"/>
        <v>523.4632594817981</v>
      </c>
      <c r="M837">
        <f t="shared" si="610"/>
        <v>445.80996126885196</v>
      </c>
      <c r="N837">
        <f t="shared" si="610"/>
        <v>496.41576996690509</v>
      </c>
      <c r="O837">
        <f t="shared" si="610"/>
        <v>476.82107310629186</v>
      </c>
      <c r="P837">
        <f t="shared" si="610"/>
        <v>517.78938189424412</v>
      </c>
      <c r="Q837">
        <f t="shared" si="610"/>
        <v>494.56026689867514</v>
      </c>
      <c r="R837">
        <f t="shared" si="610"/>
        <v>698.00556856347237</v>
      </c>
      <c r="S837">
        <f t="shared" si="610"/>
        <v>696.24875747224394</v>
      </c>
      <c r="T837">
        <f t="shared" si="610"/>
        <v>663.52913919292973</v>
      </c>
      <c r="U837">
        <f t="shared" si="610"/>
        <v>770.2276407461477</v>
      </c>
      <c r="V837">
        <f t="shared" si="610"/>
        <v>689.82079214925534</v>
      </c>
      <c r="W837">
        <f t="shared" si="610"/>
        <v>754.05199956978186</v>
      </c>
      <c r="Y837" s="8">
        <f t="shared" si="590"/>
        <v>11117.533458197195</v>
      </c>
      <c r="Z837">
        <f t="shared" si="591"/>
        <v>-76.947135567459952</v>
      </c>
    </row>
    <row r="838" spans="1:26" x14ac:dyDescent="0.25">
      <c r="A838" t="s">
        <v>63</v>
      </c>
      <c r="D838">
        <f t="shared" ref="D838:W838" si="611">D124*D226</f>
        <v>586.75159424553829</v>
      </c>
      <c r="E838">
        <f t="shared" si="611"/>
        <v>473.73071636860715</v>
      </c>
      <c r="F838">
        <f t="shared" si="611"/>
        <v>553.63872265404927</v>
      </c>
      <c r="G838">
        <f t="shared" si="611"/>
        <v>557.60813855312392</v>
      </c>
      <c r="H838">
        <f t="shared" si="611"/>
        <v>550.53516603412595</v>
      </c>
      <c r="I838">
        <f t="shared" si="611"/>
        <v>517.04191896691827</v>
      </c>
      <c r="J838">
        <f t="shared" si="611"/>
        <v>509.70618343828727</v>
      </c>
      <c r="K838">
        <f t="shared" si="611"/>
        <v>527.83587107656183</v>
      </c>
      <c r="L838">
        <f t="shared" si="611"/>
        <v>639.45382599642335</v>
      </c>
      <c r="M838">
        <f t="shared" si="611"/>
        <v>292.77600709581492</v>
      </c>
      <c r="N838">
        <f t="shared" si="611"/>
        <v>403.22074182317147</v>
      </c>
      <c r="O838">
        <f t="shared" si="611"/>
        <v>436.78841350961119</v>
      </c>
      <c r="P838">
        <f t="shared" si="611"/>
        <v>517.31972714915821</v>
      </c>
      <c r="Q838">
        <f t="shared" si="611"/>
        <v>436.48197074376071</v>
      </c>
      <c r="R838">
        <f t="shared" si="611"/>
        <v>414.20531858835795</v>
      </c>
      <c r="S838">
        <f t="shared" si="611"/>
        <v>452.3797250580057</v>
      </c>
      <c r="T838">
        <f t="shared" si="611"/>
        <v>477.65521329756535</v>
      </c>
      <c r="U838">
        <f t="shared" si="611"/>
        <v>481.75674025815675</v>
      </c>
      <c r="V838">
        <f t="shared" si="611"/>
        <v>505.09091341016182</v>
      </c>
      <c r="W838">
        <f t="shared" si="611"/>
        <v>522.22584292059321</v>
      </c>
      <c r="Y838" s="8">
        <f t="shared" si="590"/>
        <v>9856.2027511879933</v>
      </c>
      <c r="Z838">
        <f t="shared" si="591"/>
        <v>-244.50185915046242</v>
      </c>
    </row>
    <row r="839" spans="1:26" x14ac:dyDescent="0.25">
      <c r="A839" t="s">
        <v>64</v>
      </c>
      <c r="D839">
        <f t="shared" ref="D839:W839" si="612">D125*D227</f>
        <v>596.59796195931096</v>
      </c>
      <c r="E839">
        <f t="shared" si="612"/>
        <v>821.86312464839011</v>
      </c>
      <c r="F839">
        <f t="shared" si="612"/>
        <v>490.40284669801702</v>
      </c>
      <c r="G839">
        <f t="shared" si="612"/>
        <v>663.14992320844317</v>
      </c>
      <c r="H839">
        <f t="shared" si="612"/>
        <v>528.61842012431475</v>
      </c>
      <c r="I839">
        <f t="shared" si="612"/>
        <v>529.3865369812338</v>
      </c>
      <c r="J839">
        <f t="shared" si="612"/>
        <v>477.38631858856587</v>
      </c>
      <c r="K839">
        <f t="shared" si="612"/>
        <v>491.77253860342864</v>
      </c>
      <c r="L839">
        <f t="shared" si="612"/>
        <v>488.64197472116467</v>
      </c>
      <c r="M839">
        <f t="shared" si="612"/>
        <v>491.56613742241609</v>
      </c>
      <c r="N839">
        <f t="shared" si="612"/>
        <v>508.05287020180538</v>
      </c>
      <c r="O839">
        <f t="shared" si="612"/>
        <v>520.09573489119271</v>
      </c>
      <c r="P839">
        <f t="shared" si="612"/>
        <v>435.55716554411401</v>
      </c>
      <c r="Q839">
        <f t="shared" si="612"/>
        <v>414.74373184657503</v>
      </c>
      <c r="R839">
        <f t="shared" si="612"/>
        <v>510.14643972287331</v>
      </c>
      <c r="S839">
        <f t="shared" si="612"/>
        <v>503.14715700870789</v>
      </c>
      <c r="T839">
        <f t="shared" si="612"/>
        <v>559.42332042108455</v>
      </c>
      <c r="U839">
        <f t="shared" si="612"/>
        <v>515.89964567433265</v>
      </c>
      <c r="V839">
        <f t="shared" si="612"/>
        <v>592.07194463496648</v>
      </c>
      <c r="W839">
        <f t="shared" si="612"/>
        <v>584.49288688425975</v>
      </c>
      <c r="Y839" s="8">
        <f t="shared" si="590"/>
        <v>10723.0166797852</v>
      </c>
      <c r="Z839">
        <f t="shared" si="591"/>
        <v>-356.02283809239293</v>
      </c>
    </row>
    <row r="840" spans="1:26" x14ac:dyDescent="0.25">
      <c r="A840" t="s">
        <v>65</v>
      </c>
      <c r="D840">
        <f t="shared" ref="D840:W840" si="613">D126*D228</f>
        <v>886.90848442222375</v>
      </c>
      <c r="E840">
        <f t="shared" si="613"/>
        <v>1291.2923616351989</v>
      </c>
      <c r="F840">
        <f t="shared" si="613"/>
        <v>886.50152022517898</v>
      </c>
      <c r="G840">
        <f t="shared" si="613"/>
        <v>769.58756871075741</v>
      </c>
      <c r="H840">
        <f t="shared" si="613"/>
        <v>818.65974872610695</v>
      </c>
      <c r="I840">
        <f t="shared" si="613"/>
        <v>949.55855119455532</v>
      </c>
      <c r="J840">
        <f t="shared" si="613"/>
        <v>747.57548901870257</v>
      </c>
      <c r="K840">
        <f t="shared" si="613"/>
        <v>685.69390529504801</v>
      </c>
      <c r="L840">
        <f t="shared" si="613"/>
        <v>734.29780847314657</v>
      </c>
      <c r="M840">
        <f t="shared" si="613"/>
        <v>476.67443211953412</v>
      </c>
      <c r="N840">
        <f t="shared" si="613"/>
        <v>570.05653748996042</v>
      </c>
      <c r="O840">
        <f t="shared" si="613"/>
        <v>556.298460169191</v>
      </c>
      <c r="P840">
        <f t="shared" si="613"/>
        <v>526.3950884468145</v>
      </c>
      <c r="Q840">
        <f t="shared" si="613"/>
        <v>476.91601849966247</v>
      </c>
      <c r="R840">
        <f t="shared" si="613"/>
        <v>559.08956858026897</v>
      </c>
      <c r="S840">
        <f t="shared" si="613"/>
        <v>443.78457449951003</v>
      </c>
      <c r="T840">
        <f t="shared" si="613"/>
        <v>480.22197212351915</v>
      </c>
      <c r="U840">
        <f t="shared" si="613"/>
        <v>574.79901885015227</v>
      </c>
      <c r="V840">
        <f t="shared" si="613"/>
        <v>634.45313880312995</v>
      </c>
      <c r="W840">
        <f t="shared" si="613"/>
        <v>612.63637939145633</v>
      </c>
      <c r="Y840" s="8">
        <f t="shared" si="590"/>
        <v>13681.400626674118</v>
      </c>
      <c r="Z840">
        <f t="shared" si="591"/>
        <v>-732.75356347421121</v>
      </c>
    </row>
    <row r="841" spans="1:26" x14ac:dyDescent="0.25">
      <c r="A841" t="s">
        <v>66</v>
      </c>
      <c r="D841">
        <f t="shared" ref="D841:W841" si="614">D127*D229</f>
        <v>376.62623640057149</v>
      </c>
      <c r="E841">
        <f t="shared" si="614"/>
        <v>444.13438188248256</v>
      </c>
      <c r="F841">
        <f t="shared" si="614"/>
        <v>478.10089400230493</v>
      </c>
      <c r="G841">
        <f t="shared" si="614"/>
        <v>432.50071461929321</v>
      </c>
      <c r="H841">
        <f t="shared" si="614"/>
        <v>465.15073840746965</v>
      </c>
      <c r="I841">
        <f t="shared" si="614"/>
        <v>383.06877202162451</v>
      </c>
      <c r="J841">
        <f t="shared" si="614"/>
        <v>388.92799664495942</v>
      </c>
      <c r="K841">
        <f t="shared" si="614"/>
        <v>389.81736964402114</v>
      </c>
      <c r="L841">
        <f t="shared" si="614"/>
        <v>384.95858327441528</v>
      </c>
      <c r="M841">
        <f t="shared" si="614"/>
        <v>406.53065522085564</v>
      </c>
      <c r="N841">
        <f t="shared" si="614"/>
        <v>337.5687463429536</v>
      </c>
      <c r="O841">
        <f t="shared" si="614"/>
        <v>468.47137615502123</v>
      </c>
      <c r="P841">
        <f t="shared" si="614"/>
        <v>447.05546295912427</v>
      </c>
      <c r="Q841">
        <f t="shared" si="614"/>
        <v>375.79967647938122</v>
      </c>
      <c r="R841">
        <f t="shared" si="614"/>
        <v>461.58689188441122</v>
      </c>
      <c r="S841">
        <f t="shared" si="614"/>
        <v>523.42754835391042</v>
      </c>
      <c r="T841">
        <f t="shared" si="614"/>
        <v>611.48009811384497</v>
      </c>
      <c r="U841">
        <f t="shared" si="614"/>
        <v>506.08445766562983</v>
      </c>
      <c r="V841">
        <f t="shared" si="614"/>
        <v>458.49129457353803</v>
      </c>
      <c r="W841">
        <f t="shared" si="614"/>
        <v>462.51504423587488</v>
      </c>
      <c r="Y841" s="8">
        <f t="shared" si="590"/>
        <v>8802.2969388816891</v>
      </c>
      <c r="Z841">
        <f t="shared" si="591"/>
        <v>-38.485866836897102</v>
      </c>
    </row>
    <row r="842" spans="1:26" x14ac:dyDescent="0.25">
      <c r="A842" t="s">
        <v>67</v>
      </c>
      <c r="D842">
        <f t="shared" ref="D842:W842" si="615">D128*D230</f>
        <v>375.16061332039425</v>
      </c>
      <c r="E842">
        <f t="shared" si="615"/>
        <v>446.65293056273612</v>
      </c>
      <c r="F842">
        <f t="shared" si="615"/>
        <v>464.16922300835876</v>
      </c>
      <c r="G842">
        <f t="shared" si="615"/>
        <v>442.63054005020308</v>
      </c>
      <c r="H842">
        <f t="shared" si="615"/>
        <v>449.8722851639746</v>
      </c>
      <c r="I842">
        <f t="shared" si="615"/>
        <v>408.51734969849196</v>
      </c>
      <c r="J842">
        <f t="shared" si="615"/>
        <v>387.64672505920521</v>
      </c>
      <c r="K842">
        <f t="shared" si="615"/>
        <v>424.23011392005134</v>
      </c>
      <c r="L842">
        <f t="shared" si="615"/>
        <v>400.77390941778623</v>
      </c>
      <c r="M842">
        <f t="shared" si="615"/>
        <v>485.54797931751807</v>
      </c>
      <c r="N842">
        <f t="shared" si="615"/>
        <v>454.05920293250711</v>
      </c>
      <c r="O842">
        <f t="shared" si="615"/>
        <v>500.74782447116002</v>
      </c>
      <c r="P842">
        <f t="shared" si="615"/>
        <v>454.12748506577816</v>
      </c>
      <c r="Q842">
        <f t="shared" si="615"/>
        <v>401.85396182854868</v>
      </c>
      <c r="R842">
        <f t="shared" si="615"/>
        <v>241.46698239756353</v>
      </c>
      <c r="S842">
        <f t="shared" si="615"/>
        <v>258.34091501720189</v>
      </c>
      <c r="T842">
        <f t="shared" si="615"/>
        <v>267.58947081935065</v>
      </c>
      <c r="U842">
        <f t="shared" si="615"/>
        <v>279.98153300174778</v>
      </c>
      <c r="V842">
        <f t="shared" si="615"/>
        <v>624.61077409108475</v>
      </c>
      <c r="W842">
        <f t="shared" si="615"/>
        <v>593.20924215781929</v>
      </c>
      <c r="Y842" s="8">
        <f t="shared" si="590"/>
        <v>8361.1890613014839</v>
      </c>
      <c r="Z842">
        <f t="shared" si="591"/>
        <v>-345.57058628391496</v>
      </c>
    </row>
    <row r="843" spans="1:26" x14ac:dyDescent="0.25">
      <c r="Y843" s="8"/>
    </row>
    <row r="844" spans="1:26" x14ac:dyDescent="0.25">
      <c r="A844" t="s">
        <v>68</v>
      </c>
      <c r="D844">
        <f t="shared" ref="D844:W844" si="616">D130*D232</f>
        <v>599.73721925399684</v>
      </c>
      <c r="E844">
        <f t="shared" si="616"/>
        <v>571.15328163916615</v>
      </c>
      <c r="F844">
        <f t="shared" si="616"/>
        <v>573.79833626181107</v>
      </c>
      <c r="G844">
        <f t="shared" si="616"/>
        <v>583.02269001405091</v>
      </c>
      <c r="H844">
        <f t="shared" si="616"/>
        <v>570.96852899957776</v>
      </c>
      <c r="I844">
        <f t="shared" si="616"/>
        <v>309.63484713434133</v>
      </c>
      <c r="J844">
        <f t="shared" si="616"/>
        <v>254.74669391327461</v>
      </c>
      <c r="K844">
        <f t="shared" si="616"/>
        <v>285.42509117347561</v>
      </c>
      <c r="L844">
        <f t="shared" si="616"/>
        <v>267.28125314681228</v>
      </c>
      <c r="M844">
        <f t="shared" si="616"/>
        <v>498.34451654269873</v>
      </c>
      <c r="N844">
        <f t="shared" si="616"/>
        <v>516.57060893304265</v>
      </c>
      <c r="O844">
        <f t="shared" si="616"/>
        <v>523.66797298646588</v>
      </c>
      <c r="P844">
        <f t="shared" si="616"/>
        <v>535.76578789302255</v>
      </c>
      <c r="Q844">
        <f t="shared" si="616"/>
        <v>519.50497657523727</v>
      </c>
      <c r="R844">
        <f t="shared" si="616"/>
        <v>566.03972629157442</v>
      </c>
      <c r="S844">
        <f t="shared" si="616"/>
        <v>638.27539215914521</v>
      </c>
      <c r="T844">
        <f t="shared" si="616"/>
        <v>704.89237612972897</v>
      </c>
      <c r="U844">
        <f t="shared" si="616"/>
        <v>584.1095221895855</v>
      </c>
      <c r="V844">
        <f t="shared" si="616"/>
        <v>585.31148601745531</v>
      </c>
      <c r="W844">
        <f t="shared" si="616"/>
        <v>543.06646224365159</v>
      </c>
      <c r="Y844" s="8">
        <f t="shared" si="590"/>
        <v>10231.316769498113</v>
      </c>
      <c r="Z844">
        <f>SUMPRODUCT($D$848:$W$848,D844:W844)</f>
        <v>-164.13921724443017</v>
      </c>
    </row>
    <row r="845" spans="1:26" x14ac:dyDescent="0.25">
      <c r="A845" t="s">
        <v>312</v>
      </c>
      <c r="D845">
        <f t="shared" ref="D845:W845" si="617">D131*D233</f>
        <v>924.55168106987992</v>
      </c>
      <c r="E845">
        <f t="shared" si="617"/>
        <v>966.08590635059738</v>
      </c>
      <c r="F845">
        <f t="shared" si="617"/>
        <v>690.64423971832207</v>
      </c>
      <c r="G845">
        <f t="shared" si="617"/>
        <v>836.16250839839472</v>
      </c>
      <c r="H845">
        <f t="shared" si="617"/>
        <v>1009.4653737212341</v>
      </c>
      <c r="I845">
        <f t="shared" si="617"/>
        <v>921.25936250013353</v>
      </c>
      <c r="J845">
        <f t="shared" si="617"/>
        <v>829.49335605574413</v>
      </c>
      <c r="K845">
        <f t="shared" si="617"/>
        <v>661.05338455546723</v>
      </c>
      <c r="L845">
        <f t="shared" si="617"/>
        <v>473.87509936200723</v>
      </c>
      <c r="M845">
        <f t="shared" si="617"/>
        <v>493.89977930250058</v>
      </c>
      <c r="N845">
        <f t="shared" si="617"/>
        <v>394.14579594118078</v>
      </c>
      <c r="O845">
        <f t="shared" si="617"/>
        <v>697.97454346081111</v>
      </c>
      <c r="P845">
        <f t="shared" si="617"/>
        <v>1205.5999999999999</v>
      </c>
      <c r="Q845">
        <f t="shared" si="617"/>
        <v>1443.3000000000002</v>
      </c>
      <c r="R845">
        <f t="shared" si="617"/>
        <v>1123.5899999999999</v>
      </c>
      <c r="S845">
        <f t="shared" si="617"/>
        <v>340.91</v>
      </c>
      <c r="T845">
        <f t="shared" si="617"/>
        <v>749.75999999999988</v>
      </c>
      <c r="U845">
        <f t="shared" si="617"/>
        <v>566.71999999999991</v>
      </c>
      <c r="V845">
        <f t="shared" si="617"/>
        <v>549.78000000000009</v>
      </c>
      <c r="W845">
        <f t="shared" si="617"/>
        <v>480.6</v>
      </c>
      <c r="Y845" s="8">
        <f t="shared" si="590"/>
        <v>15358.871030436272</v>
      </c>
      <c r="Z845">
        <f>SUMPRODUCT($D$848:$W$848,D845:W845)</f>
        <v>-262.94726079717776</v>
      </c>
    </row>
    <row r="846" spans="1:26" x14ac:dyDescent="0.25">
      <c r="A846" t="s">
        <v>313</v>
      </c>
      <c r="D846">
        <f t="shared" ref="D846:W846" si="618">D132*D234</f>
        <v>697.64</v>
      </c>
      <c r="E846">
        <f t="shared" si="618"/>
        <v>1011.78</v>
      </c>
      <c r="F846">
        <f t="shared" si="618"/>
        <v>5761.04</v>
      </c>
      <c r="G846">
        <f t="shared" si="618"/>
        <v>787.57999999999993</v>
      </c>
      <c r="H846">
        <f t="shared" si="618"/>
        <v>934.5100000000001</v>
      </c>
      <c r="I846">
        <f t="shared" si="618"/>
        <v>846.3</v>
      </c>
      <c r="J846">
        <f t="shared" si="618"/>
        <v>794.64</v>
      </c>
      <c r="K846">
        <f t="shared" si="618"/>
        <v>663.12</v>
      </c>
      <c r="L846">
        <f t="shared" si="618"/>
        <v>548.96</v>
      </c>
      <c r="M846">
        <f t="shared" si="618"/>
        <v>499.68000000000006</v>
      </c>
      <c r="N846">
        <f t="shared" si="618"/>
        <v>442.89</v>
      </c>
      <c r="O846">
        <f t="shared" si="618"/>
        <v>681.12000000000012</v>
      </c>
      <c r="P846">
        <f t="shared" si="618"/>
        <v>496.55007771060275</v>
      </c>
      <c r="Q846">
        <f t="shared" si="618"/>
        <v>503.5579261415653</v>
      </c>
      <c r="R846">
        <f t="shared" si="618"/>
        <v>526.9171170925415</v>
      </c>
      <c r="S846">
        <f t="shared" si="618"/>
        <v>568.65317070792184</v>
      </c>
      <c r="T846">
        <f t="shared" si="618"/>
        <v>598.95556647673425</v>
      </c>
      <c r="U846">
        <f t="shared" si="618"/>
        <v>558.44878571492336</v>
      </c>
      <c r="V846">
        <f t="shared" si="618"/>
        <v>587.5529101897655</v>
      </c>
      <c r="W846">
        <f t="shared" si="618"/>
        <v>580.15132027321044</v>
      </c>
      <c r="Y846" s="8">
        <f t="shared" si="590"/>
        <v>18090.046874307267</v>
      </c>
      <c r="Z846">
        <f>SUMPRODUCT($D$848:$W$848,D846:W846)</f>
        <v>-1565.4251551195916</v>
      </c>
    </row>
    <row r="847" spans="1:26" x14ac:dyDescent="0.25">
      <c r="A847" t="s">
        <v>676</v>
      </c>
      <c r="D847">
        <f t="shared" ref="D847:W847" si="619">D133*D235</f>
        <v>615.56791933056297</v>
      </c>
      <c r="E847">
        <f t="shared" si="619"/>
        <v>588.6302977734025</v>
      </c>
      <c r="F847">
        <f t="shared" si="619"/>
        <v>561.4997147128588</v>
      </c>
      <c r="G847">
        <f t="shared" si="619"/>
        <v>584.81889663771778</v>
      </c>
      <c r="H847">
        <f t="shared" si="619"/>
        <v>570.96852899957787</v>
      </c>
      <c r="I847">
        <f t="shared" si="619"/>
        <v>539.96773849081922</v>
      </c>
      <c r="J847">
        <f t="shared" si="619"/>
        <v>498.92267720102637</v>
      </c>
      <c r="K847">
        <f t="shared" si="619"/>
        <v>535.0961492741842</v>
      </c>
      <c r="L847">
        <f t="shared" si="619"/>
        <v>552.60387448521055</v>
      </c>
      <c r="M847">
        <f t="shared" si="619"/>
        <v>454.70818171325635</v>
      </c>
      <c r="N847">
        <f t="shared" si="619"/>
        <v>456.51107424037735</v>
      </c>
      <c r="O847">
        <f t="shared" si="619"/>
        <v>502.4682289973324</v>
      </c>
      <c r="P847">
        <f t="shared" si="619"/>
        <v>537.80020923586801</v>
      </c>
      <c r="Q847">
        <f t="shared" si="619"/>
        <v>605.84754147194258</v>
      </c>
      <c r="R847">
        <f t="shared" si="619"/>
        <v>582.14249417956523</v>
      </c>
      <c r="S847">
        <f t="shared" si="619"/>
        <v>620.40241116560458</v>
      </c>
      <c r="T847">
        <f t="shared" si="619"/>
        <v>626.92226958817764</v>
      </c>
      <c r="U847">
        <f t="shared" si="619"/>
        <v>578.18428567044327</v>
      </c>
      <c r="V847">
        <f t="shared" si="619"/>
        <v>555.56651745944373</v>
      </c>
      <c r="W847">
        <f t="shared" si="619"/>
        <v>649.77660162924019</v>
      </c>
      <c r="Y847" s="8">
        <f t="shared" ref="Y847" si="620">SUM(D847:W847)</f>
        <v>11218.405612256613</v>
      </c>
      <c r="Z847">
        <f>SUMPRODUCT($D$848:$W$848,D847:W847)</f>
        <v>-189.75581298092462</v>
      </c>
    </row>
    <row r="848" spans="1:26" x14ac:dyDescent="0.25">
      <c r="A848" s="2" t="s">
        <v>69</v>
      </c>
      <c r="D848" s="3">
        <f>CORREL($B$2:$B$26,D818:D842)</f>
        <v>-0.28646036415302917</v>
      </c>
      <c r="E848" s="3">
        <f t="shared" ref="E848:W848" si="621">CORREL($B$2:$B$26,E818:E842)</f>
        <v>-0.28650156730218279</v>
      </c>
      <c r="F848" s="3">
        <f t="shared" si="621"/>
        <v>-0.21826552647583303</v>
      </c>
      <c r="G848" s="3">
        <f t="shared" si="621"/>
        <v>-0.23776255348991532</v>
      </c>
      <c r="H848" s="3">
        <f t="shared" si="621"/>
        <v>-8.178827477157373E-2</v>
      </c>
      <c r="I848" s="3">
        <f t="shared" si="621"/>
        <v>4.8382795925168403E-3</v>
      </c>
      <c r="J848" s="3">
        <f t="shared" si="621"/>
        <v>-8.3203257478912343E-2</v>
      </c>
      <c r="K848" s="3">
        <f t="shared" si="621"/>
        <v>5.3251191702877627E-2</v>
      </c>
      <c r="L848" s="3">
        <f t="shared" si="621"/>
        <v>6.821496755746867E-2</v>
      </c>
      <c r="M848" s="3">
        <f t="shared" si="621"/>
        <v>1.5166115848676944E-2</v>
      </c>
      <c r="N848" s="3">
        <f t="shared" si="621"/>
        <v>-0.27905644192571272</v>
      </c>
      <c r="O848" s="3">
        <f t="shared" si="621"/>
        <v>0.15409208317104409</v>
      </c>
      <c r="P848" s="3">
        <f t="shared" si="621"/>
        <v>0.16811046372649704</v>
      </c>
      <c r="Q848" s="3">
        <f t="shared" si="621"/>
        <v>5.3006634736835312E-2</v>
      </c>
      <c r="R848" s="3">
        <f t="shared" si="621"/>
        <v>0.12597630748973976</v>
      </c>
      <c r="S848" s="3">
        <f t="shared" si="621"/>
        <v>0.27321054674668244</v>
      </c>
      <c r="T848" s="3">
        <f t="shared" si="621"/>
        <v>0.33188562168042374</v>
      </c>
      <c r="U848" s="3">
        <f t="shared" si="621"/>
        <v>0.14770813630571675</v>
      </c>
      <c r="V848" s="3">
        <f t="shared" si="621"/>
        <v>-7.811523909309194E-2</v>
      </c>
      <c r="W848" s="3">
        <f t="shared" si="621"/>
        <v>-0.20949691204276816</v>
      </c>
    </row>
    <row r="851" spans="1:26" x14ac:dyDescent="0.25">
      <c r="D851" t="s">
        <v>278</v>
      </c>
      <c r="E851" t="s">
        <v>279</v>
      </c>
      <c r="F851" t="s">
        <v>280</v>
      </c>
      <c r="G851" t="s">
        <v>281</v>
      </c>
      <c r="H851" t="s">
        <v>282</v>
      </c>
      <c r="I851" t="s">
        <v>283</v>
      </c>
      <c r="J851" t="s">
        <v>284</v>
      </c>
      <c r="K851" t="s">
        <v>285</v>
      </c>
      <c r="L851" t="s">
        <v>340</v>
      </c>
      <c r="M851" t="s">
        <v>418</v>
      </c>
      <c r="N851" t="s">
        <v>419</v>
      </c>
      <c r="O851" t="s">
        <v>420</v>
      </c>
      <c r="P851" t="s">
        <v>552</v>
      </c>
      <c r="Q851" t="s">
        <v>553</v>
      </c>
      <c r="R851" t="s">
        <v>554</v>
      </c>
      <c r="S851" t="s">
        <v>555</v>
      </c>
      <c r="T851" t="s">
        <v>664</v>
      </c>
      <c r="U851" t="s">
        <v>665</v>
      </c>
      <c r="V851" t="s">
        <v>666</v>
      </c>
      <c r="W851" t="s">
        <v>667</v>
      </c>
      <c r="Y851" t="s">
        <v>286</v>
      </c>
      <c r="Z851" t="s">
        <v>287</v>
      </c>
    </row>
    <row r="852" spans="1:26" x14ac:dyDescent="0.25">
      <c r="A852" t="s">
        <v>43</v>
      </c>
      <c r="D852">
        <f t="shared" ref="D852:W852" si="622">D138*D172</f>
        <v>695.36180836037511</v>
      </c>
      <c r="E852">
        <f t="shared" si="622"/>
        <v>437.74431824168732</v>
      </c>
      <c r="F852">
        <f t="shared" si="622"/>
        <v>583.01853241960964</v>
      </c>
      <c r="G852">
        <f t="shared" si="622"/>
        <v>1232.1639404596478</v>
      </c>
      <c r="H852">
        <f t="shared" si="622"/>
        <v>946.83134362768601</v>
      </c>
      <c r="I852">
        <f t="shared" si="622"/>
        <v>454.92748033620308</v>
      </c>
      <c r="J852">
        <f t="shared" si="622"/>
        <v>699.9457224355865</v>
      </c>
      <c r="K852">
        <f t="shared" si="622"/>
        <v>410.15340984849894</v>
      </c>
      <c r="L852">
        <f t="shared" si="622"/>
        <v>351.66485802042325</v>
      </c>
      <c r="M852">
        <f t="shared" si="622"/>
        <v>289.34829830355295</v>
      </c>
      <c r="N852">
        <f t="shared" si="622"/>
        <v>369.54803481727379</v>
      </c>
      <c r="O852">
        <f t="shared" si="622"/>
        <v>553.60077539712427</v>
      </c>
      <c r="P852">
        <f t="shared" si="622"/>
        <v>324.85045834327127</v>
      </c>
      <c r="Q852">
        <f t="shared" si="622"/>
        <v>427.30409015105511</v>
      </c>
      <c r="R852">
        <f t="shared" si="622"/>
        <v>720.7616453930184</v>
      </c>
      <c r="S852">
        <f t="shared" si="622"/>
        <v>681.45086510015233</v>
      </c>
      <c r="T852">
        <f t="shared" si="622"/>
        <v>434.25702995083043</v>
      </c>
      <c r="U852">
        <f t="shared" si="622"/>
        <v>372.73855145627545</v>
      </c>
      <c r="V852">
        <f t="shared" si="622"/>
        <v>745.78317508470616</v>
      </c>
      <c r="W852">
        <f t="shared" si="622"/>
        <v>752.54534136791995</v>
      </c>
      <c r="Y852" s="8">
        <f t="shared" ref="Y852:Y880" si="623">SUM(D852:W852)</f>
        <v>11483.999679114897</v>
      </c>
      <c r="Z852">
        <f t="shared" ref="Z852:Z876" si="624">SUMPRODUCT($D$882:$W$882,D852:W852)</f>
        <v>-515.10238745767606</v>
      </c>
    </row>
    <row r="853" spans="1:26" x14ac:dyDescent="0.25">
      <c r="A853" t="s">
        <v>44</v>
      </c>
      <c r="D853">
        <f t="shared" ref="D853:W853" si="625">D139*D173</f>
        <v>517.54887464057617</v>
      </c>
      <c r="E853">
        <f t="shared" si="625"/>
        <v>496.66811854722312</v>
      </c>
      <c r="F853">
        <f t="shared" si="625"/>
        <v>407.17925079411532</v>
      </c>
      <c r="G853">
        <f t="shared" si="625"/>
        <v>440.10134096936036</v>
      </c>
      <c r="H853">
        <f t="shared" si="625"/>
        <v>467.9188040512845</v>
      </c>
      <c r="I853">
        <f t="shared" si="625"/>
        <v>309.28617614851612</v>
      </c>
      <c r="J853">
        <f t="shared" si="625"/>
        <v>356.30254690142931</v>
      </c>
      <c r="K853">
        <f t="shared" si="625"/>
        <v>538.46696264312607</v>
      </c>
      <c r="L853">
        <f t="shared" si="625"/>
        <v>347.31112308157884</v>
      </c>
      <c r="M853">
        <f t="shared" si="625"/>
        <v>483.43830211615665</v>
      </c>
      <c r="N853">
        <f t="shared" si="625"/>
        <v>251.56793106183247</v>
      </c>
      <c r="O853">
        <f t="shared" si="625"/>
        <v>495.3972251042569</v>
      </c>
      <c r="P853">
        <f t="shared" si="625"/>
        <v>246.99311660608251</v>
      </c>
      <c r="Q853">
        <f t="shared" si="625"/>
        <v>345.32581148029567</v>
      </c>
      <c r="R853">
        <f t="shared" si="625"/>
        <v>399.24339938586735</v>
      </c>
      <c r="S853">
        <f t="shared" si="625"/>
        <v>404.26394340591855</v>
      </c>
      <c r="T853">
        <f t="shared" si="625"/>
        <v>319.05463040718377</v>
      </c>
      <c r="U853">
        <f t="shared" si="625"/>
        <v>267.65307391616057</v>
      </c>
      <c r="V853">
        <f t="shared" si="625"/>
        <v>401.22502706994823</v>
      </c>
      <c r="W853">
        <f t="shared" si="625"/>
        <v>692.83286243297391</v>
      </c>
      <c r="Y853" s="8">
        <f t="shared" si="623"/>
        <v>8187.7785207638863</v>
      </c>
      <c r="Z853">
        <f t="shared" si="624"/>
        <v>-340.38243446231928</v>
      </c>
    </row>
    <row r="854" spans="1:26" x14ac:dyDescent="0.25">
      <c r="A854" t="s">
        <v>45</v>
      </c>
      <c r="D854">
        <f t="shared" ref="D854:W854" si="626">D140*D174</f>
        <v>519.8505146568973</v>
      </c>
      <c r="E854">
        <f t="shared" si="626"/>
        <v>494.02676858216921</v>
      </c>
      <c r="F854">
        <f t="shared" si="626"/>
        <v>480.02592058574425</v>
      </c>
      <c r="G854">
        <f t="shared" si="626"/>
        <v>409.94159381057892</v>
      </c>
      <c r="H854">
        <f t="shared" si="626"/>
        <v>423.61490185489862</v>
      </c>
      <c r="I854">
        <f t="shared" si="626"/>
        <v>303.83528147964745</v>
      </c>
      <c r="J854">
        <f t="shared" si="626"/>
        <v>294.81392904661118</v>
      </c>
      <c r="K854">
        <f t="shared" si="626"/>
        <v>303.83589657935858</v>
      </c>
      <c r="L854">
        <f t="shared" si="626"/>
        <v>420.15371091457058</v>
      </c>
      <c r="M854">
        <f t="shared" si="626"/>
        <v>413.79667074912385</v>
      </c>
      <c r="N854">
        <f t="shared" si="626"/>
        <v>229.84619172741026</v>
      </c>
      <c r="O854">
        <f t="shared" si="626"/>
        <v>329.26721763777056</v>
      </c>
      <c r="P854">
        <f t="shared" si="626"/>
        <v>470.35990297813174</v>
      </c>
      <c r="Q854">
        <f t="shared" si="626"/>
        <v>413.15811574456262</v>
      </c>
      <c r="R854">
        <f t="shared" si="626"/>
        <v>442.46758219143055</v>
      </c>
      <c r="S854">
        <f t="shared" si="626"/>
        <v>589.1564368180035</v>
      </c>
      <c r="T854">
        <f t="shared" si="626"/>
        <v>458.08952296065053</v>
      </c>
      <c r="U854">
        <f t="shared" si="626"/>
        <v>569.23970004400553</v>
      </c>
      <c r="V854">
        <f t="shared" si="626"/>
        <v>436.33707954744432</v>
      </c>
      <c r="W854">
        <f t="shared" si="626"/>
        <v>628.14079507523081</v>
      </c>
      <c r="Y854" s="8">
        <f t="shared" si="623"/>
        <v>8629.9577329842396</v>
      </c>
      <c r="Z854">
        <f t="shared" si="624"/>
        <v>-217.63032166507398</v>
      </c>
    </row>
    <row r="855" spans="1:26" x14ac:dyDescent="0.25">
      <c r="A855" t="s">
        <v>46</v>
      </c>
      <c r="D855">
        <f t="shared" ref="D855:W855" si="627">D141*D175</f>
        <v>959.81470224490715</v>
      </c>
      <c r="E855">
        <f t="shared" si="627"/>
        <v>540.4283005982594</v>
      </c>
      <c r="F855">
        <f t="shared" si="627"/>
        <v>518.40505424728258</v>
      </c>
      <c r="G855">
        <f t="shared" si="627"/>
        <v>621.4360988841272</v>
      </c>
      <c r="H855">
        <f t="shared" si="627"/>
        <v>439.2816844011017</v>
      </c>
      <c r="I855">
        <f t="shared" si="627"/>
        <v>440.96186201911559</v>
      </c>
      <c r="J855">
        <f t="shared" si="627"/>
        <v>371.53425036956088</v>
      </c>
      <c r="K855">
        <f t="shared" si="627"/>
        <v>493.58981022146759</v>
      </c>
      <c r="L855">
        <f t="shared" si="627"/>
        <v>609.17715833644206</v>
      </c>
      <c r="M855">
        <f t="shared" si="627"/>
        <v>214.49225732946292</v>
      </c>
      <c r="N855">
        <f t="shared" si="627"/>
        <v>318.39675930167243</v>
      </c>
      <c r="O855">
        <f t="shared" si="627"/>
        <v>325.79112428876385</v>
      </c>
      <c r="P855">
        <f t="shared" si="627"/>
        <v>466.23507181509888</v>
      </c>
      <c r="Q855">
        <f t="shared" si="627"/>
        <v>443.62463059061622</v>
      </c>
      <c r="R855">
        <f t="shared" si="627"/>
        <v>351.04154115262804</v>
      </c>
      <c r="S855">
        <f t="shared" si="627"/>
        <v>225.72046171532594</v>
      </c>
      <c r="T855">
        <f t="shared" si="627"/>
        <v>292.66332989457561</v>
      </c>
      <c r="U855">
        <f t="shared" si="627"/>
        <v>447.50245981750521</v>
      </c>
      <c r="V855">
        <f t="shared" si="627"/>
        <v>498.96892994684356</v>
      </c>
      <c r="W855">
        <f t="shared" si="627"/>
        <v>371.19055223612389</v>
      </c>
      <c r="Y855" s="8">
        <f t="shared" si="623"/>
        <v>8950.2560394108787</v>
      </c>
      <c r="Z855">
        <f t="shared" si="624"/>
        <v>-514.47381141139783</v>
      </c>
    </row>
    <row r="856" spans="1:26" x14ac:dyDescent="0.25">
      <c r="A856" t="s">
        <v>47</v>
      </c>
      <c r="D856">
        <f t="shared" ref="D856:W856" si="628">D142*D176</f>
        <v>337.00272705749444</v>
      </c>
      <c r="E856">
        <f t="shared" si="628"/>
        <v>298.13398952427292</v>
      </c>
      <c r="F856">
        <f t="shared" si="628"/>
        <v>530.51198825987683</v>
      </c>
      <c r="G856">
        <f t="shared" si="628"/>
        <v>578.59816162595075</v>
      </c>
      <c r="H856">
        <f t="shared" si="628"/>
        <v>421.16842515591549</v>
      </c>
      <c r="I856">
        <f t="shared" si="628"/>
        <v>161.76403812479938</v>
      </c>
      <c r="J856">
        <f t="shared" si="628"/>
        <v>270.73519783312776</v>
      </c>
      <c r="K856">
        <f t="shared" si="628"/>
        <v>283.64209436747774</v>
      </c>
      <c r="L856">
        <f t="shared" si="628"/>
        <v>102.14053995955267</v>
      </c>
      <c r="M856">
        <f t="shared" si="628"/>
        <v>108.7285317544443</v>
      </c>
      <c r="N856">
        <f t="shared" si="628"/>
        <v>93.728080241468845</v>
      </c>
      <c r="O856">
        <f t="shared" si="628"/>
        <v>103.1298386288428</v>
      </c>
      <c r="P856">
        <f t="shared" si="628"/>
        <v>167.25783337926103</v>
      </c>
      <c r="Q856">
        <f t="shared" si="628"/>
        <v>187.55679623700215</v>
      </c>
      <c r="R856">
        <f t="shared" si="628"/>
        <v>411.80563398712877</v>
      </c>
      <c r="S856">
        <f t="shared" si="628"/>
        <v>98.000315339521435</v>
      </c>
      <c r="T856">
        <f t="shared" si="628"/>
        <v>200.49838014345178</v>
      </c>
      <c r="U856">
        <f t="shared" si="628"/>
        <v>248.23334463562162</v>
      </c>
      <c r="V856">
        <f t="shared" si="628"/>
        <v>165.13271454445507</v>
      </c>
      <c r="W856">
        <f t="shared" si="628"/>
        <v>339.27212952857377</v>
      </c>
      <c r="Y856" s="8">
        <f t="shared" si="623"/>
        <v>5107.0407603282401</v>
      </c>
      <c r="Z856">
        <f t="shared" si="624"/>
        <v>-259.21564494478844</v>
      </c>
    </row>
    <row r="857" spans="1:26" x14ac:dyDescent="0.25">
      <c r="A857" t="s">
        <v>48</v>
      </c>
      <c r="D857">
        <f t="shared" ref="D857:W857" si="629">D143*D177</f>
        <v>584.78771256809603</v>
      </c>
      <c r="E857">
        <f t="shared" si="629"/>
        <v>372.16487607569888</v>
      </c>
      <c r="F857">
        <f t="shared" si="629"/>
        <v>385.61258148169844</v>
      </c>
      <c r="G857">
        <f t="shared" si="629"/>
        <v>844.10164256151336</v>
      </c>
      <c r="H857">
        <f t="shared" si="629"/>
        <v>324.7932508936928</v>
      </c>
      <c r="I857">
        <f t="shared" si="629"/>
        <v>332.74266623920965</v>
      </c>
      <c r="J857">
        <f t="shared" si="629"/>
        <v>269.05824511772346</v>
      </c>
      <c r="K857">
        <f t="shared" si="629"/>
        <v>215.95340815817568</v>
      </c>
      <c r="L857">
        <f t="shared" si="629"/>
        <v>114.02543399791979</v>
      </c>
      <c r="M857">
        <f t="shared" si="629"/>
        <v>143.06858303988329</v>
      </c>
      <c r="N857">
        <f t="shared" si="629"/>
        <v>99.716261258367155</v>
      </c>
      <c r="O857">
        <f t="shared" si="629"/>
        <v>95.736011942540472</v>
      </c>
      <c r="P857">
        <f t="shared" si="629"/>
        <v>141.95717452385432</v>
      </c>
      <c r="Q857">
        <f t="shared" si="629"/>
        <v>120.50174336384208</v>
      </c>
      <c r="R857">
        <f t="shared" si="629"/>
        <v>161.75694409983961</v>
      </c>
      <c r="S857">
        <f t="shared" si="629"/>
        <v>206.9448556259614</v>
      </c>
      <c r="T857">
        <f t="shared" si="629"/>
        <v>219.05064576409097</v>
      </c>
      <c r="U857">
        <f t="shared" si="629"/>
        <v>149.56742363109245</v>
      </c>
      <c r="V857">
        <f t="shared" si="629"/>
        <v>291.82856125885922</v>
      </c>
      <c r="W857">
        <f t="shared" si="629"/>
        <v>382.49152933481082</v>
      </c>
      <c r="Y857" s="8">
        <f t="shared" si="623"/>
        <v>5455.8595509368697</v>
      </c>
      <c r="Z857">
        <f t="shared" si="624"/>
        <v>-483.16829658986478</v>
      </c>
    </row>
    <row r="858" spans="1:26" x14ac:dyDescent="0.25">
      <c r="A858" t="s">
        <v>49</v>
      </c>
      <c r="D858">
        <f t="shared" ref="D858:W858" si="630">D144*D178</f>
        <v>577.53472223254619</v>
      </c>
      <c r="E858">
        <f t="shared" si="630"/>
        <v>502.98246414964001</v>
      </c>
      <c r="F858">
        <f t="shared" si="630"/>
        <v>834.44003634617627</v>
      </c>
      <c r="G858">
        <f t="shared" si="630"/>
        <v>588.01775891165835</v>
      </c>
      <c r="H858">
        <f t="shared" si="630"/>
        <v>244.90035551323086</v>
      </c>
      <c r="I858">
        <f t="shared" si="630"/>
        <v>440.17069980210448</v>
      </c>
      <c r="J858">
        <f t="shared" si="630"/>
        <v>302.31334592997518</v>
      </c>
      <c r="K858">
        <f t="shared" si="630"/>
        <v>211.91522996894452</v>
      </c>
      <c r="L858">
        <f t="shared" si="630"/>
        <v>174.208973026965</v>
      </c>
      <c r="M858">
        <f t="shared" si="630"/>
        <v>181.11384000135811</v>
      </c>
      <c r="N858">
        <f t="shared" si="630"/>
        <v>169.53996757820087</v>
      </c>
      <c r="O858">
        <f t="shared" si="630"/>
        <v>60.027764192042113</v>
      </c>
      <c r="P858">
        <f t="shared" si="630"/>
        <v>197.64763402004894</v>
      </c>
      <c r="Q858">
        <f t="shared" si="630"/>
        <v>85.645417511067308</v>
      </c>
      <c r="R858">
        <f t="shared" si="630"/>
        <v>138.87421106012394</v>
      </c>
      <c r="S858">
        <f t="shared" si="630"/>
        <v>260.93272902222276</v>
      </c>
      <c r="T858">
        <f t="shared" si="630"/>
        <v>126.22025115040948</v>
      </c>
      <c r="U858">
        <f t="shared" si="630"/>
        <v>189.12595766158961</v>
      </c>
      <c r="V858">
        <f t="shared" si="630"/>
        <v>266.30548599539719</v>
      </c>
      <c r="W858">
        <f t="shared" si="630"/>
        <v>386.75930343563738</v>
      </c>
      <c r="Y858" s="8">
        <f t="shared" si="623"/>
        <v>5938.676147509339</v>
      </c>
      <c r="Z858">
        <f t="shared" si="624"/>
        <v>-538.8399553208742</v>
      </c>
    </row>
    <row r="859" spans="1:26" x14ac:dyDescent="0.25">
      <c r="A859" t="s">
        <v>50</v>
      </c>
      <c r="D859">
        <f t="shared" ref="D859:W859" si="631">D145*D179</f>
        <v>264.78976337072004</v>
      </c>
      <c r="E859">
        <f t="shared" si="631"/>
        <v>415.44952486780608</v>
      </c>
      <c r="F859">
        <f t="shared" si="631"/>
        <v>416.68380997942342</v>
      </c>
      <c r="G859">
        <f t="shared" si="631"/>
        <v>253.55074906621044</v>
      </c>
      <c r="H859">
        <f t="shared" si="631"/>
        <v>159.49763391859375</v>
      </c>
      <c r="I859">
        <f t="shared" si="631"/>
        <v>292.53592709234169</v>
      </c>
      <c r="J859">
        <f t="shared" si="631"/>
        <v>199.23611417193396</v>
      </c>
      <c r="K859">
        <f t="shared" si="631"/>
        <v>220.80358026074762</v>
      </c>
      <c r="L859">
        <f t="shared" si="631"/>
        <v>319.43135123118702</v>
      </c>
      <c r="M859">
        <f t="shared" si="631"/>
        <v>188.85728289776708</v>
      </c>
      <c r="N859">
        <f t="shared" si="631"/>
        <v>143.01717951415347</v>
      </c>
      <c r="O859">
        <f t="shared" si="631"/>
        <v>260.78912580083704</v>
      </c>
      <c r="P859">
        <f t="shared" si="631"/>
        <v>201.33987028082208</v>
      </c>
      <c r="Q859">
        <f t="shared" si="631"/>
        <v>327.8889285310396</v>
      </c>
      <c r="R859">
        <f t="shared" si="631"/>
        <v>414.53953716544487</v>
      </c>
      <c r="S859">
        <f t="shared" si="631"/>
        <v>328.93524791387995</v>
      </c>
      <c r="T859">
        <f t="shared" si="631"/>
        <v>289.99196027311336</v>
      </c>
      <c r="U859">
        <f t="shared" si="631"/>
        <v>338.2617031530387</v>
      </c>
      <c r="V859">
        <f t="shared" si="631"/>
        <v>378.34743669640613</v>
      </c>
      <c r="W859">
        <f t="shared" si="631"/>
        <v>464.1746290787882</v>
      </c>
      <c r="Y859" s="8">
        <f t="shared" si="623"/>
        <v>5878.1213552642557</v>
      </c>
      <c r="Z859">
        <f t="shared" si="624"/>
        <v>-126.10898847585152</v>
      </c>
    </row>
    <row r="860" spans="1:26" x14ac:dyDescent="0.25">
      <c r="A860" t="s">
        <v>51</v>
      </c>
      <c r="D860">
        <f t="shared" ref="D860:W860" si="632">D146*D180</f>
        <v>179.4187593339891</v>
      </c>
      <c r="E860">
        <f t="shared" si="632"/>
        <v>293.82405499902524</v>
      </c>
      <c r="F860">
        <f t="shared" si="632"/>
        <v>285.2278377751573</v>
      </c>
      <c r="G860">
        <f t="shared" si="632"/>
        <v>318.65089230609829</v>
      </c>
      <c r="H860">
        <f t="shared" si="632"/>
        <v>259.21398096388333</v>
      </c>
      <c r="I860">
        <f t="shared" si="632"/>
        <v>214.08717835699554</v>
      </c>
      <c r="J860">
        <f t="shared" si="632"/>
        <v>245.16205156054218</v>
      </c>
      <c r="K860">
        <f t="shared" si="632"/>
        <v>280.38191743713958</v>
      </c>
      <c r="L860">
        <f t="shared" si="632"/>
        <v>190.71305233958932</v>
      </c>
      <c r="M860">
        <f t="shared" si="632"/>
        <v>313.04633590676866</v>
      </c>
      <c r="N860">
        <f t="shared" si="632"/>
        <v>168.30710350174084</v>
      </c>
      <c r="O860">
        <f t="shared" si="632"/>
        <v>204.60032236170872</v>
      </c>
      <c r="P860">
        <f t="shared" si="632"/>
        <v>262.82192175929799</v>
      </c>
      <c r="Q860">
        <f t="shared" si="632"/>
        <v>286.66710555302046</v>
      </c>
      <c r="R860">
        <f t="shared" si="632"/>
        <v>126.68764549632024</v>
      </c>
      <c r="S860">
        <f t="shared" si="632"/>
        <v>133.24020788813891</v>
      </c>
      <c r="T860">
        <f t="shared" si="632"/>
        <v>143.08864985933718</v>
      </c>
      <c r="U860">
        <f t="shared" si="632"/>
        <v>136.99388349661075</v>
      </c>
      <c r="V860">
        <f t="shared" si="632"/>
        <v>568.68155520808511</v>
      </c>
      <c r="W860">
        <f t="shared" si="632"/>
        <v>676.65581066375955</v>
      </c>
      <c r="Y860" s="8">
        <f t="shared" si="623"/>
        <v>5287.4702667672082</v>
      </c>
      <c r="Z860">
        <f t="shared" si="624"/>
        <v>-308.94222166702525</v>
      </c>
    </row>
    <row r="861" spans="1:26" x14ac:dyDescent="0.25">
      <c r="A861" t="s">
        <v>52</v>
      </c>
      <c r="D861">
        <f t="shared" ref="D861:W861" si="633">D147*D181</f>
        <v>571.01420832222766</v>
      </c>
      <c r="E861">
        <f t="shared" si="633"/>
        <v>497.33140396838951</v>
      </c>
      <c r="F861">
        <f t="shared" si="633"/>
        <v>669.47210917479742</v>
      </c>
      <c r="G861">
        <f t="shared" si="633"/>
        <v>413.98219018861795</v>
      </c>
      <c r="H861">
        <f t="shared" si="633"/>
        <v>311.2192633002914</v>
      </c>
      <c r="I861">
        <f t="shared" si="633"/>
        <v>213.87963091004616</v>
      </c>
      <c r="J861">
        <f t="shared" si="633"/>
        <v>174.60401339567682</v>
      </c>
      <c r="K861">
        <f t="shared" si="633"/>
        <v>369.06797822112753</v>
      </c>
      <c r="L861">
        <f t="shared" si="633"/>
        <v>278.71272142941564</v>
      </c>
      <c r="M861">
        <f t="shared" si="633"/>
        <v>216.11888947229383</v>
      </c>
      <c r="N861">
        <f t="shared" si="633"/>
        <v>226.37072206137842</v>
      </c>
      <c r="O861">
        <f t="shared" si="633"/>
        <v>105.08480412018143</v>
      </c>
      <c r="P861">
        <f t="shared" si="633"/>
        <v>97.367584193966138</v>
      </c>
      <c r="Q861">
        <f t="shared" si="633"/>
        <v>232.0602812002451</v>
      </c>
      <c r="R861">
        <f t="shared" si="633"/>
        <v>144.62061688323419</v>
      </c>
      <c r="S861">
        <f t="shared" si="633"/>
        <v>272.701830372198</v>
      </c>
      <c r="T861">
        <f t="shared" si="633"/>
        <v>194.4972327277691</v>
      </c>
      <c r="U861">
        <f t="shared" si="633"/>
        <v>369.17680892250451</v>
      </c>
      <c r="V861">
        <f t="shared" si="633"/>
        <v>336.5802982552002</v>
      </c>
      <c r="W861">
        <f t="shared" si="633"/>
        <v>459.21637216395266</v>
      </c>
      <c r="Y861" s="8">
        <f t="shared" si="623"/>
        <v>6153.0789592835135</v>
      </c>
      <c r="Z861">
        <f t="shared" si="624"/>
        <v>-437.32400317027367</v>
      </c>
    </row>
    <row r="862" spans="1:26" x14ac:dyDescent="0.25">
      <c r="A862" t="s">
        <v>53</v>
      </c>
      <c r="D862">
        <f t="shared" ref="D862:W862" si="634">D148*D182</f>
        <v>717.55239393011391</v>
      </c>
      <c r="E862">
        <f t="shared" si="634"/>
        <v>659.40218957892148</v>
      </c>
      <c r="F862">
        <f t="shared" si="634"/>
        <v>594.30064453293653</v>
      </c>
      <c r="G862">
        <f t="shared" si="634"/>
        <v>323.52375471091102</v>
      </c>
      <c r="H862">
        <f t="shared" si="634"/>
        <v>453.22160696084467</v>
      </c>
      <c r="I862">
        <f t="shared" si="634"/>
        <v>295.96273654269311</v>
      </c>
      <c r="J862">
        <f t="shared" si="634"/>
        <v>227.79229799504901</v>
      </c>
      <c r="K862">
        <f t="shared" si="634"/>
        <v>234.79009864957919</v>
      </c>
      <c r="L862">
        <f t="shared" si="634"/>
        <v>232.43374772441911</v>
      </c>
      <c r="M862">
        <f t="shared" si="634"/>
        <v>304.2995600391306</v>
      </c>
      <c r="N862">
        <f t="shared" si="634"/>
        <v>313.10584911315971</v>
      </c>
      <c r="O862">
        <f t="shared" si="634"/>
        <v>172.06503535789281</v>
      </c>
      <c r="P862">
        <f t="shared" si="634"/>
        <v>190.23351443916454</v>
      </c>
      <c r="Q862">
        <f t="shared" si="634"/>
        <v>323.07301098672758</v>
      </c>
      <c r="R862">
        <f t="shared" si="634"/>
        <v>276.10720125916322</v>
      </c>
      <c r="S862">
        <f t="shared" si="634"/>
        <v>271.34711390345279</v>
      </c>
      <c r="T862">
        <f t="shared" si="634"/>
        <v>378.94760589181044</v>
      </c>
      <c r="U862">
        <f t="shared" si="634"/>
        <v>303.25165271939255</v>
      </c>
      <c r="V862">
        <f t="shared" si="634"/>
        <v>420.56791305310401</v>
      </c>
      <c r="W862">
        <f t="shared" si="634"/>
        <v>355.59280918289494</v>
      </c>
      <c r="Y862" s="8">
        <f t="shared" si="623"/>
        <v>7047.5707365713615</v>
      </c>
      <c r="Z862">
        <f t="shared" si="624"/>
        <v>-451.38354004781053</v>
      </c>
    </row>
    <row r="863" spans="1:26" x14ac:dyDescent="0.25">
      <c r="A863" t="s">
        <v>54</v>
      </c>
      <c r="D863">
        <f t="shared" ref="D863:W863" si="635">D149*D183</f>
        <v>1302.8870808000636</v>
      </c>
      <c r="E863">
        <f t="shared" si="635"/>
        <v>383.30180334285882</v>
      </c>
      <c r="F863">
        <f t="shared" si="635"/>
        <v>362.85192475518693</v>
      </c>
      <c r="G863">
        <f t="shared" si="635"/>
        <v>641.33163749087771</v>
      </c>
      <c r="H863">
        <f t="shared" si="635"/>
        <v>260.94302646897654</v>
      </c>
      <c r="I863">
        <f t="shared" si="635"/>
        <v>361.97565140234229</v>
      </c>
      <c r="J863">
        <f t="shared" si="635"/>
        <v>259.1613846442151</v>
      </c>
      <c r="K863">
        <f t="shared" si="635"/>
        <v>191.77473279354069</v>
      </c>
      <c r="L863">
        <f t="shared" si="635"/>
        <v>98.85122724558552</v>
      </c>
      <c r="M863">
        <f t="shared" si="635"/>
        <v>325.56077907553242</v>
      </c>
      <c r="N863">
        <f t="shared" si="635"/>
        <v>114.06945714522753</v>
      </c>
      <c r="O863">
        <f t="shared" si="635"/>
        <v>143.06858303988329</v>
      </c>
      <c r="P863">
        <f t="shared" si="635"/>
        <v>440.69653349130186</v>
      </c>
      <c r="Q863">
        <f t="shared" si="635"/>
        <v>239.15908775609427</v>
      </c>
      <c r="R863">
        <f t="shared" si="635"/>
        <v>229.58956728535566</v>
      </c>
      <c r="S863">
        <f t="shared" si="635"/>
        <v>351.04154115262804</v>
      </c>
      <c r="T863">
        <f t="shared" si="635"/>
        <v>446.37512771667502</v>
      </c>
      <c r="U863">
        <f t="shared" si="635"/>
        <v>388.69253907492953</v>
      </c>
      <c r="V863">
        <f t="shared" si="635"/>
        <v>427.4630446146399</v>
      </c>
      <c r="W863">
        <f t="shared" si="635"/>
        <v>291.76076683986588</v>
      </c>
      <c r="Y863" s="8">
        <f t="shared" si="623"/>
        <v>7260.5554961357811</v>
      </c>
      <c r="Z863">
        <f t="shared" si="624"/>
        <v>-516.04259404583502</v>
      </c>
    </row>
    <row r="864" spans="1:26" x14ac:dyDescent="0.25">
      <c r="A864" t="s">
        <v>55</v>
      </c>
      <c r="D864">
        <f t="shared" ref="D864:W864" si="636">D150*D184</f>
        <v>698.81128975338129</v>
      </c>
      <c r="E864">
        <f t="shared" si="636"/>
        <v>671.73122009946565</v>
      </c>
      <c r="F864">
        <f t="shared" si="636"/>
        <v>470.83440394504822</v>
      </c>
      <c r="G864">
        <f t="shared" si="636"/>
        <v>458.53259397589187</v>
      </c>
      <c r="H864">
        <f t="shared" si="636"/>
        <v>243.97785058060919</v>
      </c>
      <c r="I864">
        <f t="shared" si="636"/>
        <v>248.67393801060473</v>
      </c>
      <c r="J864">
        <f t="shared" si="636"/>
        <v>252.31793696950976</v>
      </c>
      <c r="K864">
        <f t="shared" si="636"/>
        <v>288.56825711182307</v>
      </c>
      <c r="L864">
        <f t="shared" si="636"/>
        <v>308.40804874835368</v>
      </c>
      <c r="M864">
        <f t="shared" si="636"/>
        <v>308.29619723298424</v>
      </c>
      <c r="N864">
        <f t="shared" si="636"/>
        <v>302.27326020869384</v>
      </c>
      <c r="O864">
        <f t="shared" si="636"/>
        <v>272.56732903474744</v>
      </c>
      <c r="P864">
        <f t="shared" si="636"/>
        <v>402.6549626840818</v>
      </c>
      <c r="Q864">
        <f t="shared" si="636"/>
        <v>411.67937297733368</v>
      </c>
      <c r="R864">
        <f t="shared" si="636"/>
        <v>241.43854079214</v>
      </c>
      <c r="S864">
        <f t="shared" si="636"/>
        <v>337.61473175751388</v>
      </c>
      <c r="T864">
        <f t="shared" si="636"/>
        <v>355.29886096590872</v>
      </c>
      <c r="U864">
        <f t="shared" si="636"/>
        <v>153.84231381532669</v>
      </c>
      <c r="V864">
        <f t="shared" si="636"/>
        <v>393.5492591074115</v>
      </c>
      <c r="W864">
        <f t="shared" si="636"/>
        <v>586.68025612160545</v>
      </c>
      <c r="Y864" s="8">
        <f t="shared" si="623"/>
        <v>7407.7506238924352</v>
      </c>
      <c r="Z864">
        <f t="shared" si="624"/>
        <v>-491.2895535724</v>
      </c>
    </row>
    <row r="865" spans="1:26" x14ac:dyDescent="0.25">
      <c r="A865" t="s">
        <v>56</v>
      </c>
      <c r="D865">
        <f t="shared" ref="D865:W865" si="637">D151*D185</f>
        <v>481.09208519927432</v>
      </c>
      <c r="E865">
        <f t="shared" si="637"/>
        <v>564.50552018355802</v>
      </c>
      <c r="F865">
        <f t="shared" si="637"/>
        <v>483.69489547183929</v>
      </c>
      <c r="G865">
        <f t="shared" si="637"/>
        <v>463.20667046019702</v>
      </c>
      <c r="H865">
        <f t="shared" si="637"/>
        <v>683.6676665495828</v>
      </c>
      <c r="I865">
        <f t="shared" si="637"/>
        <v>362.77210128890562</v>
      </c>
      <c r="J865">
        <f t="shared" si="637"/>
        <v>400.89279128299734</v>
      </c>
      <c r="K865">
        <f t="shared" si="637"/>
        <v>475.92668766854035</v>
      </c>
      <c r="L865">
        <f t="shared" si="637"/>
        <v>408.21410508078725</v>
      </c>
      <c r="M865">
        <f t="shared" si="637"/>
        <v>289.11845835032995</v>
      </c>
      <c r="N865">
        <f t="shared" si="637"/>
        <v>486.3139179706161</v>
      </c>
      <c r="O865">
        <f t="shared" si="637"/>
        <v>371.05284507341617</v>
      </c>
      <c r="P865">
        <f t="shared" si="637"/>
        <v>305.25564674456194</v>
      </c>
      <c r="Q865">
        <f t="shared" si="637"/>
        <v>249.06612515860431</v>
      </c>
      <c r="R865">
        <f t="shared" si="637"/>
        <v>362.29106684269738</v>
      </c>
      <c r="S865">
        <f t="shared" si="637"/>
        <v>448.97844397150777</v>
      </c>
      <c r="T865">
        <f t="shared" si="637"/>
        <v>484.50849964924851</v>
      </c>
      <c r="U865">
        <f t="shared" si="637"/>
        <v>499.83482135666566</v>
      </c>
      <c r="V865">
        <f t="shared" si="637"/>
        <v>503.89324037961842</v>
      </c>
      <c r="W865">
        <f t="shared" si="637"/>
        <v>471.95505199615928</v>
      </c>
      <c r="Y865" s="8">
        <f t="shared" si="623"/>
        <v>8796.2406406791088</v>
      </c>
      <c r="Z865">
        <f t="shared" si="624"/>
        <v>-378.73811919135119</v>
      </c>
    </row>
    <row r="866" spans="1:26" x14ac:dyDescent="0.25">
      <c r="A866" t="s">
        <v>57</v>
      </c>
      <c r="D866">
        <f t="shared" ref="D866:W866" si="638">D152*D186</f>
        <v>543.06839010228896</v>
      </c>
      <c r="E866">
        <f t="shared" si="638"/>
        <v>320.47241156653655</v>
      </c>
      <c r="F866">
        <f t="shared" si="638"/>
        <v>276.44736038497365</v>
      </c>
      <c r="G866">
        <f t="shared" si="638"/>
        <v>329.34695737490085</v>
      </c>
      <c r="H866">
        <f t="shared" si="638"/>
        <v>267.70310425065378</v>
      </c>
      <c r="I866">
        <f t="shared" si="638"/>
        <v>157.43305979967951</v>
      </c>
      <c r="J866">
        <f t="shared" si="638"/>
        <v>329.57682699170675</v>
      </c>
      <c r="K866">
        <f t="shared" si="638"/>
        <v>213.69524260443217</v>
      </c>
      <c r="L866">
        <f t="shared" si="638"/>
        <v>247.2735974821465</v>
      </c>
      <c r="M866">
        <f t="shared" si="638"/>
        <v>304.85649263382993</v>
      </c>
      <c r="N866">
        <f t="shared" si="638"/>
        <v>407.86057947863651</v>
      </c>
      <c r="O866">
        <f t="shared" si="638"/>
        <v>327.55010538175941</v>
      </c>
      <c r="P866">
        <f t="shared" si="638"/>
        <v>81.664097288978112</v>
      </c>
      <c r="Q866">
        <f t="shared" si="638"/>
        <v>109.47843340001955</v>
      </c>
      <c r="R866">
        <f t="shared" si="638"/>
        <v>125.26392554267268</v>
      </c>
      <c r="S866">
        <f t="shared" si="638"/>
        <v>154.56426468721361</v>
      </c>
      <c r="T866">
        <f t="shared" si="638"/>
        <v>274.44709369907423</v>
      </c>
      <c r="U866">
        <f t="shared" si="638"/>
        <v>214.91640407801489</v>
      </c>
      <c r="V866">
        <f t="shared" si="638"/>
        <v>175.72525368718462</v>
      </c>
      <c r="W866">
        <f t="shared" si="638"/>
        <v>369.94065507408993</v>
      </c>
      <c r="Y866" s="8">
        <f t="shared" si="623"/>
        <v>5231.2842555087918</v>
      </c>
      <c r="Z866">
        <f t="shared" si="624"/>
        <v>-415.42215515236302</v>
      </c>
    </row>
    <row r="867" spans="1:26" x14ac:dyDescent="0.25">
      <c r="A867" t="s">
        <v>58</v>
      </c>
      <c r="D867">
        <f t="shared" ref="D867:W867" si="639">D153*D187</f>
        <v>534.93072975661983</v>
      </c>
      <c r="E867">
        <f t="shared" si="639"/>
        <v>408.28093228031116</v>
      </c>
      <c r="F867">
        <f t="shared" si="639"/>
        <v>338.81654818556927</v>
      </c>
      <c r="G867">
        <f t="shared" si="639"/>
        <v>281.21055707682041</v>
      </c>
      <c r="H867">
        <f t="shared" si="639"/>
        <v>245.06394699446247</v>
      </c>
      <c r="I867">
        <f t="shared" si="639"/>
        <v>333.06300859800967</v>
      </c>
      <c r="J867">
        <f t="shared" si="639"/>
        <v>298.98204887689258</v>
      </c>
      <c r="K867">
        <f t="shared" si="639"/>
        <v>298.67982122945295</v>
      </c>
      <c r="L867">
        <f t="shared" si="639"/>
        <v>260.11695447472169</v>
      </c>
      <c r="M867">
        <f t="shared" si="639"/>
        <v>248.1839472014633</v>
      </c>
      <c r="N867">
        <f t="shared" si="639"/>
        <v>204.73617857719893</v>
      </c>
      <c r="O867">
        <f t="shared" si="639"/>
        <v>197.51571105050766</v>
      </c>
      <c r="P867">
        <f t="shared" si="639"/>
        <v>148.1930472540067</v>
      </c>
      <c r="Q867">
        <f t="shared" si="639"/>
        <v>329.41484814258621</v>
      </c>
      <c r="R867">
        <f t="shared" si="639"/>
        <v>317.93058210653788</v>
      </c>
      <c r="S867">
        <f t="shared" si="639"/>
        <v>404.92628888663739</v>
      </c>
      <c r="T867">
        <f t="shared" si="639"/>
        <v>506.97819014112287</v>
      </c>
      <c r="U867">
        <f t="shared" si="639"/>
        <v>450.3118627991982</v>
      </c>
      <c r="V867">
        <f t="shared" si="639"/>
        <v>185.59560884896123</v>
      </c>
      <c r="W867">
        <f t="shared" si="639"/>
        <v>420.7021482115511</v>
      </c>
      <c r="Y867" s="8">
        <f t="shared" si="623"/>
        <v>6413.6329606926311</v>
      </c>
      <c r="Z867">
        <f t="shared" si="624"/>
        <v>-211.6459656128211</v>
      </c>
    </row>
    <row r="868" spans="1:26" x14ac:dyDescent="0.25">
      <c r="A868" t="s">
        <v>59</v>
      </c>
      <c r="D868">
        <f t="shared" ref="D868:W868" si="640">D154*D188</f>
        <v>521.40045033886929</v>
      </c>
      <c r="E868">
        <f t="shared" si="640"/>
        <v>562.82695481850214</v>
      </c>
      <c r="F868">
        <f t="shared" si="640"/>
        <v>447.49344445955228</v>
      </c>
      <c r="G868">
        <f t="shared" si="640"/>
        <v>435.32217454573959</v>
      </c>
      <c r="H868">
        <f t="shared" si="640"/>
        <v>388.66557037426173</v>
      </c>
      <c r="I868">
        <f t="shared" si="640"/>
        <v>335.44810226299438</v>
      </c>
      <c r="J868">
        <f t="shared" si="640"/>
        <v>327.86930071532305</v>
      </c>
      <c r="K868">
        <f t="shared" si="640"/>
        <v>336.6587525324743</v>
      </c>
      <c r="L868">
        <f t="shared" si="640"/>
        <v>383.49027590034046</v>
      </c>
      <c r="M868">
        <f t="shared" si="640"/>
        <v>272.30938441349326</v>
      </c>
      <c r="N868">
        <f t="shared" si="640"/>
        <v>290.70387123859877</v>
      </c>
      <c r="O868">
        <f t="shared" si="640"/>
        <v>306.96105413400829</v>
      </c>
      <c r="P868">
        <f t="shared" si="640"/>
        <v>313.61681316409442</v>
      </c>
      <c r="Q868">
        <f t="shared" si="640"/>
        <v>300.7970142318523</v>
      </c>
      <c r="R868">
        <f t="shared" si="640"/>
        <v>371.42190016229438</v>
      </c>
      <c r="S868">
        <f t="shared" si="640"/>
        <v>392.72045494532915</v>
      </c>
      <c r="T868">
        <f t="shared" si="640"/>
        <v>363.24961879055348</v>
      </c>
      <c r="U868">
        <f t="shared" si="640"/>
        <v>346.44685356756605</v>
      </c>
      <c r="V868">
        <f t="shared" si="640"/>
        <v>430.56505888769624</v>
      </c>
      <c r="W868">
        <f t="shared" si="640"/>
        <v>437.43448686117864</v>
      </c>
      <c r="Y868" s="8">
        <f t="shared" si="623"/>
        <v>7565.4015363447215</v>
      </c>
      <c r="Z868">
        <f t="shared" si="624"/>
        <v>-330.39579814733287</v>
      </c>
    </row>
    <row r="869" spans="1:26" x14ac:dyDescent="0.25">
      <c r="A869" t="s">
        <v>60</v>
      </c>
      <c r="D869">
        <f t="shared" ref="D869:W869" si="641">D155*D189</f>
        <v>464.12705809902462</v>
      </c>
      <c r="E869">
        <f t="shared" si="641"/>
        <v>516.20269001823681</v>
      </c>
      <c r="F869">
        <f t="shared" si="641"/>
        <v>429.78548285715766</v>
      </c>
      <c r="G869">
        <f t="shared" si="641"/>
        <v>418.68984447479278</v>
      </c>
      <c r="H869">
        <f t="shared" si="641"/>
        <v>400.22648402729186</v>
      </c>
      <c r="I869">
        <f t="shared" si="641"/>
        <v>338.28864608113884</v>
      </c>
      <c r="J869">
        <f t="shared" si="641"/>
        <v>339.72576645788354</v>
      </c>
      <c r="K869">
        <f t="shared" si="641"/>
        <v>334.76424183795899</v>
      </c>
      <c r="L869">
        <f t="shared" si="641"/>
        <v>370.19557018723793</v>
      </c>
      <c r="M869">
        <f t="shared" si="641"/>
        <v>279.43044093901671</v>
      </c>
      <c r="N869">
        <f t="shared" si="641"/>
        <v>243.14044623401529</v>
      </c>
      <c r="O869">
        <f t="shared" si="641"/>
        <v>265.78496729984869</v>
      </c>
      <c r="P869">
        <f t="shared" si="641"/>
        <v>318.03220985205093</v>
      </c>
      <c r="Q869">
        <f t="shared" si="641"/>
        <v>377.40147148826736</v>
      </c>
      <c r="R869">
        <f t="shared" si="641"/>
        <v>527.72901094788836</v>
      </c>
      <c r="S869">
        <f t="shared" si="641"/>
        <v>449.60263452340081</v>
      </c>
      <c r="T869">
        <f t="shared" si="641"/>
        <v>316.80522800599158</v>
      </c>
      <c r="U869">
        <f t="shared" si="641"/>
        <v>388.39827133507089</v>
      </c>
      <c r="V869">
        <f t="shared" si="641"/>
        <v>426.62019010118547</v>
      </c>
      <c r="W869">
        <f t="shared" si="641"/>
        <v>432.82233645299556</v>
      </c>
      <c r="Y869" s="8">
        <f t="shared" si="623"/>
        <v>7637.7729912204541</v>
      </c>
      <c r="Z869">
        <f t="shared" si="624"/>
        <v>-222.4244503658777</v>
      </c>
    </row>
    <row r="870" spans="1:26" x14ac:dyDescent="0.25">
      <c r="A870" t="s">
        <v>61</v>
      </c>
      <c r="D870">
        <f t="shared" ref="D870:W870" si="642">D156*D190</f>
        <v>711.54361415596759</v>
      </c>
      <c r="E870">
        <f t="shared" si="642"/>
        <v>642.34946884059309</v>
      </c>
      <c r="F870">
        <f t="shared" si="642"/>
        <v>463.42197622452915</v>
      </c>
      <c r="G870">
        <f t="shared" si="642"/>
        <v>447.16285777905506</v>
      </c>
      <c r="H870">
        <f t="shared" si="642"/>
        <v>282.68995844467901</v>
      </c>
      <c r="I870">
        <f t="shared" si="642"/>
        <v>300.79690711644588</v>
      </c>
      <c r="J870">
        <f t="shared" si="642"/>
        <v>250.83141482967386</v>
      </c>
      <c r="K870">
        <f t="shared" si="642"/>
        <v>322.38054941303102</v>
      </c>
      <c r="L870">
        <f t="shared" si="642"/>
        <v>369.11681524466832</v>
      </c>
      <c r="M870">
        <f t="shared" si="642"/>
        <v>285.94921836422878</v>
      </c>
      <c r="N870">
        <f t="shared" si="642"/>
        <v>219.74117047531848</v>
      </c>
      <c r="O870">
        <f t="shared" si="642"/>
        <v>264.79597916835189</v>
      </c>
      <c r="P870">
        <f t="shared" si="642"/>
        <v>323.38180810236884</v>
      </c>
      <c r="Q870">
        <f t="shared" si="642"/>
        <v>376.25638586368711</v>
      </c>
      <c r="R870">
        <f t="shared" si="642"/>
        <v>426.38558406507161</v>
      </c>
      <c r="S870">
        <f t="shared" si="642"/>
        <v>541.76404447130551</v>
      </c>
      <c r="T870">
        <f t="shared" si="642"/>
        <v>315.37928429361466</v>
      </c>
      <c r="U870">
        <f t="shared" si="642"/>
        <v>256.2890508804357</v>
      </c>
      <c r="V870">
        <f t="shared" si="642"/>
        <v>387.69316103345818</v>
      </c>
      <c r="W870">
        <f t="shared" si="642"/>
        <v>444.18279178555747</v>
      </c>
      <c r="Y870" s="8">
        <f t="shared" si="623"/>
        <v>7632.1120405520396</v>
      </c>
      <c r="Z870">
        <f t="shared" si="624"/>
        <v>-339.19090671334811</v>
      </c>
    </row>
    <row r="871" spans="1:26" x14ac:dyDescent="0.25">
      <c r="A871" t="s">
        <v>62</v>
      </c>
      <c r="D871">
        <f t="shared" ref="D871:W871" si="643">D157*D191</f>
        <v>477.47776047197101</v>
      </c>
      <c r="E871">
        <f t="shared" si="643"/>
        <v>394.61229032092842</v>
      </c>
      <c r="F871">
        <f t="shared" si="643"/>
        <v>382.25107193073796</v>
      </c>
      <c r="G871">
        <f t="shared" si="643"/>
        <v>374.73517465821413</v>
      </c>
      <c r="H871">
        <f t="shared" si="643"/>
        <v>333.38498619881528</v>
      </c>
      <c r="I871">
        <f t="shared" si="643"/>
        <v>231.07863594406294</v>
      </c>
      <c r="J871">
        <f t="shared" si="643"/>
        <v>274.31595866779105</v>
      </c>
      <c r="K871">
        <f t="shared" si="643"/>
        <v>252.75610266564419</v>
      </c>
      <c r="L871">
        <f t="shared" si="643"/>
        <v>285.90442491797859</v>
      </c>
      <c r="M871">
        <f t="shared" si="643"/>
        <v>266.71713998408217</v>
      </c>
      <c r="N871">
        <f t="shared" si="643"/>
        <v>285.11590662605761</v>
      </c>
      <c r="O871">
        <f t="shared" si="643"/>
        <v>281.6498271907713</v>
      </c>
      <c r="P871">
        <f t="shared" si="643"/>
        <v>286.35913816977649</v>
      </c>
      <c r="Q871">
        <f t="shared" si="643"/>
        <v>288.98039015737891</v>
      </c>
      <c r="R871">
        <f t="shared" si="643"/>
        <v>524.39336272909145</v>
      </c>
      <c r="S871">
        <f t="shared" si="643"/>
        <v>514.65657862426258</v>
      </c>
      <c r="T871">
        <f t="shared" si="643"/>
        <v>508.63689765439085</v>
      </c>
      <c r="U871">
        <f t="shared" si="643"/>
        <v>493.76368051042243</v>
      </c>
      <c r="V871">
        <f t="shared" si="643"/>
        <v>532.75274684230533</v>
      </c>
      <c r="W871">
        <f t="shared" si="643"/>
        <v>492.32984844959458</v>
      </c>
      <c r="Y871" s="8">
        <f t="shared" si="623"/>
        <v>7481.8719227142765</v>
      </c>
      <c r="Z871">
        <f t="shared" si="624"/>
        <v>-163.13164278608718</v>
      </c>
    </row>
    <row r="872" spans="1:26" x14ac:dyDescent="0.25">
      <c r="A872" t="s">
        <v>63</v>
      </c>
      <c r="D872">
        <f t="shared" ref="D872:W872" si="644">D158*D192</f>
        <v>377.53563718269254</v>
      </c>
      <c r="E872">
        <f t="shared" si="644"/>
        <v>383.30131243968805</v>
      </c>
      <c r="F872">
        <f t="shared" si="644"/>
        <v>431.18605677182973</v>
      </c>
      <c r="G872">
        <f t="shared" si="644"/>
        <v>407.80822932494777</v>
      </c>
      <c r="H872">
        <f t="shared" si="644"/>
        <v>420.99998392460486</v>
      </c>
      <c r="I872">
        <f t="shared" si="644"/>
        <v>291.65234093527658</v>
      </c>
      <c r="J872">
        <f t="shared" si="644"/>
        <v>277.61128660238279</v>
      </c>
      <c r="K872">
        <f t="shared" si="644"/>
        <v>273.68300400550567</v>
      </c>
      <c r="L872">
        <f t="shared" si="644"/>
        <v>337.12105769303605</v>
      </c>
      <c r="M872">
        <f t="shared" si="644"/>
        <v>184.2578269309704</v>
      </c>
      <c r="N872">
        <f t="shared" si="644"/>
        <v>231.05989127557513</v>
      </c>
      <c r="O872">
        <f t="shared" si="644"/>
        <v>262.83720681599812</v>
      </c>
      <c r="P872">
        <f t="shared" si="644"/>
        <v>265.45464308991757</v>
      </c>
      <c r="Q872">
        <f t="shared" si="644"/>
        <v>230.04689126582949</v>
      </c>
      <c r="R872">
        <f t="shared" si="644"/>
        <v>243.61726623100097</v>
      </c>
      <c r="S872">
        <f t="shared" si="644"/>
        <v>317.96828183037394</v>
      </c>
      <c r="T872">
        <f t="shared" si="644"/>
        <v>313.14580539363322</v>
      </c>
      <c r="U872">
        <f t="shared" si="644"/>
        <v>290.25929927316645</v>
      </c>
      <c r="V872">
        <f t="shared" si="644"/>
        <v>360.41480764949176</v>
      </c>
      <c r="W872">
        <f t="shared" si="644"/>
        <v>365.30774919945247</v>
      </c>
      <c r="Y872" s="8">
        <f t="shared" si="623"/>
        <v>6265.2685778353725</v>
      </c>
      <c r="Z872">
        <f t="shared" si="624"/>
        <v>-285.31718994505746</v>
      </c>
    </row>
    <row r="873" spans="1:26" x14ac:dyDescent="0.25">
      <c r="A873" t="s">
        <v>64</v>
      </c>
      <c r="D873">
        <f t="shared" ref="D873:W873" si="645">D159*D193</f>
        <v>410.78636190625343</v>
      </c>
      <c r="E873">
        <f t="shared" si="645"/>
        <v>576.28034907343999</v>
      </c>
      <c r="F873">
        <f t="shared" si="645"/>
        <v>337.73998486136804</v>
      </c>
      <c r="G873">
        <f t="shared" si="645"/>
        <v>440.02284772427038</v>
      </c>
      <c r="H873">
        <f t="shared" si="645"/>
        <v>388.90278245487264</v>
      </c>
      <c r="I873">
        <f t="shared" si="645"/>
        <v>280.63953409470292</v>
      </c>
      <c r="J873">
        <f t="shared" si="645"/>
        <v>249.138482832319</v>
      </c>
      <c r="K873">
        <f t="shared" si="645"/>
        <v>255.19939676781303</v>
      </c>
      <c r="L873">
        <f t="shared" si="645"/>
        <v>275.27795219620185</v>
      </c>
      <c r="M873">
        <f t="shared" si="645"/>
        <v>273.33226626248108</v>
      </c>
      <c r="N873">
        <f t="shared" si="645"/>
        <v>285.16509479117195</v>
      </c>
      <c r="O873">
        <f t="shared" si="645"/>
        <v>283.66292163757038</v>
      </c>
      <c r="P873">
        <f t="shared" si="645"/>
        <v>247.48301206512954</v>
      </c>
      <c r="Q873">
        <f t="shared" si="645"/>
        <v>228.81225078265993</v>
      </c>
      <c r="R873">
        <f t="shared" si="645"/>
        <v>256.87168424858572</v>
      </c>
      <c r="S873">
        <f t="shared" si="645"/>
        <v>236.9331141440918</v>
      </c>
      <c r="T873">
        <f t="shared" si="645"/>
        <v>267.17742920199885</v>
      </c>
      <c r="U873">
        <f t="shared" si="645"/>
        <v>249.186531329654</v>
      </c>
      <c r="V873">
        <f t="shared" si="645"/>
        <v>404.80458418757979</v>
      </c>
      <c r="W873">
        <f t="shared" si="645"/>
        <v>419.39246458255758</v>
      </c>
      <c r="Y873" s="8">
        <f t="shared" si="623"/>
        <v>6366.8090451447224</v>
      </c>
      <c r="Z873">
        <f t="shared" si="624"/>
        <v>-364.89905374402014</v>
      </c>
    </row>
    <row r="874" spans="1:26" x14ac:dyDescent="0.25">
      <c r="A874" t="s">
        <v>65</v>
      </c>
      <c r="D874">
        <f t="shared" ref="D874:W874" si="646">D160*D194</f>
        <v>881.99447926656842</v>
      </c>
      <c r="E874">
        <f t="shared" si="646"/>
        <v>1012.6744794945328</v>
      </c>
      <c r="F874">
        <f t="shared" si="646"/>
        <v>677.52778943843998</v>
      </c>
      <c r="G874">
        <f t="shared" si="646"/>
        <v>581.59354568386755</v>
      </c>
      <c r="H874">
        <f t="shared" si="646"/>
        <v>587.72279651906274</v>
      </c>
      <c r="I874">
        <f t="shared" si="646"/>
        <v>626.28743670724396</v>
      </c>
      <c r="J874">
        <f t="shared" si="646"/>
        <v>611.96837401725656</v>
      </c>
      <c r="K874">
        <f t="shared" si="646"/>
        <v>603.09271231184005</v>
      </c>
      <c r="L874">
        <f t="shared" si="646"/>
        <v>679.46888883788881</v>
      </c>
      <c r="M874">
        <f t="shared" si="646"/>
        <v>347.99401459082765</v>
      </c>
      <c r="N874">
        <f t="shared" si="646"/>
        <v>447.75906399281871</v>
      </c>
      <c r="O874">
        <f t="shared" si="646"/>
        <v>445.83989143414323</v>
      </c>
      <c r="P874">
        <f t="shared" si="646"/>
        <v>452.25571425205453</v>
      </c>
      <c r="Q874">
        <f t="shared" si="646"/>
        <v>367.16673405974166</v>
      </c>
      <c r="R874">
        <f t="shared" si="646"/>
        <v>409.13090944659444</v>
      </c>
      <c r="S874">
        <f t="shared" si="646"/>
        <v>373.80890192217839</v>
      </c>
      <c r="T874">
        <f t="shared" si="646"/>
        <v>404.42265469692171</v>
      </c>
      <c r="U874">
        <f t="shared" si="646"/>
        <v>455.9918324746381</v>
      </c>
      <c r="V874">
        <f t="shared" si="646"/>
        <v>473.58761665980137</v>
      </c>
      <c r="W874">
        <f t="shared" si="646"/>
        <v>447.73603790243163</v>
      </c>
      <c r="Y874" s="8">
        <f t="shared" si="623"/>
        <v>10888.023873708853</v>
      </c>
      <c r="Z874">
        <f t="shared" si="624"/>
        <v>-630.00447667642413</v>
      </c>
    </row>
    <row r="875" spans="1:26" x14ac:dyDescent="0.25">
      <c r="A875" t="s">
        <v>66</v>
      </c>
      <c r="D875">
        <f t="shared" ref="D875:W875" si="647">D161*D195</f>
        <v>269.63209873834967</v>
      </c>
      <c r="E875">
        <f t="shared" si="647"/>
        <v>312.46177218247669</v>
      </c>
      <c r="F875">
        <f t="shared" si="647"/>
        <v>349.42950476094757</v>
      </c>
      <c r="G875">
        <f t="shared" si="647"/>
        <v>304.9544925091833</v>
      </c>
      <c r="H875">
        <f t="shared" si="647"/>
        <v>295.28803314400267</v>
      </c>
      <c r="I875">
        <f t="shared" si="647"/>
        <v>318.13310525848425</v>
      </c>
      <c r="J875">
        <f t="shared" si="647"/>
        <v>332.2460564337652</v>
      </c>
      <c r="K875">
        <f t="shared" si="647"/>
        <v>328.09637197778909</v>
      </c>
      <c r="L875">
        <f t="shared" si="647"/>
        <v>319.70860830933094</v>
      </c>
      <c r="M875">
        <f t="shared" si="647"/>
        <v>328.69996082744279</v>
      </c>
      <c r="N875">
        <f t="shared" si="647"/>
        <v>293.05970415782889</v>
      </c>
      <c r="O875">
        <f t="shared" si="647"/>
        <v>362.99332222172387</v>
      </c>
      <c r="P875">
        <f t="shared" si="647"/>
        <v>325.21551300301115</v>
      </c>
      <c r="Q875">
        <f t="shared" si="647"/>
        <v>319.92902385736608</v>
      </c>
      <c r="R875">
        <f t="shared" si="647"/>
        <v>450.68553514587296</v>
      </c>
      <c r="S875">
        <f t="shared" si="647"/>
        <v>491.05761165690723</v>
      </c>
      <c r="T875">
        <f t="shared" si="647"/>
        <v>577.36564094419873</v>
      </c>
      <c r="U875">
        <f t="shared" si="647"/>
        <v>504.07331747746656</v>
      </c>
      <c r="V875">
        <f t="shared" si="647"/>
        <v>356.09551141385498</v>
      </c>
      <c r="W875">
        <f t="shared" si="647"/>
        <v>341.01485046514551</v>
      </c>
      <c r="Y875" s="8">
        <f t="shared" si="623"/>
        <v>7180.1400344851481</v>
      </c>
      <c r="Z875">
        <f t="shared" si="624"/>
        <v>-72.605980287250418</v>
      </c>
    </row>
    <row r="876" spans="1:26" x14ac:dyDescent="0.25">
      <c r="A876" t="s">
        <v>67</v>
      </c>
      <c r="D876">
        <f t="shared" ref="D876:W876" si="648">D162*D196</f>
        <v>269.20917570677904</v>
      </c>
      <c r="E876">
        <f t="shared" si="648"/>
        <v>328.90097617977176</v>
      </c>
      <c r="F876">
        <f t="shared" si="648"/>
        <v>293.11654387431275</v>
      </c>
      <c r="G876">
        <f t="shared" si="648"/>
        <v>324.09167782189951</v>
      </c>
      <c r="H876">
        <f t="shared" si="648"/>
        <v>332.72096979802387</v>
      </c>
      <c r="I876">
        <f t="shared" si="648"/>
        <v>339.9837580251754</v>
      </c>
      <c r="J876">
        <f t="shared" si="648"/>
        <v>321.53212308086535</v>
      </c>
      <c r="K876">
        <f t="shared" si="648"/>
        <v>365.75601738102642</v>
      </c>
      <c r="L876">
        <f t="shared" si="648"/>
        <v>347.87344239637247</v>
      </c>
      <c r="M876">
        <f t="shared" si="648"/>
        <v>419.01916251367379</v>
      </c>
      <c r="N876">
        <f t="shared" si="648"/>
        <v>352.76879588182311</v>
      </c>
      <c r="O876">
        <f t="shared" si="648"/>
        <v>349.13426541582362</v>
      </c>
      <c r="P876">
        <f t="shared" si="648"/>
        <v>397.17524780528242</v>
      </c>
      <c r="Q876">
        <f t="shared" si="648"/>
        <v>352.0282874917973</v>
      </c>
      <c r="R876">
        <f t="shared" si="648"/>
        <v>229.4535234271427</v>
      </c>
      <c r="S876">
        <f t="shared" si="648"/>
        <v>213.7777748822536</v>
      </c>
      <c r="T876">
        <f t="shared" si="648"/>
        <v>214.97177351579398</v>
      </c>
      <c r="U876">
        <f t="shared" si="648"/>
        <v>221.92439044350715</v>
      </c>
      <c r="V876">
        <f t="shared" si="648"/>
        <v>419.8076970538055</v>
      </c>
      <c r="W876">
        <f t="shared" si="648"/>
        <v>394.66975799146388</v>
      </c>
      <c r="Y876" s="8">
        <f t="shared" si="623"/>
        <v>6487.915360686593</v>
      </c>
      <c r="Z876">
        <f t="shared" si="624"/>
        <v>-289.86974716279025</v>
      </c>
    </row>
    <row r="877" spans="1:26" x14ac:dyDescent="0.25">
      <c r="Y877" s="8"/>
    </row>
    <row r="878" spans="1:26" x14ac:dyDescent="0.25">
      <c r="A878" t="s">
        <v>68</v>
      </c>
      <c r="D878">
        <f t="shared" ref="D878:W878" si="649">D164*D198</f>
        <v>606.8657213085113</v>
      </c>
      <c r="E878">
        <f t="shared" si="649"/>
        <v>449.5085904199571</v>
      </c>
      <c r="F878">
        <f t="shared" si="649"/>
        <v>449.04491068652248</v>
      </c>
      <c r="G878">
        <f t="shared" si="649"/>
        <v>453.54912836846512</v>
      </c>
      <c r="H878">
        <f t="shared" si="649"/>
        <v>440.16004311424223</v>
      </c>
      <c r="I878">
        <f t="shared" si="649"/>
        <v>285.24449261156946</v>
      </c>
      <c r="J878">
        <f t="shared" si="649"/>
        <v>231.12868752549431</v>
      </c>
      <c r="K878">
        <f t="shared" si="649"/>
        <v>269.49678729426103</v>
      </c>
      <c r="L878">
        <f t="shared" si="649"/>
        <v>241.32445742259893</v>
      </c>
      <c r="M878">
        <f t="shared" si="649"/>
        <v>287.11348679712762</v>
      </c>
      <c r="N878">
        <f t="shared" si="649"/>
        <v>291.62468887989417</v>
      </c>
      <c r="O878">
        <f t="shared" si="649"/>
        <v>293.33539801677534</v>
      </c>
      <c r="P878">
        <f t="shared" si="649"/>
        <v>293.04386787053346</v>
      </c>
      <c r="Q878">
        <f t="shared" si="649"/>
        <v>294.99379732322541</v>
      </c>
      <c r="R878">
        <f t="shared" si="649"/>
        <v>306.53786109266628</v>
      </c>
      <c r="S878">
        <f t="shared" si="649"/>
        <v>331.49957663797954</v>
      </c>
      <c r="T878">
        <f t="shared" si="649"/>
        <v>393.33662862456794</v>
      </c>
      <c r="U878">
        <f t="shared" si="649"/>
        <v>357.48600600385367</v>
      </c>
      <c r="V878">
        <f t="shared" si="649"/>
        <v>387.99496333255024</v>
      </c>
      <c r="W878">
        <f t="shared" si="649"/>
        <v>425.64940390013288</v>
      </c>
      <c r="Y878" s="8">
        <f t="shared" si="623"/>
        <v>7088.9384972309299</v>
      </c>
      <c r="Z878">
        <f>SUMPRODUCT($D$882:$W$882,D878:W878)</f>
        <v>-354.48284621297722</v>
      </c>
    </row>
    <row r="879" spans="1:26" x14ac:dyDescent="0.25">
      <c r="A879" t="s">
        <v>312</v>
      </c>
      <c r="D879">
        <f t="shared" ref="D879:W879" si="650">D165*D199</f>
        <v>450.5951367862383</v>
      </c>
      <c r="E879">
        <f t="shared" si="650"/>
        <v>495.72830488611277</v>
      </c>
      <c r="F879">
        <f t="shared" si="650"/>
        <v>321.44554472715436</v>
      </c>
      <c r="G879">
        <f t="shared" si="650"/>
        <v>325.92645703951331</v>
      </c>
      <c r="H879">
        <f t="shared" si="650"/>
        <v>401.36975482112683</v>
      </c>
      <c r="I879">
        <f t="shared" si="650"/>
        <v>335.82765116126916</v>
      </c>
      <c r="J879">
        <f t="shared" si="650"/>
        <v>304.96781615435845</v>
      </c>
      <c r="K879">
        <f t="shared" si="650"/>
        <v>441.86608174213643</v>
      </c>
      <c r="L879">
        <f t="shared" si="650"/>
        <v>290.17776159965638</v>
      </c>
      <c r="M879">
        <f t="shared" si="650"/>
        <v>276.90586534831357</v>
      </c>
      <c r="N879">
        <f t="shared" si="650"/>
        <v>237.78965393163074</v>
      </c>
      <c r="O879">
        <f t="shared" si="650"/>
        <v>225.81811774073668</v>
      </c>
      <c r="P879">
        <f t="shared" si="650"/>
        <v>468.92999999999995</v>
      </c>
      <c r="Q879">
        <f t="shared" si="650"/>
        <v>509.59999999999997</v>
      </c>
      <c r="R879">
        <f t="shared" si="650"/>
        <v>641.52</v>
      </c>
      <c r="S879">
        <f t="shared" si="650"/>
        <v>165.87</v>
      </c>
      <c r="T879">
        <f t="shared" si="650"/>
        <v>365.20000000000005</v>
      </c>
      <c r="U879">
        <f t="shared" si="650"/>
        <v>344.52</v>
      </c>
      <c r="V879">
        <f t="shared" si="650"/>
        <v>337.62</v>
      </c>
      <c r="W879">
        <f t="shared" si="650"/>
        <v>433.20000000000005</v>
      </c>
      <c r="Y879" s="8">
        <f t="shared" si="623"/>
        <v>7374.8781459382481</v>
      </c>
      <c r="Z879">
        <f>SUMPRODUCT($D$882:$W$882,D879:W879)</f>
        <v>-170.1460882217097</v>
      </c>
    </row>
    <row r="880" spans="1:26" x14ac:dyDescent="0.25">
      <c r="A880" t="s">
        <v>313</v>
      </c>
      <c r="D880">
        <f t="shared" ref="D880:W880" si="651">D166*D200</f>
        <v>441.56000000000006</v>
      </c>
      <c r="E880">
        <f t="shared" si="651"/>
        <v>446.49</v>
      </c>
      <c r="F880">
        <f t="shared" si="651"/>
        <v>395.52000000000004</v>
      </c>
      <c r="G880">
        <f t="shared" si="651"/>
        <v>342.71999999999997</v>
      </c>
      <c r="H880">
        <f t="shared" si="651"/>
        <v>456.28</v>
      </c>
      <c r="I880">
        <f t="shared" si="651"/>
        <v>323.97999999999996</v>
      </c>
      <c r="J880">
        <f t="shared" si="651"/>
        <v>284.58000000000004</v>
      </c>
      <c r="K880">
        <f t="shared" si="651"/>
        <v>575.77</v>
      </c>
      <c r="L880">
        <f t="shared" si="651"/>
        <v>313.41000000000003</v>
      </c>
      <c r="M880">
        <f t="shared" si="651"/>
        <v>313.02</v>
      </c>
      <c r="N880">
        <f t="shared" si="651"/>
        <v>283.89999999999998</v>
      </c>
      <c r="O880">
        <f t="shared" si="651"/>
        <v>262.28000000000003</v>
      </c>
      <c r="P880">
        <f t="shared" si="651"/>
        <v>317.56198195585699</v>
      </c>
      <c r="Q880">
        <f t="shared" si="651"/>
        <v>305.93638437768095</v>
      </c>
      <c r="R880">
        <f t="shared" si="651"/>
        <v>380.52715261099735</v>
      </c>
      <c r="S880">
        <f t="shared" si="651"/>
        <v>388.19195700346648</v>
      </c>
      <c r="T880">
        <f t="shared" si="651"/>
        <v>376.2906245253684</v>
      </c>
      <c r="U880">
        <f t="shared" si="651"/>
        <v>363.20110350617819</v>
      </c>
      <c r="V880">
        <f t="shared" si="651"/>
        <v>444.03882297518498</v>
      </c>
      <c r="W880">
        <f t="shared" si="651"/>
        <v>455.37746101255948</v>
      </c>
      <c r="Y880" s="8">
        <f t="shared" si="623"/>
        <v>7470.6354879672908</v>
      </c>
      <c r="Z880">
        <f>SUMPRODUCT($D$882:$W$882,D880:W880)</f>
        <v>-255.17223531775937</v>
      </c>
    </row>
    <row r="881" spans="1:26" x14ac:dyDescent="0.25">
      <c r="A881" t="s">
        <v>676</v>
      </c>
      <c r="D881">
        <f t="shared" ref="D881:W881" si="652">D167*D201</f>
        <v>633.18585029053907</v>
      </c>
      <c r="E881">
        <f t="shared" si="652"/>
        <v>478.28704499630646</v>
      </c>
      <c r="F881">
        <f t="shared" si="652"/>
        <v>446.0033692004672</v>
      </c>
      <c r="G881">
        <f t="shared" si="652"/>
        <v>451.07273169913503</v>
      </c>
      <c r="H881">
        <f t="shared" si="652"/>
        <v>441.19514639227611</v>
      </c>
      <c r="I881">
        <f t="shared" si="652"/>
        <v>333.80663251796079</v>
      </c>
      <c r="J881">
        <f t="shared" si="652"/>
        <v>324.52460826449681</v>
      </c>
      <c r="K881">
        <f t="shared" si="652"/>
        <v>331.48131446737091</v>
      </c>
      <c r="L881">
        <f t="shared" si="652"/>
        <v>362.62376010484206</v>
      </c>
      <c r="M881">
        <f t="shared" si="652"/>
        <v>277.03129194678479</v>
      </c>
      <c r="N881">
        <f t="shared" si="652"/>
        <v>275.66151077007203</v>
      </c>
      <c r="O881">
        <f t="shared" si="652"/>
        <v>295.62558107050876</v>
      </c>
      <c r="P881">
        <f t="shared" si="652"/>
        <v>257.09876290239151</v>
      </c>
      <c r="Q881">
        <f t="shared" si="652"/>
        <v>304.87380693185668</v>
      </c>
      <c r="R881">
        <f t="shared" si="652"/>
        <v>382.7057953140332</v>
      </c>
      <c r="S881">
        <f t="shared" si="652"/>
        <v>416.71429923832102</v>
      </c>
      <c r="T881">
        <f t="shared" si="652"/>
        <v>380.56022415463525</v>
      </c>
      <c r="U881">
        <f t="shared" si="652"/>
        <v>361.13586595022127</v>
      </c>
      <c r="V881">
        <f t="shared" si="652"/>
        <v>400.40505635167864</v>
      </c>
      <c r="W881">
        <f t="shared" si="652"/>
        <v>425.0318497818983</v>
      </c>
      <c r="Y881" s="8">
        <f t="shared" ref="Y881" si="653">SUM(D881:W881)</f>
        <v>7579.0245023457946</v>
      </c>
      <c r="Z881">
        <f>SUMPRODUCT($D$882:$W$882,D881:W881)</f>
        <v>-334.41873710665453</v>
      </c>
    </row>
    <row r="882" spans="1:26" x14ac:dyDescent="0.25">
      <c r="A882" s="2" t="s">
        <v>69</v>
      </c>
      <c r="D882" s="3">
        <f>CORREL($B$2:$B$26,D852:D876)</f>
        <v>-0.26909321369801137</v>
      </c>
      <c r="E882" s="3">
        <f t="shared" ref="E882:W882" si="654">CORREL($B$2:$B$26,E852:E876)</f>
        <v>-0.17772194457406992</v>
      </c>
      <c r="F882" s="3">
        <f t="shared" si="654"/>
        <v>-0.14010697168735198</v>
      </c>
      <c r="G882" s="3">
        <f t="shared" si="654"/>
        <v>-0.22583627957069188</v>
      </c>
      <c r="H882" s="3">
        <f t="shared" si="654"/>
        <v>-3.2319575366704364E-2</v>
      </c>
      <c r="I882" s="3">
        <f t="shared" si="654"/>
        <v>-4.1225133011773725E-2</v>
      </c>
      <c r="J882" s="3">
        <f t="shared" si="654"/>
        <v>-0.1336513798688671</v>
      </c>
      <c r="K882" s="3">
        <f t="shared" si="654"/>
        <v>4.6681205575036704E-3</v>
      </c>
      <c r="L882" s="3">
        <f t="shared" si="654"/>
        <v>2.2739612279437556E-2</v>
      </c>
      <c r="M882" s="3">
        <f t="shared" si="654"/>
        <v>-3.5213639370948228E-2</v>
      </c>
      <c r="N882" s="3">
        <f t="shared" si="654"/>
        <v>-0.30649800731474741</v>
      </c>
      <c r="O882" s="3">
        <f t="shared" si="654"/>
        <v>5.9885549712736921E-2</v>
      </c>
      <c r="P882" s="3">
        <f t="shared" si="654"/>
        <v>3.4157198304065266E-2</v>
      </c>
      <c r="Q882" s="3">
        <f t="shared" si="654"/>
        <v>3.2196648767365166E-2</v>
      </c>
      <c r="R882" s="3">
        <f t="shared" si="654"/>
        <v>0.34357144085360858</v>
      </c>
      <c r="S882" s="3">
        <f t="shared" si="654"/>
        <v>0.15251174632652481</v>
      </c>
      <c r="T882" s="3">
        <f t="shared" si="654"/>
        <v>7.7648960555158117E-2</v>
      </c>
      <c r="U882" s="3">
        <f t="shared" si="654"/>
        <v>0.15207860936698114</v>
      </c>
      <c r="V882" s="3">
        <f t="shared" si="654"/>
        <v>-4.3556467142186396E-2</v>
      </c>
      <c r="W882" s="3">
        <f t="shared" si="654"/>
        <v>-0.13458161248211495</v>
      </c>
    </row>
    <row r="885" spans="1:26" x14ac:dyDescent="0.25">
      <c r="D885" t="s">
        <v>288</v>
      </c>
      <c r="E885" t="s">
        <v>289</v>
      </c>
      <c r="F885" t="s">
        <v>290</v>
      </c>
      <c r="G885" t="s">
        <v>291</v>
      </c>
      <c r="H885" t="s">
        <v>292</v>
      </c>
      <c r="I885" t="s">
        <v>293</v>
      </c>
      <c r="J885" t="s">
        <v>294</v>
      </c>
      <c r="K885" t="s">
        <v>295</v>
      </c>
      <c r="L885" t="s">
        <v>341</v>
      </c>
      <c r="M885" t="s">
        <v>421</v>
      </c>
      <c r="N885" t="s">
        <v>422</v>
      </c>
      <c r="O885" t="s">
        <v>423</v>
      </c>
      <c r="P885" t="s">
        <v>556</v>
      </c>
      <c r="Q885" t="s">
        <v>557</v>
      </c>
      <c r="R885" t="s">
        <v>558</v>
      </c>
      <c r="S885" t="s">
        <v>559</v>
      </c>
      <c r="T885" t="s">
        <v>668</v>
      </c>
      <c r="U885" t="s">
        <v>669</v>
      </c>
      <c r="V885" t="s">
        <v>670</v>
      </c>
      <c r="W885" t="s">
        <v>671</v>
      </c>
      <c r="Y885" t="s">
        <v>296</v>
      </c>
      <c r="Z885" t="s">
        <v>297</v>
      </c>
    </row>
    <row r="886" spans="1:26" x14ac:dyDescent="0.25">
      <c r="A886" t="s">
        <v>43</v>
      </c>
      <c r="D886">
        <f t="shared" ref="D886:W886" si="655">D138*D206</f>
        <v>714.97515625041217</v>
      </c>
      <c r="E886">
        <f t="shared" si="655"/>
        <v>574.25233274419088</v>
      </c>
      <c r="F886">
        <f t="shared" si="655"/>
        <v>774.22685193841426</v>
      </c>
      <c r="G886">
        <f t="shared" si="655"/>
        <v>1474.7130158695763</v>
      </c>
      <c r="H886">
        <f t="shared" si="655"/>
        <v>1356.6713465311996</v>
      </c>
      <c r="I886">
        <f t="shared" si="655"/>
        <v>334.28928732170561</v>
      </c>
      <c r="J886">
        <f t="shared" si="655"/>
        <v>699.92081811517153</v>
      </c>
      <c r="K886">
        <f t="shared" si="655"/>
        <v>417.18868275455765</v>
      </c>
      <c r="L886">
        <f t="shared" si="655"/>
        <v>399.10254286649246</v>
      </c>
      <c r="M886">
        <f t="shared" si="655"/>
        <v>245.77609094967724</v>
      </c>
      <c r="N886">
        <f t="shared" si="655"/>
        <v>416.97521594746712</v>
      </c>
      <c r="O886">
        <f t="shared" si="655"/>
        <v>732.38375270327435</v>
      </c>
      <c r="P886">
        <f t="shared" si="655"/>
        <v>557.90801300479541</v>
      </c>
      <c r="Q886">
        <f t="shared" si="655"/>
        <v>403.56741166464911</v>
      </c>
      <c r="R886">
        <f t="shared" si="655"/>
        <v>526.35525613487368</v>
      </c>
      <c r="S886">
        <f t="shared" si="655"/>
        <v>731.25373592656865</v>
      </c>
      <c r="T886">
        <f t="shared" si="655"/>
        <v>437.46388613689305</v>
      </c>
      <c r="U886">
        <f t="shared" si="655"/>
        <v>480.40247251817482</v>
      </c>
      <c r="V886">
        <f t="shared" si="655"/>
        <v>863.01101980440603</v>
      </c>
      <c r="W886">
        <f t="shared" si="655"/>
        <v>1042.0039640744646</v>
      </c>
      <c r="Y886" s="8">
        <f t="shared" ref="Y886:Y914" si="656">SUM(D886:W886)</f>
        <v>13182.440853256967</v>
      </c>
      <c r="Z886">
        <f t="shared" ref="Z886:Z910" si="657">SUMPRODUCT($D$916:$W$916,D886:W886)</f>
        <v>-690.52478604727742</v>
      </c>
    </row>
    <row r="887" spans="1:26" x14ac:dyDescent="0.25">
      <c r="A887" t="s">
        <v>44</v>
      </c>
      <c r="D887">
        <f t="shared" ref="D887:W887" si="658">D139*D207</f>
        <v>669.79162523044909</v>
      </c>
      <c r="E887">
        <f t="shared" si="658"/>
        <v>518.77402422277646</v>
      </c>
      <c r="F887">
        <f t="shared" si="658"/>
        <v>425.89932008363888</v>
      </c>
      <c r="G887">
        <f t="shared" si="658"/>
        <v>553.75831956877801</v>
      </c>
      <c r="H887">
        <f t="shared" si="658"/>
        <v>599.01824549907735</v>
      </c>
      <c r="I887">
        <f t="shared" si="658"/>
        <v>304.00255529603277</v>
      </c>
      <c r="J887">
        <f t="shared" si="658"/>
        <v>363.3388222029613</v>
      </c>
      <c r="K887">
        <f t="shared" si="658"/>
        <v>644.58699660261448</v>
      </c>
      <c r="L887">
        <f t="shared" si="658"/>
        <v>327.28687190615398</v>
      </c>
      <c r="M887">
        <f t="shared" si="658"/>
        <v>665.46852610892802</v>
      </c>
      <c r="N887">
        <f t="shared" si="658"/>
        <v>274.72052324633341</v>
      </c>
      <c r="O887">
        <f t="shared" si="658"/>
        <v>1006.9292411975316</v>
      </c>
      <c r="P887">
        <f t="shared" si="658"/>
        <v>260.88213822845074</v>
      </c>
      <c r="Q887">
        <f t="shared" si="658"/>
        <v>411.67120728795908</v>
      </c>
      <c r="R887">
        <f t="shared" si="658"/>
        <v>696.51548100583682</v>
      </c>
      <c r="S887">
        <f t="shared" si="658"/>
        <v>427.66942095285708</v>
      </c>
      <c r="T887">
        <f t="shared" si="658"/>
        <v>327.05537745875341</v>
      </c>
      <c r="U887">
        <f t="shared" si="658"/>
        <v>241.75845726207467</v>
      </c>
      <c r="V887">
        <f t="shared" si="658"/>
        <v>360.04222992659834</v>
      </c>
      <c r="W887">
        <f t="shared" si="658"/>
        <v>757.92213760261473</v>
      </c>
      <c r="Y887" s="8">
        <f t="shared" si="656"/>
        <v>9837.0915208904189</v>
      </c>
      <c r="Z887">
        <f t="shared" si="657"/>
        <v>-109.34725086593622</v>
      </c>
    </row>
    <row r="888" spans="1:26" x14ac:dyDescent="0.25">
      <c r="A888" t="s">
        <v>45</v>
      </c>
      <c r="D888">
        <f t="shared" ref="D888:W888" si="659">D140*D208</f>
        <v>721.44364607785928</v>
      </c>
      <c r="E888">
        <f t="shared" si="659"/>
        <v>693.15098715753402</v>
      </c>
      <c r="F888">
        <f t="shared" si="659"/>
        <v>684.58309698580831</v>
      </c>
      <c r="G888">
        <f t="shared" si="659"/>
        <v>480.57342372922312</v>
      </c>
      <c r="H888">
        <f t="shared" si="659"/>
        <v>372.42599555861409</v>
      </c>
      <c r="I888">
        <f t="shared" si="659"/>
        <v>319.01013881637493</v>
      </c>
      <c r="J888">
        <f t="shared" si="659"/>
        <v>274.67929937062019</v>
      </c>
      <c r="K888">
        <f t="shared" si="659"/>
        <v>249.70465194437026</v>
      </c>
      <c r="L888">
        <f t="shared" si="659"/>
        <v>418.10277413211236</v>
      </c>
      <c r="M888">
        <f t="shared" si="659"/>
        <v>763.86888456864472</v>
      </c>
      <c r="N888">
        <f t="shared" si="659"/>
        <v>352.67478331779836</v>
      </c>
      <c r="O888">
        <f t="shared" si="659"/>
        <v>533.5045032838924</v>
      </c>
      <c r="P888">
        <f t="shared" si="659"/>
        <v>560.03623526826925</v>
      </c>
      <c r="Q888">
        <f t="shared" si="659"/>
        <v>604.02714559152184</v>
      </c>
      <c r="R888">
        <f t="shared" si="659"/>
        <v>465.8082846075809</v>
      </c>
      <c r="S888">
        <f t="shared" si="659"/>
        <v>752.53898967201565</v>
      </c>
      <c r="T888">
        <f t="shared" si="659"/>
        <v>662.76357792303452</v>
      </c>
      <c r="U888">
        <f t="shared" si="659"/>
        <v>801.21670476461236</v>
      </c>
      <c r="V888">
        <f t="shared" si="659"/>
        <v>682.46537495443488</v>
      </c>
      <c r="W888">
        <f t="shared" si="659"/>
        <v>767.79860340192647</v>
      </c>
      <c r="Y888" s="8">
        <f t="shared" si="656"/>
        <v>11160.377101126249</v>
      </c>
      <c r="Z888">
        <f t="shared" si="657"/>
        <v>-264.72226886186513</v>
      </c>
    </row>
    <row r="889" spans="1:26" x14ac:dyDescent="0.25">
      <c r="A889" t="s">
        <v>46</v>
      </c>
      <c r="D889">
        <f t="shared" ref="D889:W889" si="660">D141*D209</f>
        <v>1144.0921324932028</v>
      </c>
      <c r="E889">
        <f t="shared" si="660"/>
        <v>586.44927752212425</v>
      </c>
      <c r="F889">
        <f t="shared" si="660"/>
        <v>493.87710326387264</v>
      </c>
      <c r="G889">
        <f t="shared" si="660"/>
        <v>615.10390215612847</v>
      </c>
      <c r="H889">
        <f t="shared" si="660"/>
        <v>533.65425916066272</v>
      </c>
      <c r="I889">
        <f t="shared" si="660"/>
        <v>339.02766423519091</v>
      </c>
      <c r="J889">
        <f t="shared" si="660"/>
        <v>364.4392750544651</v>
      </c>
      <c r="K889">
        <f t="shared" si="660"/>
        <v>695.11532647693332</v>
      </c>
      <c r="L889">
        <f t="shared" si="660"/>
        <v>764.44203221365171</v>
      </c>
      <c r="M889">
        <f t="shared" si="660"/>
        <v>335.23858280315198</v>
      </c>
      <c r="N889">
        <f t="shared" si="660"/>
        <v>522.52187054224089</v>
      </c>
      <c r="O889">
        <f t="shared" si="660"/>
        <v>629.75053732281947</v>
      </c>
      <c r="P889">
        <f t="shared" si="660"/>
        <v>841.41865026354526</v>
      </c>
      <c r="Q889">
        <f t="shared" si="660"/>
        <v>818.96795646787473</v>
      </c>
      <c r="R889">
        <f t="shared" si="660"/>
        <v>573.4474380988529</v>
      </c>
      <c r="S889">
        <f t="shared" si="660"/>
        <v>363.18460132361662</v>
      </c>
      <c r="T889">
        <f t="shared" si="660"/>
        <v>334.42850511315112</v>
      </c>
      <c r="U889">
        <f t="shared" si="660"/>
        <v>574.22225800778995</v>
      </c>
      <c r="V889">
        <f t="shared" si="660"/>
        <v>772.3436881040069</v>
      </c>
      <c r="W889">
        <f t="shared" si="660"/>
        <v>439.45233629368022</v>
      </c>
      <c r="Y889" s="8">
        <f t="shared" si="656"/>
        <v>11741.177396916964</v>
      </c>
      <c r="Z889">
        <f t="shared" si="657"/>
        <v>-418.69265296312545</v>
      </c>
    </row>
    <row r="890" spans="1:26" x14ac:dyDescent="0.25">
      <c r="A890" t="s">
        <v>47</v>
      </c>
      <c r="D890">
        <f t="shared" ref="D890:W890" si="661">D142*D210</f>
        <v>315.63966815192191</v>
      </c>
      <c r="E890">
        <f t="shared" si="661"/>
        <v>189.28092417654966</v>
      </c>
      <c r="F890">
        <f t="shared" si="661"/>
        <v>399.20635436621433</v>
      </c>
      <c r="G890">
        <f t="shared" si="661"/>
        <v>511.85186851042278</v>
      </c>
      <c r="H890">
        <f t="shared" si="661"/>
        <v>358.88506553829211</v>
      </c>
      <c r="I890">
        <f t="shared" si="661"/>
        <v>93.082713097827678</v>
      </c>
      <c r="J890">
        <f t="shared" si="661"/>
        <v>134.22805031287294</v>
      </c>
      <c r="K890">
        <f t="shared" si="661"/>
        <v>169.78312161755301</v>
      </c>
      <c r="L890">
        <f t="shared" si="661"/>
        <v>43.135203655797973</v>
      </c>
      <c r="M890">
        <f t="shared" si="661"/>
        <v>37.710482090841907</v>
      </c>
      <c r="N890">
        <f t="shared" si="661"/>
        <v>37.69138142738035</v>
      </c>
      <c r="O890">
        <f t="shared" si="661"/>
        <v>48.471027158080325</v>
      </c>
      <c r="P890">
        <f t="shared" si="661"/>
        <v>78.009148367099272</v>
      </c>
      <c r="Q890">
        <f t="shared" si="661"/>
        <v>79.627805479772007</v>
      </c>
      <c r="R890">
        <f t="shared" si="661"/>
        <v>291.17481271025099</v>
      </c>
      <c r="S890">
        <f t="shared" si="661"/>
        <v>46.040022999148931</v>
      </c>
      <c r="T890">
        <f t="shared" si="661"/>
        <v>107.91115782905641</v>
      </c>
      <c r="U890">
        <f t="shared" si="661"/>
        <v>136.61174015359165</v>
      </c>
      <c r="V890">
        <f t="shared" si="661"/>
        <v>75.116158963015408</v>
      </c>
      <c r="W890">
        <f t="shared" si="661"/>
        <v>389.11712880702612</v>
      </c>
      <c r="Y890" s="8">
        <f t="shared" si="656"/>
        <v>3542.5738354127161</v>
      </c>
      <c r="Z890">
        <f t="shared" si="657"/>
        <v>-217.3092220217936</v>
      </c>
    </row>
    <row r="891" spans="1:26" x14ac:dyDescent="0.25">
      <c r="A891" t="s">
        <v>48</v>
      </c>
      <c r="D891">
        <f t="shared" ref="D891:W891" si="662">D143*D211</f>
        <v>595.87067502489424</v>
      </c>
      <c r="E891">
        <f t="shared" si="662"/>
        <v>425.74255217655059</v>
      </c>
      <c r="F891">
        <f t="shared" si="662"/>
        <v>449.118549899762</v>
      </c>
      <c r="G891">
        <f t="shared" si="662"/>
        <v>726.55005861578286</v>
      </c>
      <c r="H891">
        <f t="shared" si="662"/>
        <v>323.40657920363719</v>
      </c>
      <c r="I891">
        <f t="shared" si="662"/>
        <v>248.24899105117993</v>
      </c>
      <c r="J891">
        <f t="shared" si="662"/>
        <v>175.48865542081472</v>
      </c>
      <c r="K891">
        <f t="shared" si="662"/>
        <v>138.94642547257146</v>
      </c>
      <c r="L891">
        <f t="shared" si="662"/>
        <v>49.412080831642207</v>
      </c>
      <c r="M891">
        <f t="shared" si="662"/>
        <v>63.922939498537801</v>
      </c>
      <c r="N891">
        <f t="shared" si="662"/>
        <v>32.6651678834154</v>
      </c>
      <c r="O891">
        <f t="shared" si="662"/>
        <v>40.375100942133713</v>
      </c>
      <c r="P891">
        <f t="shared" si="662"/>
        <v>80.577011615164309</v>
      </c>
      <c r="Q891">
        <f t="shared" si="662"/>
        <v>100.82824650885701</v>
      </c>
      <c r="R891">
        <f t="shared" si="662"/>
        <v>126.06619486869928</v>
      </c>
      <c r="S891">
        <f t="shared" si="662"/>
        <v>103.3363487107268</v>
      </c>
      <c r="T891">
        <f t="shared" si="662"/>
        <v>203.54399367159337</v>
      </c>
      <c r="U891">
        <f t="shared" si="662"/>
        <v>106.4050920488819</v>
      </c>
      <c r="V891">
        <f t="shared" si="662"/>
        <v>218.66063429910938</v>
      </c>
      <c r="W891">
        <f t="shared" si="662"/>
        <v>309.23772979679529</v>
      </c>
      <c r="Y891" s="8">
        <f t="shared" si="656"/>
        <v>4518.4030275407476</v>
      </c>
      <c r="Z891">
        <f t="shared" si="657"/>
        <v>-470.363894869018</v>
      </c>
    </row>
    <row r="892" spans="1:26" x14ac:dyDescent="0.25">
      <c r="A892" t="s">
        <v>49</v>
      </c>
      <c r="D892">
        <f t="shared" ref="D892:W892" si="663">D144*D212</f>
        <v>505.11045384756096</v>
      </c>
      <c r="E892">
        <f t="shared" si="663"/>
        <v>421.84914285307076</v>
      </c>
      <c r="F892">
        <f t="shared" si="663"/>
        <v>659.76642974652361</v>
      </c>
      <c r="G892">
        <f t="shared" si="663"/>
        <v>347.95682771032671</v>
      </c>
      <c r="H892">
        <f t="shared" si="663"/>
        <v>97.565092790127693</v>
      </c>
      <c r="I892">
        <f t="shared" si="663"/>
        <v>220.65520449986354</v>
      </c>
      <c r="J892">
        <f t="shared" si="663"/>
        <v>135.20500074147643</v>
      </c>
      <c r="K892">
        <f t="shared" si="663"/>
        <v>100.36938682603568</v>
      </c>
      <c r="L892">
        <f t="shared" si="663"/>
        <v>69.973539889178312</v>
      </c>
      <c r="M892">
        <f t="shared" si="663"/>
        <v>83.978991499375311</v>
      </c>
      <c r="N892">
        <f t="shared" si="663"/>
        <v>64.074224887862485</v>
      </c>
      <c r="O892">
        <f t="shared" si="663"/>
        <v>12.218031526999697</v>
      </c>
      <c r="P892">
        <f t="shared" si="663"/>
        <v>89.887693065979263</v>
      </c>
      <c r="Q892">
        <f t="shared" si="663"/>
        <v>20.24143442809331</v>
      </c>
      <c r="R892">
        <f t="shared" si="663"/>
        <v>39.480418018560627</v>
      </c>
      <c r="S892">
        <f t="shared" si="663"/>
        <v>111.0331576756352</v>
      </c>
      <c r="T892">
        <f t="shared" si="663"/>
        <v>58.531376736184356</v>
      </c>
      <c r="U892">
        <f t="shared" si="663"/>
        <v>104.92731298375445</v>
      </c>
      <c r="V892">
        <f t="shared" si="663"/>
        <v>246.13356645580819</v>
      </c>
      <c r="W892">
        <f t="shared" si="663"/>
        <v>244.18208488039053</v>
      </c>
      <c r="Y892" s="8">
        <f t="shared" si="656"/>
        <v>3633.1393710628072</v>
      </c>
      <c r="Z892">
        <f t="shared" si="657"/>
        <v>-456.81236815092564</v>
      </c>
    </row>
    <row r="893" spans="1:26" x14ac:dyDescent="0.25">
      <c r="A893" t="s">
        <v>50</v>
      </c>
      <c r="D893">
        <f t="shared" ref="D893:W893" si="664">D145*D213</f>
        <v>178.33310557320908</v>
      </c>
      <c r="E893">
        <f t="shared" si="664"/>
        <v>187.76983447522923</v>
      </c>
      <c r="F893">
        <f t="shared" si="664"/>
        <v>209.86526671607541</v>
      </c>
      <c r="G893">
        <f t="shared" si="664"/>
        <v>120.05943190661698</v>
      </c>
      <c r="H893">
        <f t="shared" si="664"/>
        <v>48.330746665719573</v>
      </c>
      <c r="I893">
        <f t="shared" si="664"/>
        <v>157.70203872661375</v>
      </c>
      <c r="J893">
        <f t="shared" si="664"/>
        <v>131.10632780987683</v>
      </c>
      <c r="K893">
        <f t="shared" si="664"/>
        <v>149.43130144433326</v>
      </c>
      <c r="L893">
        <f t="shared" si="664"/>
        <v>212.42135844826086</v>
      </c>
      <c r="M893">
        <f t="shared" si="664"/>
        <v>106.03028165585521</v>
      </c>
      <c r="N893">
        <f t="shared" si="664"/>
        <v>75.180294642685027</v>
      </c>
      <c r="O893">
        <f t="shared" si="664"/>
        <v>167.09769288967945</v>
      </c>
      <c r="P893">
        <f t="shared" si="664"/>
        <v>118.28443340211848</v>
      </c>
      <c r="Q893">
        <f t="shared" si="664"/>
        <v>238.76536217592212</v>
      </c>
      <c r="R893">
        <f t="shared" si="664"/>
        <v>321.98547096709666</v>
      </c>
      <c r="S893">
        <f t="shared" si="664"/>
        <v>220.21053959345755</v>
      </c>
      <c r="T893">
        <f t="shared" si="664"/>
        <v>196.4229632707206</v>
      </c>
      <c r="U893">
        <f t="shared" si="664"/>
        <v>231.18779484150602</v>
      </c>
      <c r="V893">
        <f t="shared" si="664"/>
        <v>241.84740725023482</v>
      </c>
      <c r="W893">
        <f t="shared" si="664"/>
        <v>343.21460384343754</v>
      </c>
      <c r="Y893" s="8">
        <f t="shared" si="656"/>
        <v>3655.2462562986489</v>
      </c>
      <c r="Z893">
        <f t="shared" si="657"/>
        <v>11.481923296382771</v>
      </c>
    </row>
    <row r="894" spans="1:26" x14ac:dyDescent="0.25">
      <c r="A894" t="s">
        <v>51</v>
      </c>
      <c r="D894">
        <f t="shared" ref="D894:W894" si="665">D146*D214</f>
        <v>179.4187593339891</v>
      </c>
      <c r="E894">
        <f t="shared" si="665"/>
        <v>132.64903892943821</v>
      </c>
      <c r="F894">
        <f t="shared" si="665"/>
        <v>125.80165282955494</v>
      </c>
      <c r="G894">
        <f t="shared" si="665"/>
        <v>128.06260246913774</v>
      </c>
      <c r="H894">
        <f t="shared" si="665"/>
        <v>109.50898292661067</v>
      </c>
      <c r="I894">
        <f t="shared" si="665"/>
        <v>80.578569066682562</v>
      </c>
      <c r="J894">
        <f t="shared" si="665"/>
        <v>95.503046247223679</v>
      </c>
      <c r="K894">
        <f t="shared" si="665"/>
        <v>129.00778736195693</v>
      </c>
      <c r="L894">
        <f t="shared" si="665"/>
        <v>68.630686708868126</v>
      </c>
      <c r="M894">
        <f t="shared" si="665"/>
        <v>146.87067304720367</v>
      </c>
      <c r="N894">
        <f t="shared" si="665"/>
        <v>58.814016790480693</v>
      </c>
      <c r="O894">
        <f t="shared" si="665"/>
        <v>72.647715965034763</v>
      </c>
      <c r="P894">
        <f t="shared" si="665"/>
        <v>100.5656931575403</v>
      </c>
      <c r="Q894">
        <f t="shared" si="665"/>
        <v>106.34224315316757</v>
      </c>
      <c r="R894">
        <f t="shared" si="665"/>
        <v>243.29771219947099</v>
      </c>
      <c r="S894">
        <f t="shared" si="665"/>
        <v>287.14577310128271</v>
      </c>
      <c r="T894">
        <f t="shared" si="665"/>
        <v>339.09480299884484</v>
      </c>
      <c r="U894">
        <f t="shared" si="665"/>
        <v>322.61354548087263</v>
      </c>
      <c r="V894">
        <f t="shared" si="665"/>
        <v>255.8779021296881</v>
      </c>
      <c r="W894">
        <f t="shared" si="665"/>
        <v>459.39527025436632</v>
      </c>
      <c r="Y894" s="8">
        <f t="shared" si="656"/>
        <v>3441.8264741514149</v>
      </c>
      <c r="Z894">
        <f t="shared" si="657"/>
        <v>15.716202611756259</v>
      </c>
    </row>
    <row r="895" spans="1:26" x14ac:dyDescent="0.25">
      <c r="A895" t="s">
        <v>52</v>
      </c>
      <c r="D895">
        <f t="shared" ref="D895:W895" si="666">D147*D215</f>
        <v>380.42253339929744</v>
      </c>
      <c r="E895">
        <f t="shared" si="666"/>
        <v>357.69744478010853</v>
      </c>
      <c r="F895">
        <f t="shared" si="666"/>
        <v>513.39420106822183</v>
      </c>
      <c r="G895">
        <f t="shared" si="666"/>
        <v>261.0772969501449</v>
      </c>
      <c r="H895">
        <f t="shared" si="666"/>
        <v>212.95051542370027</v>
      </c>
      <c r="I895">
        <f t="shared" si="666"/>
        <v>122.14224781389876</v>
      </c>
      <c r="J895">
        <f t="shared" si="666"/>
        <v>87.726657374900412</v>
      </c>
      <c r="K895">
        <f t="shared" si="666"/>
        <v>237.85516754977604</v>
      </c>
      <c r="L895">
        <f t="shared" si="666"/>
        <v>174.1400933201011</v>
      </c>
      <c r="M895">
        <f t="shared" si="666"/>
        <v>105.45527555104164</v>
      </c>
      <c r="N895">
        <f t="shared" si="666"/>
        <v>109.35832868851431</v>
      </c>
      <c r="O895">
        <f t="shared" si="666"/>
        <v>32.720629478007893</v>
      </c>
      <c r="P895">
        <f t="shared" si="666"/>
        <v>26.13106107255923</v>
      </c>
      <c r="Q895">
        <f t="shared" si="666"/>
        <v>123.01983346287993</v>
      </c>
      <c r="R895">
        <f t="shared" si="666"/>
        <v>55.181498949831585</v>
      </c>
      <c r="S895">
        <f t="shared" si="666"/>
        <v>146.31684241883715</v>
      </c>
      <c r="T895">
        <f t="shared" si="666"/>
        <v>97.930053207826063</v>
      </c>
      <c r="U895">
        <f t="shared" si="666"/>
        <v>176.02493834966944</v>
      </c>
      <c r="V895">
        <f t="shared" si="666"/>
        <v>202.18147343204265</v>
      </c>
      <c r="W895">
        <f t="shared" si="666"/>
        <v>308.38595562108128</v>
      </c>
      <c r="Y895" s="8">
        <f t="shared" si="656"/>
        <v>3730.1120479124406</v>
      </c>
      <c r="Z895">
        <f t="shared" si="657"/>
        <v>-336.90333989959078</v>
      </c>
    </row>
    <row r="896" spans="1:26" x14ac:dyDescent="0.25">
      <c r="A896" t="s">
        <v>53</v>
      </c>
      <c r="D896">
        <f t="shared" ref="D896:W896" si="667">D148*D216</f>
        <v>521.5619392861189</v>
      </c>
      <c r="E896">
        <f t="shared" si="667"/>
        <v>512.55094857839708</v>
      </c>
      <c r="F896">
        <f t="shared" si="667"/>
        <v>415.58316594803716</v>
      </c>
      <c r="G896">
        <f t="shared" si="667"/>
        <v>216.26622102885358</v>
      </c>
      <c r="H896">
        <f t="shared" si="667"/>
        <v>309.91048447607858</v>
      </c>
      <c r="I896">
        <f t="shared" si="667"/>
        <v>138.62151781842974</v>
      </c>
      <c r="J896">
        <f t="shared" si="667"/>
        <v>93.794077262028665</v>
      </c>
      <c r="K896">
        <f t="shared" si="667"/>
        <v>110.67334723508843</v>
      </c>
      <c r="L896">
        <f t="shared" si="667"/>
        <v>120.82303260874539</v>
      </c>
      <c r="M896">
        <f t="shared" si="667"/>
        <v>157.65100403632053</v>
      </c>
      <c r="N896">
        <f t="shared" si="667"/>
        <v>194.46263985023566</v>
      </c>
      <c r="O896">
        <f t="shared" si="667"/>
        <v>74.768310203126603</v>
      </c>
      <c r="P896">
        <f t="shared" si="667"/>
        <v>91.495960175075894</v>
      </c>
      <c r="Q896">
        <f t="shared" si="667"/>
        <v>229.06109494530043</v>
      </c>
      <c r="R896">
        <f t="shared" si="667"/>
        <v>158.18529406539625</v>
      </c>
      <c r="S896">
        <f t="shared" si="667"/>
        <v>155.81771218494052</v>
      </c>
      <c r="T896">
        <f t="shared" si="667"/>
        <v>260.12245006345893</v>
      </c>
      <c r="U896">
        <f t="shared" si="667"/>
        <v>177.99401913062496</v>
      </c>
      <c r="V896">
        <f t="shared" si="667"/>
        <v>255.32377089964928</v>
      </c>
      <c r="W896">
        <f t="shared" si="667"/>
        <v>209.07393834642957</v>
      </c>
      <c r="Y896" s="8">
        <f t="shared" si="656"/>
        <v>4403.7409281423361</v>
      </c>
      <c r="Z896">
        <f t="shared" si="657"/>
        <v>-328.20917672490674</v>
      </c>
    </row>
    <row r="897" spans="1:26" x14ac:dyDescent="0.25">
      <c r="A897" t="s">
        <v>54</v>
      </c>
      <c r="D897">
        <f t="shared" ref="D897:W897" si="668">D149*D217</f>
        <v>1224.0233452406294</v>
      </c>
      <c r="E897">
        <f t="shared" si="668"/>
        <v>447.49256192149761</v>
      </c>
      <c r="F897">
        <f t="shared" si="668"/>
        <v>391.38654608300567</v>
      </c>
      <c r="G897">
        <f t="shared" si="668"/>
        <v>636.02241096042462</v>
      </c>
      <c r="H897">
        <f t="shared" si="668"/>
        <v>110.7050479633</v>
      </c>
      <c r="I897">
        <f t="shared" si="668"/>
        <v>363.47476986463573</v>
      </c>
      <c r="J897">
        <f t="shared" si="668"/>
        <v>167.94852641874297</v>
      </c>
      <c r="K897">
        <f t="shared" si="668"/>
        <v>121.72509929726419</v>
      </c>
      <c r="L897">
        <f t="shared" si="668"/>
        <v>37.920100959643889</v>
      </c>
      <c r="M897">
        <f t="shared" si="668"/>
        <v>496.6463460062995</v>
      </c>
      <c r="N897">
        <f t="shared" si="668"/>
        <v>63.946759950788909</v>
      </c>
      <c r="O897">
        <f t="shared" si="668"/>
        <v>63.922939498537801</v>
      </c>
      <c r="P897">
        <f t="shared" si="668"/>
        <v>796.00726720141643</v>
      </c>
      <c r="Q897">
        <f t="shared" si="668"/>
        <v>170.00929678952457</v>
      </c>
      <c r="R897">
        <f t="shared" si="668"/>
        <v>372.60913844380769</v>
      </c>
      <c r="S897">
        <f t="shared" si="668"/>
        <v>573.4474380988529</v>
      </c>
      <c r="T897">
        <f t="shared" si="668"/>
        <v>574.22225800778995</v>
      </c>
      <c r="U897">
        <f t="shared" si="668"/>
        <v>501.47224769944245</v>
      </c>
      <c r="V897">
        <f t="shared" si="668"/>
        <v>440.85666931317797</v>
      </c>
      <c r="W897">
        <f t="shared" si="668"/>
        <v>334.4772605619487</v>
      </c>
      <c r="Y897" s="8">
        <f t="shared" si="656"/>
        <v>7888.31603028073</v>
      </c>
      <c r="Z897">
        <f t="shared" si="657"/>
        <v>-332.0541832897207</v>
      </c>
    </row>
    <row r="898" spans="1:26" x14ac:dyDescent="0.25">
      <c r="A898" t="s">
        <v>55</v>
      </c>
      <c r="D898">
        <f t="shared" ref="D898:W898" si="669">D150*D218</f>
        <v>744.22028844780107</v>
      </c>
      <c r="E898">
        <f t="shared" si="669"/>
        <v>611.34624323991477</v>
      </c>
      <c r="F898">
        <f t="shared" si="669"/>
        <v>381.66145420047474</v>
      </c>
      <c r="G898">
        <f t="shared" si="669"/>
        <v>508.49794778916402</v>
      </c>
      <c r="H898">
        <f t="shared" si="669"/>
        <v>218.98121976554822</v>
      </c>
      <c r="I898">
        <f t="shared" si="669"/>
        <v>312.8911271579417</v>
      </c>
      <c r="J898">
        <f t="shared" si="669"/>
        <v>246.37952885356717</v>
      </c>
      <c r="K898">
        <f t="shared" si="669"/>
        <v>257.48182336159647</v>
      </c>
      <c r="L898">
        <f t="shared" si="669"/>
        <v>409.37283312729596</v>
      </c>
      <c r="M898">
        <f t="shared" si="669"/>
        <v>381.36514146344444</v>
      </c>
      <c r="N898">
        <f t="shared" si="669"/>
        <v>465.31935065408794</v>
      </c>
      <c r="O898">
        <f t="shared" si="669"/>
        <v>416.86161616023924</v>
      </c>
      <c r="P898">
        <f t="shared" si="669"/>
        <v>504.27017345880876</v>
      </c>
      <c r="Q898">
        <f t="shared" si="669"/>
        <v>594.61422929761591</v>
      </c>
      <c r="R898">
        <f t="shared" si="669"/>
        <v>165.02588452192768</v>
      </c>
      <c r="S898">
        <f t="shared" si="669"/>
        <v>169.28581626667676</v>
      </c>
      <c r="T898">
        <f t="shared" si="669"/>
        <v>157.41826805187267</v>
      </c>
      <c r="U898">
        <f t="shared" si="669"/>
        <v>153.84231381532669</v>
      </c>
      <c r="V898">
        <f t="shared" si="669"/>
        <v>396.78661098911317</v>
      </c>
      <c r="W898">
        <f t="shared" si="669"/>
        <v>605.48857845084001</v>
      </c>
      <c r="Y898" s="8">
        <f t="shared" si="656"/>
        <v>7701.1104490732578</v>
      </c>
      <c r="Z898">
        <f t="shared" si="657"/>
        <v>-518.48491624571841</v>
      </c>
    </row>
    <row r="899" spans="1:26" x14ac:dyDescent="0.25">
      <c r="A899" t="s">
        <v>56</v>
      </c>
      <c r="D899">
        <f t="shared" ref="D899:W899" si="670">D151*D219</f>
        <v>546.09179524003719</v>
      </c>
      <c r="E899">
        <f t="shared" si="670"/>
        <v>649.83110474522857</v>
      </c>
      <c r="F899">
        <f t="shared" si="670"/>
        <v>455.83971618015801</v>
      </c>
      <c r="G899">
        <f t="shared" si="670"/>
        <v>576.67023070036669</v>
      </c>
      <c r="H899">
        <f t="shared" si="670"/>
        <v>914.33491059947983</v>
      </c>
      <c r="I899">
        <f t="shared" si="670"/>
        <v>557.93848705193693</v>
      </c>
      <c r="J899">
        <f t="shared" si="670"/>
        <v>639.14332728952013</v>
      </c>
      <c r="K899">
        <f t="shared" si="670"/>
        <v>846.80886648741591</v>
      </c>
      <c r="L899">
        <f t="shared" si="670"/>
        <v>631.77974893280782</v>
      </c>
      <c r="M899">
        <f t="shared" si="670"/>
        <v>375.18707850836688</v>
      </c>
      <c r="N899">
        <f t="shared" si="670"/>
        <v>1095.7926966870182</v>
      </c>
      <c r="O899">
        <f t="shared" si="670"/>
        <v>488.01021661502892</v>
      </c>
      <c r="P899">
        <f t="shared" si="670"/>
        <v>380.64962031427984</v>
      </c>
      <c r="Q899">
        <f t="shared" si="670"/>
        <v>378.59726836817742</v>
      </c>
      <c r="R899">
        <f t="shared" si="670"/>
        <v>563.72329547639742</v>
      </c>
      <c r="S899">
        <f t="shared" si="670"/>
        <v>588.16358019905067</v>
      </c>
      <c r="T899">
        <f t="shared" si="670"/>
        <v>635.80728112010297</v>
      </c>
      <c r="U899">
        <f t="shared" si="670"/>
        <v>711.23317468980645</v>
      </c>
      <c r="V899">
        <f t="shared" si="670"/>
        <v>851.53038273078687</v>
      </c>
      <c r="W899">
        <f t="shared" si="670"/>
        <v>500.87894884231724</v>
      </c>
      <c r="Y899" s="8">
        <f t="shared" si="656"/>
        <v>12388.011730778284</v>
      </c>
      <c r="Z899">
        <f t="shared" si="657"/>
        <v>-446.26290427463994</v>
      </c>
    </row>
    <row r="900" spans="1:26" x14ac:dyDescent="0.25">
      <c r="A900" t="s">
        <v>57</v>
      </c>
      <c r="D900">
        <f t="shared" ref="D900:W900" si="671">D152*D220</f>
        <v>620.56068681728198</v>
      </c>
      <c r="E900">
        <f t="shared" si="671"/>
        <v>306.91313946959644</v>
      </c>
      <c r="F900">
        <f t="shared" si="671"/>
        <v>312.98363372876668</v>
      </c>
      <c r="G900">
        <f t="shared" si="671"/>
        <v>308.56527879041943</v>
      </c>
      <c r="H900">
        <f t="shared" si="671"/>
        <v>318.93563012089362</v>
      </c>
      <c r="I900">
        <f t="shared" si="671"/>
        <v>212.65888035760199</v>
      </c>
      <c r="J900">
        <f t="shared" si="671"/>
        <v>399.26464438927502</v>
      </c>
      <c r="K900">
        <f t="shared" si="671"/>
        <v>169.29579165998373</v>
      </c>
      <c r="L900">
        <f t="shared" si="671"/>
        <v>373.42470970483504</v>
      </c>
      <c r="M900">
        <f t="shared" si="671"/>
        <v>388.42967693906206</v>
      </c>
      <c r="N900">
        <f t="shared" si="671"/>
        <v>485.47094256127434</v>
      </c>
      <c r="O900">
        <f t="shared" si="671"/>
        <v>492.13768507638878</v>
      </c>
      <c r="P900">
        <f t="shared" si="671"/>
        <v>98.534328413478733</v>
      </c>
      <c r="Q900">
        <f t="shared" si="671"/>
        <v>155.83526903401415</v>
      </c>
      <c r="R900">
        <f t="shared" si="671"/>
        <v>152.19215001644704</v>
      </c>
      <c r="S900">
        <f t="shared" si="671"/>
        <v>142.43338274362424</v>
      </c>
      <c r="T900">
        <f t="shared" si="671"/>
        <v>295.60894353267696</v>
      </c>
      <c r="U900">
        <f t="shared" si="671"/>
        <v>261.88726480700944</v>
      </c>
      <c r="V900">
        <f t="shared" si="671"/>
        <v>135.45579537343335</v>
      </c>
      <c r="W900">
        <f t="shared" si="671"/>
        <v>379.55840889764528</v>
      </c>
      <c r="Y900" s="8">
        <f t="shared" si="656"/>
        <v>6010.1462424337087</v>
      </c>
      <c r="Z900">
        <f t="shared" si="657"/>
        <v>-372.55384027527413</v>
      </c>
    </row>
    <row r="901" spans="1:26" x14ac:dyDescent="0.25">
      <c r="A901" t="s">
        <v>58</v>
      </c>
      <c r="D901">
        <f t="shared" ref="D901:W901" si="672">D153*D221</f>
        <v>717.42315193075797</v>
      </c>
      <c r="E901">
        <f t="shared" si="672"/>
        <v>427.30044361107934</v>
      </c>
      <c r="F901">
        <f t="shared" si="672"/>
        <v>376.79588094451657</v>
      </c>
      <c r="G901">
        <f t="shared" si="672"/>
        <v>304.57912429783738</v>
      </c>
      <c r="H901">
        <f t="shared" si="672"/>
        <v>353.06484923343379</v>
      </c>
      <c r="I901">
        <f t="shared" si="672"/>
        <v>450.56344827214321</v>
      </c>
      <c r="J901">
        <f t="shared" si="672"/>
        <v>481.2946954037846</v>
      </c>
      <c r="K901">
        <f t="shared" si="672"/>
        <v>333.75994231893793</v>
      </c>
      <c r="L901">
        <f t="shared" si="672"/>
        <v>204.58615047059311</v>
      </c>
      <c r="M901">
        <f t="shared" si="672"/>
        <v>306.04970929417209</v>
      </c>
      <c r="N901">
        <f t="shared" si="672"/>
        <v>298.84085800573587</v>
      </c>
      <c r="O901">
        <f t="shared" si="672"/>
        <v>288.26137215926627</v>
      </c>
      <c r="P901">
        <f t="shared" si="672"/>
        <v>155.6624028644508</v>
      </c>
      <c r="Q901">
        <f t="shared" si="672"/>
        <v>389.19663675764684</v>
      </c>
      <c r="R901">
        <f t="shared" si="672"/>
        <v>387.23176202869854</v>
      </c>
      <c r="S901">
        <f t="shared" si="672"/>
        <v>748.67456956625222</v>
      </c>
      <c r="T901">
        <f t="shared" si="672"/>
        <v>610.75213395797437</v>
      </c>
      <c r="U901">
        <f t="shared" si="672"/>
        <v>575.46434029371972</v>
      </c>
      <c r="V901">
        <f t="shared" si="672"/>
        <v>264.43663848407965</v>
      </c>
      <c r="W901">
        <f t="shared" si="672"/>
        <v>630.79100604306575</v>
      </c>
      <c r="Y901" s="8">
        <f t="shared" si="656"/>
        <v>8304.7291159381457</v>
      </c>
      <c r="Z901">
        <f t="shared" si="657"/>
        <v>-182.46410386340352</v>
      </c>
    </row>
    <row r="902" spans="1:26" x14ac:dyDescent="0.25">
      <c r="A902" t="s">
        <v>59</v>
      </c>
      <c r="D902">
        <f t="shared" ref="D902:W902" si="673">D154*D222</f>
        <v>447.17638250577346</v>
      </c>
      <c r="E902">
        <f t="shared" si="673"/>
        <v>496.41099247516632</v>
      </c>
      <c r="F902">
        <f t="shared" si="673"/>
        <v>391.15136388668878</v>
      </c>
      <c r="G902">
        <f t="shared" si="673"/>
        <v>388.04639078544272</v>
      </c>
      <c r="H902">
        <f t="shared" si="673"/>
        <v>342.34285259513518</v>
      </c>
      <c r="I902">
        <f t="shared" si="673"/>
        <v>309.84509994715603</v>
      </c>
      <c r="J902">
        <f t="shared" si="673"/>
        <v>296.84136228510681</v>
      </c>
      <c r="K902">
        <f t="shared" si="673"/>
        <v>296.16779332133387</v>
      </c>
      <c r="L902">
        <f t="shared" si="673"/>
        <v>333.1231174756735</v>
      </c>
      <c r="M902">
        <f t="shared" si="673"/>
        <v>276.19506356440098</v>
      </c>
      <c r="N902">
        <f t="shared" si="673"/>
        <v>278.57520357758881</v>
      </c>
      <c r="O902">
        <f t="shared" si="673"/>
        <v>310.63322444707751</v>
      </c>
      <c r="P902">
        <f t="shared" si="673"/>
        <v>335.27042323111425</v>
      </c>
      <c r="Q902">
        <f t="shared" si="673"/>
        <v>333.70425728131602</v>
      </c>
      <c r="R902">
        <f t="shared" si="673"/>
        <v>375.12287731849284</v>
      </c>
      <c r="S902">
        <f t="shared" si="673"/>
        <v>388.30472738158073</v>
      </c>
      <c r="T902">
        <f t="shared" si="673"/>
        <v>333.32062697766185</v>
      </c>
      <c r="U902">
        <f t="shared" si="673"/>
        <v>338.89400213159428</v>
      </c>
      <c r="V902">
        <f t="shared" si="673"/>
        <v>356.41928647367445</v>
      </c>
      <c r="W902">
        <f t="shared" si="673"/>
        <v>409.486460483087</v>
      </c>
      <c r="Y902" s="8">
        <f t="shared" si="656"/>
        <v>7037.0315081450663</v>
      </c>
      <c r="Z902">
        <f t="shared" si="657"/>
        <v>-221.27860202675021</v>
      </c>
    </row>
    <row r="903" spans="1:26" x14ac:dyDescent="0.25">
      <c r="A903" t="s">
        <v>60</v>
      </c>
      <c r="D903">
        <f t="shared" ref="D903:W903" si="674">D155*D223</f>
        <v>377.95502389199066</v>
      </c>
      <c r="E903">
        <f t="shared" si="674"/>
        <v>465.73705330925765</v>
      </c>
      <c r="F903">
        <f t="shared" si="674"/>
        <v>392.38309590111072</v>
      </c>
      <c r="G903">
        <f t="shared" si="674"/>
        <v>355.31197412241625</v>
      </c>
      <c r="H903">
        <f t="shared" si="674"/>
        <v>360.69988319171625</v>
      </c>
      <c r="I903">
        <f t="shared" si="674"/>
        <v>321.56743820901289</v>
      </c>
      <c r="J903">
        <f t="shared" si="674"/>
        <v>312.51704847597608</v>
      </c>
      <c r="K903">
        <f t="shared" si="674"/>
        <v>292.95769732866728</v>
      </c>
      <c r="L903">
        <f t="shared" si="674"/>
        <v>311.97616007156802</v>
      </c>
      <c r="M903">
        <f t="shared" si="674"/>
        <v>356.61833758223719</v>
      </c>
      <c r="N903">
        <f t="shared" si="674"/>
        <v>291.17506514581731</v>
      </c>
      <c r="O903">
        <f t="shared" si="674"/>
        <v>332.43858473922035</v>
      </c>
      <c r="P903">
        <f t="shared" si="674"/>
        <v>450.54721215975866</v>
      </c>
      <c r="Q903">
        <f t="shared" si="674"/>
        <v>604.99051155116717</v>
      </c>
      <c r="R903">
        <f t="shared" si="674"/>
        <v>627.75963391254572</v>
      </c>
      <c r="S903">
        <f t="shared" si="674"/>
        <v>463.76071613745665</v>
      </c>
      <c r="T903">
        <f t="shared" si="674"/>
        <v>358.09303347217821</v>
      </c>
      <c r="U903">
        <f t="shared" si="674"/>
        <v>452.98945621109493</v>
      </c>
      <c r="V903">
        <f t="shared" si="674"/>
        <v>359.76416891711449</v>
      </c>
      <c r="W903">
        <f t="shared" si="674"/>
        <v>412.80896714772757</v>
      </c>
      <c r="Y903" s="8">
        <f t="shared" si="656"/>
        <v>7902.0510614780324</v>
      </c>
      <c r="Z903">
        <f t="shared" si="657"/>
        <v>-27.03689650603571</v>
      </c>
    </row>
    <row r="904" spans="1:26" x14ac:dyDescent="0.25">
      <c r="A904" t="s">
        <v>61</v>
      </c>
      <c r="D904">
        <f t="shared" ref="D904:W904" si="675">D156*D224</f>
        <v>707.30685237243858</v>
      </c>
      <c r="E904">
        <f t="shared" si="675"/>
        <v>577.34492047554386</v>
      </c>
      <c r="F904">
        <f t="shared" si="675"/>
        <v>382.88323908749055</v>
      </c>
      <c r="G904">
        <f t="shared" si="675"/>
        <v>514.44859821104819</v>
      </c>
      <c r="H904">
        <f t="shared" si="675"/>
        <v>265.9321689133991</v>
      </c>
      <c r="I904">
        <f t="shared" si="675"/>
        <v>378.48007732164263</v>
      </c>
      <c r="J904">
        <f t="shared" si="675"/>
        <v>315.84530855562366</v>
      </c>
      <c r="K904">
        <f t="shared" si="675"/>
        <v>428.75383489176403</v>
      </c>
      <c r="L904">
        <f t="shared" si="675"/>
        <v>504.76265071165636</v>
      </c>
      <c r="M904">
        <f t="shared" si="675"/>
        <v>376.0727841101982</v>
      </c>
      <c r="N904">
        <f t="shared" si="675"/>
        <v>221.34979287694145</v>
      </c>
      <c r="O904">
        <f t="shared" si="675"/>
        <v>315.30544342029964</v>
      </c>
      <c r="P904">
        <f t="shared" si="675"/>
        <v>431.14542488476712</v>
      </c>
      <c r="Q904">
        <f t="shared" si="675"/>
        <v>592.31001212361173</v>
      </c>
      <c r="R904">
        <f t="shared" si="675"/>
        <v>609.16273040620604</v>
      </c>
      <c r="S904">
        <f t="shared" si="675"/>
        <v>731.57068251525436</v>
      </c>
      <c r="T904">
        <f t="shared" si="675"/>
        <v>354.42511250151534</v>
      </c>
      <c r="U904">
        <f t="shared" si="675"/>
        <v>294.31321825564345</v>
      </c>
      <c r="V904">
        <f t="shared" si="675"/>
        <v>363.94062606934762</v>
      </c>
      <c r="W904">
        <f t="shared" si="675"/>
        <v>560.72254068860104</v>
      </c>
      <c r="Y904" s="8">
        <f t="shared" si="656"/>
        <v>8926.0760183929924</v>
      </c>
      <c r="Z904">
        <f t="shared" si="657"/>
        <v>-134.72885754370049</v>
      </c>
    </row>
    <row r="905" spans="1:26" x14ac:dyDescent="0.25">
      <c r="A905" t="s">
        <v>62</v>
      </c>
      <c r="D905">
        <f t="shared" ref="D905:W905" si="676">D157*D225</f>
        <v>382.94082528297531</v>
      </c>
      <c r="E905">
        <f t="shared" si="676"/>
        <v>284.65602731373798</v>
      </c>
      <c r="F905">
        <f t="shared" si="676"/>
        <v>358.3517211967249</v>
      </c>
      <c r="G905">
        <f t="shared" si="676"/>
        <v>332.96205950265164</v>
      </c>
      <c r="H905">
        <f t="shared" si="676"/>
        <v>329.94766376057436</v>
      </c>
      <c r="I905">
        <f t="shared" si="676"/>
        <v>218.67325969076882</v>
      </c>
      <c r="J905">
        <f t="shared" si="676"/>
        <v>268.24084038566468</v>
      </c>
      <c r="K905">
        <f t="shared" si="676"/>
        <v>275.24951687558041</v>
      </c>
      <c r="L905">
        <f t="shared" si="676"/>
        <v>275.73879431718916</v>
      </c>
      <c r="M905">
        <f t="shared" si="676"/>
        <v>323.06420473392444</v>
      </c>
      <c r="N905">
        <f t="shared" si="676"/>
        <v>306.95479602246996</v>
      </c>
      <c r="O905">
        <f t="shared" si="676"/>
        <v>287.7050572302241</v>
      </c>
      <c r="P905">
        <f t="shared" si="676"/>
        <v>289.20760526220266</v>
      </c>
      <c r="Q905">
        <f t="shared" si="676"/>
        <v>306.31126085673509</v>
      </c>
      <c r="R905">
        <f t="shared" si="676"/>
        <v>413.7290243228324</v>
      </c>
      <c r="S905">
        <f t="shared" si="676"/>
        <v>411.05441258630992</v>
      </c>
      <c r="T905">
        <f t="shared" si="676"/>
        <v>355.87591169150164</v>
      </c>
      <c r="U905">
        <f t="shared" si="676"/>
        <v>413.87965028899703</v>
      </c>
      <c r="V905">
        <f t="shared" si="676"/>
        <v>457.0467664144993</v>
      </c>
      <c r="W905">
        <f t="shared" si="676"/>
        <v>423.28143789104979</v>
      </c>
      <c r="Y905" s="8">
        <f t="shared" si="656"/>
        <v>6714.8708356266134</v>
      </c>
      <c r="Z905">
        <f t="shared" si="657"/>
        <v>-120.9507599038366</v>
      </c>
    </row>
    <row r="906" spans="1:26" x14ac:dyDescent="0.25">
      <c r="A906" t="s">
        <v>63</v>
      </c>
      <c r="D906">
        <f t="shared" ref="D906:W906" si="677">D158*D226</f>
        <v>315.59143433910572</v>
      </c>
      <c r="E906">
        <f t="shared" si="677"/>
        <v>351.52757870789719</v>
      </c>
      <c r="F906">
        <f t="shared" si="677"/>
        <v>398.88928260639835</v>
      </c>
      <c r="G906">
        <f t="shared" si="677"/>
        <v>332.5793326280816</v>
      </c>
      <c r="H906">
        <f t="shared" si="677"/>
        <v>334.97772532574407</v>
      </c>
      <c r="I906">
        <f t="shared" si="677"/>
        <v>289.64853299929251</v>
      </c>
      <c r="J906">
        <f t="shared" si="677"/>
        <v>272.23441866744173</v>
      </c>
      <c r="K906">
        <f t="shared" si="677"/>
        <v>222.10120683405512</v>
      </c>
      <c r="L906">
        <f t="shared" si="677"/>
        <v>307.38699184471142</v>
      </c>
      <c r="M906">
        <f t="shared" si="677"/>
        <v>158.00719842651023</v>
      </c>
      <c r="N906">
        <f t="shared" si="677"/>
        <v>235.98239062893705</v>
      </c>
      <c r="O906">
        <f t="shared" si="677"/>
        <v>290.16924050451166</v>
      </c>
      <c r="P906">
        <f t="shared" si="677"/>
        <v>339.35769789905737</v>
      </c>
      <c r="Q906">
        <f t="shared" si="677"/>
        <v>290.06586038899519</v>
      </c>
      <c r="R906">
        <f t="shared" si="677"/>
        <v>247.95841666505237</v>
      </c>
      <c r="S906">
        <f t="shared" si="677"/>
        <v>251.84509181401958</v>
      </c>
      <c r="T906">
        <f t="shared" si="677"/>
        <v>270.46596643338194</v>
      </c>
      <c r="U906">
        <f t="shared" si="677"/>
        <v>294.63385053207355</v>
      </c>
      <c r="V906">
        <f t="shared" si="677"/>
        <v>265.29878666855552</v>
      </c>
      <c r="W906">
        <f t="shared" si="677"/>
        <v>312.79265892138278</v>
      </c>
      <c r="Y906" s="8">
        <f t="shared" si="656"/>
        <v>5781.5136628352047</v>
      </c>
      <c r="Z906">
        <f t="shared" si="657"/>
        <v>-224.58483166292632</v>
      </c>
    </row>
    <row r="907" spans="1:26" x14ac:dyDescent="0.25">
      <c r="A907" t="s">
        <v>64</v>
      </c>
      <c r="D907">
        <f t="shared" ref="D907:W907" si="678">D159*D227</f>
        <v>360.32688721118893</v>
      </c>
      <c r="E907">
        <f t="shared" si="678"/>
        <v>561.59486492018425</v>
      </c>
      <c r="F907">
        <f t="shared" si="678"/>
        <v>280.89042494590353</v>
      </c>
      <c r="G907">
        <f t="shared" si="678"/>
        <v>339.2116426252033</v>
      </c>
      <c r="H907">
        <f t="shared" si="678"/>
        <v>346.6068389461841</v>
      </c>
      <c r="I907">
        <f t="shared" si="678"/>
        <v>270.37873045139077</v>
      </c>
      <c r="J907">
        <f t="shared" si="678"/>
        <v>251.93069735439559</v>
      </c>
      <c r="K907">
        <f t="shared" si="678"/>
        <v>241.75427180208806</v>
      </c>
      <c r="L907">
        <f t="shared" si="678"/>
        <v>258.66775639502737</v>
      </c>
      <c r="M907">
        <f t="shared" si="678"/>
        <v>279.09052150943774</v>
      </c>
      <c r="N907">
        <f t="shared" si="678"/>
        <v>277.26412382060039</v>
      </c>
      <c r="O907">
        <f t="shared" si="678"/>
        <v>287.1080692299526</v>
      </c>
      <c r="P907">
        <f t="shared" si="678"/>
        <v>236.42034187940718</v>
      </c>
      <c r="Q907">
        <f t="shared" si="678"/>
        <v>214.99932768594448</v>
      </c>
      <c r="R907">
        <f t="shared" si="678"/>
        <v>302.90389924627499</v>
      </c>
      <c r="S907">
        <f t="shared" si="678"/>
        <v>287.79923189695768</v>
      </c>
      <c r="T907">
        <f t="shared" si="678"/>
        <v>323.86568676413839</v>
      </c>
      <c r="U907">
        <f t="shared" si="678"/>
        <v>302.13324895689516</v>
      </c>
      <c r="V907">
        <f t="shared" si="678"/>
        <v>336.94945087555794</v>
      </c>
      <c r="W907">
        <f t="shared" si="678"/>
        <v>408.50398054750229</v>
      </c>
      <c r="Y907" s="8">
        <f t="shared" si="656"/>
        <v>6168.3999970642344</v>
      </c>
      <c r="Z907">
        <f t="shared" si="657"/>
        <v>-236.78651021428848</v>
      </c>
    </row>
    <row r="908" spans="1:26" x14ac:dyDescent="0.25">
      <c r="A908" t="s">
        <v>65</v>
      </c>
      <c r="D908">
        <f t="shared" ref="D908:W908" si="679">D160*D228</f>
        <v>723.90340649787879</v>
      </c>
      <c r="E908">
        <f t="shared" si="679"/>
        <v>1145.8864642605072</v>
      </c>
      <c r="F908">
        <f t="shared" si="679"/>
        <v>742.87698461339062</v>
      </c>
      <c r="G908">
        <f t="shared" si="679"/>
        <v>577.27359651753341</v>
      </c>
      <c r="H908">
        <f t="shared" si="679"/>
        <v>565.10644536063739</v>
      </c>
      <c r="I908">
        <f t="shared" si="679"/>
        <v>593.70622043608432</v>
      </c>
      <c r="J908">
        <f t="shared" si="679"/>
        <v>528.19361537501436</v>
      </c>
      <c r="K908">
        <f t="shared" si="679"/>
        <v>471.26640907629871</v>
      </c>
      <c r="L908">
        <f t="shared" si="679"/>
        <v>498.91598624895835</v>
      </c>
      <c r="M908">
        <f t="shared" si="679"/>
        <v>268.14814110499339</v>
      </c>
      <c r="N908">
        <f t="shared" si="679"/>
        <v>360.33093701552639</v>
      </c>
      <c r="O908">
        <f t="shared" si="679"/>
        <v>373.6451547088493</v>
      </c>
      <c r="P908">
        <f t="shared" si="679"/>
        <v>397.47903479304512</v>
      </c>
      <c r="Q908">
        <f t="shared" si="679"/>
        <v>314.38495225811141</v>
      </c>
      <c r="R908">
        <f t="shared" si="679"/>
        <v>343.17304763300291</v>
      </c>
      <c r="S908">
        <f t="shared" si="679"/>
        <v>327.35549089017104</v>
      </c>
      <c r="T908">
        <f t="shared" si="679"/>
        <v>359.59533598195884</v>
      </c>
      <c r="U908">
        <f t="shared" si="679"/>
        <v>390.18271432688999</v>
      </c>
      <c r="V908">
        <f t="shared" si="679"/>
        <v>370.82625662650884</v>
      </c>
      <c r="W908">
        <f t="shared" si="679"/>
        <v>358.45884539774994</v>
      </c>
      <c r="Y908" s="8">
        <f t="shared" si="656"/>
        <v>9710.7090391231122</v>
      </c>
      <c r="Z908">
        <f t="shared" si="657"/>
        <v>-627.46064159266416</v>
      </c>
    </row>
    <row r="909" spans="1:26" x14ac:dyDescent="0.25">
      <c r="A909" t="s">
        <v>66</v>
      </c>
      <c r="D909">
        <f t="shared" ref="D909:W909" si="680">D161*D229</f>
        <v>195.22351973375243</v>
      </c>
      <c r="E909">
        <f t="shared" si="680"/>
        <v>215.87957555588991</v>
      </c>
      <c r="F909">
        <f t="shared" si="680"/>
        <v>258.87087672484853</v>
      </c>
      <c r="G909">
        <f t="shared" si="680"/>
        <v>233.00547426270586</v>
      </c>
      <c r="H909">
        <f t="shared" si="680"/>
        <v>258.03492978973031</v>
      </c>
      <c r="I909">
        <f t="shared" si="680"/>
        <v>288.65475113300465</v>
      </c>
      <c r="J909">
        <f t="shared" si="680"/>
        <v>275.00245153665139</v>
      </c>
      <c r="K909">
        <f t="shared" si="680"/>
        <v>280.5172628570906</v>
      </c>
      <c r="L909">
        <f t="shared" si="680"/>
        <v>245.96928513862355</v>
      </c>
      <c r="M909">
        <f t="shared" si="680"/>
        <v>264.71330185372278</v>
      </c>
      <c r="N909">
        <f t="shared" si="680"/>
        <v>221.9216639360092</v>
      </c>
      <c r="O909">
        <f t="shared" si="680"/>
        <v>280.00051197489393</v>
      </c>
      <c r="P909">
        <f t="shared" si="680"/>
        <v>242.0401125119659</v>
      </c>
      <c r="Q909">
        <f t="shared" si="680"/>
        <v>264.57250068818007</v>
      </c>
      <c r="R909">
        <f t="shared" si="680"/>
        <v>324.79018570891623</v>
      </c>
      <c r="S909">
        <f t="shared" si="680"/>
        <v>367.26320311009448</v>
      </c>
      <c r="T909">
        <f t="shared" si="680"/>
        <v>413.63640714233554</v>
      </c>
      <c r="U909">
        <f t="shared" si="680"/>
        <v>367.21868191092409</v>
      </c>
      <c r="V909">
        <f t="shared" si="680"/>
        <v>327.4814053415335</v>
      </c>
      <c r="W909">
        <f t="shared" si="680"/>
        <v>345.08690080432859</v>
      </c>
      <c r="Y909" s="8">
        <f t="shared" si="656"/>
        <v>5669.8830017152022</v>
      </c>
      <c r="Z909">
        <f t="shared" si="657"/>
        <v>-31.391575520471534</v>
      </c>
    </row>
    <row r="910" spans="1:26" x14ac:dyDescent="0.25">
      <c r="A910" t="s">
        <v>67</v>
      </c>
      <c r="D910">
        <f t="shared" ref="D910:W910" si="681">D162*D230</f>
        <v>231.27999804629107</v>
      </c>
      <c r="E910">
        <f t="shared" si="681"/>
        <v>270.86039464800075</v>
      </c>
      <c r="F910">
        <f t="shared" si="681"/>
        <v>253.42871101621961</v>
      </c>
      <c r="G910">
        <f t="shared" si="681"/>
        <v>273.99234426436948</v>
      </c>
      <c r="H910">
        <f t="shared" si="681"/>
        <v>285.40507588159687</v>
      </c>
      <c r="I910">
        <f t="shared" si="681"/>
        <v>288.59175720952311</v>
      </c>
      <c r="J910">
        <f t="shared" si="681"/>
        <v>246.9334555579313</v>
      </c>
      <c r="K910">
        <f t="shared" si="681"/>
        <v>309.00132596226615</v>
      </c>
      <c r="L910">
        <f t="shared" si="681"/>
        <v>287.41647052297117</v>
      </c>
      <c r="M910">
        <f t="shared" si="681"/>
        <v>383.3560192310091</v>
      </c>
      <c r="N910">
        <f t="shared" si="681"/>
        <v>331.70151931176889</v>
      </c>
      <c r="O910">
        <f t="shared" si="681"/>
        <v>298.49200490408049</v>
      </c>
      <c r="P910">
        <f t="shared" si="681"/>
        <v>330.80356228551676</v>
      </c>
      <c r="Q910">
        <f t="shared" si="681"/>
        <v>277.34853196264544</v>
      </c>
      <c r="R910">
        <f t="shared" si="681"/>
        <v>154.24304626588528</v>
      </c>
      <c r="S910">
        <f t="shared" si="681"/>
        <v>162.47843770077196</v>
      </c>
      <c r="T910">
        <f t="shared" si="681"/>
        <v>162.89864982983249</v>
      </c>
      <c r="U910">
        <f t="shared" si="681"/>
        <v>171.07231288781671</v>
      </c>
      <c r="V910">
        <f t="shared" si="681"/>
        <v>330.08370928604523</v>
      </c>
      <c r="W910">
        <f t="shared" si="681"/>
        <v>327.12447728685044</v>
      </c>
      <c r="Y910" s="8">
        <f t="shared" si="656"/>
        <v>5376.5118040613934</v>
      </c>
      <c r="Z910">
        <f t="shared" si="657"/>
        <v>-219.3436578417774</v>
      </c>
    </row>
    <row r="911" spans="1:26" x14ac:dyDescent="0.25">
      <c r="Y911" s="8"/>
    </row>
    <row r="912" spans="1:26" x14ac:dyDescent="0.25">
      <c r="A912" t="s">
        <v>68</v>
      </c>
      <c r="D912">
        <f t="shared" ref="D912:W912" si="682">D164*D232</f>
        <v>481.40556200775887</v>
      </c>
      <c r="E912">
        <f t="shared" si="682"/>
        <v>426.61926360692428</v>
      </c>
      <c r="F912">
        <f t="shared" si="682"/>
        <v>451.14865410934789</v>
      </c>
      <c r="G912">
        <f t="shared" si="682"/>
        <v>419.28750708462957</v>
      </c>
      <c r="H912">
        <f t="shared" si="682"/>
        <v>388.58466638518519</v>
      </c>
      <c r="I912">
        <f t="shared" si="682"/>
        <v>140.68362453080201</v>
      </c>
      <c r="J912">
        <f t="shared" si="682"/>
        <v>111.48266905412231</v>
      </c>
      <c r="K912">
        <f t="shared" si="682"/>
        <v>150.3968470808563</v>
      </c>
      <c r="L912">
        <f t="shared" si="682"/>
        <v>123.43749968365302</v>
      </c>
      <c r="M912">
        <f t="shared" si="682"/>
        <v>322.16104789080862</v>
      </c>
      <c r="N912">
        <f t="shared" si="682"/>
        <v>324.91568458922274</v>
      </c>
      <c r="O912">
        <f t="shared" si="682"/>
        <v>314.47135154991247</v>
      </c>
      <c r="P912">
        <f t="shared" si="682"/>
        <v>339.72282264037079</v>
      </c>
      <c r="Q912">
        <f t="shared" si="682"/>
        <v>340.12827467988404</v>
      </c>
      <c r="R912">
        <f t="shared" si="682"/>
        <v>365.84452127603925</v>
      </c>
      <c r="S912">
        <f t="shared" si="682"/>
        <v>403.86693123046132</v>
      </c>
      <c r="T912">
        <f t="shared" si="682"/>
        <v>381.50827171989306</v>
      </c>
      <c r="U912">
        <f t="shared" si="682"/>
        <v>382.30995402366182</v>
      </c>
      <c r="V912">
        <f t="shared" si="682"/>
        <v>367.3863394069034</v>
      </c>
      <c r="W912">
        <f t="shared" si="682"/>
        <v>433.60106752292018</v>
      </c>
      <c r="Y912" s="8">
        <f t="shared" si="656"/>
        <v>6668.9625600733552</v>
      </c>
      <c r="Z912">
        <f>SUMPRODUCT($D$916:$W$916,D912:W912)</f>
        <v>-211.07967167271386</v>
      </c>
    </row>
    <row r="913" spans="1:26" x14ac:dyDescent="0.25">
      <c r="A913" t="s">
        <v>312</v>
      </c>
      <c r="D913">
        <f t="shared" ref="D913:W913" si="683">D165*D233</f>
        <v>371.93192492270344</v>
      </c>
      <c r="E913">
        <f t="shared" si="683"/>
        <v>424.8260658634432</v>
      </c>
      <c r="F913">
        <f t="shared" si="683"/>
        <v>328.42421659799567</v>
      </c>
      <c r="G913">
        <f t="shared" si="683"/>
        <v>340.49432459162585</v>
      </c>
      <c r="H913">
        <f t="shared" si="683"/>
        <v>427.66530174595846</v>
      </c>
      <c r="I913">
        <f t="shared" si="683"/>
        <v>347.49693664325486</v>
      </c>
      <c r="J913">
        <f t="shared" si="683"/>
        <v>281.58281036004473</v>
      </c>
      <c r="K913">
        <f t="shared" si="683"/>
        <v>426.63171570323755</v>
      </c>
      <c r="L913">
        <f t="shared" si="683"/>
        <v>219.49210651358158</v>
      </c>
      <c r="M913">
        <f t="shared" si="683"/>
        <v>217.68428329561129</v>
      </c>
      <c r="N913">
        <f t="shared" si="683"/>
        <v>175.3531708698207</v>
      </c>
      <c r="O913">
        <f t="shared" si="683"/>
        <v>259.14831330135269</v>
      </c>
      <c r="P913">
        <f t="shared" si="683"/>
        <v>738.43</v>
      </c>
      <c r="Q913">
        <f t="shared" si="683"/>
        <v>952</v>
      </c>
      <c r="R913">
        <f t="shared" si="683"/>
        <v>766.26</v>
      </c>
      <c r="S913">
        <f t="shared" si="683"/>
        <v>212.43</v>
      </c>
      <c r="T913">
        <f t="shared" si="683"/>
        <v>318.72000000000003</v>
      </c>
      <c r="U913">
        <f t="shared" si="683"/>
        <v>352.17599999999993</v>
      </c>
      <c r="V913">
        <f t="shared" si="683"/>
        <v>324.38000000000005</v>
      </c>
      <c r="W913">
        <f t="shared" si="683"/>
        <v>389.88000000000005</v>
      </c>
      <c r="Y913" s="8">
        <f t="shared" si="656"/>
        <v>7875.0071704086313</v>
      </c>
      <c r="Z913">
        <f>SUMPRODUCT($D$916:$W$916,D913:W913)</f>
        <v>71.787894287511079</v>
      </c>
    </row>
    <row r="914" spans="1:26" x14ac:dyDescent="0.25">
      <c r="A914" t="s">
        <v>313</v>
      </c>
      <c r="D914">
        <f t="shared" ref="D914:W914" si="684">D166*D234</f>
        <v>355.24</v>
      </c>
      <c r="E914">
        <f t="shared" si="684"/>
        <v>457.37999999999994</v>
      </c>
      <c r="F914">
        <f t="shared" si="684"/>
        <v>3102.72</v>
      </c>
      <c r="G914">
        <f t="shared" si="684"/>
        <v>356.16</v>
      </c>
      <c r="H914">
        <f t="shared" si="684"/>
        <v>422.62</v>
      </c>
      <c r="I914">
        <f t="shared" si="684"/>
        <v>350.7</v>
      </c>
      <c r="J914">
        <f t="shared" si="684"/>
        <v>269.28000000000003</v>
      </c>
      <c r="K914">
        <f t="shared" si="684"/>
        <v>402.48</v>
      </c>
      <c r="L914">
        <f t="shared" si="684"/>
        <v>246.01000000000002</v>
      </c>
      <c r="M914">
        <f t="shared" si="684"/>
        <v>239.76</v>
      </c>
      <c r="N914">
        <f t="shared" si="684"/>
        <v>210.42</v>
      </c>
      <c r="O914">
        <f t="shared" si="684"/>
        <v>278.08000000000004</v>
      </c>
      <c r="P914">
        <f t="shared" si="684"/>
        <v>316.37035693001798</v>
      </c>
      <c r="Q914">
        <f t="shared" si="684"/>
        <v>337.97422831152443</v>
      </c>
      <c r="R914">
        <f t="shared" si="684"/>
        <v>339.11403399257949</v>
      </c>
      <c r="S914">
        <f t="shared" si="684"/>
        <v>376.56683672185915</v>
      </c>
      <c r="T914">
        <f t="shared" si="684"/>
        <v>361.92239463658433</v>
      </c>
      <c r="U914">
        <f t="shared" si="684"/>
        <v>329.18733540000272</v>
      </c>
      <c r="V914">
        <f t="shared" si="684"/>
        <v>346.46102206870989</v>
      </c>
      <c r="W914">
        <f t="shared" si="684"/>
        <v>372.66583610813166</v>
      </c>
      <c r="Y914" s="8">
        <f t="shared" si="656"/>
        <v>9471.1120441694111</v>
      </c>
      <c r="Z914">
        <f>SUMPRODUCT($D$916:$W$916,D914:W914)</f>
        <v>-733.83117007786245</v>
      </c>
    </row>
    <row r="915" spans="1:26" x14ac:dyDescent="0.25">
      <c r="A915" t="s">
        <v>676</v>
      </c>
      <c r="D915">
        <f t="shared" ref="D915:W915" si="685">D167*D235</f>
        <v>501.71921625586845</v>
      </c>
      <c r="E915">
        <f t="shared" si="685"/>
        <v>485.39484966639873</v>
      </c>
      <c r="F915">
        <f t="shared" si="685"/>
        <v>426.61926360692428</v>
      </c>
      <c r="G915">
        <f t="shared" si="685"/>
        <v>423.31092018788695</v>
      </c>
      <c r="H915">
        <f t="shared" si="685"/>
        <v>388.58466638518524</v>
      </c>
      <c r="I915">
        <f t="shared" si="685"/>
        <v>328.73739646175937</v>
      </c>
      <c r="J915">
        <f t="shared" si="685"/>
        <v>315.10196126022743</v>
      </c>
      <c r="K915">
        <f t="shared" si="685"/>
        <v>307.29841575919176</v>
      </c>
      <c r="L915">
        <f t="shared" si="685"/>
        <v>327.07829804856726</v>
      </c>
      <c r="M915">
        <f t="shared" si="685"/>
        <v>283.9338866878166</v>
      </c>
      <c r="N915">
        <f t="shared" si="685"/>
        <v>271.20916826686749</v>
      </c>
      <c r="O915">
        <f t="shared" si="685"/>
        <v>305.47136778391598</v>
      </c>
      <c r="P915">
        <f t="shared" si="685"/>
        <v>323.28744032903927</v>
      </c>
      <c r="Q915">
        <f t="shared" si="685"/>
        <v>415.13050518923518</v>
      </c>
      <c r="R915">
        <f t="shared" si="685"/>
        <v>383.43519342187489</v>
      </c>
      <c r="S915">
        <f t="shared" si="685"/>
        <v>416.0468872174747</v>
      </c>
      <c r="T915">
        <f t="shared" si="685"/>
        <v>372.60142841151298</v>
      </c>
      <c r="U915">
        <f t="shared" si="685"/>
        <v>375.86204883590761</v>
      </c>
      <c r="V915">
        <f t="shared" si="685"/>
        <v>349.1305607002912</v>
      </c>
      <c r="W915">
        <f t="shared" si="685"/>
        <v>423.74536173392943</v>
      </c>
      <c r="Y915" s="8">
        <f t="shared" ref="Y915" si="686">SUM(D915:W915)</f>
        <v>7423.6988362098746</v>
      </c>
      <c r="Z915">
        <f>SUMPRODUCT($D$916:$W$916,D915:W915)</f>
        <v>-230.98038473902614</v>
      </c>
    </row>
    <row r="916" spans="1:26" x14ac:dyDescent="0.25">
      <c r="A916" s="2" t="s">
        <v>69</v>
      </c>
      <c r="D916" s="3">
        <f>CORREL($B$2:$B$26,D886:D910)</f>
        <v>-0.24876021822276273</v>
      </c>
      <c r="E916" s="3">
        <f t="shared" ref="E916:W916" si="687">CORREL($B$2:$B$26,E886:E910)</f>
        <v>-0.21375889903672179</v>
      </c>
      <c r="F916" s="3">
        <f t="shared" si="687"/>
        <v>-0.20438710166493351</v>
      </c>
      <c r="G916" s="3">
        <f t="shared" si="687"/>
        <v>-0.19927266254004208</v>
      </c>
      <c r="H916" s="3">
        <f t="shared" si="687"/>
        <v>-9.3896214301823433E-2</v>
      </c>
      <c r="I916" s="3">
        <f t="shared" si="687"/>
        <v>-5.7437401461408598E-2</v>
      </c>
      <c r="J916" s="3">
        <f t="shared" si="687"/>
        <v>-0.11753673435144521</v>
      </c>
      <c r="K916" s="3">
        <f t="shared" si="687"/>
        <v>8.2377319297637266E-2</v>
      </c>
      <c r="L916" s="3">
        <f t="shared" si="687"/>
        <v>-5.2951078964007026E-2</v>
      </c>
      <c r="M916" s="3">
        <f t="shared" si="687"/>
        <v>6.8367643806410958E-2</v>
      </c>
      <c r="N916" s="3">
        <f t="shared" si="687"/>
        <v>-0.21927455348637853</v>
      </c>
      <c r="O916" s="3">
        <f t="shared" si="687"/>
        <v>8.5949030083909486E-2</v>
      </c>
      <c r="P916" s="3">
        <f t="shared" si="687"/>
        <v>4.1535395082059016E-4</v>
      </c>
      <c r="Q916" s="3">
        <f t="shared" si="687"/>
        <v>8.0851396367201497E-2</v>
      </c>
      <c r="R916" s="3">
        <f t="shared" si="687"/>
        <v>0.47600492199574745</v>
      </c>
      <c r="S916" s="3">
        <f t="shared" si="687"/>
        <v>0.1514110934502173</v>
      </c>
      <c r="T916" s="3">
        <f t="shared" si="687"/>
        <v>9.5086074109887619E-2</v>
      </c>
      <c r="U916" s="3">
        <f t="shared" si="687"/>
        <v>6.6418920129143535E-2</v>
      </c>
      <c r="V916" s="3">
        <f t="shared" si="687"/>
        <v>-0.1013319250932616</v>
      </c>
      <c r="W916" s="3">
        <f t="shared" si="687"/>
        <v>-8.7029906068058868E-2</v>
      </c>
    </row>
    <row r="919" spans="1:26" x14ac:dyDescent="0.25">
      <c r="D919" t="s">
        <v>298</v>
      </c>
      <c r="E919" t="s">
        <v>299</v>
      </c>
      <c r="F919" t="s">
        <v>300</v>
      </c>
      <c r="G919" t="s">
        <v>301</v>
      </c>
      <c r="H919" t="s">
        <v>302</v>
      </c>
      <c r="I919" t="s">
        <v>303</v>
      </c>
      <c r="J919" t="s">
        <v>304</v>
      </c>
      <c r="K919" t="s">
        <v>305</v>
      </c>
      <c r="L919" t="s">
        <v>342</v>
      </c>
      <c r="M919" t="s">
        <v>424</v>
      </c>
      <c r="N919" t="s">
        <v>425</v>
      </c>
      <c r="O919" t="s">
        <v>426</v>
      </c>
      <c r="P919" t="s">
        <v>560</v>
      </c>
      <c r="Q919" t="s">
        <v>561</v>
      </c>
      <c r="R919" t="s">
        <v>562</v>
      </c>
      <c r="S919" t="s">
        <v>563</v>
      </c>
      <c r="T919" t="s">
        <v>672</v>
      </c>
      <c r="U919" t="s">
        <v>673</v>
      </c>
      <c r="V919" t="s">
        <v>674</v>
      </c>
      <c r="W919" t="s">
        <v>675</v>
      </c>
      <c r="Y919" t="s">
        <v>306</v>
      </c>
      <c r="Z919" t="s">
        <v>307</v>
      </c>
    </row>
    <row r="920" spans="1:26" x14ac:dyDescent="0.25">
      <c r="A920" t="s">
        <v>43</v>
      </c>
      <c r="D920">
        <f t="shared" ref="D920:W920" si="688">D172*D206</f>
        <v>197.36521721154935</v>
      </c>
      <c r="E920">
        <f t="shared" si="688"/>
        <v>119.42752169893554</v>
      </c>
      <c r="F920">
        <f t="shared" si="688"/>
        <v>154.48706715140023</v>
      </c>
      <c r="G920">
        <f t="shared" si="688"/>
        <v>330.69499619375182</v>
      </c>
      <c r="H920">
        <f t="shared" si="688"/>
        <v>272.56086189544146</v>
      </c>
      <c r="I920">
        <f t="shared" si="688"/>
        <v>103.82047331225237</v>
      </c>
      <c r="J920">
        <f t="shared" si="688"/>
        <v>152.49219765004213</v>
      </c>
      <c r="K920">
        <f t="shared" si="688"/>
        <v>85.651207162230179</v>
      </c>
      <c r="L920">
        <f t="shared" si="688"/>
        <v>77.714978712567557</v>
      </c>
      <c r="M920">
        <f t="shared" si="688"/>
        <v>50.402945071496262</v>
      </c>
      <c r="N920">
        <f t="shared" si="688"/>
        <v>78.553240466001228</v>
      </c>
      <c r="O920">
        <f t="shared" si="688"/>
        <v>130.24073941461921</v>
      </c>
      <c r="P920">
        <f t="shared" si="688"/>
        <v>70.282910860637543</v>
      </c>
      <c r="Q920">
        <f t="shared" si="688"/>
        <v>98.138758229311165</v>
      </c>
      <c r="R920">
        <f t="shared" si="688"/>
        <v>148.40629206372245</v>
      </c>
      <c r="S920">
        <f t="shared" si="688"/>
        <v>156.8154725640442</v>
      </c>
      <c r="T920">
        <f t="shared" si="688"/>
        <v>97.922761130556935</v>
      </c>
      <c r="U920">
        <f t="shared" si="688"/>
        <v>81.106923311898896</v>
      </c>
      <c r="V920">
        <f t="shared" si="688"/>
        <v>177.76616712146063</v>
      </c>
      <c r="W920">
        <f t="shared" si="688"/>
        <v>188.1417594965794</v>
      </c>
      <c r="Y920" s="8">
        <f t="shared" ref="Y920:Y946" si="689">SUM(D920:W920)</f>
        <v>2771.9924907184977</v>
      </c>
      <c r="Z920">
        <f t="shared" ref="Z920:Z944" si="690">SUMPRODUCT($D$950:$W$950,D920:W920)</f>
        <v>-155.53849061028575</v>
      </c>
    </row>
    <row r="921" spans="1:26" x14ac:dyDescent="0.25">
      <c r="A921" t="s">
        <v>44</v>
      </c>
      <c r="D921">
        <f t="shared" ref="D921:W921" si="691">D173*D207</f>
        <v>185.24930990369882</v>
      </c>
      <c r="E921">
        <f t="shared" si="691"/>
        <v>169.95488291881605</v>
      </c>
      <c r="F921">
        <f t="shared" si="691"/>
        <v>132.32698666495267</v>
      </c>
      <c r="G921">
        <f t="shared" si="691"/>
        <v>136.66164789905616</v>
      </c>
      <c r="H921">
        <f t="shared" si="691"/>
        <v>134.14456600653037</v>
      </c>
      <c r="I921">
        <f t="shared" si="691"/>
        <v>93.040361613329523</v>
      </c>
      <c r="J921">
        <f t="shared" si="691"/>
        <v>104.232693049292</v>
      </c>
      <c r="K921">
        <f t="shared" si="691"/>
        <v>145.5708416659748</v>
      </c>
      <c r="L921">
        <f t="shared" si="691"/>
        <v>97.103090174385358</v>
      </c>
      <c r="M921">
        <f t="shared" si="691"/>
        <v>114.94850392469699</v>
      </c>
      <c r="N921">
        <f t="shared" si="691"/>
        <v>65.336765512218378</v>
      </c>
      <c r="O921">
        <f t="shared" si="691"/>
        <v>139.8880424987444</v>
      </c>
      <c r="P921">
        <f t="shared" si="691"/>
        <v>73.939673038725587</v>
      </c>
      <c r="Q921">
        <f t="shared" si="691"/>
        <v>107.40944616273025</v>
      </c>
      <c r="R921">
        <f t="shared" si="691"/>
        <v>106.14959101353747</v>
      </c>
      <c r="S921">
        <f t="shared" si="691"/>
        <v>111.51629051938782</v>
      </c>
      <c r="T921">
        <f t="shared" si="691"/>
        <v>92.170926439518482</v>
      </c>
      <c r="U921">
        <f t="shared" si="691"/>
        <v>90.521908160816295</v>
      </c>
      <c r="V921">
        <f t="shared" si="691"/>
        <v>135.46563406326885</v>
      </c>
      <c r="W921">
        <f t="shared" si="691"/>
        <v>224.38309943995461</v>
      </c>
      <c r="Y921" s="8">
        <f t="shared" si="689"/>
        <v>2460.014260669635</v>
      </c>
      <c r="Z921">
        <f t="shared" si="690"/>
        <v>-136.15323914048133</v>
      </c>
    </row>
    <row r="922" spans="1:26" x14ac:dyDescent="0.25">
      <c r="A922" t="s">
        <v>45</v>
      </c>
      <c r="D922">
        <f t="shared" ref="D922:W922" si="692">D174*D208</f>
        <v>206.25542679068838</v>
      </c>
      <c r="E922">
        <f t="shared" si="692"/>
        <v>185.60716062099129</v>
      </c>
      <c r="F922">
        <f t="shared" si="692"/>
        <v>192.3873267018875</v>
      </c>
      <c r="G922">
        <f t="shared" si="692"/>
        <v>159.65900570283836</v>
      </c>
      <c r="H922">
        <f t="shared" si="692"/>
        <v>139.80656084186782</v>
      </c>
      <c r="I922">
        <f t="shared" si="692"/>
        <v>97.695409732291651</v>
      </c>
      <c r="J922">
        <f t="shared" si="692"/>
        <v>85.843394567401816</v>
      </c>
      <c r="K922">
        <f t="shared" si="692"/>
        <v>81.957049476056952</v>
      </c>
      <c r="L922">
        <f t="shared" si="692"/>
        <v>103.26596111596456</v>
      </c>
      <c r="M922">
        <f t="shared" si="692"/>
        <v>129.30289931046056</v>
      </c>
      <c r="N922">
        <f t="shared" si="692"/>
        <v>75.154208191517014</v>
      </c>
      <c r="O922">
        <f t="shared" si="692"/>
        <v>110.11479343735189</v>
      </c>
      <c r="P922">
        <f t="shared" si="692"/>
        <v>155.19883014825064</v>
      </c>
      <c r="Q922">
        <f t="shared" si="692"/>
        <v>130.47872501803488</v>
      </c>
      <c r="R922">
        <f t="shared" si="692"/>
        <v>144.58073531632573</v>
      </c>
      <c r="S922">
        <f t="shared" si="692"/>
        <v>170.19768337659713</v>
      </c>
      <c r="T922">
        <f t="shared" si="692"/>
        <v>123.62463217420689</v>
      </c>
      <c r="U922">
        <f t="shared" si="692"/>
        <v>158.55571983265511</v>
      </c>
      <c r="V922">
        <f t="shared" si="692"/>
        <v>143.778080445266</v>
      </c>
      <c r="W922">
        <f t="shared" si="692"/>
        <v>197.47966000161094</v>
      </c>
      <c r="Y922" s="8">
        <f t="shared" si="689"/>
        <v>2790.9432628022655</v>
      </c>
      <c r="Z922">
        <f t="shared" si="690"/>
        <v>-98.033341590959836</v>
      </c>
    </row>
    <row r="923" spans="1:26" x14ac:dyDescent="0.25">
      <c r="A923" t="s">
        <v>46</v>
      </c>
      <c r="D923">
        <f t="shared" ref="D923:W923" si="693">D175*D209</f>
        <v>316.70088340838896</v>
      </c>
      <c r="E923">
        <f t="shared" si="693"/>
        <v>179.97511062084942</v>
      </c>
      <c r="F923">
        <f t="shared" si="693"/>
        <v>180.75241628029468</v>
      </c>
      <c r="G923">
        <f t="shared" si="693"/>
        <v>194.73165582589775</v>
      </c>
      <c r="H923">
        <f t="shared" si="693"/>
        <v>149.75754341913989</v>
      </c>
      <c r="I923">
        <f t="shared" si="693"/>
        <v>142.67990739032095</v>
      </c>
      <c r="J923">
        <f t="shared" si="693"/>
        <v>109.04980254033853</v>
      </c>
      <c r="K923">
        <f t="shared" si="693"/>
        <v>141.31939264989569</v>
      </c>
      <c r="L923">
        <f t="shared" si="693"/>
        <v>155.90633810065214</v>
      </c>
      <c r="M923">
        <f t="shared" si="693"/>
        <v>47.873966452446354</v>
      </c>
      <c r="N923">
        <f t="shared" si="693"/>
        <v>78.021464109678007</v>
      </c>
      <c r="O923">
        <f t="shared" si="693"/>
        <v>94.914374301571627</v>
      </c>
      <c r="P923">
        <f t="shared" si="693"/>
        <v>169.3127242173789</v>
      </c>
      <c r="Q923">
        <f t="shared" si="693"/>
        <v>124.51396444866903</v>
      </c>
      <c r="R923">
        <f t="shared" si="693"/>
        <v>117.78710893238646</v>
      </c>
      <c r="S923">
        <f t="shared" si="693"/>
        <v>62.434778870356546</v>
      </c>
      <c r="T923">
        <f t="shared" si="693"/>
        <v>94.177223883093433</v>
      </c>
      <c r="U923">
        <f t="shared" si="693"/>
        <v>134.84039064439455</v>
      </c>
      <c r="V923">
        <f t="shared" si="693"/>
        <v>160.28248787034644</v>
      </c>
      <c r="W923">
        <f t="shared" si="693"/>
        <v>130.3519327723248</v>
      </c>
      <c r="Y923" s="8">
        <f t="shared" si="689"/>
        <v>2785.3834667384244</v>
      </c>
      <c r="Z923">
        <f t="shared" si="690"/>
        <v>-188.82692306083754</v>
      </c>
    </row>
    <row r="924" spans="1:26" x14ac:dyDescent="0.25">
      <c r="A924" t="s">
        <v>47</v>
      </c>
      <c r="D924">
        <f t="shared" ref="D924:W924" si="694">D176*D210</f>
        <v>138.33313102386359</v>
      </c>
      <c r="E924">
        <f t="shared" si="694"/>
        <v>108.56170637794122</v>
      </c>
      <c r="F924">
        <f t="shared" si="694"/>
        <v>194.00364825584731</v>
      </c>
      <c r="G924">
        <f t="shared" si="694"/>
        <v>208.11103085706907</v>
      </c>
      <c r="H924">
        <f t="shared" si="694"/>
        <v>148.77394805805159</v>
      </c>
      <c r="I924">
        <f t="shared" si="694"/>
        <v>57.491692762279797</v>
      </c>
      <c r="J924">
        <f t="shared" si="694"/>
        <v>91.713351278829919</v>
      </c>
      <c r="K924">
        <f t="shared" si="694"/>
        <v>77.548749853062958</v>
      </c>
      <c r="L924">
        <f t="shared" si="694"/>
        <v>25.742740052967328</v>
      </c>
      <c r="M924">
        <f t="shared" si="694"/>
        <v>29.791528030352865</v>
      </c>
      <c r="N924">
        <f t="shared" si="694"/>
        <v>25.943644339571293</v>
      </c>
      <c r="O924">
        <f t="shared" si="694"/>
        <v>32.049131561585568</v>
      </c>
      <c r="P924">
        <f t="shared" si="694"/>
        <v>59.121640197140842</v>
      </c>
      <c r="Q924">
        <f t="shared" si="694"/>
        <v>50.382031787337951</v>
      </c>
      <c r="R924">
        <f t="shared" si="694"/>
        <v>107.96531938026219</v>
      </c>
      <c r="S924">
        <f t="shared" si="694"/>
        <v>27.570219959446401</v>
      </c>
      <c r="T924">
        <f t="shared" si="694"/>
        <v>56.906805727318535</v>
      </c>
      <c r="U924">
        <f t="shared" si="694"/>
        <v>83.521128474134088</v>
      </c>
      <c r="V924">
        <f t="shared" si="694"/>
        <v>51.13579571026203</v>
      </c>
      <c r="W924">
        <f t="shared" si="694"/>
        <v>125.62449204669977</v>
      </c>
      <c r="Y924" s="8">
        <f t="shared" si="689"/>
        <v>1700.2917357340241</v>
      </c>
      <c r="Z924">
        <f t="shared" si="690"/>
        <v>-131.35366496660458</v>
      </c>
    </row>
    <row r="925" spans="1:26" x14ac:dyDescent="0.25">
      <c r="A925" t="s">
        <v>48</v>
      </c>
      <c r="D925">
        <f t="shared" ref="D925:W925" si="695">D177*D211</f>
        <v>234.11208631600564</v>
      </c>
      <c r="E925">
        <f t="shared" si="695"/>
        <v>145.54162175705403</v>
      </c>
      <c r="F925">
        <f t="shared" si="695"/>
        <v>150.07945258794294</v>
      </c>
      <c r="G925">
        <f t="shared" si="695"/>
        <v>278.16758680068705</v>
      </c>
      <c r="H925">
        <f t="shared" si="695"/>
        <v>120.79178396416971</v>
      </c>
      <c r="I925">
        <f t="shared" si="695"/>
        <v>104.74591204173036</v>
      </c>
      <c r="J925">
        <f t="shared" si="695"/>
        <v>87.987555835258007</v>
      </c>
      <c r="K925">
        <f t="shared" si="695"/>
        <v>67.575334860702171</v>
      </c>
      <c r="L925">
        <f t="shared" si="695"/>
        <v>35.016408372604943</v>
      </c>
      <c r="M925">
        <f t="shared" si="695"/>
        <v>42.765239108298218</v>
      </c>
      <c r="N925">
        <f t="shared" si="695"/>
        <v>29.278530704141396</v>
      </c>
      <c r="O925">
        <f t="shared" si="695"/>
        <v>27.656478054376375</v>
      </c>
      <c r="P925">
        <f t="shared" si="695"/>
        <v>45.177466502734418</v>
      </c>
      <c r="Q925">
        <f t="shared" si="695"/>
        <v>41.607357703001263</v>
      </c>
      <c r="R925">
        <f t="shared" si="695"/>
        <v>49.806598864587869</v>
      </c>
      <c r="S925">
        <f t="shared" si="695"/>
        <v>62.097979581949389</v>
      </c>
      <c r="T925">
        <f t="shared" si="695"/>
        <v>68.921281149638787</v>
      </c>
      <c r="U925">
        <f t="shared" si="695"/>
        <v>48.272746464100116</v>
      </c>
      <c r="V925">
        <f t="shared" si="695"/>
        <v>99.315321166408751</v>
      </c>
      <c r="W925">
        <f t="shared" si="695"/>
        <v>123.28897219618065</v>
      </c>
      <c r="Y925" s="8">
        <f t="shared" si="689"/>
        <v>1862.2057140315717</v>
      </c>
      <c r="Z925">
        <f t="shared" si="690"/>
        <v>-197.62915299800244</v>
      </c>
    </row>
    <row r="926" spans="1:26" x14ac:dyDescent="0.25">
      <c r="A926" t="s">
        <v>49</v>
      </c>
      <c r="D926">
        <f t="shared" ref="D926:W926" si="696">D178*D212</f>
        <v>203.61966696086338</v>
      </c>
      <c r="E926">
        <f t="shared" si="696"/>
        <v>171.54360615423963</v>
      </c>
      <c r="F926">
        <f t="shared" si="696"/>
        <v>269.2303229243081</v>
      </c>
      <c r="G926">
        <f t="shared" si="696"/>
        <v>200.68955823809091</v>
      </c>
      <c r="H926">
        <f t="shared" si="696"/>
        <v>81.536451542400272</v>
      </c>
      <c r="I926">
        <f t="shared" si="696"/>
        <v>131.75657451258763</v>
      </c>
      <c r="J926">
        <f t="shared" si="696"/>
        <v>90.375720764212062</v>
      </c>
      <c r="K926">
        <f t="shared" si="696"/>
        <v>60.28406745080752</v>
      </c>
      <c r="L926">
        <f t="shared" si="696"/>
        <v>48.738188085721148</v>
      </c>
      <c r="M926">
        <f t="shared" si="696"/>
        <v>55.720403613230339</v>
      </c>
      <c r="N926">
        <f t="shared" si="696"/>
        <v>48.728768658221234</v>
      </c>
      <c r="O926">
        <f t="shared" si="696"/>
        <v>15.330842732760694</v>
      </c>
      <c r="P926">
        <f t="shared" si="696"/>
        <v>64.378998498966794</v>
      </c>
      <c r="Q926">
        <f t="shared" si="696"/>
        <v>24.712958154391153</v>
      </c>
      <c r="R926">
        <f t="shared" si="696"/>
        <v>40.190909963959221</v>
      </c>
      <c r="S926">
        <f t="shared" si="696"/>
        <v>79.581754986611898</v>
      </c>
      <c r="T926">
        <f t="shared" si="696"/>
        <v>36.970133602902017</v>
      </c>
      <c r="U926">
        <f t="shared" si="696"/>
        <v>62.255721542289045</v>
      </c>
      <c r="V926">
        <f t="shared" si="696"/>
        <v>102.0074312622185</v>
      </c>
      <c r="W926">
        <f t="shared" si="696"/>
        <v>153.83163609759453</v>
      </c>
      <c r="Y926" s="8">
        <f t="shared" si="689"/>
        <v>1941.4837157463758</v>
      </c>
      <c r="Z926">
        <f t="shared" si="690"/>
        <v>-212.94325645564817</v>
      </c>
    </row>
    <row r="927" spans="1:26" x14ac:dyDescent="0.25">
      <c r="A927" t="s">
        <v>50</v>
      </c>
      <c r="D927">
        <f t="shared" ref="D927:W927" si="697">D179*D213</f>
        <v>31.68757572723559</v>
      </c>
      <c r="E927">
        <f t="shared" si="697"/>
        <v>147.33730296888211</v>
      </c>
      <c r="F927">
        <f t="shared" si="697"/>
        <v>138.9971550903895</v>
      </c>
      <c r="G927">
        <f t="shared" si="697"/>
        <v>76.017158309977205</v>
      </c>
      <c r="H927">
        <f t="shared" si="697"/>
        <v>45.805675062406827</v>
      </c>
      <c r="I927">
        <f t="shared" si="697"/>
        <v>89.241524096871871</v>
      </c>
      <c r="J927">
        <f t="shared" si="697"/>
        <v>55.915417477931328</v>
      </c>
      <c r="K927">
        <f t="shared" si="697"/>
        <v>61.317121952667478</v>
      </c>
      <c r="L927">
        <f t="shared" si="697"/>
        <v>85.201404320584999</v>
      </c>
      <c r="M927">
        <f t="shared" si="697"/>
        <v>45.96483382496919</v>
      </c>
      <c r="N927">
        <f t="shared" si="697"/>
        <v>32.495203239992023</v>
      </c>
      <c r="O927">
        <f t="shared" si="697"/>
        <v>59.536133919179903</v>
      </c>
      <c r="P927">
        <f t="shared" si="697"/>
        <v>51.396125551128513</v>
      </c>
      <c r="Q927">
        <f t="shared" si="697"/>
        <v>85.901407032532362</v>
      </c>
      <c r="R927">
        <f t="shared" si="697"/>
        <v>122.65894579860051</v>
      </c>
      <c r="S927">
        <f t="shared" si="697"/>
        <v>96.34374532446445</v>
      </c>
      <c r="T927">
        <f t="shared" si="697"/>
        <v>84.99506817151368</v>
      </c>
      <c r="U927">
        <f t="shared" si="697"/>
        <v>96.311030616078426</v>
      </c>
      <c r="V927">
        <f t="shared" si="697"/>
        <v>142.05486247535995</v>
      </c>
      <c r="W927">
        <f t="shared" si="697"/>
        <v>155.75990044996692</v>
      </c>
      <c r="Y927" s="8">
        <f t="shared" si="689"/>
        <v>1704.9375914107325</v>
      </c>
      <c r="Z927">
        <f t="shared" si="690"/>
        <v>-20.996468326347973</v>
      </c>
    </row>
    <row r="928" spans="1:26" x14ac:dyDescent="0.25">
      <c r="A928" t="s">
        <v>51</v>
      </c>
      <c r="D928">
        <f t="shared" ref="D928:W928" si="698">D180*D214</f>
        <v>18.128464663929396</v>
      </c>
      <c r="E928">
        <f t="shared" si="698"/>
        <v>107.30349987260806</v>
      </c>
      <c r="F928">
        <f t="shared" si="698"/>
        <v>103.43494029937254</v>
      </c>
      <c r="G928">
        <f t="shared" si="698"/>
        <v>114.97938426224454</v>
      </c>
      <c r="H928">
        <f t="shared" si="698"/>
        <v>89.522050005277421</v>
      </c>
      <c r="I928">
        <f t="shared" si="698"/>
        <v>67.790963742511764</v>
      </c>
      <c r="J928">
        <f t="shared" si="698"/>
        <v>80.127209124466091</v>
      </c>
      <c r="K928">
        <f t="shared" si="698"/>
        <v>88.809823559977929</v>
      </c>
      <c r="L928">
        <f t="shared" si="698"/>
        <v>54.232907147147671</v>
      </c>
      <c r="M928">
        <f t="shared" si="698"/>
        <v>83.91431039441224</v>
      </c>
      <c r="N928">
        <f t="shared" si="698"/>
        <v>45.228894445528987</v>
      </c>
      <c r="O928">
        <f t="shared" si="698"/>
        <v>47.965962670351459</v>
      </c>
      <c r="P928">
        <f t="shared" si="698"/>
        <v>81.026559972875106</v>
      </c>
      <c r="Q928">
        <f t="shared" si="698"/>
        <v>79.282257876468634</v>
      </c>
      <c r="R928">
        <f t="shared" si="698"/>
        <v>34.814870551454717</v>
      </c>
      <c r="S928">
        <f t="shared" si="698"/>
        <v>39.068627132686188</v>
      </c>
      <c r="T928">
        <f t="shared" si="698"/>
        <v>42.961256255682819</v>
      </c>
      <c r="U928">
        <f t="shared" si="698"/>
        <v>42.691601333425012</v>
      </c>
      <c r="V928">
        <f t="shared" si="698"/>
        <v>135.72559262666653</v>
      </c>
      <c r="W928">
        <f t="shared" si="698"/>
        <v>284.21328899286823</v>
      </c>
      <c r="Y928" s="8">
        <f t="shared" si="689"/>
        <v>1641.2224649299558</v>
      </c>
      <c r="Z928">
        <f t="shared" si="690"/>
        <v>-114.7119130181774</v>
      </c>
    </row>
    <row r="929" spans="1:26" x14ac:dyDescent="0.25">
      <c r="A929" t="s">
        <v>52</v>
      </c>
      <c r="D929">
        <f t="shared" ref="D929:W929" si="699">D181*D215</f>
        <v>188.26761977633731</v>
      </c>
      <c r="E929">
        <f t="shared" si="699"/>
        <v>169.06077028137153</v>
      </c>
      <c r="F929">
        <f t="shared" si="699"/>
        <v>218.09488011290586</v>
      </c>
      <c r="G929">
        <f t="shared" si="699"/>
        <v>133.18859981366165</v>
      </c>
      <c r="H929">
        <f t="shared" si="699"/>
        <v>97.294805840064186</v>
      </c>
      <c r="I929">
        <f t="shared" si="699"/>
        <v>67.444372678386387</v>
      </c>
      <c r="J929">
        <f t="shared" si="699"/>
        <v>54.977260854916331</v>
      </c>
      <c r="K929">
        <f t="shared" si="699"/>
        <v>120.92030536038452</v>
      </c>
      <c r="L929">
        <f t="shared" si="699"/>
        <v>86.605473604140968</v>
      </c>
      <c r="M929">
        <f t="shared" si="699"/>
        <v>67.783821117362294</v>
      </c>
      <c r="N929">
        <f t="shared" si="699"/>
        <v>68.189696327929724</v>
      </c>
      <c r="O929">
        <f t="shared" si="699"/>
        <v>28.177926412139119</v>
      </c>
      <c r="P929">
        <f t="shared" si="699"/>
        <v>26.696514483830239</v>
      </c>
      <c r="Q929">
        <f t="shared" si="699"/>
        <v>71.822700860051711</v>
      </c>
      <c r="R929">
        <f t="shared" si="699"/>
        <v>44.663412143495115</v>
      </c>
      <c r="S929">
        <f t="shared" si="699"/>
        <v>88.874874185025377</v>
      </c>
      <c r="T929">
        <f t="shared" si="699"/>
        <v>64.337841830258199</v>
      </c>
      <c r="U929">
        <f t="shared" si="699"/>
        <v>131.15090606161226</v>
      </c>
      <c r="V929">
        <f t="shared" si="699"/>
        <v>123.17629397419402</v>
      </c>
      <c r="W929">
        <f t="shared" si="699"/>
        <v>166.95258621655196</v>
      </c>
      <c r="Y929" s="8">
        <f t="shared" si="689"/>
        <v>2017.6806619346191</v>
      </c>
      <c r="Z929">
        <f t="shared" si="690"/>
        <v>-165.14146730151091</v>
      </c>
    </row>
    <row r="930" spans="1:26" x14ac:dyDescent="0.25">
      <c r="A930" t="s">
        <v>53</v>
      </c>
      <c r="D930">
        <f t="shared" ref="D930:W930" si="700">D182*D216</f>
        <v>285.90899126682598</v>
      </c>
      <c r="E930">
        <f t="shared" si="700"/>
        <v>251.16946778599794</v>
      </c>
      <c r="F930">
        <f t="shared" si="700"/>
        <v>221.60138276418718</v>
      </c>
      <c r="G930">
        <f t="shared" si="700"/>
        <v>108.1309944946677</v>
      </c>
      <c r="H930">
        <f t="shared" si="700"/>
        <v>145.20700403254196</v>
      </c>
      <c r="I930">
        <f t="shared" si="700"/>
        <v>93.257913671592519</v>
      </c>
      <c r="J930">
        <f t="shared" si="700"/>
        <v>68.219186679219121</v>
      </c>
      <c r="K930">
        <f t="shared" si="700"/>
        <v>66.500564124560057</v>
      </c>
      <c r="L930">
        <f t="shared" si="700"/>
        <v>69.21910866343724</v>
      </c>
      <c r="M930">
        <f t="shared" si="700"/>
        <v>93.730562907950983</v>
      </c>
      <c r="N930">
        <f t="shared" si="700"/>
        <v>99.680476881059633</v>
      </c>
      <c r="O930">
        <f t="shared" si="700"/>
        <v>44.650288458983006</v>
      </c>
      <c r="P930">
        <f t="shared" si="700"/>
        <v>53.690997825083528</v>
      </c>
      <c r="Q930">
        <f t="shared" si="700"/>
        <v>105.67075192965079</v>
      </c>
      <c r="R930">
        <f t="shared" si="700"/>
        <v>94.384324201586537</v>
      </c>
      <c r="S930">
        <f t="shared" si="700"/>
        <v>84.278693534919668</v>
      </c>
      <c r="T930">
        <f t="shared" si="700"/>
        <v>110.3987013168218</v>
      </c>
      <c r="U930">
        <f t="shared" si="700"/>
        <v>105.14293650226183</v>
      </c>
      <c r="V930">
        <f t="shared" si="700"/>
        <v>143.19963209517493</v>
      </c>
      <c r="W930">
        <f t="shared" si="700"/>
        <v>120.93499795765759</v>
      </c>
      <c r="Y930" s="8">
        <f t="shared" si="689"/>
        <v>2364.9769770941798</v>
      </c>
      <c r="Z930">
        <f t="shared" si="690"/>
        <v>-188.42751127736742</v>
      </c>
    </row>
    <row r="931" spans="1:26" x14ac:dyDescent="0.25">
      <c r="A931" t="s">
        <v>54</v>
      </c>
      <c r="D931">
        <f t="shared" ref="D931:W931" si="701">D183*D217</f>
        <v>457.84268551764512</v>
      </c>
      <c r="E931">
        <f t="shared" si="701"/>
        <v>150.53806232702749</v>
      </c>
      <c r="F931">
        <f t="shared" si="701"/>
        <v>137.34204809400575</v>
      </c>
      <c r="G931">
        <f t="shared" si="701"/>
        <v>253.25844629778044</v>
      </c>
      <c r="H931">
        <f t="shared" si="701"/>
        <v>89.900151694909908</v>
      </c>
      <c r="I931">
        <f t="shared" si="701"/>
        <v>119.05631229612808</v>
      </c>
      <c r="J931">
        <f t="shared" si="701"/>
        <v>82.462610667870848</v>
      </c>
      <c r="K931">
        <f t="shared" si="701"/>
        <v>59.953589825224817</v>
      </c>
      <c r="L931">
        <f t="shared" si="701"/>
        <v>30.405158220994526</v>
      </c>
      <c r="M931">
        <f t="shared" si="701"/>
        <v>79.954729487444126</v>
      </c>
      <c r="N931">
        <f t="shared" si="701"/>
        <v>31.375063934387317</v>
      </c>
      <c r="O931">
        <f t="shared" si="701"/>
        <v>42.765239108298218</v>
      </c>
      <c r="P931">
        <f t="shared" si="701"/>
        <v>159.41550822252555</v>
      </c>
      <c r="Q931">
        <f t="shared" si="701"/>
        <v>83.69959988639124</v>
      </c>
      <c r="R931">
        <f t="shared" si="701"/>
        <v>62.975472367881281</v>
      </c>
      <c r="S931">
        <f t="shared" si="701"/>
        <v>117.78710893238646</v>
      </c>
      <c r="T931">
        <f t="shared" si="701"/>
        <v>134.50070558227466</v>
      </c>
      <c r="U931">
        <f t="shared" si="701"/>
        <v>135.9229987190194</v>
      </c>
      <c r="V931">
        <f t="shared" si="701"/>
        <v>165.68597605480321</v>
      </c>
      <c r="W931">
        <f t="shared" si="701"/>
        <v>133.00871784964951</v>
      </c>
      <c r="Y931" s="8">
        <f t="shared" si="689"/>
        <v>2527.8501850866483</v>
      </c>
      <c r="Z931">
        <f t="shared" si="690"/>
        <v>-185.35792935914122</v>
      </c>
    </row>
    <row r="932" spans="1:26" x14ac:dyDescent="0.25">
      <c r="A932" t="s">
        <v>55</v>
      </c>
      <c r="D932">
        <f t="shared" ref="D932:W932" si="702">D184*D218</f>
        <v>246.60077859993169</v>
      </c>
      <c r="E932">
        <f t="shared" si="702"/>
        <v>238.6546408049845</v>
      </c>
      <c r="F932">
        <f t="shared" si="702"/>
        <v>181.50934898953267</v>
      </c>
      <c r="G932">
        <f t="shared" si="702"/>
        <v>151.22556273888239</v>
      </c>
      <c r="H932">
        <f t="shared" si="702"/>
        <v>86.577550262276631</v>
      </c>
      <c r="I932">
        <f t="shared" si="702"/>
        <v>75.483866150843269</v>
      </c>
      <c r="J932">
        <f t="shared" si="702"/>
        <v>73.037358534268378</v>
      </c>
      <c r="K932">
        <f t="shared" si="702"/>
        <v>87.228217465007432</v>
      </c>
      <c r="L932">
        <f t="shared" si="702"/>
        <v>92.210865405108862</v>
      </c>
      <c r="M932">
        <f t="shared" si="702"/>
        <v>87.934383438954598</v>
      </c>
      <c r="N932">
        <f t="shared" si="702"/>
        <v>82.402577501552159</v>
      </c>
      <c r="O932">
        <f t="shared" si="702"/>
        <v>76.817608003177568</v>
      </c>
      <c r="P932">
        <f t="shared" si="702"/>
        <v>105.14281145848798</v>
      </c>
      <c r="Q932">
        <f t="shared" si="702"/>
        <v>110.47560395167076</v>
      </c>
      <c r="R932">
        <f t="shared" si="702"/>
        <v>26.522566856349179</v>
      </c>
      <c r="S932">
        <f t="shared" si="702"/>
        <v>36.154456821394525</v>
      </c>
      <c r="T932">
        <f t="shared" si="702"/>
        <v>40.916616132712029</v>
      </c>
      <c r="U932">
        <f t="shared" si="702"/>
        <v>18.128464663929396</v>
      </c>
      <c r="V932">
        <f t="shared" si="702"/>
        <v>81.044915308861277</v>
      </c>
      <c r="W932">
        <f t="shared" si="702"/>
        <v>173.48477171496336</v>
      </c>
      <c r="Y932" s="8">
        <f t="shared" si="689"/>
        <v>2071.5529648028887</v>
      </c>
      <c r="Z932">
        <f t="shared" si="690"/>
        <v>-249.98845635904883</v>
      </c>
    </row>
    <row r="933" spans="1:26" x14ac:dyDescent="0.25">
      <c r="A933" t="s">
        <v>56</v>
      </c>
      <c r="D933">
        <f t="shared" ref="D933:W933" si="703">D185*D219</f>
        <v>192.13263583096332</v>
      </c>
      <c r="E933">
        <f t="shared" si="703"/>
        <v>217.33352036029871</v>
      </c>
      <c r="F933">
        <f t="shared" si="703"/>
        <v>176.26998850338731</v>
      </c>
      <c r="G933">
        <f t="shared" si="703"/>
        <v>157.44456096899512</v>
      </c>
      <c r="H933">
        <f t="shared" si="703"/>
        <v>227.26802723665787</v>
      </c>
      <c r="I933">
        <f t="shared" si="703"/>
        <v>120.25143742971697</v>
      </c>
      <c r="J933">
        <f t="shared" si="703"/>
        <v>130.24158125315392</v>
      </c>
      <c r="K933">
        <f t="shared" si="703"/>
        <v>156.43681408446071</v>
      </c>
      <c r="L933">
        <f t="shared" si="703"/>
        <v>126.245930823969</v>
      </c>
      <c r="M933">
        <f t="shared" si="703"/>
        <v>77.566702658061629</v>
      </c>
      <c r="N933">
        <f t="shared" si="703"/>
        <v>135.49759322460071</v>
      </c>
      <c r="O933">
        <f t="shared" si="703"/>
        <v>111.14453250830826</v>
      </c>
      <c r="P933">
        <f t="shared" si="703"/>
        <v>96.419115340941147</v>
      </c>
      <c r="Q933">
        <f t="shared" si="703"/>
        <v>74.71357117346821</v>
      </c>
      <c r="R933">
        <f t="shared" si="703"/>
        <v>107.98448230134015</v>
      </c>
      <c r="S933">
        <f t="shared" si="703"/>
        <v>139.97195908774859</v>
      </c>
      <c r="T933">
        <f t="shared" si="703"/>
        <v>155.52092453126593</v>
      </c>
      <c r="U933">
        <f t="shared" si="703"/>
        <v>162.52258962419651</v>
      </c>
      <c r="V933">
        <f t="shared" si="703"/>
        <v>169.57280625518547</v>
      </c>
      <c r="W933">
        <f t="shared" si="703"/>
        <v>143.31027610838356</v>
      </c>
      <c r="Y933" s="8">
        <f t="shared" si="689"/>
        <v>2877.8490493051031</v>
      </c>
      <c r="Z933">
        <f t="shared" si="690"/>
        <v>-158.14292963834831</v>
      </c>
    </row>
    <row r="934" spans="1:26" x14ac:dyDescent="0.25">
      <c r="A934" t="s">
        <v>57</v>
      </c>
      <c r="D934">
        <f t="shared" ref="D934:W934" si="704">D186*D220</f>
        <v>202.77046868638993</v>
      </c>
      <c r="E934">
        <f t="shared" si="704"/>
        <v>119.43110460014486</v>
      </c>
      <c r="F934">
        <f t="shared" si="704"/>
        <v>97.764688979251645</v>
      </c>
      <c r="G934">
        <f t="shared" si="704"/>
        <v>120.67192976780002</v>
      </c>
      <c r="H934">
        <f t="shared" si="704"/>
        <v>86.398032361571524</v>
      </c>
      <c r="I934">
        <f t="shared" si="704"/>
        <v>50.29952998193734</v>
      </c>
      <c r="J934">
        <f t="shared" si="704"/>
        <v>106.18911951064142</v>
      </c>
      <c r="K934">
        <f t="shared" si="704"/>
        <v>67.604780787056228</v>
      </c>
      <c r="L934">
        <f t="shared" si="704"/>
        <v>74.419638975870811</v>
      </c>
      <c r="M934">
        <f t="shared" si="704"/>
        <v>83.992311019332632</v>
      </c>
      <c r="N934">
        <f t="shared" si="704"/>
        <v>125.47831861786267</v>
      </c>
      <c r="O934">
        <f t="shared" si="704"/>
        <v>81.615095794063208</v>
      </c>
      <c r="P934">
        <f t="shared" si="704"/>
        <v>21.868972445870412</v>
      </c>
      <c r="Q934">
        <f t="shared" si="704"/>
        <v>32.550427982566326</v>
      </c>
      <c r="R934">
        <f t="shared" si="704"/>
        <v>31.646666209445314</v>
      </c>
      <c r="S934">
        <f t="shared" si="704"/>
        <v>57.077703709433294</v>
      </c>
      <c r="T934">
        <f t="shared" si="704"/>
        <v>93.733106777365549</v>
      </c>
      <c r="U934">
        <f t="shared" si="704"/>
        <v>75.170734525852907</v>
      </c>
      <c r="V934">
        <f t="shared" si="704"/>
        <v>74.091673951792828</v>
      </c>
      <c r="W934">
        <f t="shared" si="704"/>
        <v>126.01408101136811</v>
      </c>
      <c r="Y934" s="8">
        <f t="shared" si="689"/>
        <v>1728.7883856956169</v>
      </c>
      <c r="Z934">
        <f t="shared" si="690"/>
        <v>-171.27542564150161</v>
      </c>
    </row>
    <row r="935" spans="1:26" x14ac:dyDescent="0.25">
      <c r="A935" t="s">
        <v>58</v>
      </c>
      <c r="D935">
        <f t="shared" ref="D935:W935" si="705">D187*D221</f>
        <v>200.75407265468286</v>
      </c>
      <c r="E935">
        <f t="shared" si="705"/>
        <v>157.24008301418203</v>
      </c>
      <c r="F935">
        <f t="shared" si="705"/>
        <v>108.48710804116344</v>
      </c>
      <c r="G935">
        <f t="shared" si="705"/>
        <v>95.875431497900578</v>
      </c>
      <c r="H935">
        <f t="shared" si="705"/>
        <v>82.193964420781597</v>
      </c>
      <c r="I935">
        <f t="shared" si="705"/>
        <v>108.43378130618332</v>
      </c>
      <c r="J935">
        <f t="shared" si="705"/>
        <v>98.427565869298576</v>
      </c>
      <c r="K935">
        <f t="shared" si="705"/>
        <v>95.056755541320655</v>
      </c>
      <c r="L935">
        <f t="shared" si="705"/>
        <v>73.744108373851574</v>
      </c>
      <c r="M935">
        <f t="shared" si="705"/>
        <v>69.038455075857243</v>
      </c>
      <c r="N935">
        <f t="shared" si="705"/>
        <v>64.606631086651532</v>
      </c>
      <c r="O935">
        <f t="shared" si="705"/>
        <v>60.6715493152943</v>
      </c>
      <c r="P935">
        <f t="shared" si="705"/>
        <v>50.984182616107631</v>
      </c>
      <c r="Q935">
        <f t="shared" si="705"/>
        <v>97.925178797720349</v>
      </c>
      <c r="R935">
        <f t="shared" si="705"/>
        <v>98.509267553790536</v>
      </c>
      <c r="S935">
        <f t="shared" si="705"/>
        <v>119.73896023757163</v>
      </c>
      <c r="T935">
        <f t="shared" si="705"/>
        <v>159.15152894739475</v>
      </c>
      <c r="U935">
        <f t="shared" si="705"/>
        <v>145.58327380572874</v>
      </c>
      <c r="V935">
        <f t="shared" si="705"/>
        <v>63.125676680245469</v>
      </c>
      <c r="W935">
        <f t="shared" si="705"/>
        <v>146.95089030042743</v>
      </c>
      <c r="Y935" s="8">
        <f t="shared" si="689"/>
        <v>2096.4984651361542</v>
      </c>
      <c r="Z935">
        <f t="shared" si="690"/>
        <v>-84.098764378083686</v>
      </c>
    </row>
    <row r="936" spans="1:26" x14ac:dyDescent="0.25">
      <c r="A936" t="s">
        <v>59</v>
      </c>
      <c r="D936">
        <f t="shared" ref="D936:W936" si="706">D188*D222</f>
        <v>149.74615447714945</v>
      </c>
      <c r="E936">
        <f t="shared" si="706"/>
        <v>147.16969981698719</v>
      </c>
      <c r="F936">
        <f t="shared" si="706"/>
        <v>122.20375689222053</v>
      </c>
      <c r="G936">
        <f t="shared" si="706"/>
        <v>120.89185310638405</v>
      </c>
      <c r="H936">
        <f t="shared" si="706"/>
        <v>104.40564248741923</v>
      </c>
      <c r="I936">
        <f t="shared" si="706"/>
        <v>81.736283778657153</v>
      </c>
      <c r="J936">
        <f t="shared" si="706"/>
        <v>82.815450250481277</v>
      </c>
      <c r="K936">
        <f t="shared" si="706"/>
        <v>85.243449647468481</v>
      </c>
      <c r="L936">
        <f t="shared" si="706"/>
        <v>94.414996827464208</v>
      </c>
      <c r="M936">
        <f t="shared" si="706"/>
        <v>67.921720240127826</v>
      </c>
      <c r="N936">
        <f t="shared" si="706"/>
        <v>74.696795233250469</v>
      </c>
      <c r="O936">
        <f t="shared" si="706"/>
        <v>78.801377843327131</v>
      </c>
      <c r="P936">
        <f t="shared" si="706"/>
        <v>83.772494854227531</v>
      </c>
      <c r="Q936">
        <f t="shared" si="706"/>
        <v>78.698318452912176</v>
      </c>
      <c r="R936">
        <f t="shared" si="706"/>
        <v>105.77991440824663</v>
      </c>
      <c r="S936">
        <f t="shared" si="706"/>
        <v>114.88975794784623</v>
      </c>
      <c r="T936">
        <f t="shared" si="706"/>
        <v>105.00425885202324</v>
      </c>
      <c r="U936">
        <f t="shared" si="706"/>
        <v>104.39464065515865</v>
      </c>
      <c r="V936">
        <f t="shared" si="706"/>
        <v>130.55595322680983</v>
      </c>
      <c r="W936">
        <f t="shared" si="706"/>
        <v>139.39028221133412</v>
      </c>
      <c r="Y936" s="8">
        <f t="shared" si="689"/>
        <v>2072.5328012094951</v>
      </c>
      <c r="Z936">
        <f t="shared" si="690"/>
        <v>-85.992170808161021</v>
      </c>
    </row>
    <row r="937" spans="1:26" x14ac:dyDescent="0.25">
      <c r="A937" t="s">
        <v>60</v>
      </c>
      <c r="D937">
        <f t="shared" ref="D937:W937" si="707">D189*D223</f>
        <v>132.70309933150233</v>
      </c>
      <c r="E937">
        <f t="shared" si="707"/>
        <v>138.41237424467491</v>
      </c>
      <c r="F937">
        <f t="shared" si="707"/>
        <v>117.89626963846302</v>
      </c>
      <c r="G937">
        <f t="shared" si="707"/>
        <v>116.53027365252579</v>
      </c>
      <c r="H937">
        <f t="shared" si="707"/>
        <v>110.62490722719392</v>
      </c>
      <c r="I937">
        <f t="shared" si="707"/>
        <v>88.649528396369973</v>
      </c>
      <c r="J937">
        <f t="shared" si="707"/>
        <v>90.352386501493427</v>
      </c>
      <c r="K937">
        <f t="shared" si="707"/>
        <v>90.86531190972137</v>
      </c>
      <c r="L937">
        <f t="shared" si="707"/>
        <v>99.54921106067053</v>
      </c>
      <c r="M937">
        <f t="shared" si="707"/>
        <v>76.072704707166906</v>
      </c>
      <c r="N937">
        <f t="shared" si="707"/>
        <v>69.053297195734615</v>
      </c>
      <c r="O937">
        <f t="shared" si="707"/>
        <v>73.539413179307601</v>
      </c>
      <c r="P937">
        <f t="shared" si="707"/>
        <v>93.725737827557836</v>
      </c>
      <c r="Q937">
        <f t="shared" si="707"/>
        <v>99.624099879366483</v>
      </c>
      <c r="R937">
        <f t="shared" si="707"/>
        <v>152.01659060589583</v>
      </c>
      <c r="S937">
        <f t="shared" si="707"/>
        <v>125.93930987567546</v>
      </c>
      <c r="T937">
        <f t="shared" si="707"/>
        <v>90.44795877737856</v>
      </c>
      <c r="U937">
        <f t="shared" si="707"/>
        <v>134.43756988262544</v>
      </c>
      <c r="V937">
        <f t="shared" si="707"/>
        <v>128.15707627829875</v>
      </c>
      <c r="W937">
        <f t="shared" si="707"/>
        <v>136.81054314736775</v>
      </c>
      <c r="Y937" s="8">
        <f t="shared" si="689"/>
        <v>2165.4076633189902</v>
      </c>
      <c r="Z937">
        <f t="shared" si="690"/>
        <v>-51.812620226940204</v>
      </c>
    </row>
    <row r="938" spans="1:26" x14ac:dyDescent="0.25">
      <c r="A938" t="s">
        <v>61</v>
      </c>
      <c r="D938">
        <f t="shared" ref="D938:W938" si="708">D190*D224</f>
        <v>251.38807953207208</v>
      </c>
      <c r="E938">
        <f t="shared" si="708"/>
        <v>233.17063690630224</v>
      </c>
      <c r="F938">
        <f t="shared" si="708"/>
        <v>175.76280281168101</v>
      </c>
      <c r="G938">
        <f t="shared" si="708"/>
        <v>144.57512529355242</v>
      </c>
      <c r="H938">
        <f t="shared" si="708"/>
        <v>89.171872385731646</v>
      </c>
      <c r="I938">
        <f t="shared" si="708"/>
        <v>78.647283831012132</v>
      </c>
      <c r="J938">
        <f t="shared" si="708"/>
        <v>70.554837655815234</v>
      </c>
      <c r="K938">
        <f t="shared" si="708"/>
        <v>80.226377798496955</v>
      </c>
      <c r="L938">
        <f t="shared" si="708"/>
        <v>82.486910286490215</v>
      </c>
      <c r="M938">
        <f t="shared" si="708"/>
        <v>75.371289449252998</v>
      </c>
      <c r="N938">
        <f t="shared" si="708"/>
        <v>60.757575489098272</v>
      </c>
      <c r="O938">
        <f t="shared" si="708"/>
        <v>72.751270585722594</v>
      </c>
      <c r="P938">
        <f t="shared" si="708"/>
        <v>94.225803602963325</v>
      </c>
      <c r="Q938">
        <f t="shared" si="708"/>
        <v>96.929100387254621</v>
      </c>
      <c r="R938">
        <f t="shared" si="708"/>
        <v>121.7264305535731</v>
      </c>
      <c r="S938">
        <f t="shared" si="708"/>
        <v>171.71369320494068</v>
      </c>
      <c r="T938">
        <f t="shared" si="708"/>
        <v>94.317153288423611</v>
      </c>
      <c r="U938">
        <f t="shared" si="708"/>
        <v>79.72655924553041</v>
      </c>
      <c r="V938">
        <f t="shared" si="708"/>
        <v>113.30815505664147</v>
      </c>
      <c r="W938">
        <f t="shared" si="708"/>
        <v>131.34915390354234</v>
      </c>
      <c r="Y938" s="8">
        <f t="shared" si="689"/>
        <v>2318.1601112680978</v>
      </c>
      <c r="Z938">
        <f t="shared" si="690"/>
        <v>-125.44520931994342</v>
      </c>
    </row>
    <row r="939" spans="1:26" x14ac:dyDescent="0.25">
      <c r="A939" t="s">
        <v>62</v>
      </c>
      <c r="D939">
        <f t="shared" ref="D939:W939" si="709">D191*D225</f>
        <v>140.01330108943569</v>
      </c>
      <c r="E939">
        <f t="shared" si="709"/>
        <v>109.89789088770526</v>
      </c>
      <c r="F939">
        <f t="shared" si="709"/>
        <v>100.42544663284681</v>
      </c>
      <c r="G939">
        <f t="shared" si="709"/>
        <v>95.43925281464611</v>
      </c>
      <c r="H939">
        <f t="shared" si="709"/>
        <v>85.956592850450548</v>
      </c>
      <c r="I939">
        <f t="shared" si="709"/>
        <v>61.293510401001939</v>
      </c>
      <c r="J939">
        <f t="shared" si="709"/>
        <v>67.214361084019941</v>
      </c>
      <c r="K939">
        <f t="shared" si="709"/>
        <v>63.723333083968356</v>
      </c>
      <c r="L939">
        <f t="shared" si="709"/>
        <v>74.934807984126351</v>
      </c>
      <c r="M939">
        <f t="shared" si="709"/>
        <v>63.64421805553696</v>
      </c>
      <c r="N939">
        <f t="shared" si="709"/>
        <v>70.665335909763854</v>
      </c>
      <c r="O939">
        <f t="shared" si="709"/>
        <v>68.263645273526322</v>
      </c>
      <c r="P939">
        <f t="shared" si="709"/>
        <v>73.776047829653038</v>
      </c>
      <c r="Q939">
        <f t="shared" si="709"/>
        <v>69.669368914147825</v>
      </c>
      <c r="R939">
        <f t="shared" si="709"/>
        <v>171.19532045188123</v>
      </c>
      <c r="S939">
        <f t="shared" si="709"/>
        <v>175.18509542292938</v>
      </c>
      <c r="T939">
        <f t="shared" si="709"/>
        <v>178.35099107410886</v>
      </c>
      <c r="U939">
        <f t="shared" si="709"/>
        <v>186.43382078479235</v>
      </c>
      <c r="V939">
        <f t="shared" si="709"/>
        <v>174.05593110613353</v>
      </c>
      <c r="W939">
        <f t="shared" si="709"/>
        <v>182.59747747536065</v>
      </c>
      <c r="Y939" s="8">
        <f t="shared" si="689"/>
        <v>2212.735749126035</v>
      </c>
      <c r="Z939">
        <f t="shared" si="690"/>
        <v>26.519498684907482</v>
      </c>
    </row>
    <row r="940" spans="1:26" x14ac:dyDescent="0.25">
      <c r="A940" t="s">
        <v>63</v>
      </c>
      <c r="D940">
        <f t="shared" ref="D940:W940" si="710">D192*D226</f>
        <v>109.51184922050631</v>
      </c>
      <c r="E940">
        <f t="shared" si="710"/>
        <v>100.62705510693796</v>
      </c>
      <c r="F940">
        <f t="shared" si="710"/>
        <v>115.07240739545885</v>
      </c>
      <c r="G940">
        <f t="shared" si="710"/>
        <v>113.46884602593116</v>
      </c>
      <c r="H940">
        <f t="shared" si="710"/>
        <v>114.72711751226907</v>
      </c>
      <c r="I940">
        <f t="shared" si="710"/>
        <v>71.488411214853528</v>
      </c>
      <c r="J940">
        <f t="shared" si="710"/>
        <v>71.822480911107348</v>
      </c>
      <c r="K940">
        <f t="shared" si="710"/>
        <v>71.907806299388824</v>
      </c>
      <c r="L940">
        <f t="shared" si="710"/>
        <v>84.968986189856679</v>
      </c>
      <c r="M940">
        <f t="shared" si="710"/>
        <v>38.654438952962693</v>
      </c>
      <c r="N940">
        <f t="shared" si="710"/>
        <v>52.28451446828263</v>
      </c>
      <c r="O940">
        <f t="shared" si="710"/>
        <v>57.770848607928151</v>
      </c>
      <c r="P940">
        <f t="shared" si="710"/>
        <v>65.22982468762531</v>
      </c>
      <c r="Q940">
        <f t="shared" si="710"/>
        <v>56.136782578131935</v>
      </c>
      <c r="R940">
        <f t="shared" si="710"/>
        <v>55.792390842561389</v>
      </c>
      <c r="S940">
        <f t="shared" si="710"/>
        <v>71.764331377869127</v>
      </c>
      <c r="T940">
        <f t="shared" si="710"/>
        <v>76.372472877672095</v>
      </c>
      <c r="U940">
        <f t="shared" si="710"/>
        <v>70.718624481758326</v>
      </c>
      <c r="V940">
        <f t="shared" si="710"/>
        <v>110.43296683090473</v>
      </c>
      <c r="W940">
        <f t="shared" si="710"/>
        <v>116.69439927113481</v>
      </c>
      <c r="Y940" s="8">
        <f t="shared" si="689"/>
        <v>1625.4465548531412</v>
      </c>
      <c r="Z940">
        <f t="shared" si="690"/>
        <v>-94.192064902280876</v>
      </c>
    </row>
    <row r="941" spans="1:26" x14ac:dyDescent="0.25">
      <c r="A941" t="s">
        <v>64</v>
      </c>
      <c r="D941">
        <f t="shared" ref="D941:W941" si="711">D193*D227</f>
        <v>120.83546080478676</v>
      </c>
      <c r="E941">
        <f t="shared" si="711"/>
        <v>168.22075193134336</v>
      </c>
      <c r="F941">
        <f t="shared" si="711"/>
        <v>102.44357844326562</v>
      </c>
      <c r="G941">
        <f t="shared" si="711"/>
        <v>135.8847408453538</v>
      </c>
      <c r="H941">
        <f t="shared" si="711"/>
        <v>112.80698984542916</v>
      </c>
      <c r="I941">
        <f t="shared" si="711"/>
        <v>71.078349299620115</v>
      </c>
      <c r="J941">
        <f t="shared" si="711"/>
        <v>67.35835727030711</v>
      </c>
      <c r="K941">
        <f t="shared" si="711"/>
        <v>68.960674454258069</v>
      </c>
      <c r="L941">
        <f t="shared" si="711"/>
        <v>71.518192912980098</v>
      </c>
      <c r="M941">
        <f t="shared" si="711"/>
        <v>69.751281021350295</v>
      </c>
      <c r="N941">
        <f t="shared" si="711"/>
        <v>73.065964850883105</v>
      </c>
      <c r="O941">
        <f t="shared" si="711"/>
        <v>74.421773462719273</v>
      </c>
      <c r="P941">
        <f t="shared" si="711"/>
        <v>63.51708925157066</v>
      </c>
      <c r="Q941">
        <f t="shared" si="711"/>
        <v>61.645202770117031</v>
      </c>
      <c r="R941">
        <f t="shared" si="711"/>
        <v>75.433190004716195</v>
      </c>
      <c r="S941">
        <f t="shared" si="711"/>
        <v>75.773816444699207</v>
      </c>
      <c r="T941">
        <f t="shared" si="711"/>
        <v>80.772315317760132</v>
      </c>
      <c r="U941">
        <f t="shared" si="711"/>
        <v>75.732301328678574</v>
      </c>
      <c r="V941">
        <f t="shared" si="711"/>
        <v>126.75378163264924</v>
      </c>
      <c r="W941">
        <f t="shared" si="711"/>
        <v>135.53608590230212</v>
      </c>
      <c r="Y941" s="8">
        <f t="shared" si="689"/>
        <v>1831.50989779479</v>
      </c>
      <c r="Z941">
        <f t="shared" si="690"/>
        <v>-113.67320688755538</v>
      </c>
    </row>
    <row r="942" spans="1:26" x14ac:dyDescent="0.25">
      <c r="A942" t="s">
        <v>65</v>
      </c>
      <c r="D942">
        <f t="shared" ref="D942:W942" si="712">D194*D228</f>
        <v>240.4345015309259</v>
      </c>
      <c r="E942">
        <f t="shared" si="712"/>
        <v>255.10861179268636</v>
      </c>
      <c r="F942">
        <f t="shared" si="712"/>
        <v>190.0690855773708</v>
      </c>
      <c r="G942">
        <f t="shared" si="712"/>
        <v>167.3358025759789</v>
      </c>
      <c r="H942">
        <f t="shared" si="712"/>
        <v>174.44617321834872</v>
      </c>
      <c r="I942">
        <f t="shared" si="712"/>
        <v>182.64423089482131</v>
      </c>
      <c r="J942">
        <f t="shared" si="712"/>
        <v>184.57452760507863</v>
      </c>
      <c r="K942">
        <f t="shared" si="712"/>
        <v>188.64008864722499</v>
      </c>
      <c r="L942">
        <f t="shared" si="712"/>
        <v>209.71326710026779</v>
      </c>
      <c r="M942">
        <f t="shared" si="712"/>
        <v>95.255655847346503</v>
      </c>
      <c r="N942">
        <f t="shared" si="712"/>
        <v>124.7875812309984</v>
      </c>
      <c r="O942">
        <f t="shared" si="712"/>
        <v>127.24395310430596</v>
      </c>
      <c r="P942">
        <f t="shared" si="712"/>
        <v>126.77467881935507</v>
      </c>
      <c r="Q942">
        <f t="shared" si="712"/>
        <v>111.00500370582918</v>
      </c>
      <c r="R942">
        <f t="shared" si="712"/>
        <v>116.94118680469552</v>
      </c>
      <c r="S942">
        <f t="shared" si="712"/>
        <v>94.601126966737567</v>
      </c>
      <c r="T942">
        <f t="shared" si="712"/>
        <v>103.58071527948628</v>
      </c>
      <c r="U942">
        <f t="shared" si="712"/>
        <v>126.46487674077676</v>
      </c>
      <c r="V942">
        <f t="shared" si="712"/>
        <v>131.78873218908794</v>
      </c>
      <c r="W942">
        <f t="shared" si="712"/>
        <v>130.53422578563561</v>
      </c>
      <c r="Y942" s="8">
        <f t="shared" si="689"/>
        <v>3081.9440254169576</v>
      </c>
      <c r="Z942">
        <f t="shared" si="690"/>
        <v>-229.56867399837057</v>
      </c>
    </row>
    <row r="943" spans="1:26" x14ac:dyDescent="0.25">
      <c r="A943" t="s">
        <v>66</v>
      </c>
      <c r="D943">
        <f t="shared" ref="D943:W943" si="713">D195*D229</f>
        <v>77.05894343989246</v>
      </c>
      <c r="E943">
        <f t="shared" si="713"/>
        <v>82.963075507653329</v>
      </c>
      <c r="F943">
        <f t="shared" si="713"/>
        <v>90.472454511474766</v>
      </c>
      <c r="G943">
        <f t="shared" si="713"/>
        <v>79.036104522895286</v>
      </c>
      <c r="H943">
        <f t="shared" si="713"/>
        <v>76.368200387324663</v>
      </c>
      <c r="I943">
        <f t="shared" si="713"/>
        <v>78.195181821456373</v>
      </c>
      <c r="J943">
        <f t="shared" si="713"/>
        <v>81.429421371550248</v>
      </c>
      <c r="K943">
        <f t="shared" si="713"/>
        <v>82.396933117834948</v>
      </c>
      <c r="L943">
        <f t="shared" si="713"/>
        <v>80.845609743531455</v>
      </c>
      <c r="M943">
        <f t="shared" si="713"/>
        <v>82.761297581906831</v>
      </c>
      <c r="N943">
        <f t="shared" si="713"/>
        <v>63.154520838396841</v>
      </c>
      <c r="O943">
        <f t="shared" si="713"/>
        <v>88.35950792802582</v>
      </c>
      <c r="P943">
        <f t="shared" si="713"/>
        <v>85.356290118163543</v>
      </c>
      <c r="Q943">
        <f t="shared" si="713"/>
        <v>80.709072292283437</v>
      </c>
      <c r="R943">
        <f t="shared" si="713"/>
        <v>119.12637351802043</v>
      </c>
      <c r="S943">
        <f t="shared" si="713"/>
        <v>132.73371731064302</v>
      </c>
      <c r="T943">
        <f t="shared" si="713"/>
        <v>150.53025664867272</v>
      </c>
      <c r="U943">
        <f t="shared" si="713"/>
        <v>128.52704308752982</v>
      </c>
      <c r="V943">
        <f t="shared" si="713"/>
        <v>88.913687273166218</v>
      </c>
      <c r="W943">
        <f t="shared" si="713"/>
        <v>83.270892703970944</v>
      </c>
      <c r="Y943" s="8">
        <f t="shared" si="689"/>
        <v>1832.2085837243933</v>
      </c>
      <c r="Z943">
        <f t="shared" si="690"/>
        <v>0.55879948769259347</v>
      </c>
    </row>
    <row r="944" spans="1:26" x14ac:dyDescent="0.25">
      <c r="A944" t="s">
        <v>67</v>
      </c>
      <c r="D944">
        <f t="shared" ref="D944:W944" si="714">D196*D230</f>
        <v>72.691818840941366</v>
      </c>
      <c r="E944">
        <f t="shared" si="714"/>
        <v>82.602398376988504</v>
      </c>
      <c r="F944">
        <f t="shared" si="714"/>
        <v>76.207545637149451</v>
      </c>
      <c r="G944">
        <f t="shared" si="714"/>
        <v>82.081472686836094</v>
      </c>
      <c r="H944">
        <f t="shared" si="714"/>
        <v>83.076553851847507</v>
      </c>
      <c r="I944">
        <f t="shared" si="714"/>
        <v>84.710934122919554</v>
      </c>
      <c r="J944">
        <f t="shared" si="714"/>
        <v>81.267344798851141</v>
      </c>
      <c r="K944">
        <f t="shared" si="714"/>
        <v>88.56675706335605</v>
      </c>
      <c r="L944">
        <f t="shared" si="714"/>
        <v>83.284223664327939</v>
      </c>
      <c r="M944">
        <f t="shared" si="714"/>
        <v>91.14802826590244</v>
      </c>
      <c r="N944">
        <f t="shared" si="714"/>
        <v>83.838952668395294</v>
      </c>
      <c r="O944">
        <f t="shared" si="714"/>
        <v>86.213381559938213</v>
      </c>
      <c r="P944">
        <f t="shared" si="714"/>
        <v>94.864499482372267</v>
      </c>
      <c r="Q944">
        <f t="shared" si="714"/>
        <v>81.222701404240397</v>
      </c>
      <c r="R944">
        <f t="shared" si="714"/>
        <v>35.25908296047443</v>
      </c>
      <c r="S944">
        <f t="shared" si="714"/>
        <v>34.069295143803267</v>
      </c>
      <c r="T944">
        <f t="shared" si="714"/>
        <v>33.866324624302599</v>
      </c>
      <c r="U944">
        <f t="shared" si="714"/>
        <v>35.347474389595341</v>
      </c>
      <c r="V944">
        <f t="shared" si="714"/>
        <v>127.53784020448809</v>
      </c>
      <c r="W944">
        <f t="shared" si="714"/>
        <v>133.05392980595715</v>
      </c>
      <c r="Y944" s="8">
        <f t="shared" si="689"/>
        <v>1570.9105595526869</v>
      </c>
      <c r="Z944">
        <f t="shared" si="690"/>
        <v>-116.77626682075054</v>
      </c>
    </row>
    <row r="945" spans="1:26" x14ac:dyDescent="0.25">
      <c r="Y945" s="8"/>
    </row>
    <row r="946" spans="1:26" x14ac:dyDescent="0.25">
      <c r="A946" t="s">
        <v>68</v>
      </c>
      <c r="D946">
        <f t="shared" ref="D946:W946" si="715">D198*D232</f>
        <v>133.00598826770576</v>
      </c>
      <c r="E946">
        <f t="shared" si="715"/>
        <v>116.41072210274051</v>
      </c>
      <c r="F946">
        <f t="shared" si="715"/>
        <v>119.05886252766216</v>
      </c>
      <c r="G946">
        <f t="shared" si="715"/>
        <v>120.45925827222547</v>
      </c>
      <c r="H946">
        <f t="shared" si="715"/>
        <v>118.56571196548278</v>
      </c>
      <c r="I946">
        <f t="shared" si="715"/>
        <v>87.78939088503131</v>
      </c>
      <c r="J946">
        <f t="shared" si="715"/>
        <v>70.141237043489198</v>
      </c>
      <c r="K946">
        <f t="shared" si="715"/>
        <v>81.676654433668091</v>
      </c>
      <c r="L946">
        <f t="shared" si="715"/>
        <v>68.780455072305116</v>
      </c>
      <c r="M946">
        <f t="shared" si="715"/>
        <v>74.546500612875434</v>
      </c>
      <c r="N946">
        <f t="shared" si="715"/>
        <v>78.573877013209255</v>
      </c>
      <c r="O946">
        <f t="shared" si="715"/>
        <v>78.437615222332127</v>
      </c>
      <c r="P946">
        <f t="shared" si="715"/>
        <v>83.806108969523819</v>
      </c>
      <c r="Q946">
        <f t="shared" si="715"/>
        <v>80.746985039342263</v>
      </c>
      <c r="R946">
        <f t="shared" si="715"/>
        <v>82.778143773759851</v>
      </c>
      <c r="S946">
        <f t="shared" si="715"/>
        <v>93.991571261654641</v>
      </c>
      <c r="T946">
        <f t="shared" si="715"/>
        <v>111.1566021166052</v>
      </c>
      <c r="U946">
        <f t="shared" si="715"/>
        <v>106.51545051078647</v>
      </c>
      <c r="V946">
        <f t="shared" si="715"/>
        <v>118.82501423947116</v>
      </c>
      <c r="W946">
        <f t="shared" si="715"/>
        <v>136.71602941626665</v>
      </c>
      <c r="Y946" s="8">
        <f t="shared" si="689"/>
        <v>1961.9821787461372</v>
      </c>
      <c r="Z946">
        <f>SUMPRODUCT($D$950:$W$950,D946:W946)</f>
        <v>-88.611065294178459</v>
      </c>
    </row>
    <row r="947" spans="1:26" x14ac:dyDescent="0.25">
      <c r="A947" t="s">
        <v>312</v>
      </c>
      <c r="D947">
        <f t="shared" ref="D947:W947" si="716">D199*D233</f>
        <v>166.34932505561741</v>
      </c>
      <c r="E947">
        <f t="shared" si="716"/>
        <v>159.84457751731506</v>
      </c>
      <c r="F947">
        <f t="shared" si="716"/>
        <v>95.217448456311857</v>
      </c>
      <c r="G947">
        <f t="shared" si="716"/>
        <v>105.32802880063754</v>
      </c>
      <c r="H947">
        <f t="shared" si="716"/>
        <v>128.68804120239429</v>
      </c>
      <c r="I947">
        <f t="shared" si="716"/>
        <v>102.54095033531452</v>
      </c>
      <c r="J947">
        <f t="shared" si="716"/>
        <v>87.938279662764302</v>
      </c>
      <c r="K947">
        <f t="shared" si="716"/>
        <v>49.562369719031928</v>
      </c>
      <c r="L947">
        <f t="shared" si="716"/>
        <v>60.345930341928849</v>
      </c>
      <c r="M947">
        <f t="shared" si="716"/>
        <v>63.335817214582782</v>
      </c>
      <c r="N947">
        <f t="shared" si="716"/>
        <v>42.109890132328545</v>
      </c>
      <c r="O947">
        <f t="shared" si="716"/>
        <v>69.258270131493447</v>
      </c>
      <c r="P947">
        <f t="shared" si="716"/>
        <v>119.18999999999998</v>
      </c>
      <c r="Q947">
        <f t="shared" si="716"/>
        <v>154.69999999999999</v>
      </c>
      <c r="R947">
        <f t="shared" si="716"/>
        <v>139.32000000000002</v>
      </c>
      <c r="S947">
        <f t="shared" si="716"/>
        <v>41.61</v>
      </c>
      <c r="T947">
        <f t="shared" si="716"/>
        <v>105.6</v>
      </c>
      <c r="U947">
        <f t="shared" si="716"/>
        <v>100.188</v>
      </c>
      <c r="V947">
        <f t="shared" si="716"/>
        <v>99.96</v>
      </c>
      <c r="W947">
        <f t="shared" si="716"/>
        <v>129.60000000000002</v>
      </c>
      <c r="Y947" s="8">
        <f>SUM(D947:W947)</f>
        <v>2020.6869285697203</v>
      </c>
      <c r="Z947">
        <f>SUMPRODUCT($D$950:$W$950,D947:W947)</f>
        <v>-75.504021263654181</v>
      </c>
    </row>
    <row r="948" spans="1:26" x14ac:dyDescent="0.25">
      <c r="A948" t="s">
        <v>313</v>
      </c>
      <c r="D948">
        <f t="shared" ref="D948:W948" si="717">D200*D234</f>
        <v>142.31</v>
      </c>
      <c r="E948">
        <f t="shared" si="717"/>
        <v>154.98000000000002</v>
      </c>
      <c r="F948">
        <f t="shared" si="717"/>
        <v>832.24</v>
      </c>
      <c r="G948">
        <f t="shared" si="717"/>
        <v>108.11999999999999</v>
      </c>
      <c r="H948">
        <f t="shared" si="717"/>
        <v>137.86000000000001</v>
      </c>
      <c r="I948">
        <f t="shared" si="717"/>
        <v>101.85</v>
      </c>
      <c r="J948">
        <f t="shared" si="717"/>
        <v>81.840000000000018</v>
      </c>
      <c r="K948">
        <f t="shared" si="717"/>
        <v>74.160000000000011</v>
      </c>
      <c r="L948">
        <f t="shared" si="717"/>
        <v>67.89</v>
      </c>
      <c r="M948">
        <f t="shared" si="717"/>
        <v>67.680000000000007</v>
      </c>
      <c r="N948">
        <f t="shared" si="717"/>
        <v>53.55</v>
      </c>
      <c r="O948">
        <f t="shared" si="717"/>
        <v>73.040000000000006</v>
      </c>
      <c r="P948">
        <f t="shared" si="717"/>
        <v>80.044437620128619</v>
      </c>
      <c r="Q948">
        <f t="shared" si="717"/>
        <v>81.067148928043551</v>
      </c>
      <c r="R948">
        <f t="shared" si="717"/>
        <v>97.970103619908244</v>
      </c>
      <c r="S948">
        <f t="shared" si="717"/>
        <v>110.132048540151</v>
      </c>
      <c r="T948">
        <f t="shared" si="717"/>
        <v>118.10775409575848</v>
      </c>
      <c r="U948">
        <f t="shared" si="717"/>
        <v>106.30849687519775</v>
      </c>
      <c r="V948">
        <f t="shared" si="717"/>
        <v>130.87962001906419</v>
      </c>
      <c r="W948">
        <f t="shared" si="717"/>
        <v>132.05992421639661</v>
      </c>
      <c r="Y948" s="8">
        <f>SUM(D948:W948)</f>
        <v>2752.0895339146482</v>
      </c>
      <c r="Z948">
        <f>SUMPRODUCT($D$950:$W$950,D948:W948)</f>
        <v>-218.7808601261182</v>
      </c>
    </row>
    <row r="949" spans="1:26" x14ac:dyDescent="0.25">
      <c r="A949" t="s">
        <v>676</v>
      </c>
      <c r="D949">
        <f t="shared" ref="D949:W949" si="718">D201*D235</f>
        <v>136.07956651398391</v>
      </c>
      <c r="E949">
        <f t="shared" si="718"/>
        <v>122.44977362804993</v>
      </c>
      <c r="F949">
        <f t="shared" si="718"/>
        <v>115.50296340360319</v>
      </c>
      <c r="G949">
        <f t="shared" si="718"/>
        <v>119.44321129872041</v>
      </c>
      <c r="H949">
        <f t="shared" si="718"/>
        <v>118.84453726786499</v>
      </c>
      <c r="I949">
        <f t="shared" si="718"/>
        <v>86.214426561722021</v>
      </c>
      <c r="J949">
        <f t="shared" si="718"/>
        <v>85.25212507780374</v>
      </c>
      <c r="K949">
        <f t="shared" si="718"/>
        <v>88.574542642449643</v>
      </c>
      <c r="L949">
        <f t="shared" si="718"/>
        <v>96.490737813613109</v>
      </c>
      <c r="M949">
        <f t="shared" si="718"/>
        <v>70.115799865553711</v>
      </c>
      <c r="N949">
        <f t="shared" si="718"/>
        <v>70.808346207930668</v>
      </c>
      <c r="O949">
        <f t="shared" si="718"/>
        <v>77.144758137885887</v>
      </c>
      <c r="P949">
        <f t="shared" si="718"/>
        <v>71.247666591769175</v>
      </c>
      <c r="Q949">
        <f t="shared" si="718"/>
        <v>80.543133696355639</v>
      </c>
      <c r="R949">
        <f t="shared" si="718"/>
        <v>99.516378207674691</v>
      </c>
      <c r="S949">
        <f t="shared" si="718"/>
        <v>110.00176833627187</v>
      </c>
      <c r="T949">
        <f t="shared" si="718"/>
        <v>109.55186109899347</v>
      </c>
      <c r="U949">
        <f t="shared" si="718"/>
        <v>113.09418509336589</v>
      </c>
      <c r="V949">
        <f t="shared" si="718"/>
        <v>121.24178554590088</v>
      </c>
      <c r="W949">
        <f t="shared" si="718"/>
        <v>140.86235587008821</v>
      </c>
      <c r="Y949" s="8">
        <f>SUM(D949:W949)</f>
        <v>2032.9799228596012</v>
      </c>
      <c r="Z949">
        <f>SUMPRODUCT($D$950:$W$950,D949:W949)</f>
        <v>-79.753471471798804</v>
      </c>
    </row>
    <row r="950" spans="1:26" x14ac:dyDescent="0.25">
      <c r="A950" s="2" t="s">
        <v>69</v>
      </c>
      <c r="D950" s="3">
        <f>CORREL($B$2:$B$26,D920:D944)</f>
        <v>-0.26675960590196912</v>
      </c>
      <c r="E950" s="3">
        <f t="shared" ref="E950:W950" si="719">CORREL($B$2:$B$26,E920:E944)</f>
        <v>-0.24369450803333662</v>
      </c>
      <c r="F950" s="3">
        <f t="shared" si="719"/>
        <v>-0.19741608020618934</v>
      </c>
      <c r="G950" s="3">
        <f t="shared" si="719"/>
        <v>-0.25363261142850779</v>
      </c>
      <c r="H950" s="3">
        <f t="shared" si="719"/>
        <v>-0.10394608418645297</v>
      </c>
      <c r="I950" s="3">
        <f t="shared" si="719"/>
        <v>-9.9256631633361223E-2</v>
      </c>
      <c r="J950" s="3">
        <f t="shared" si="719"/>
        <v>-0.1792214548193356</v>
      </c>
      <c r="K950" s="3">
        <f t="shared" si="719"/>
        <v>-0.11486384179207533</v>
      </c>
      <c r="L950" s="3">
        <f t="shared" si="719"/>
        <v>-7.2558617413322063E-2</v>
      </c>
      <c r="M950" s="3">
        <f t="shared" si="719"/>
        <v>-0.12770209934994206</v>
      </c>
      <c r="N950" s="3">
        <f t="shared" si="719"/>
        <v>-0.36860053235600804</v>
      </c>
      <c r="O950" s="3">
        <f t="shared" si="719"/>
        <v>4.4694710817490609E-2</v>
      </c>
      <c r="P950" s="3">
        <f t="shared" si="719"/>
        <v>6.5310831480392129E-2</v>
      </c>
      <c r="Q950" s="3">
        <f t="shared" si="719"/>
        <v>2.7046313285161625E-3</v>
      </c>
      <c r="R950" s="3">
        <f t="shared" si="719"/>
        <v>0.46454031731200385</v>
      </c>
      <c r="S950" s="3">
        <f t="shared" si="719"/>
        <v>0.27466387645243023</v>
      </c>
      <c r="T950" s="3">
        <f t="shared" si="719"/>
        <v>0.20441285504785858</v>
      </c>
      <c r="U950" s="3">
        <f t="shared" si="719"/>
        <v>0.20522004736694677</v>
      </c>
      <c r="V950" s="3">
        <f t="shared" si="719"/>
        <v>8.5914697922643654E-2</v>
      </c>
      <c r="W950" s="3">
        <f t="shared" si="719"/>
        <v>-9.1423899377189283E-2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J27" sqref="J27"/>
    </sheetView>
  </sheetViews>
  <sheetFormatPr defaultRowHeight="15" x14ac:dyDescent="0.25"/>
  <sheetData>
    <row r="1" spans="1:12" x14ac:dyDescent="0.25">
      <c r="A1" t="s">
        <v>451</v>
      </c>
      <c r="B1" t="s">
        <v>308</v>
      </c>
      <c r="C1" t="s">
        <v>32</v>
      </c>
      <c r="D1" t="s">
        <v>310</v>
      </c>
      <c r="E1" t="s">
        <v>309</v>
      </c>
    </row>
    <row r="2" spans="1:12" x14ac:dyDescent="0.25">
      <c r="A2" t="s">
        <v>43</v>
      </c>
      <c r="B2" s="1">
        <v>1533</v>
      </c>
      <c r="C2" s="6">
        <v>1</v>
      </c>
      <c r="D2" s="7">
        <f>$H$19+($H$20*C2)</f>
        <v>1874.4661509335424</v>
      </c>
      <c r="E2" s="19">
        <f t="shared" ref="E2:E26" si="0">B2-D2</f>
        <v>-341.46615093354239</v>
      </c>
      <c r="F2" s="7"/>
      <c r="G2" s="7"/>
    </row>
    <row r="3" spans="1:12" x14ac:dyDescent="0.25">
      <c r="A3" t="s">
        <v>44</v>
      </c>
      <c r="B3" s="1">
        <v>2426</v>
      </c>
      <c r="C3" s="6">
        <v>2</v>
      </c>
      <c r="D3" s="7">
        <f t="shared" ref="D3:D26" si="1">$H$19+($H$20*C3)</f>
        <v>1912.1115015015016</v>
      </c>
      <c r="E3" s="19">
        <f t="shared" si="0"/>
        <v>513.88849849849839</v>
      </c>
      <c r="F3" s="7"/>
      <c r="G3" t="s">
        <v>427</v>
      </c>
    </row>
    <row r="4" spans="1:12" ht="15.75" thickBot="1" x14ac:dyDescent="0.3">
      <c r="A4" t="s">
        <v>45</v>
      </c>
      <c r="B4" s="1">
        <v>1979</v>
      </c>
      <c r="C4" s="6">
        <v>3</v>
      </c>
      <c r="D4" s="7">
        <f t="shared" si="1"/>
        <v>1949.756852069461</v>
      </c>
      <c r="E4" s="19">
        <f t="shared" si="0"/>
        <v>29.243147930538953</v>
      </c>
      <c r="F4" s="7"/>
    </row>
    <row r="5" spans="1:12" x14ac:dyDescent="0.25">
      <c r="A5" t="s">
        <v>46</v>
      </c>
      <c r="B5" s="1">
        <v>1961</v>
      </c>
      <c r="C5" s="6">
        <v>4</v>
      </c>
      <c r="D5" s="7">
        <f t="shared" si="1"/>
        <v>1987.4022026374203</v>
      </c>
      <c r="E5" s="19">
        <f t="shared" si="0"/>
        <v>-26.40220263742026</v>
      </c>
      <c r="F5" s="7"/>
      <c r="G5" s="13" t="s">
        <v>428</v>
      </c>
      <c r="H5" s="13"/>
    </row>
    <row r="6" spans="1:12" x14ac:dyDescent="0.25">
      <c r="A6" t="s">
        <v>47</v>
      </c>
      <c r="B6" s="1">
        <v>2330</v>
      </c>
      <c r="C6" s="6">
        <v>5</v>
      </c>
      <c r="D6" s="7">
        <f t="shared" si="1"/>
        <v>2025.0475532053795</v>
      </c>
      <c r="E6" s="19">
        <f t="shared" si="0"/>
        <v>304.95244679462053</v>
      </c>
      <c r="F6" s="7"/>
      <c r="G6" s="4" t="s">
        <v>429</v>
      </c>
      <c r="H6" s="4">
        <v>0.64207846633648846</v>
      </c>
    </row>
    <row r="7" spans="1:12" x14ac:dyDescent="0.25">
      <c r="A7" t="s">
        <v>48</v>
      </c>
      <c r="B7" s="1">
        <v>1867</v>
      </c>
      <c r="C7" s="6">
        <v>6</v>
      </c>
      <c r="D7" s="7">
        <f t="shared" si="1"/>
        <v>2062.6929037733389</v>
      </c>
      <c r="E7" s="19">
        <f t="shared" si="0"/>
        <v>-195.69290377333891</v>
      </c>
      <c r="F7" s="7"/>
      <c r="G7" s="4" t="s">
        <v>430</v>
      </c>
      <c r="H7" s="4">
        <v>0.41226475693301712</v>
      </c>
    </row>
    <row r="8" spans="1:12" x14ac:dyDescent="0.25">
      <c r="A8" t="s">
        <v>49</v>
      </c>
      <c r="B8" s="1">
        <v>2073</v>
      </c>
      <c r="C8" s="6">
        <v>7</v>
      </c>
      <c r="D8" s="7">
        <f t="shared" si="1"/>
        <v>2100.3382543412981</v>
      </c>
      <c r="E8" s="19">
        <f t="shared" si="0"/>
        <v>-27.338254341298125</v>
      </c>
      <c r="F8" s="7"/>
      <c r="G8" s="4" t="s">
        <v>431</v>
      </c>
      <c r="H8" s="4">
        <v>0.38554951861179065</v>
      </c>
    </row>
    <row r="9" spans="1:12" x14ac:dyDescent="0.25">
      <c r="A9" t="s">
        <v>50</v>
      </c>
      <c r="B9" s="1">
        <v>2413</v>
      </c>
      <c r="C9" s="6">
        <v>8</v>
      </c>
      <c r="D9" s="7">
        <f t="shared" si="1"/>
        <v>2137.9836049092573</v>
      </c>
      <c r="E9" s="19">
        <f t="shared" si="0"/>
        <v>275.01639509074266</v>
      </c>
      <c r="F9" s="7"/>
      <c r="G9" s="4" t="s">
        <v>432</v>
      </c>
      <c r="H9" s="4">
        <v>324.97629821241543</v>
      </c>
    </row>
    <row r="10" spans="1:12" ht="15.75" thickBot="1" x14ac:dyDescent="0.3">
      <c r="A10" t="s">
        <v>51</v>
      </c>
      <c r="B10" s="1">
        <v>2099</v>
      </c>
      <c r="C10" s="6">
        <v>9</v>
      </c>
      <c r="D10" s="7">
        <f t="shared" si="1"/>
        <v>2175.6289554772166</v>
      </c>
      <c r="E10" s="19">
        <f t="shared" si="0"/>
        <v>-76.62895547721655</v>
      </c>
      <c r="F10" s="7"/>
      <c r="G10" s="11" t="s">
        <v>433</v>
      </c>
      <c r="H10" s="11">
        <v>24</v>
      </c>
    </row>
    <row r="11" spans="1:12" x14ac:dyDescent="0.25">
      <c r="A11" t="s">
        <v>52</v>
      </c>
      <c r="B11" s="1">
        <v>1615</v>
      </c>
      <c r="C11" s="6">
        <v>10</v>
      </c>
      <c r="D11" s="7">
        <f t="shared" si="1"/>
        <v>2213.2743060451758</v>
      </c>
      <c r="E11" s="19">
        <f t="shared" si="0"/>
        <v>-598.27430604517576</v>
      </c>
      <c r="F11" s="7"/>
    </row>
    <row r="12" spans="1:12" ht="15.75" thickBot="1" x14ac:dyDescent="0.3">
      <c r="A12" t="s">
        <v>53</v>
      </c>
      <c r="B12" s="1">
        <v>2267</v>
      </c>
      <c r="C12" s="6">
        <v>11</v>
      </c>
      <c r="D12" s="7">
        <f t="shared" si="1"/>
        <v>2250.919656613135</v>
      </c>
      <c r="E12" s="19">
        <f t="shared" si="0"/>
        <v>16.080343386865025</v>
      </c>
      <c r="F12" s="7"/>
      <c r="G12" t="s">
        <v>434</v>
      </c>
    </row>
    <row r="13" spans="1:12" x14ac:dyDescent="0.25">
      <c r="A13" t="s">
        <v>54</v>
      </c>
      <c r="B13" s="1">
        <v>2236</v>
      </c>
      <c r="C13" s="6">
        <v>12</v>
      </c>
      <c r="D13" s="7">
        <f t="shared" si="1"/>
        <v>2288.5650071810942</v>
      </c>
      <c r="E13" s="19">
        <f t="shared" si="0"/>
        <v>-52.565007181094188</v>
      </c>
      <c r="F13" s="7"/>
      <c r="G13" s="12"/>
      <c r="H13" s="12" t="s">
        <v>435</v>
      </c>
      <c r="I13" s="12" t="s">
        <v>436</v>
      </c>
      <c r="J13" s="12" t="s">
        <v>437</v>
      </c>
      <c r="K13" s="12" t="s">
        <v>438</v>
      </c>
      <c r="L13" s="12" t="s">
        <v>439</v>
      </c>
    </row>
    <row r="14" spans="1:12" x14ac:dyDescent="0.25">
      <c r="A14" t="s">
        <v>314</v>
      </c>
      <c r="B14" s="1">
        <v>1588</v>
      </c>
      <c r="C14" s="6">
        <v>13</v>
      </c>
      <c r="D14" s="7">
        <f t="shared" si="1"/>
        <v>2326.2103577490534</v>
      </c>
      <c r="E14" s="19">
        <f t="shared" si="0"/>
        <v>-738.2103577490534</v>
      </c>
      <c r="F14" s="7"/>
      <c r="G14" s="4" t="s">
        <v>440</v>
      </c>
      <c r="H14" s="4">
        <v>1</v>
      </c>
      <c r="I14" s="4">
        <v>1629748.2822922333</v>
      </c>
      <c r="J14" s="4">
        <v>1629748.2822922333</v>
      </c>
      <c r="K14" s="4">
        <v>15.43182029581423</v>
      </c>
      <c r="L14" s="4">
        <v>7.1818210548541775E-4</v>
      </c>
    </row>
    <row r="15" spans="1:12" x14ac:dyDescent="0.25">
      <c r="A15" t="s">
        <v>56</v>
      </c>
      <c r="B15" s="1">
        <v>2273</v>
      </c>
      <c r="C15" s="6">
        <v>14</v>
      </c>
      <c r="D15" s="7">
        <f t="shared" si="1"/>
        <v>2363.8557083170126</v>
      </c>
      <c r="E15" s="19">
        <f t="shared" si="0"/>
        <v>-90.855708317012613</v>
      </c>
      <c r="F15" s="7"/>
      <c r="G15" s="4" t="s">
        <v>441</v>
      </c>
      <c r="H15" s="4">
        <v>22</v>
      </c>
      <c r="I15" s="4">
        <v>2323411.0767965848</v>
      </c>
      <c r="J15" s="4">
        <v>105609.59439984476</v>
      </c>
      <c r="K15" s="4"/>
      <c r="L15" s="4"/>
    </row>
    <row r="16" spans="1:12" ht="15.75" thickBot="1" x14ac:dyDescent="0.3">
      <c r="A16" t="s">
        <v>57</v>
      </c>
      <c r="B16" s="1">
        <v>1984</v>
      </c>
      <c r="C16" s="6">
        <v>15</v>
      </c>
      <c r="D16" s="7">
        <f t="shared" si="1"/>
        <v>2401.5010588849718</v>
      </c>
      <c r="E16" s="19">
        <f t="shared" si="0"/>
        <v>-417.50105888497183</v>
      </c>
      <c r="F16" s="7"/>
      <c r="G16" s="11" t="s">
        <v>442</v>
      </c>
      <c r="H16" s="11">
        <v>23</v>
      </c>
      <c r="I16" s="11">
        <v>3953159.3590888181</v>
      </c>
      <c r="J16" s="11"/>
      <c r="K16" s="11"/>
      <c r="L16" s="11"/>
    </row>
    <row r="17" spans="1:15" ht="15.75" thickBot="1" x14ac:dyDescent="0.3">
      <c r="A17" t="s">
        <v>58</v>
      </c>
      <c r="B17" s="1">
        <v>2278</v>
      </c>
      <c r="C17" s="6">
        <v>16</v>
      </c>
      <c r="D17" s="7">
        <f t="shared" si="1"/>
        <v>2439.146409452931</v>
      </c>
      <c r="E17" s="19">
        <f t="shared" si="0"/>
        <v>-161.14640945293104</v>
      </c>
      <c r="F17" s="7"/>
    </row>
    <row r="18" spans="1:15" x14ac:dyDescent="0.25">
      <c r="A18" t="s">
        <v>59</v>
      </c>
      <c r="B18" s="1">
        <v>2541</v>
      </c>
      <c r="C18" s="6">
        <v>17</v>
      </c>
      <c r="D18" s="7">
        <f t="shared" si="1"/>
        <v>2476.7917600208903</v>
      </c>
      <c r="E18" s="19">
        <f t="shared" si="0"/>
        <v>64.208239979109749</v>
      </c>
      <c r="F18" s="7"/>
      <c r="G18" s="12"/>
      <c r="H18" s="12" t="s">
        <v>443</v>
      </c>
      <c r="I18" s="12" t="s">
        <v>432</v>
      </c>
      <c r="J18" s="12" t="s">
        <v>444</v>
      </c>
      <c r="K18" s="12" t="s">
        <v>445</v>
      </c>
      <c r="L18" s="12" t="s">
        <v>446</v>
      </c>
      <c r="M18" s="12" t="s">
        <v>447</v>
      </c>
      <c r="N18" s="12" t="s">
        <v>448</v>
      </c>
      <c r="O18" s="12" t="s">
        <v>449</v>
      </c>
    </row>
    <row r="19" spans="1:15" x14ac:dyDescent="0.25">
      <c r="A19" t="s">
        <v>60</v>
      </c>
      <c r="B19" s="24">
        <v>2833</v>
      </c>
      <c r="C19" s="6">
        <v>18</v>
      </c>
      <c r="D19" s="7">
        <f t="shared" si="1"/>
        <v>2514.4371105888499</v>
      </c>
      <c r="E19" s="19">
        <f t="shared" si="0"/>
        <v>318.56288941115008</v>
      </c>
      <c r="F19" s="7"/>
      <c r="G19" s="4" t="s">
        <v>450</v>
      </c>
      <c r="H19" s="4">
        <v>1836.8208003655832</v>
      </c>
      <c r="I19" s="4">
        <v>145.38646642066712</v>
      </c>
      <c r="J19" s="4">
        <v>12.634056288642789</v>
      </c>
      <c r="K19" s="4">
        <v>1.4697269772210715E-11</v>
      </c>
      <c r="L19" s="4">
        <v>1535.3077232180285</v>
      </c>
      <c r="M19" s="4">
        <v>2138.3338775131378</v>
      </c>
      <c r="N19" s="4">
        <v>1535.3077232180285</v>
      </c>
      <c r="O19" s="4">
        <v>2138.3338775131378</v>
      </c>
    </row>
    <row r="20" spans="1:15" ht="15.75" thickBot="1" x14ac:dyDescent="0.3">
      <c r="A20" t="s">
        <v>61</v>
      </c>
      <c r="B20" s="1">
        <v>2871</v>
      </c>
      <c r="C20" s="6">
        <v>19</v>
      </c>
      <c r="D20" s="7">
        <f t="shared" si="1"/>
        <v>2552.0824611568091</v>
      </c>
      <c r="E20" s="19">
        <f t="shared" si="0"/>
        <v>318.91753884319087</v>
      </c>
      <c r="F20" s="7"/>
      <c r="G20" s="11">
        <v>1</v>
      </c>
      <c r="H20" s="11">
        <v>37.645350567959255</v>
      </c>
      <c r="I20" s="11">
        <v>9.5830282224831453</v>
      </c>
      <c r="J20" s="11">
        <v>3.9283355630361094</v>
      </c>
      <c r="K20" s="11">
        <v>7.181821054854184E-4</v>
      </c>
      <c r="L20" s="11">
        <v>17.771366428387271</v>
      </c>
      <c r="M20" s="11">
        <v>57.519334707531243</v>
      </c>
      <c r="N20" s="11">
        <v>17.771366428387271</v>
      </c>
      <c r="O20" s="11">
        <v>57.519334707531243</v>
      </c>
    </row>
    <row r="21" spans="1:15" x14ac:dyDescent="0.25">
      <c r="A21" t="s">
        <v>62</v>
      </c>
      <c r="B21" s="1">
        <v>2792.7927927927926</v>
      </c>
      <c r="C21" s="6">
        <v>20</v>
      </c>
      <c r="D21" s="7">
        <f t="shared" si="1"/>
        <v>2589.7278117247683</v>
      </c>
      <c r="E21" s="19">
        <f t="shared" si="0"/>
        <v>203.06498106802428</v>
      </c>
      <c r="F21" s="7"/>
    </row>
    <row r="22" spans="1:15" x14ac:dyDescent="0.25">
      <c r="A22" t="s">
        <v>63</v>
      </c>
      <c r="B22" s="1">
        <v>3232</v>
      </c>
      <c r="C22" s="6">
        <v>21</v>
      </c>
      <c r="D22" s="7">
        <f t="shared" si="1"/>
        <v>2627.3731622927276</v>
      </c>
      <c r="E22" s="19">
        <f t="shared" si="0"/>
        <v>604.62683770727244</v>
      </c>
      <c r="F22" s="7"/>
    </row>
    <row r="23" spans="1:15" x14ac:dyDescent="0.25">
      <c r="A23" t="s">
        <v>64</v>
      </c>
      <c r="B23" s="1">
        <v>2596</v>
      </c>
      <c r="C23" s="6">
        <v>22</v>
      </c>
      <c r="D23" s="7">
        <f t="shared" si="1"/>
        <v>2665.0185128606868</v>
      </c>
      <c r="E23" s="19">
        <f t="shared" si="0"/>
        <v>-69.018512860686769</v>
      </c>
      <c r="F23" s="7"/>
    </row>
    <row r="24" spans="1:15" x14ac:dyDescent="0.25">
      <c r="A24" t="s">
        <v>65</v>
      </c>
      <c r="B24" s="1">
        <v>2500</v>
      </c>
      <c r="C24" s="6">
        <v>23</v>
      </c>
      <c r="D24" s="7">
        <f t="shared" si="1"/>
        <v>2702.663863428646</v>
      </c>
      <c r="E24" s="19">
        <f t="shared" si="0"/>
        <v>-202.66386342864598</v>
      </c>
      <c r="F24" s="7"/>
      <c r="G24" s="7"/>
    </row>
    <row r="25" spans="1:15" x14ac:dyDescent="0.25">
      <c r="A25" t="s">
        <v>66</v>
      </c>
      <c r="B25" s="1">
        <v>2931</v>
      </c>
      <c r="C25" s="6">
        <v>24</v>
      </c>
      <c r="D25" s="7">
        <f t="shared" si="1"/>
        <v>2740.3092139966052</v>
      </c>
      <c r="E25" s="19">
        <f t="shared" si="0"/>
        <v>190.69078600339481</v>
      </c>
    </row>
    <row r="26" spans="1:15" x14ac:dyDescent="0.25">
      <c r="A26" t="s">
        <v>67</v>
      </c>
      <c r="B26" s="1">
        <v>2595</v>
      </c>
      <c r="C26" s="6">
        <v>25</v>
      </c>
      <c r="D26" s="7">
        <f t="shared" si="1"/>
        <v>2777.9545645645644</v>
      </c>
      <c r="E26" s="19">
        <f t="shared" si="0"/>
        <v>-182.95456456456441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3"/>
  <sheetViews>
    <sheetView topLeftCell="A41" zoomScale="70" zoomScaleNormal="70" workbookViewId="0">
      <selection activeCell="C32" sqref="C32"/>
    </sheetView>
  </sheetViews>
  <sheetFormatPr defaultRowHeight="15" x14ac:dyDescent="0.25"/>
  <cols>
    <col min="1" max="1" width="9.140625" style="10"/>
    <col min="2" max="3" width="9.28515625" style="10" bestFit="1" customWidth="1"/>
    <col min="4" max="4" width="13.5703125" style="10" customWidth="1"/>
    <col min="5" max="5" width="11.85546875" style="10" bestFit="1" customWidth="1"/>
    <col min="6" max="6" width="11.42578125" style="10" bestFit="1" customWidth="1"/>
    <col min="7" max="16384" width="9.140625" style="10"/>
  </cols>
  <sheetData>
    <row r="1" spans="1:61" x14ac:dyDescent="0.25">
      <c r="B1" s="10" t="s">
        <v>308</v>
      </c>
      <c r="C1" s="10" t="s">
        <v>310</v>
      </c>
      <c r="D1" s="10" t="s">
        <v>311</v>
      </c>
      <c r="E1" s="10" t="s">
        <v>32</v>
      </c>
      <c r="F1" s="10" t="s">
        <v>41</v>
      </c>
      <c r="G1" s="10" t="s">
        <v>42</v>
      </c>
      <c r="H1" s="10" t="s">
        <v>78</v>
      </c>
      <c r="I1" s="10" t="s">
        <v>79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106</v>
      </c>
      <c r="U1" s="10" t="s">
        <v>107</v>
      </c>
      <c r="V1" s="10" t="s">
        <v>116</v>
      </c>
      <c r="W1" s="10" t="s">
        <v>117</v>
      </c>
      <c r="X1" s="10" t="s">
        <v>126</v>
      </c>
      <c r="Y1" s="10" t="s">
        <v>127</v>
      </c>
      <c r="Z1" s="10" t="s">
        <v>136</v>
      </c>
      <c r="AA1" s="10" t="s">
        <v>137</v>
      </c>
      <c r="AB1" s="10" t="s">
        <v>146</v>
      </c>
      <c r="AC1" s="10" t="s">
        <v>147</v>
      </c>
      <c r="AD1" s="10" t="s">
        <v>156</v>
      </c>
      <c r="AE1" s="10" t="s">
        <v>157</v>
      </c>
      <c r="AF1" s="10" t="s">
        <v>166</v>
      </c>
      <c r="AG1" s="10" t="s">
        <v>167</v>
      </c>
      <c r="AH1" s="10" t="s">
        <v>176</v>
      </c>
      <c r="AI1" s="10" t="s">
        <v>177</v>
      </c>
      <c r="AJ1" s="10" t="s">
        <v>186</v>
      </c>
      <c r="AK1" s="10" t="s">
        <v>187</v>
      </c>
      <c r="AL1" s="10" t="s">
        <v>196</v>
      </c>
      <c r="AM1" s="10" t="s">
        <v>197</v>
      </c>
      <c r="AN1" s="10" t="s">
        <v>206</v>
      </c>
      <c r="AO1" s="10" t="s">
        <v>207</v>
      </c>
      <c r="AP1" s="10" t="s">
        <v>216</v>
      </c>
      <c r="AQ1" s="10" t="s">
        <v>217</v>
      </c>
      <c r="AR1" s="10" t="s">
        <v>226</v>
      </c>
      <c r="AS1" s="10" t="s">
        <v>227</v>
      </c>
      <c r="AT1" s="10" t="s">
        <v>236</v>
      </c>
      <c r="AU1" s="10" t="s">
        <v>237</v>
      </c>
      <c r="AV1" s="10" t="s">
        <v>246</v>
      </c>
      <c r="AW1" s="10" t="s">
        <v>247</v>
      </c>
      <c r="AX1" s="10" t="s">
        <v>256</v>
      </c>
      <c r="AY1" s="10" t="s">
        <v>257</v>
      </c>
      <c r="AZ1" s="10" t="s">
        <v>266</v>
      </c>
      <c r="BA1" s="10" t="s">
        <v>267</v>
      </c>
      <c r="BB1" s="10" t="s">
        <v>276</v>
      </c>
      <c r="BC1" s="10" t="s">
        <v>277</v>
      </c>
      <c r="BD1" s="10" t="s">
        <v>286</v>
      </c>
      <c r="BE1" s="10" t="s">
        <v>287</v>
      </c>
      <c r="BF1" s="10" t="s">
        <v>296</v>
      </c>
      <c r="BG1" s="10" t="s">
        <v>297</v>
      </c>
      <c r="BH1" s="10" t="s">
        <v>306</v>
      </c>
      <c r="BI1" s="10" t="s">
        <v>307</v>
      </c>
    </row>
    <row r="2" spans="1:61" x14ac:dyDescent="0.25">
      <c r="A2" s="10" t="s">
        <v>43</v>
      </c>
      <c r="B2" s="21">
        <v>1533</v>
      </c>
      <c r="C2" s="14">
        <f t="shared" ref="C2:C26" si="0">$D$77+($D$78*AQ2)+($D$79*E2)+($D$80*G2)+($D$81*Y2)+($D$82*AG2)</f>
        <v>1653.7945037742297</v>
      </c>
      <c r="D2" s="15">
        <f t="shared" ref="D2:D25" si="1">(B2-C2)/B2*100</f>
        <v>-7.8796153799236617</v>
      </c>
      <c r="E2" s="10">
        <v>1</v>
      </c>
      <c r="F2" s="9">
        <v>192.03749999999997</v>
      </c>
      <c r="G2" s="10">
        <v>10.136285742148155</v>
      </c>
      <c r="H2" s="9">
        <v>536.72321428571422</v>
      </c>
      <c r="I2" s="10">
        <v>-36.853521344736841</v>
      </c>
      <c r="J2" s="9">
        <v>302.72499999999997</v>
      </c>
      <c r="K2" s="10">
        <v>-11.309211210741775</v>
      </c>
      <c r="L2" s="9">
        <v>1551.5901228158095</v>
      </c>
      <c r="M2" s="10">
        <v>-25.794457314603946</v>
      </c>
      <c r="N2" s="9">
        <v>1028.086695532653</v>
      </c>
      <c r="O2" s="10">
        <v>-19.740951371667286</v>
      </c>
      <c r="P2" s="9">
        <v>217.03037210151581</v>
      </c>
      <c r="Q2" s="10">
        <v>-10.417383068935344</v>
      </c>
      <c r="R2" s="9">
        <v>244.26997827902372</v>
      </c>
      <c r="S2" s="10">
        <v>-8.0844174511294042</v>
      </c>
      <c r="T2" s="9">
        <v>5166.5618144132659</v>
      </c>
      <c r="U2" s="10">
        <v>159.87103430297969</v>
      </c>
      <c r="V2" s="9">
        <v>2925.8269579081634</v>
      </c>
      <c r="W2" s="10">
        <v>73.076601936133954</v>
      </c>
      <c r="X2" s="9">
        <v>15020.879783309532</v>
      </c>
      <c r="Y2" s="10">
        <v>-2.6111828521089535</v>
      </c>
      <c r="Z2" s="9">
        <v>9872.7896379851318</v>
      </c>
      <c r="AA2" s="10">
        <v>29.037140143327299</v>
      </c>
      <c r="AB2" s="9">
        <v>2086.2175415644665</v>
      </c>
      <c r="AC2" s="10">
        <v>-26.107031576461445</v>
      </c>
      <c r="AD2" s="9">
        <v>2353.7001916915528</v>
      </c>
      <c r="AE2" s="10">
        <v>10.161575140974364</v>
      </c>
      <c r="AF2" s="9">
        <v>8188.3910395408157</v>
      </c>
      <c r="AG2" s="10">
        <v>-414.6472631428432</v>
      </c>
      <c r="AH2" s="9">
        <v>41199.37283465478</v>
      </c>
      <c r="AI2" s="10">
        <v>-986.11501644588134</v>
      </c>
      <c r="AJ2" s="9">
        <v>27583.176542822996</v>
      </c>
      <c r="AK2" s="10">
        <v>-435.46260025978461</v>
      </c>
      <c r="AL2" s="9">
        <v>5840.6170361971981</v>
      </c>
      <c r="AM2" s="10">
        <v>-297.87122538314151</v>
      </c>
      <c r="AN2" s="9">
        <v>6588.977862202657</v>
      </c>
      <c r="AO2" s="10">
        <v>-195.17777216546222</v>
      </c>
      <c r="AP2" s="9">
        <v>22985.580051187382</v>
      </c>
      <c r="AQ2" s="10">
        <v>-827.20709805201466</v>
      </c>
      <c r="AR2" s="9">
        <v>15657.320659067285</v>
      </c>
      <c r="AS2" s="10">
        <v>-228.54383452648085</v>
      </c>
      <c r="AT2" s="9">
        <v>3305.9145757103415</v>
      </c>
      <c r="AU2" s="10">
        <v>-156.06826106246783</v>
      </c>
      <c r="AV2" s="9">
        <v>3767.6221784221261</v>
      </c>
      <c r="AW2" s="10">
        <v>-95.452213780534066</v>
      </c>
      <c r="AX2" s="9">
        <v>80691.238507530987</v>
      </c>
      <c r="AY2" s="10">
        <v>-2542.4524399474722</v>
      </c>
      <c r="AZ2" s="9">
        <v>17684.870596793109</v>
      </c>
      <c r="BA2" s="10">
        <v>-1127.7827263603372</v>
      </c>
      <c r="BB2" s="9">
        <v>18978.761453051655</v>
      </c>
      <c r="BC2" s="10">
        <v>-589.61049844747538</v>
      </c>
      <c r="BD2" s="9">
        <v>11483.999679114897</v>
      </c>
      <c r="BE2" s="10">
        <v>-515.10238745767606</v>
      </c>
      <c r="BF2" s="9">
        <v>13182.440853256967</v>
      </c>
      <c r="BG2" s="10">
        <v>-690.52478604727742</v>
      </c>
      <c r="BH2" s="9">
        <v>2771.9924907184977</v>
      </c>
      <c r="BI2" s="10">
        <v>-155.53849061028575</v>
      </c>
    </row>
    <row r="3" spans="1:61" x14ac:dyDescent="0.25">
      <c r="A3" s="10" t="s">
        <v>44</v>
      </c>
      <c r="B3" s="21">
        <v>2426</v>
      </c>
      <c r="C3" s="14">
        <f t="shared" si="0"/>
        <v>2214.6531643078165</v>
      </c>
      <c r="D3" s="15">
        <f t="shared" si="1"/>
        <v>8.7117409601064928</v>
      </c>
      <c r="E3" s="10">
        <v>2</v>
      </c>
      <c r="F3" s="9">
        <v>197.36071428571427</v>
      </c>
      <c r="G3" s="10">
        <v>9.8809149409075872</v>
      </c>
      <c r="H3" s="9">
        <v>603.00317460317456</v>
      </c>
      <c r="I3" s="10">
        <v>-37.526285979136823</v>
      </c>
      <c r="J3" s="9">
        <v>336.36507936507945</v>
      </c>
      <c r="K3" s="10">
        <v>-6.3934822141820522</v>
      </c>
      <c r="L3" s="9">
        <v>1277.6859901114437</v>
      </c>
      <c r="M3" s="10">
        <v>0.84979274319688614</v>
      </c>
      <c r="N3" s="9">
        <v>799.4266930848562</v>
      </c>
      <c r="O3" s="10">
        <v>-1.6332472626070746</v>
      </c>
      <c r="P3" s="9">
        <v>204.84096185917082</v>
      </c>
      <c r="Q3" s="10">
        <v>-10.511755342970218</v>
      </c>
      <c r="R3" s="9">
        <v>237.39521240624015</v>
      </c>
      <c r="S3" s="10">
        <v>-4.3891454873483804</v>
      </c>
      <c r="T3" s="9">
        <v>5957.7831519274378</v>
      </c>
      <c r="U3" s="10">
        <v>196.16078761943652</v>
      </c>
      <c r="V3" s="9">
        <v>3326.0736961451248</v>
      </c>
      <c r="W3" s="10">
        <v>115.77469575837634</v>
      </c>
      <c r="X3" s="9">
        <v>12569.016680105815</v>
      </c>
      <c r="Y3" s="10">
        <v>240.27235568631178</v>
      </c>
      <c r="Z3" s="9">
        <v>7852.877889340527</v>
      </c>
      <c r="AA3" s="10">
        <v>128.961737611339</v>
      </c>
      <c r="AB3" s="9">
        <v>2020.2491036607262</v>
      </c>
      <c r="AC3" s="10">
        <v>-28.090641930033872</v>
      </c>
      <c r="AD3" s="9">
        <v>2336.9144854131841</v>
      </c>
      <c r="AE3" s="10">
        <v>37.196680755690032</v>
      </c>
      <c r="AF3" s="9">
        <v>10218.673607961704</v>
      </c>
      <c r="AG3" s="10">
        <v>-306.39232004387122</v>
      </c>
      <c r="AH3" s="9">
        <v>38470.389569345323</v>
      </c>
      <c r="AI3" s="10">
        <v>-298.90627147806038</v>
      </c>
      <c r="AJ3" s="9">
        <v>24034.244163447303</v>
      </c>
      <c r="AK3" s="10">
        <v>-15.206367752989451</v>
      </c>
      <c r="AL3" s="9">
        <v>6214.1589581399894</v>
      </c>
      <c r="AM3" s="10">
        <v>-279.23734616021159</v>
      </c>
      <c r="AN3" s="9">
        <v>7176.0175189061683</v>
      </c>
      <c r="AO3" s="10">
        <v>-93.130283912985277</v>
      </c>
      <c r="AP3" s="9">
        <v>21402.63799365313</v>
      </c>
      <c r="AQ3" s="10">
        <v>-405.04277662829912</v>
      </c>
      <c r="AR3" s="9">
        <v>13349.63056878626</v>
      </c>
      <c r="AS3" s="10">
        <v>32.66594286911306</v>
      </c>
      <c r="AT3" s="9">
        <v>3521.9677406366191</v>
      </c>
      <c r="AU3" s="10">
        <v>-146.0869895690665</v>
      </c>
      <c r="AV3" s="9">
        <v>4020.9359071467038</v>
      </c>
      <c r="AW3" s="10">
        <v>-38.115629065627139</v>
      </c>
      <c r="AX3" s="9">
        <v>51465.181506573812</v>
      </c>
      <c r="AY3" s="10">
        <v>-523.3863311573532</v>
      </c>
      <c r="AZ3" s="9">
        <v>13128.665695323398</v>
      </c>
      <c r="BA3" s="10">
        <v>-703.95829709943234</v>
      </c>
      <c r="BB3" s="9">
        <v>15243.853154589287</v>
      </c>
      <c r="BC3" s="10">
        <v>-487.49046923066527</v>
      </c>
      <c r="BD3" s="9">
        <v>8187.7785207638863</v>
      </c>
      <c r="BE3" s="10">
        <v>-340.38243446231928</v>
      </c>
      <c r="BF3" s="9">
        <v>9837.0915208904189</v>
      </c>
      <c r="BG3" s="10">
        <v>-109.34725086593622</v>
      </c>
      <c r="BH3" s="9">
        <v>2460.014260669635</v>
      </c>
      <c r="BI3" s="10">
        <v>-136.15323914048133</v>
      </c>
    </row>
    <row r="4" spans="1:61" x14ac:dyDescent="0.25">
      <c r="A4" s="10" t="s">
        <v>45</v>
      </c>
      <c r="B4" s="21">
        <v>1979</v>
      </c>
      <c r="C4" s="14">
        <f t="shared" si="0"/>
        <v>1978.6223610074594</v>
      </c>
      <c r="D4" s="15">
        <f t="shared" si="1"/>
        <v>1.9082313923223675E-2</v>
      </c>
      <c r="E4" s="10">
        <v>3</v>
      </c>
      <c r="F4" s="9">
        <v>191.28214285714287</v>
      </c>
      <c r="G4" s="10">
        <v>8.8757980709668427</v>
      </c>
      <c r="H4" s="9">
        <v>618.9375</v>
      </c>
      <c r="I4" s="10">
        <v>-41.016095322127192</v>
      </c>
      <c r="J4" s="9">
        <v>359.42857142857139</v>
      </c>
      <c r="K4" s="10">
        <v>-9.6510668183338346</v>
      </c>
      <c r="L4" s="9">
        <v>1262.5658720817473</v>
      </c>
      <c r="M4" s="10">
        <v>17.024654311179209</v>
      </c>
      <c r="N4" s="9">
        <v>823.59677150179755</v>
      </c>
      <c r="O4" s="10">
        <v>-12.607071133416447</v>
      </c>
      <c r="P4" s="9">
        <v>208.89966351492706</v>
      </c>
      <c r="Q4" s="10">
        <v>-8.9292216563295685</v>
      </c>
      <c r="R4" s="9">
        <v>264.68070783456244</v>
      </c>
      <c r="S4" s="10">
        <v>-4.8251156732334479</v>
      </c>
      <c r="T4" s="9">
        <v>5926.9888711734684</v>
      </c>
      <c r="U4" s="10">
        <v>168.78836089598582</v>
      </c>
      <c r="V4" s="9">
        <v>3442.210204081633</v>
      </c>
      <c r="W4" s="10">
        <v>81.752715747681648</v>
      </c>
      <c r="X4" s="9">
        <v>12010.89313682532</v>
      </c>
      <c r="Y4" s="10">
        <v>320.41771504003401</v>
      </c>
      <c r="Z4" s="9">
        <v>7868.9894867035837</v>
      </c>
      <c r="AA4" s="10">
        <v>-22.360225408453115</v>
      </c>
      <c r="AB4" s="9">
        <v>1990.4958501109159</v>
      </c>
      <c r="AC4" s="10">
        <v>-37.259192325558971</v>
      </c>
      <c r="AD4" s="9">
        <v>2536.9732697447389</v>
      </c>
      <c r="AE4" s="10">
        <v>1.2470132065144623</v>
      </c>
      <c r="AF4" s="9">
        <v>11220.645408163266</v>
      </c>
      <c r="AG4" s="10">
        <v>-483.44419143836996</v>
      </c>
      <c r="AH4" s="9">
        <v>38848.992107032027</v>
      </c>
      <c r="AI4" s="10">
        <v>-33.381829081893216</v>
      </c>
      <c r="AJ4" s="9">
        <v>25430.017274247028</v>
      </c>
      <c r="AK4" s="10">
        <v>-249.6364000885045</v>
      </c>
      <c r="AL4" s="9">
        <v>6490.4049684069523</v>
      </c>
      <c r="AM4" s="10">
        <v>-291.87633391090179</v>
      </c>
      <c r="AN4" s="9">
        <v>8248.8935615062219</v>
      </c>
      <c r="AO4" s="10">
        <v>-121.70875768485394</v>
      </c>
      <c r="AP4" s="9">
        <v>22457.914875497645</v>
      </c>
      <c r="AQ4" s="10">
        <v>-379.57229247092397</v>
      </c>
      <c r="AR4" s="9">
        <v>14715.400597262269</v>
      </c>
      <c r="AS4" s="10">
        <v>-75.522900369755703</v>
      </c>
      <c r="AT4" s="9">
        <v>3797.2292863505945</v>
      </c>
      <c r="AU4" s="10">
        <v>-164.84490172440445</v>
      </c>
      <c r="AV4" s="9">
        <v>4805.4953669108263</v>
      </c>
      <c r="AW4" s="10">
        <v>-73.590476176555825</v>
      </c>
      <c r="AX4" s="9">
        <v>52459.772953629756</v>
      </c>
      <c r="AY4" s="10">
        <v>-131.35499928055765</v>
      </c>
      <c r="AZ4" s="9">
        <v>13303.595565632022</v>
      </c>
      <c r="BA4" s="10">
        <v>-459.55671342696837</v>
      </c>
      <c r="BB4" s="9">
        <v>16670.778176494234</v>
      </c>
      <c r="BC4" s="10">
        <v>-149.5400812170169</v>
      </c>
      <c r="BD4" s="9">
        <v>8629.9577329842396</v>
      </c>
      <c r="BE4" s="10">
        <v>-217.63032166507398</v>
      </c>
      <c r="BF4" s="9">
        <v>11160.377101126249</v>
      </c>
      <c r="BG4" s="10">
        <v>-264.72226886186513</v>
      </c>
      <c r="BH4" s="9">
        <v>2790.9432628022655</v>
      </c>
      <c r="BI4" s="10">
        <v>-98.033341590959836</v>
      </c>
    </row>
    <row r="5" spans="1:61" x14ac:dyDescent="0.25">
      <c r="A5" s="10" t="s">
        <v>46</v>
      </c>
      <c r="B5" s="21">
        <v>1961</v>
      </c>
      <c r="C5" s="14">
        <f t="shared" si="0"/>
        <v>2066.4576542483019</v>
      </c>
      <c r="D5" s="15">
        <f t="shared" si="1"/>
        <v>-5.3777488142938239</v>
      </c>
      <c r="E5" s="10">
        <v>4</v>
      </c>
      <c r="F5" s="9">
        <v>190.50535714285715</v>
      </c>
      <c r="G5" s="10">
        <v>9.1490550115350615</v>
      </c>
      <c r="H5" s="9">
        <v>604.07142857142844</v>
      </c>
      <c r="I5" s="10">
        <v>-36.901189185492917</v>
      </c>
      <c r="J5" s="9">
        <v>340.66428571428571</v>
      </c>
      <c r="K5" s="10">
        <v>-6.1834487686392805</v>
      </c>
      <c r="L5" s="9">
        <v>1265.6464322528193</v>
      </c>
      <c r="M5" s="10">
        <v>4.5146276856405976</v>
      </c>
      <c r="N5" s="9">
        <v>865.34246524776597</v>
      </c>
      <c r="O5" s="10">
        <v>-13.369703815178784</v>
      </c>
      <c r="P5" s="9">
        <v>205.46653644084012</v>
      </c>
      <c r="Q5" s="10">
        <v>-11.529500422344245</v>
      </c>
      <c r="R5" s="9">
        <v>264.55717410530821</v>
      </c>
      <c r="S5" s="10">
        <v>-5.4658005944137802</v>
      </c>
      <c r="T5" s="9">
        <v>5771.487755102039</v>
      </c>
      <c r="U5" s="10">
        <v>187.92535392069976</v>
      </c>
      <c r="V5" s="9">
        <v>3264.9225637755108</v>
      </c>
      <c r="W5" s="10">
        <v>115.00950518386261</v>
      </c>
      <c r="X5" s="9">
        <v>12081.637579924714</v>
      </c>
      <c r="Y5" s="10">
        <v>166.68801144766769</v>
      </c>
      <c r="Z5" s="9">
        <v>8256.7025250266797</v>
      </c>
      <c r="AA5" s="10">
        <v>6.896337971285238</v>
      </c>
      <c r="AB5" s="9">
        <v>1972.9439669174435</v>
      </c>
      <c r="AC5" s="10">
        <v>-51.39565700594521</v>
      </c>
      <c r="AD5" s="9">
        <v>2535.5982418261124</v>
      </c>
      <c r="AE5" s="10">
        <v>15.397726187122734</v>
      </c>
      <c r="AF5" s="9">
        <v>10398.065306122449</v>
      </c>
      <c r="AG5" s="10">
        <v>-286.56566770249958</v>
      </c>
      <c r="AH5" s="9">
        <v>38329.262292906424</v>
      </c>
      <c r="AI5" s="10">
        <v>-291.4512587428942</v>
      </c>
      <c r="AJ5" s="9">
        <v>26073.869023102226</v>
      </c>
      <c r="AK5" s="10">
        <v>-327.73408980487284</v>
      </c>
      <c r="AL5" s="9">
        <v>6286.5270056245008</v>
      </c>
      <c r="AM5" s="10">
        <v>-336.71944017166959</v>
      </c>
      <c r="AN5" s="9">
        <v>8038.8610811940734</v>
      </c>
      <c r="AO5" s="10">
        <v>-109.13303322232937</v>
      </c>
      <c r="AP5" s="9">
        <v>21760.26039490859</v>
      </c>
      <c r="AQ5" s="10">
        <v>-455.22747222382804</v>
      </c>
      <c r="AR5" s="9">
        <v>14736.53844656466</v>
      </c>
      <c r="AS5" s="10">
        <v>-197.95835256057723</v>
      </c>
      <c r="AT5" s="9">
        <v>3658.5692411604978</v>
      </c>
      <c r="AU5" s="10">
        <v>-189.04969090454202</v>
      </c>
      <c r="AV5" s="9">
        <v>4577.5563460673147</v>
      </c>
      <c r="AW5" s="10">
        <v>-85.027093789966614</v>
      </c>
      <c r="AX5" s="9">
        <v>55137.916462980982</v>
      </c>
      <c r="AY5" s="10">
        <v>-1129.8723018491185</v>
      </c>
      <c r="AZ5" s="9">
        <v>13303.473323048496</v>
      </c>
      <c r="BA5" s="10">
        <v>-757.28295943279829</v>
      </c>
      <c r="BB5" s="9">
        <v>16895.187936068342</v>
      </c>
      <c r="BC5" s="10">
        <v>-570.23916745943711</v>
      </c>
      <c r="BD5" s="9">
        <v>8950.2560394108787</v>
      </c>
      <c r="BE5" s="10">
        <v>-514.47381141139783</v>
      </c>
      <c r="BF5" s="9">
        <v>11741.177396916964</v>
      </c>
      <c r="BG5" s="10">
        <v>-418.69265296312545</v>
      </c>
      <c r="BH5" s="9">
        <v>2785.3834667384244</v>
      </c>
      <c r="BI5" s="10">
        <v>-188.82692306083754</v>
      </c>
    </row>
    <row r="6" spans="1:61" x14ac:dyDescent="0.25">
      <c r="A6" s="10" t="s">
        <v>47</v>
      </c>
      <c r="B6" s="21">
        <v>2330</v>
      </c>
      <c r="C6" s="14">
        <f t="shared" si="0"/>
        <v>2268.3293920994529</v>
      </c>
      <c r="D6" s="15">
        <f t="shared" si="1"/>
        <v>2.6468072060320651</v>
      </c>
      <c r="E6" s="10">
        <v>5</v>
      </c>
      <c r="F6" s="9">
        <v>186.28571428571428</v>
      </c>
      <c r="G6" s="10">
        <v>9.6897020826728468</v>
      </c>
      <c r="H6" s="9">
        <v>602.07142857142867</v>
      </c>
      <c r="I6" s="10">
        <v>-37.20773288560779</v>
      </c>
      <c r="J6" s="9">
        <v>343.26785714285705</v>
      </c>
      <c r="K6" s="10">
        <v>-6.5800482653146046</v>
      </c>
      <c r="L6" s="9">
        <v>1411.3138235579081</v>
      </c>
      <c r="M6" s="10">
        <v>10.181076229831815</v>
      </c>
      <c r="N6" s="9">
        <v>428.98066545039461</v>
      </c>
      <c r="O6" s="10">
        <v>-7.5794910953974792</v>
      </c>
      <c r="P6" s="9">
        <v>224.02157943656692</v>
      </c>
      <c r="Q6" s="10">
        <v>-11.172900720276624</v>
      </c>
      <c r="R6" s="9">
        <v>140.87830167769562</v>
      </c>
      <c r="S6" s="10">
        <v>-6.1808696383061354</v>
      </c>
      <c r="T6" s="9">
        <v>5620.0844897959169</v>
      </c>
      <c r="U6" s="10">
        <v>185.81664614660261</v>
      </c>
      <c r="V6" s="9">
        <v>3205.9536734693879</v>
      </c>
      <c r="W6" s="10">
        <v>115.08701020700883</v>
      </c>
      <c r="X6" s="9">
        <v>13118.64535760589</v>
      </c>
      <c r="Y6" s="10">
        <v>310.58794503758975</v>
      </c>
      <c r="Z6" s="9">
        <v>3997.8025540414014</v>
      </c>
      <c r="AA6" s="10">
        <v>13.380099444672219</v>
      </c>
      <c r="AB6" s="9">
        <v>2088.3538369340858</v>
      </c>
      <c r="AC6" s="10">
        <v>-28.306120668017165</v>
      </c>
      <c r="AD6" s="9">
        <v>1317.2088688737092</v>
      </c>
      <c r="AE6" s="10">
        <v>-8.4807932762871925</v>
      </c>
      <c r="AF6" s="9">
        <v>10463.473214285716</v>
      </c>
      <c r="AG6" s="10">
        <v>-317.55452341898859</v>
      </c>
      <c r="AH6" s="9">
        <v>42409.345400049941</v>
      </c>
      <c r="AI6" s="10">
        <v>-243.55790798491182</v>
      </c>
      <c r="AJ6" s="9">
        <v>13127.36629887649</v>
      </c>
      <c r="AK6" s="10">
        <v>-298.89356829609483</v>
      </c>
      <c r="AL6" s="9">
        <v>6818.6376985496727</v>
      </c>
      <c r="AM6" s="10">
        <v>-346.58218607028442</v>
      </c>
      <c r="AN6" s="9">
        <v>4362.2944710009806</v>
      </c>
      <c r="AO6" s="10">
        <v>-194.60563728458203</v>
      </c>
      <c r="AP6" s="9">
        <v>24199.093661193914</v>
      </c>
      <c r="AQ6" s="10">
        <v>-520.75236196138565</v>
      </c>
      <c r="AR6" s="9">
        <v>7778.331937477069</v>
      </c>
      <c r="AS6" s="10">
        <v>-54.436725907247173</v>
      </c>
      <c r="AT6" s="9">
        <v>3953.3692339252293</v>
      </c>
      <c r="AU6" s="10">
        <v>-174.19401270772426</v>
      </c>
      <c r="AV6" s="9">
        <v>2601.8336875075242</v>
      </c>
      <c r="AW6" s="10">
        <v>-71.652013850226226</v>
      </c>
      <c r="AX6" s="9">
        <v>30419.872842007822</v>
      </c>
      <c r="AY6" s="10">
        <v>-1159.1832420601854</v>
      </c>
      <c r="AZ6" s="9">
        <v>15998.010214221849</v>
      </c>
      <c r="BA6" s="10">
        <v>-796.06481031327837</v>
      </c>
      <c r="BB6" s="9">
        <v>9932.1771067424525</v>
      </c>
      <c r="BC6" s="10">
        <v>-622.36873519437211</v>
      </c>
      <c r="BD6" s="9">
        <v>5107.0407603282401</v>
      </c>
      <c r="BE6" s="10">
        <v>-259.21564494478844</v>
      </c>
      <c r="BF6" s="9">
        <v>3542.5738354127161</v>
      </c>
      <c r="BG6" s="10">
        <v>-217.3092220217936</v>
      </c>
      <c r="BH6" s="9">
        <v>1700.2917357340241</v>
      </c>
      <c r="BI6" s="10">
        <v>-131.35366496660458</v>
      </c>
    </row>
    <row r="7" spans="1:61" x14ac:dyDescent="0.25">
      <c r="A7" s="10" t="s">
        <v>48</v>
      </c>
      <c r="B7" s="21">
        <v>1867</v>
      </c>
      <c r="C7" s="14">
        <f t="shared" si="0"/>
        <v>1875.6413990935066</v>
      </c>
      <c r="D7" s="15">
        <f t="shared" si="1"/>
        <v>-0.46284944260881666</v>
      </c>
      <c r="E7" s="10">
        <v>6</v>
      </c>
      <c r="F7" s="9">
        <v>186.31904761904764</v>
      </c>
      <c r="G7" s="10">
        <v>9.2905495582609614</v>
      </c>
      <c r="H7" s="9">
        <v>627.46428571428589</v>
      </c>
      <c r="I7" s="10">
        <v>-42.39022149123138</v>
      </c>
      <c r="J7" s="9">
        <v>366.64642857142849</v>
      </c>
      <c r="K7" s="10">
        <v>-9.4800352506779113</v>
      </c>
      <c r="L7" s="9">
        <v>1218.6151382090345</v>
      </c>
      <c r="M7" s="10">
        <v>9.2875199968890598E-2</v>
      </c>
      <c r="N7" s="9">
        <v>475.6914614314025</v>
      </c>
      <c r="O7" s="10">
        <v>-18.59780048134245</v>
      </c>
      <c r="P7" s="9">
        <v>212.64680776708676</v>
      </c>
      <c r="Q7" s="10">
        <v>-13.607941316277174</v>
      </c>
      <c r="R7" s="9">
        <v>161.03433524521066</v>
      </c>
      <c r="S7" s="10">
        <v>-9.9481737472838745</v>
      </c>
      <c r="T7" s="9">
        <v>5856.8639455782322</v>
      </c>
      <c r="U7" s="10">
        <v>178.36139447046168</v>
      </c>
      <c r="V7" s="9">
        <v>3438.1063265306125</v>
      </c>
      <c r="W7" s="10">
        <v>104.2109215143395</v>
      </c>
      <c r="X7" s="9">
        <v>11331.443931230073</v>
      </c>
      <c r="Y7" s="10">
        <v>173.60213886596367</v>
      </c>
      <c r="Z7" s="9">
        <v>4495.5139241352208</v>
      </c>
      <c r="AA7" s="10">
        <v>-74.127840409859274</v>
      </c>
      <c r="AB7" s="9">
        <v>1990.3281733072938</v>
      </c>
      <c r="AC7" s="10">
        <v>-51.045072933360387</v>
      </c>
      <c r="AD7" s="9">
        <v>1526.6527052531499</v>
      </c>
      <c r="AE7" s="10">
        <v>-37.807075555094563</v>
      </c>
      <c r="AF7" s="9">
        <v>11587.342729591835</v>
      </c>
      <c r="AG7" s="10">
        <v>-497.22962884204196</v>
      </c>
      <c r="AH7" s="9">
        <v>38131.454331890971</v>
      </c>
      <c r="AI7" s="10">
        <v>-489.34046527040982</v>
      </c>
      <c r="AJ7" s="9">
        <v>15141.790015986924</v>
      </c>
      <c r="AK7" s="10">
        <v>-600.96308540639882</v>
      </c>
      <c r="AL7" s="9">
        <v>6706.9637334914732</v>
      </c>
      <c r="AM7" s="10">
        <v>-436.14807692971982</v>
      </c>
      <c r="AN7" s="9">
        <v>5153.7794627501989</v>
      </c>
      <c r="AO7" s="10">
        <v>-304.33057672961473</v>
      </c>
      <c r="AP7" s="9">
        <v>22316.13604579855</v>
      </c>
      <c r="AQ7" s="10">
        <v>-607.93480232031834</v>
      </c>
      <c r="AR7" s="9">
        <v>9240.5482978438777</v>
      </c>
      <c r="AS7" s="10">
        <v>-285.57559241365283</v>
      </c>
      <c r="AT7" s="9">
        <v>4004.1297560604776</v>
      </c>
      <c r="AU7" s="10">
        <v>-238.97735317494516</v>
      </c>
      <c r="AV7" s="9">
        <v>3167.6746367641181</v>
      </c>
      <c r="AW7" s="10">
        <v>-160.67210026420361</v>
      </c>
      <c r="AX7" s="9">
        <v>29273.394013098674</v>
      </c>
      <c r="AY7" s="10">
        <v>-1576.021181973354</v>
      </c>
      <c r="AZ7" s="9">
        <v>13240.739502325514</v>
      </c>
      <c r="BA7" s="10">
        <v>-921.01026060665652</v>
      </c>
      <c r="BB7" s="9">
        <v>9855.045577083285</v>
      </c>
      <c r="BC7" s="10">
        <v>-776.06242999850679</v>
      </c>
      <c r="BD7" s="9">
        <v>5455.8595509368697</v>
      </c>
      <c r="BE7" s="10">
        <v>-483.16829658986478</v>
      </c>
      <c r="BF7" s="9">
        <v>4518.4030275407476</v>
      </c>
      <c r="BG7" s="10">
        <v>-470.363894869018</v>
      </c>
      <c r="BH7" s="9">
        <v>1862.2057140315717</v>
      </c>
      <c r="BI7" s="10">
        <v>-197.62915299800244</v>
      </c>
    </row>
    <row r="8" spans="1:61" x14ac:dyDescent="0.25">
      <c r="A8" s="10" t="s">
        <v>49</v>
      </c>
      <c r="B8" s="21">
        <v>2073</v>
      </c>
      <c r="C8" s="14">
        <f t="shared" si="0"/>
        <v>1934.1124774686509</v>
      </c>
      <c r="D8" s="15">
        <f t="shared" si="1"/>
        <v>6.6998322494620872</v>
      </c>
      <c r="E8" s="10">
        <v>7</v>
      </c>
      <c r="F8" s="9">
        <v>177.92142857142858</v>
      </c>
      <c r="G8" s="10">
        <v>8.3627170897435619</v>
      </c>
      <c r="H8" s="9">
        <v>614.19285714285718</v>
      </c>
      <c r="I8" s="10">
        <v>-36.838951824203008</v>
      </c>
      <c r="J8" s="9">
        <v>341.20535714285722</v>
      </c>
      <c r="K8" s="10">
        <v>-6.6543335100698018</v>
      </c>
      <c r="L8" s="9">
        <v>1500.7931335355161</v>
      </c>
      <c r="M8" s="10">
        <v>2.6320121029753629</v>
      </c>
      <c r="N8" s="9">
        <v>426.53753995545776</v>
      </c>
      <c r="O8" s="10">
        <v>-22.259944145758709</v>
      </c>
      <c r="P8" s="9">
        <v>257.78180493591282</v>
      </c>
      <c r="Q8" s="10">
        <v>-14.932236594585854</v>
      </c>
      <c r="R8" s="9">
        <v>138.52976972725824</v>
      </c>
      <c r="S8" s="10">
        <v>-10.690757934132549</v>
      </c>
      <c r="T8" s="9">
        <v>5470.5601530612239</v>
      </c>
      <c r="U8" s="10">
        <v>187.6483550406104</v>
      </c>
      <c r="V8" s="9">
        <v>3037.2125637755103</v>
      </c>
      <c r="W8" s="10">
        <v>116.33494032759199</v>
      </c>
      <c r="X8" s="9">
        <v>13325.434230280987</v>
      </c>
      <c r="Y8" s="10">
        <v>207.54270807902989</v>
      </c>
      <c r="Z8" s="9">
        <v>3766.1687704171632</v>
      </c>
      <c r="AA8" s="10">
        <v>-108.54738660056235</v>
      </c>
      <c r="AB8" s="9">
        <v>2286.7166067617977</v>
      </c>
      <c r="AC8" s="10">
        <v>-46.204983609333937</v>
      </c>
      <c r="AD8" s="9">
        <v>1227.2496718035716</v>
      </c>
      <c r="AE8" s="10">
        <v>-40.929109942542254</v>
      </c>
      <c r="AF8" s="9">
        <v>10559.798405612242</v>
      </c>
      <c r="AG8" s="10">
        <v>-288.79218231480343</v>
      </c>
      <c r="AH8" s="9">
        <v>46009.307164703554</v>
      </c>
      <c r="AI8" s="10">
        <v>-681.39839774313668</v>
      </c>
      <c r="AJ8" s="9">
        <v>13273.689999416056</v>
      </c>
      <c r="AK8" s="10">
        <v>-665.15116987119245</v>
      </c>
      <c r="AL8" s="9">
        <v>7959.1748247790874</v>
      </c>
      <c r="AM8" s="10">
        <v>-449.69471133943256</v>
      </c>
      <c r="AN8" s="9">
        <v>4334.3042616485727</v>
      </c>
      <c r="AO8" s="10">
        <v>-267.05439096642681</v>
      </c>
      <c r="AP8" s="9">
        <v>25562.004345698933</v>
      </c>
      <c r="AQ8" s="10">
        <v>-667.10779914224918</v>
      </c>
      <c r="AR8" s="9">
        <v>7823.1345381416049</v>
      </c>
      <c r="AS8" s="10">
        <v>-348.76536236968877</v>
      </c>
      <c r="AT8" s="9">
        <v>4527.78847654534</v>
      </c>
      <c r="AU8" s="10">
        <v>-234.49261376224442</v>
      </c>
      <c r="AV8" s="9">
        <v>2570.457299289078</v>
      </c>
      <c r="AW8" s="10">
        <v>-144.69779948636037</v>
      </c>
      <c r="AX8" s="9">
        <v>32027.628471690001</v>
      </c>
      <c r="AY8" s="10">
        <v>-1830.5138309342401</v>
      </c>
      <c r="AZ8" s="9">
        <v>19632.427789553756</v>
      </c>
      <c r="BA8" s="10">
        <v>-1198.0425050485328</v>
      </c>
      <c r="BB8" s="9">
        <v>10352.848302850849</v>
      </c>
      <c r="BC8" s="10">
        <v>-893.23035811801446</v>
      </c>
      <c r="BD8" s="9">
        <v>5938.676147509339</v>
      </c>
      <c r="BE8" s="10">
        <v>-538.8399553208742</v>
      </c>
      <c r="BF8" s="9">
        <v>3633.1393710628072</v>
      </c>
      <c r="BG8" s="10">
        <v>-456.81236815092564</v>
      </c>
      <c r="BH8" s="9">
        <v>1941.4837157463758</v>
      </c>
      <c r="BI8" s="10">
        <v>-212.94325645564817</v>
      </c>
    </row>
    <row r="9" spans="1:61" x14ac:dyDescent="0.25">
      <c r="A9" s="10" t="s">
        <v>50</v>
      </c>
      <c r="B9" s="21">
        <v>2413</v>
      </c>
      <c r="C9" s="14">
        <f t="shared" si="0"/>
        <v>2338.1838938606306</v>
      </c>
      <c r="D9" s="15">
        <f t="shared" si="1"/>
        <v>3.1005431470936333</v>
      </c>
      <c r="E9" s="10">
        <v>8</v>
      </c>
      <c r="F9" s="9">
        <v>163.52678571428575</v>
      </c>
      <c r="G9" s="10">
        <v>7.5427210810196073</v>
      </c>
      <c r="H9" s="9">
        <v>559.09464285714273</v>
      </c>
      <c r="I9" s="10">
        <v>-27.965682372310859</v>
      </c>
      <c r="J9" s="9">
        <v>315.35892857142858</v>
      </c>
      <c r="K9" s="10">
        <v>-2.4498476284944832</v>
      </c>
      <c r="L9" s="9">
        <v>1474.8104598062828</v>
      </c>
      <c r="M9" s="10">
        <v>1.0756331196854276</v>
      </c>
      <c r="N9" s="9">
        <v>505.4304334003977</v>
      </c>
      <c r="O9" s="10">
        <v>-5.5413256694047686</v>
      </c>
      <c r="P9" s="9">
        <v>233.2359402929863</v>
      </c>
      <c r="Q9" s="10">
        <v>-7.9563177268298082</v>
      </c>
      <c r="R9" s="9">
        <v>140.38998152683604</v>
      </c>
      <c r="S9" s="10">
        <v>0.7027908776929549</v>
      </c>
      <c r="T9" s="9">
        <v>4591.8784789540814</v>
      </c>
      <c r="U9" s="10">
        <v>190.42387647575072</v>
      </c>
      <c r="V9" s="9">
        <v>2590.8017825255101</v>
      </c>
      <c r="W9" s="10">
        <v>114.80490451543318</v>
      </c>
      <c r="X9" s="9">
        <v>12052.217818746685</v>
      </c>
      <c r="Y9" s="10">
        <v>180.9802594402498</v>
      </c>
      <c r="Z9" s="9">
        <v>4142.2208290822382</v>
      </c>
      <c r="AA9" s="10">
        <v>57.117149205668696</v>
      </c>
      <c r="AB9" s="9">
        <v>1918.1276706254841</v>
      </c>
      <c r="AC9" s="10">
        <v>-1.9045824784357848</v>
      </c>
      <c r="AD9" s="9">
        <v>1155.7833297788961</v>
      </c>
      <c r="AE9" s="10">
        <v>45.12283058586042</v>
      </c>
      <c r="AF9" s="9">
        <v>9259.5853475765325</v>
      </c>
      <c r="AG9" s="10">
        <v>-95.818263910294633</v>
      </c>
      <c r="AH9" s="9">
        <v>40747.184178952884</v>
      </c>
      <c r="AI9" s="10">
        <v>625.18226452267413</v>
      </c>
      <c r="AJ9" s="9">
        <v>13839.771872568714</v>
      </c>
      <c r="AK9" s="10">
        <v>264.57290334585332</v>
      </c>
      <c r="AL9" s="9">
        <v>6743.5444666085968</v>
      </c>
      <c r="AM9" s="10">
        <v>-85.611666807852885</v>
      </c>
      <c r="AN9" s="9">
        <v>4042.0346372627223</v>
      </c>
      <c r="AO9" s="10">
        <v>123.02935162280266</v>
      </c>
      <c r="AP9" s="9">
        <v>23010.819499111418</v>
      </c>
      <c r="AQ9" s="10">
        <v>-38.809155061610369</v>
      </c>
      <c r="AR9" s="9">
        <v>7881.9093593738344</v>
      </c>
      <c r="AS9" s="10">
        <v>249.94999309333099</v>
      </c>
      <c r="AT9" s="9">
        <v>3834.1428213330305</v>
      </c>
      <c r="AU9" s="10">
        <v>-58.046143820137907</v>
      </c>
      <c r="AV9" s="9">
        <v>2313.1977187819816</v>
      </c>
      <c r="AW9" s="10">
        <v>101.6984869096182</v>
      </c>
      <c r="AX9" s="9">
        <v>37712.724149368922</v>
      </c>
      <c r="AY9" s="10">
        <v>-934.47522513187573</v>
      </c>
      <c r="AZ9" s="9">
        <v>17240.016177842666</v>
      </c>
      <c r="BA9" s="10">
        <v>-708.14352867891705</v>
      </c>
      <c r="BB9" s="9">
        <v>10376.632557566927</v>
      </c>
      <c r="BC9" s="10">
        <v>-167.58601416766487</v>
      </c>
      <c r="BD9" s="9">
        <v>5878.1213552642557</v>
      </c>
      <c r="BE9" s="10">
        <v>-126.10898847585152</v>
      </c>
      <c r="BF9" s="9">
        <v>3655.2462562986489</v>
      </c>
      <c r="BG9" s="10">
        <v>11.481923296382771</v>
      </c>
      <c r="BH9" s="9">
        <v>1704.9375914107325</v>
      </c>
      <c r="BI9" s="10">
        <v>-20.996468326347973</v>
      </c>
    </row>
    <row r="10" spans="1:61" x14ac:dyDescent="0.25">
      <c r="A10" s="10" t="s">
        <v>51</v>
      </c>
      <c r="B10" s="21">
        <v>2099</v>
      </c>
      <c r="C10" s="14">
        <f t="shared" si="0"/>
        <v>2101.6715347972422</v>
      </c>
      <c r="D10" s="15">
        <f t="shared" si="1"/>
        <v>-0.12727655060706061</v>
      </c>
      <c r="E10" s="10">
        <v>9</v>
      </c>
      <c r="F10" s="9">
        <v>178.16964285714286</v>
      </c>
      <c r="G10" s="10">
        <v>8.9690337718543915</v>
      </c>
      <c r="H10" s="9">
        <v>616.42380258225739</v>
      </c>
      <c r="I10" s="10">
        <v>-39.42751566136549</v>
      </c>
      <c r="J10" s="9">
        <v>330.88254373177841</v>
      </c>
      <c r="K10" s="10">
        <v>-6.8562897270807683</v>
      </c>
      <c r="L10" s="9">
        <v>1582.6912970707394</v>
      </c>
      <c r="M10" s="10">
        <v>1.044592963814349</v>
      </c>
      <c r="N10" s="9">
        <v>471.35140901437262</v>
      </c>
      <c r="O10" s="10">
        <v>-9.7534838433278157</v>
      </c>
      <c r="P10" s="9">
        <v>240.79541442134172</v>
      </c>
      <c r="Q10" s="10">
        <v>-17.886577016193858</v>
      </c>
      <c r="R10" s="9">
        <v>136.91149803647403</v>
      </c>
      <c r="S10" s="10">
        <v>1.4015645852143912</v>
      </c>
      <c r="T10" s="9">
        <v>5490.0894313846165</v>
      </c>
      <c r="U10" s="10">
        <v>178.3053173517701</v>
      </c>
      <c r="V10" s="9">
        <v>2942.2029779258646</v>
      </c>
      <c r="W10" s="10">
        <v>97.707922865937178</v>
      </c>
      <c r="X10" s="9">
        <v>14077.257492588489</v>
      </c>
      <c r="Y10" s="10">
        <v>216.13447890560286</v>
      </c>
      <c r="Z10" s="9">
        <v>4201.9402320285626</v>
      </c>
      <c r="AA10" s="10">
        <v>13.256295290324159</v>
      </c>
      <c r="AB10" s="9">
        <v>2126.3501718309717</v>
      </c>
      <c r="AC10" s="10">
        <v>-77.425952434523083</v>
      </c>
      <c r="AD10" s="9">
        <v>1221.1056522546469</v>
      </c>
      <c r="AE10" s="10">
        <v>58.05383059365915</v>
      </c>
      <c r="AF10" s="9">
        <v>10290.805007072984</v>
      </c>
      <c r="AG10" s="10">
        <v>-322.75352502899329</v>
      </c>
      <c r="AH10" s="9">
        <v>48503.622418324529</v>
      </c>
      <c r="AI10" s="10">
        <v>-536.6197455929389</v>
      </c>
      <c r="AJ10" s="9">
        <v>14686.246887996889</v>
      </c>
      <c r="AK10" s="10">
        <v>-210.34667611235761</v>
      </c>
      <c r="AL10" s="9">
        <v>7431.108618860103</v>
      </c>
      <c r="AM10" s="10">
        <v>-489.10115309614844</v>
      </c>
      <c r="AN10" s="9">
        <v>4287.0110509059459</v>
      </c>
      <c r="AO10" s="10">
        <v>113.22092489253967</v>
      </c>
      <c r="AP10" s="9">
        <v>26048.400998907939</v>
      </c>
      <c r="AQ10" s="10">
        <v>-648.11712522761991</v>
      </c>
      <c r="AR10" s="9">
        <v>7971.5532638610348</v>
      </c>
      <c r="AS10" s="10">
        <v>-1.0321225605337503</v>
      </c>
      <c r="AT10" s="9">
        <v>4006.5893047118952</v>
      </c>
      <c r="AU10" s="10">
        <v>-249.536512883879</v>
      </c>
      <c r="AV10" s="9">
        <v>2312.4539132299155</v>
      </c>
      <c r="AW10" s="10">
        <v>78.089886847958439</v>
      </c>
      <c r="AX10" s="9">
        <v>36210.911722169403</v>
      </c>
      <c r="AY10" s="10">
        <v>-920.17138109748316</v>
      </c>
      <c r="AZ10" s="9">
        <v>20109.376077380119</v>
      </c>
      <c r="BA10" s="10">
        <v>-1372.2731361203714</v>
      </c>
      <c r="BB10" s="9">
        <v>10569.048155817165</v>
      </c>
      <c r="BC10" s="10">
        <v>-221.60706125492132</v>
      </c>
      <c r="BD10" s="9">
        <v>5287.4702667672082</v>
      </c>
      <c r="BE10" s="10">
        <v>-308.94222166702525</v>
      </c>
      <c r="BF10" s="9">
        <v>3441.8264741514149</v>
      </c>
      <c r="BG10" s="10">
        <v>15.716202611756259</v>
      </c>
      <c r="BH10" s="9">
        <v>1641.2224649299558</v>
      </c>
      <c r="BI10" s="10">
        <v>-114.7119130181774</v>
      </c>
    </row>
    <row r="11" spans="1:61" x14ac:dyDescent="0.25">
      <c r="A11" s="10" t="s">
        <v>52</v>
      </c>
      <c r="B11" s="21">
        <v>1615</v>
      </c>
      <c r="C11" s="14">
        <f t="shared" si="0"/>
        <v>1938.2469757138199</v>
      </c>
      <c r="D11" s="15">
        <f t="shared" si="1"/>
        <v>-20.015292613858819</v>
      </c>
      <c r="E11" s="10">
        <v>10</v>
      </c>
      <c r="F11" s="9">
        <v>171.48035714285714</v>
      </c>
      <c r="G11" s="10">
        <v>8.2082447220228989</v>
      </c>
      <c r="H11" s="9">
        <v>610.98412698412687</v>
      </c>
      <c r="I11" s="10">
        <v>-38.489836431781058</v>
      </c>
      <c r="J11" s="9">
        <v>346.96031746031741</v>
      </c>
      <c r="K11" s="10">
        <v>-8.999020570371389</v>
      </c>
      <c r="L11" s="9">
        <v>1531.7492891711802</v>
      </c>
      <c r="M11" s="10">
        <v>2.1224061146747992</v>
      </c>
      <c r="N11" s="9">
        <v>452.46627065306825</v>
      </c>
      <c r="O11" s="10">
        <v>-17.498849540693211</v>
      </c>
      <c r="P11" s="9">
        <v>258.72085377610472</v>
      </c>
      <c r="Q11" s="10">
        <v>-13.398737373833061</v>
      </c>
      <c r="R11" s="9">
        <v>147.25195351018991</v>
      </c>
      <c r="S11" s="10">
        <v>-8.3391855382601499</v>
      </c>
      <c r="T11" s="9">
        <v>5234.2360402494351</v>
      </c>
      <c r="U11" s="10">
        <v>145.97155041006533</v>
      </c>
      <c r="V11" s="9">
        <v>2970.2219246031741</v>
      </c>
      <c r="W11" s="10">
        <v>79.051039861047443</v>
      </c>
      <c r="X11" s="9">
        <v>13145.055745632582</v>
      </c>
      <c r="Y11" s="10">
        <v>273.90262928495173</v>
      </c>
      <c r="Z11" s="9">
        <v>3874.8057513892136</v>
      </c>
      <c r="AA11" s="10">
        <v>-49.419114232094699</v>
      </c>
      <c r="AB11" s="9">
        <v>2217.280749648799</v>
      </c>
      <c r="AC11" s="10">
        <v>-32.654175223456406</v>
      </c>
      <c r="AD11" s="9">
        <v>1259.5383297430362</v>
      </c>
      <c r="AE11" s="10">
        <v>-20.533119508793412</v>
      </c>
      <c r="AF11" s="9">
        <v>10653.903124212649</v>
      </c>
      <c r="AG11" s="10">
        <v>-403.02407416439166</v>
      </c>
      <c r="AH11" s="9">
        <v>46793.725932028225</v>
      </c>
      <c r="AI11" s="10">
        <v>-399.06955653678352</v>
      </c>
      <c r="AJ11" s="9">
        <v>13963.13141145384</v>
      </c>
      <c r="AK11" s="10">
        <v>-504.96668275468949</v>
      </c>
      <c r="AL11" s="9">
        <v>7955.0117243150899</v>
      </c>
      <c r="AM11" s="10">
        <v>-373.86400307048262</v>
      </c>
      <c r="AN11" s="9">
        <v>4556.065243293946</v>
      </c>
      <c r="AO11" s="10">
        <v>-201.50510893262728</v>
      </c>
      <c r="AP11" s="9">
        <v>26568.506673138389</v>
      </c>
      <c r="AQ11" s="10">
        <v>-701.86189577692869</v>
      </c>
      <c r="AR11" s="9">
        <v>8164.9052711830182</v>
      </c>
      <c r="AS11" s="10">
        <v>-251.65931210826579</v>
      </c>
      <c r="AT11" s="9">
        <v>4581.1914881913553</v>
      </c>
      <c r="AU11" s="10">
        <v>-225.40999452996641</v>
      </c>
      <c r="AV11" s="9">
        <v>2671.8401987085781</v>
      </c>
      <c r="AW11" s="10">
        <v>-105.64927482723699</v>
      </c>
      <c r="AX11" s="9">
        <v>34655.968969553061</v>
      </c>
      <c r="AY11" s="10">
        <v>-1675.8472877431454</v>
      </c>
      <c r="AZ11" s="9">
        <v>19880.248403614041</v>
      </c>
      <c r="BA11" s="10">
        <v>-1088.0242377683519</v>
      </c>
      <c r="BB11" s="9">
        <v>11283.153641799678</v>
      </c>
      <c r="BC11" s="10">
        <v>-720.03406686409903</v>
      </c>
      <c r="BD11" s="9">
        <v>6153.0789592835135</v>
      </c>
      <c r="BE11" s="10">
        <v>-437.32400317027367</v>
      </c>
      <c r="BF11" s="9">
        <v>3730.1120479124406</v>
      </c>
      <c r="BG11" s="10">
        <v>-336.90333989959078</v>
      </c>
      <c r="BH11" s="9">
        <v>2017.6806619346191</v>
      </c>
      <c r="BI11" s="10">
        <v>-165.14146730151091</v>
      </c>
    </row>
    <row r="12" spans="1:61" x14ac:dyDescent="0.25">
      <c r="A12" s="10" t="s">
        <v>53</v>
      </c>
      <c r="B12" s="21">
        <v>2267</v>
      </c>
      <c r="C12" s="14">
        <f t="shared" si="0"/>
        <v>2106.6815241737477</v>
      </c>
      <c r="D12" s="15">
        <f t="shared" si="1"/>
        <v>7.0718339579290843</v>
      </c>
      <c r="E12" s="10">
        <v>11</v>
      </c>
      <c r="F12" s="9">
        <v>169.20714285714288</v>
      </c>
      <c r="G12" s="10">
        <v>8.9753749469032229</v>
      </c>
      <c r="H12" s="9">
        <v>612.6446428571428</v>
      </c>
      <c r="I12" s="10">
        <v>-39.841951717672202</v>
      </c>
      <c r="J12" s="9">
        <v>355.28571428571428</v>
      </c>
      <c r="K12" s="10">
        <v>-10.217728695770449</v>
      </c>
      <c r="L12" s="9">
        <v>1566.535676618091</v>
      </c>
      <c r="M12" s="10">
        <v>10.266791949476556</v>
      </c>
      <c r="N12" s="9">
        <v>498.77478764648572</v>
      </c>
      <c r="O12" s="10">
        <v>-15.15317333603169</v>
      </c>
      <c r="P12" s="9">
        <v>273.04674960027978</v>
      </c>
      <c r="Q12" s="10">
        <v>-14.468864406307882</v>
      </c>
      <c r="R12" s="9">
        <v>164.41593757778926</v>
      </c>
      <c r="S12" s="10">
        <v>-7.4239384530200301</v>
      </c>
      <c r="T12" s="9">
        <v>5181.3953188775522</v>
      </c>
      <c r="U12" s="10">
        <v>199.57355349908221</v>
      </c>
      <c r="V12" s="9">
        <v>3001.9571428571435</v>
      </c>
      <c r="W12" s="10">
        <v>90.128432008200178</v>
      </c>
      <c r="X12" s="9">
        <v>13252.795528634799</v>
      </c>
      <c r="Y12" s="10">
        <v>284.4780979841122</v>
      </c>
      <c r="Z12" s="9">
        <v>4209.2660247912008</v>
      </c>
      <c r="AA12" s="10">
        <v>-21.196030781352306</v>
      </c>
      <c r="AB12" s="9">
        <v>2302.8206089623682</v>
      </c>
      <c r="AC12" s="10">
        <v>-33.163863241512956</v>
      </c>
      <c r="AD12" s="9">
        <v>1386.8662659910963</v>
      </c>
      <c r="AE12" s="10">
        <v>0.84158121309667666</v>
      </c>
      <c r="AF12" s="9">
        <v>10963.004081632653</v>
      </c>
      <c r="AG12" s="10">
        <v>-457.74739733224192</v>
      </c>
      <c r="AH12" s="9">
        <v>47972.284448050254</v>
      </c>
      <c r="AI12" s="10">
        <v>-404.8129219741831</v>
      </c>
      <c r="AJ12" s="9">
        <v>15443.621847008229</v>
      </c>
      <c r="AK12" s="10">
        <v>-468.38814187371014</v>
      </c>
      <c r="AL12" s="9">
        <v>8441.2038014502141</v>
      </c>
      <c r="AM12" s="10">
        <v>-432.43503396443185</v>
      </c>
      <c r="AN12" s="9">
        <v>5124.0157853472319</v>
      </c>
      <c r="AO12" s="10">
        <v>-205.62136137885622</v>
      </c>
      <c r="AP12" s="9">
        <v>27808.494420787505</v>
      </c>
      <c r="AQ12" s="10">
        <v>-643.5286957197585</v>
      </c>
      <c r="AR12" s="9">
        <v>9110.8537843246177</v>
      </c>
      <c r="AS12" s="10">
        <v>-236.70958111060685</v>
      </c>
      <c r="AT12" s="9">
        <v>4954.4003157843226</v>
      </c>
      <c r="AU12" s="10">
        <v>-255.95304444589365</v>
      </c>
      <c r="AV12" s="9">
        <v>3043.8816893520693</v>
      </c>
      <c r="AW12" s="10">
        <v>-114.73925773125541</v>
      </c>
      <c r="AX12" s="9">
        <v>39006.077240963423</v>
      </c>
      <c r="AY12" s="10">
        <v>-1173.0544786980508</v>
      </c>
      <c r="AZ12" s="9">
        <v>21411.363880498913</v>
      </c>
      <c r="BA12" s="10">
        <v>-1116.4965378503821</v>
      </c>
      <c r="BB12" s="9">
        <v>12855.339657727716</v>
      </c>
      <c r="BC12" s="10">
        <v>-698.29934062771304</v>
      </c>
      <c r="BD12" s="9">
        <v>7047.5707365713615</v>
      </c>
      <c r="BE12" s="10">
        <v>-451.38354004781053</v>
      </c>
      <c r="BF12" s="9">
        <v>4403.7409281423361</v>
      </c>
      <c r="BG12" s="10">
        <v>-328.20917672490674</v>
      </c>
      <c r="BH12" s="9">
        <v>2364.9769770941798</v>
      </c>
      <c r="BI12" s="10">
        <v>-188.42751127736742</v>
      </c>
    </row>
    <row r="13" spans="1:61" x14ac:dyDescent="0.25">
      <c r="A13" s="10" t="s">
        <v>54</v>
      </c>
      <c r="B13" s="21">
        <v>2236</v>
      </c>
      <c r="C13" s="14">
        <f t="shared" si="0"/>
        <v>2270.4020953749782</v>
      </c>
      <c r="D13" s="15">
        <f t="shared" si="1"/>
        <v>-1.5385552493281849</v>
      </c>
      <c r="E13" s="10">
        <v>12</v>
      </c>
      <c r="F13" s="9">
        <v>176.14285714285714</v>
      </c>
      <c r="G13" s="10">
        <v>8.572720041529422</v>
      </c>
      <c r="H13" s="9">
        <v>637.63571428571424</v>
      </c>
      <c r="I13" s="10">
        <v>-38.539523539943403</v>
      </c>
      <c r="J13" s="9">
        <v>355.33928571428567</v>
      </c>
      <c r="K13" s="10">
        <v>-6.9954984923838461</v>
      </c>
      <c r="L13" s="9">
        <v>1252.8134123820223</v>
      </c>
      <c r="M13" s="10">
        <v>17.251966477221227</v>
      </c>
      <c r="N13" s="9">
        <v>634.36461478643082</v>
      </c>
      <c r="O13" s="10">
        <v>-14.946402857212252</v>
      </c>
      <c r="P13" s="9">
        <v>219.44934666345858</v>
      </c>
      <c r="Q13" s="10">
        <v>-13.786628266152995</v>
      </c>
      <c r="R13" s="9">
        <v>216.10914786908415</v>
      </c>
      <c r="S13" s="10">
        <v>-3.849255542621465</v>
      </c>
      <c r="T13" s="9">
        <v>5606.74693877551</v>
      </c>
      <c r="U13" s="10">
        <v>196.48722937065116</v>
      </c>
      <c r="V13" s="9">
        <v>3116.0056122448977</v>
      </c>
      <c r="W13" s="10">
        <v>107.42927003556895</v>
      </c>
      <c r="X13" s="9">
        <v>11024.393706824574</v>
      </c>
      <c r="Y13" s="10">
        <v>302.36389800370432</v>
      </c>
      <c r="Z13" s="9">
        <v>5609.7193559797624</v>
      </c>
      <c r="AA13" s="10">
        <v>-6.6428423924057718</v>
      </c>
      <c r="AB13" s="9">
        <v>1918.3208850326403</v>
      </c>
      <c r="AC13" s="10">
        <v>-54.332336612255574</v>
      </c>
      <c r="AD13" s="9">
        <v>1906.2540554099442</v>
      </c>
      <c r="AE13" s="10">
        <v>37.560493431625538</v>
      </c>
      <c r="AF13" s="9">
        <v>11475.029719387754</v>
      </c>
      <c r="AG13" s="10">
        <v>-298.09423351260432</v>
      </c>
      <c r="AH13" s="9">
        <v>39853.136194189196</v>
      </c>
      <c r="AI13" s="10">
        <v>-176.39332409620499</v>
      </c>
      <c r="AJ13" s="9">
        <v>20230.319805878262</v>
      </c>
      <c r="AK13" s="10">
        <v>-425.02568044609529</v>
      </c>
      <c r="AL13" s="9">
        <v>7069.7846166188438</v>
      </c>
      <c r="AM13" s="10">
        <v>-438.10029584933068</v>
      </c>
      <c r="AN13" s="9">
        <v>6965.3180234069987</v>
      </c>
      <c r="AO13" s="10">
        <v>-57.489014100412533</v>
      </c>
      <c r="AP13" s="9">
        <v>22291.694155772995</v>
      </c>
      <c r="AQ13" s="10">
        <v>-583.47651796229025</v>
      </c>
      <c r="AR13" s="9">
        <v>11584.511257128794</v>
      </c>
      <c r="AS13" s="10">
        <v>-261.2523582217666</v>
      </c>
      <c r="AT13" s="9">
        <v>4092.5578347333894</v>
      </c>
      <c r="AU13" s="10">
        <v>-240.16418614703628</v>
      </c>
      <c r="AV13" s="9">
        <v>4046.6822329108572</v>
      </c>
      <c r="AW13" s="10">
        <v>-53.194517839338623</v>
      </c>
      <c r="AX13" s="9">
        <v>40205.127238114088</v>
      </c>
      <c r="AY13" s="10">
        <v>-728.45060862961145</v>
      </c>
      <c r="AZ13" s="9">
        <v>14153.122032169484</v>
      </c>
      <c r="BA13" s="10">
        <v>-866.08919784845557</v>
      </c>
      <c r="BB13" s="9">
        <v>13651.817030778209</v>
      </c>
      <c r="BC13" s="10">
        <v>-417.06130181778332</v>
      </c>
      <c r="BD13" s="9">
        <v>7260.5554961357811</v>
      </c>
      <c r="BE13" s="10">
        <v>-516.04259404583502</v>
      </c>
      <c r="BF13" s="9">
        <v>7888.31603028073</v>
      </c>
      <c r="BG13" s="10">
        <v>-332.0541832897207</v>
      </c>
      <c r="BH13" s="9">
        <v>2527.8501850866483</v>
      </c>
      <c r="BI13" s="10">
        <v>-185.35792935914122</v>
      </c>
    </row>
    <row r="14" spans="1:61" x14ac:dyDescent="0.25">
      <c r="A14" s="10" t="s">
        <v>55</v>
      </c>
      <c r="B14" s="21">
        <v>1588</v>
      </c>
      <c r="C14" s="14">
        <f t="shared" si="0"/>
        <v>1509.7431147871246</v>
      </c>
      <c r="D14" s="15">
        <f t="shared" si="1"/>
        <v>4.9280154416168402</v>
      </c>
      <c r="E14" s="10">
        <v>13</v>
      </c>
      <c r="F14" s="9">
        <v>179.05</v>
      </c>
      <c r="G14" s="10">
        <v>7.7899403482273195</v>
      </c>
      <c r="H14" s="9">
        <v>612.26126093294477</v>
      </c>
      <c r="I14" s="10">
        <v>-43.806026615697192</v>
      </c>
      <c r="J14" s="9">
        <v>297.99066326530607</v>
      </c>
      <c r="K14" s="10">
        <v>-9.0465956065617235</v>
      </c>
      <c r="L14" s="9">
        <v>1190.925762886232</v>
      </c>
      <c r="M14" s="10">
        <v>-30.484123339625881</v>
      </c>
      <c r="N14" s="9">
        <v>758.57095463377584</v>
      </c>
      <c r="O14" s="10">
        <v>-13.092379180000513</v>
      </c>
      <c r="P14" s="9">
        <v>193.7517859601148</v>
      </c>
      <c r="Q14" s="10">
        <v>-13.162696548630617</v>
      </c>
      <c r="R14" s="9">
        <v>199.00439860867991</v>
      </c>
      <c r="S14" s="10">
        <v>-13.477448673557555</v>
      </c>
      <c r="T14" s="9">
        <v>5481.9289566847146</v>
      </c>
      <c r="U14" s="10">
        <v>119.55231440281325</v>
      </c>
      <c r="V14" s="9">
        <v>2671.7183396501464</v>
      </c>
      <c r="W14" s="10">
        <v>67.884769228697692</v>
      </c>
      <c r="X14" s="9">
        <v>10663.494066685424</v>
      </c>
      <c r="Y14" s="10">
        <v>-68.175095735814011</v>
      </c>
      <c r="Z14" s="9">
        <v>6745.0322478051894</v>
      </c>
      <c r="AA14" s="10">
        <v>-2.6557957220613382</v>
      </c>
      <c r="AB14" s="9">
        <v>1732.2059873283938</v>
      </c>
      <c r="AC14" s="10">
        <v>-61.955035345139557</v>
      </c>
      <c r="AD14" s="9">
        <v>1771.5567354983366</v>
      </c>
      <c r="AE14" s="10">
        <v>-66.877933964749062</v>
      </c>
      <c r="AF14" s="9">
        <v>9206.6723462638365</v>
      </c>
      <c r="AG14" s="10">
        <v>-449.43658359828464</v>
      </c>
      <c r="AH14" s="9">
        <v>36507.173605413926</v>
      </c>
      <c r="AI14" s="10">
        <v>-1269.7313426493849</v>
      </c>
      <c r="AJ14" s="9">
        <v>23151.651820530686</v>
      </c>
      <c r="AK14" s="10">
        <v>-296.61301938219765</v>
      </c>
      <c r="AL14" s="9">
        <v>5982.4242057785259</v>
      </c>
      <c r="AM14" s="10">
        <v>-408.54254923316262</v>
      </c>
      <c r="AN14" s="9">
        <v>6092.1780704487055</v>
      </c>
      <c r="AO14" s="10">
        <v>-401.42840268972122</v>
      </c>
      <c r="AP14" s="9">
        <v>17867.155483442042</v>
      </c>
      <c r="AQ14" s="10">
        <v>-853.02669430031222</v>
      </c>
      <c r="AR14" s="9">
        <v>11245.585606644958</v>
      </c>
      <c r="AS14" s="10">
        <v>-91.608508528218863</v>
      </c>
      <c r="AT14" s="9">
        <v>2951.5003475574872</v>
      </c>
      <c r="AU14" s="10">
        <v>-204.51410696435221</v>
      </c>
      <c r="AV14" s="9">
        <v>2976.626178570144</v>
      </c>
      <c r="AW14" s="10">
        <v>-185.56273721115917</v>
      </c>
      <c r="AX14" s="9">
        <v>45651.90608472962</v>
      </c>
      <c r="AY14" s="10">
        <v>-2120.5607903141477</v>
      </c>
      <c r="AZ14" s="9">
        <v>11848.967595571568</v>
      </c>
      <c r="BA14" s="10">
        <v>-990.13508055602779</v>
      </c>
      <c r="BB14" s="9">
        <v>12243.227172430874</v>
      </c>
      <c r="BC14" s="10">
        <v>-1066.413670731265</v>
      </c>
      <c r="BD14" s="9">
        <v>7407.7506238924352</v>
      </c>
      <c r="BE14" s="10">
        <v>-491.2895535724</v>
      </c>
      <c r="BF14" s="9">
        <v>7701.1104490732578</v>
      </c>
      <c r="BG14" s="10">
        <v>-518.48491624571841</v>
      </c>
      <c r="BH14" s="9">
        <v>2071.5529648028887</v>
      </c>
      <c r="BI14" s="10">
        <v>-249.98845635904883</v>
      </c>
    </row>
    <row r="15" spans="1:61" x14ac:dyDescent="0.25">
      <c r="A15" s="10" t="s">
        <v>56</v>
      </c>
      <c r="B15" s="21">
        <v>2273</v>
      </c>
      <c r="C15" s="14">
        <f t="shared" si="0"/>
        <v>2300.6914713629294</v>
      </c>
      <c r="D15" s="15">
        <f t="shared" si="1"/>
        <v>-1.2182785465433086</v>
      </c>
      <c r="E15" s="10">
        <v>14</v>
      </c>
      <c r="F15" s="9">
        <v>180.72321428571428</v>
      </c>
      <c r="G15" s="10">
        <v>9.1108970227163706</v>
      </c>
      <c r="H15" s="9">
        <v>643.70476190476188</v>
      </c>
      <c r="I15" s="10">
        <v>-42.634696695752353</v>
      </c>
      <c r="J15" s="9">
        <v>320.07936507936512</v>
      </c>
      <c r="K15" s="10">
        <v>-8.4460039386718755</v>
      </c>
      <c r="L15" s="9">
        <v>1174.0128572825847</v>
      </c>
      <c r="M15" s="10">
        <v>-7.8170349869960631E-2</v>
      </c>
      <c r="N15" s="9">
        <v>868.22960203167418</v>
      </c>
      <c r="O15" s="10">
        <v>-13.290349217702683</v>
      </c>
      <c r="P15" s="9">
        <v>203.35877066862844</v>
      </c>
      <c r="Q15" s="10">
        <v>-9.6910691410666026</v>
      </c>
      <c r="R15" s="9">
        <v>280.0551765301567</v>
      </c>
      <c r="S15" s="10">
        <v>-6.9256182101376247</v>
      </c>
      <c r="T15" s="9">
        <v>5820.4008843537422</v>
      </c>
      <c r="U15" s="10">
        <v>191.3882622148021</v>
      </c>
      <c r="V15" s="9">
        <v>2897.7229875283442</v>
      </c>
      <c r="W15" s="10">
        <v>97.203454262822206</v>
      </c>
      <c r="X15" s="9">
        <v>10623.266670213352</v>
      </c>
      <c r="Y15" s="10">
        <v>189.76683616327728</v>
      </c>
      <c r="Z15" s="9">
        <v>7844.4135973227258</v>
      </c>
      <c r="AA15" s="10">
        <v>15.063593067979607</v>
      </c>
      <c r="AB15" s="9">
        <v>1843.8616390735694</v>
      </c>
      <c r="AC15" s="10">
        <v>-18.321424776191595</v>
      </c>
      <c r="AD15" s="9">
        <v>2532.7061844903742</v>
      </c>
      <c r="AE15" s="10">
        <v>22.428572456102131</v>
      </c>
      <c r="AF15" s="9">
        <v>10354.683688586547</v>
      </c>
      <c r="AG15" s="10">
        <v>-414.47881107954015</v>
      </c>
      <c r="AH15" s="9">
        <v>37845.545941543096</v>
      </c>
      <c r="AI15" s="10">
        <v>-263.70412185394957</v>
      </c>
      <c r="AJ15" s="9">
        <v>27905.368990312334</v>
      </c>
      <c r="AK15" s="10">
        <v>-333.81464203455334</v>
      </c>
      <c r="AL15" s="9">
        <v>6597.9871930310246</v>
      </c>
      <c r="AM15" s="10">
        <v>-304.93761763089873</v>
      </c>
      <c r="AN15" s="9">
        <v>9043.1300251102894</v>
      </c>
      <c r="AO15" s="10">
        <v>-192.46802773545249</v>
      </c>
      <c r="AP15" s="9">
        <v>18833.851132692042</v>
      </c>
      <c r="AQ15" s="10">
        <v>-446.28895253658391</v>
      </c>
      <c r="AR15" s="9">
        <v>13787.634115925441</v>
      </c>
      <c r="AS15" s="10">
        <v>-30.559125853282033</v>
      </c>
      <c r="AT15" s="9">
        <v>3318.2544014084469</v>
      </c>
      <c r="AU15" s="10">
        <v>-150.13595229792162</v>
      </c>
      <c r="AV15" s="9">
        <v>4487.2556429170627</v>
      </c>
      <c r="AW15" s="10">
        <v>-52.462165149899612</v>
      </c>
      <c r="AX15" s="9">
        <v>51174.830272951149</v>
      </c>
      <c r="AY15" s="10">
        <v>-1117.5820032674574</v>
      </c>
      <c r="AZ15" s="9">
        <v>12097.64985057444</v>
      </c>
      <c r="BA15" s="10">
        <v>-581.97129699217294</v>
      </c>
      <c r="BB15" s="9">
        <v>16552.506946237347</v>
      </c>
      <c r="BC15" s="10">
        <v>-572.09173521313403</v>
      </c>
      <c r="BD15" s="9">
        <v>8796.2406406791088</v>
      </c>
      <c r="BE15" s="10">
        <v>-378.73811919135119</v>
      </c>
      <c r="BF15" s="9">
        <v>12388.011730778284</v>
      </c>
      <c r="BG15" s="10">
        <v>-446.26290427463994</v>
      </c>
      <c r="BH15" s="9">
        <v>2877.8490493051031</v>
      </c>
      <c r="BI15" s="10">
        <v>-158.14292963834831</v>
      </c>
    </row>
    <row r="16" spans="1:61" x14ac:dyDescent="0.25">
      <c r="A16" s="10" t="s">
        <v>57</v>
      </c>
      <c r="B16" s="21">
        <v>1984</v>
      </c>
      <c r="C16" s="14">
        <f t="shared" si="0"/>
        <v>2191.6403217061229</v>
      </c>
      <c r="D16" s="15">
        <f t="shared" si="1"/>
        <v>-10.46574202147797</v>
      </c>
      <c r="E16" s="10">
        <v>15</v>
      </c>
      <c r="F16" s="9">
        <v>169.41587301587299</v>
      </c>
      <c r="G16" s="10">
        <v>8.6055542698265146</v>
      </c>
      <c r="H16" s="9">
        <v>634.80357142857133</v>
      </c>
      <c r="I16" s="10">
        <v>-40.277636600005494</v>
      </c>
      <c r="J16" s="9">
        <v>327.05</v>
      </c>
      <c r="K16" s="10">
        <v>-7.9125820523659049</v>
      </c>
      <c r="L16" s="9">
        <v>955.93914623016576</v>
      </c>
      <c r="M16" s="10">
        <v>-3.3291773344663689</v>
      </c>
      <c r="N16" s="9">
        <v>595.09062565583145</v>
      </c>
      <c r="O16" s="10">
        <v>-12.673030253857087</v>
      </c>
      <c r="P16" s="9">
        <v>171.20699422713682</v>
      </c>
      <c r="Q16" s="10">
        <v>-11.870207164272498</v>
      </c>
      <c r="R16" s="9">
        <v>192.30337023459381</v>
      </c>
      <c r="S16" s="10">
        <v>-8.813220494079248</v>
      </c>
      <c r="T16" s="9">
        <v>5394.0942970521537</v>
      </c>
      <c r="U16" s="10">
        <v>170.2319696916019</v>
      </c>
      <c r="V16" s="9">
        <v>2783.0482766439909</v>
      </c>
      <c r="W16" s="10">
        <v>85.251335212169437</v>
      </c>
      <c r="X16" s="9">
        <v>8094.2239933704877</v>
      </c>
      <c r="Y16" s="10">
        <v>149.75066377441635</v>
      </c>
      <c r="Z16" s="9">
        <v>5012.1722087576727</v>
      </c>
      <c r="AA16" s="10">
        <v>-37.556031531806909</v>
      </c>
      <c r="AB16" s="9">
        <v>1459.2929598484334</v>
      </c>
      <c r="AC16" s="10">
        <v>-43.119139970249009</v>
      </c>
      <c r="AD16" s="9">
        <v>1631.8905763193386</v>
      </c>
      <c r="AE16" s="10">
        <v>-23.918146510367446</v>
      </c>
      <c r="AF16" s="9">
        <v>10482.521096938775</v>
      </c>
      <c r="AG16" s="10">
        <v>-356.1908421352183</v>
      </c>
      <c r="AH16" s="9">
        <v>30481.729155255965</v>
      </c>
      <c r="AI16" s="10">
        <v>-602.23832297829699</v>
      </c>
      <c r="AJ16" s="9">
        <v>18834.819343549298</v>
      </c>
      <c r="AK16" s="10">
        <v>-528.319365020227</v>
      </c>
      <c r="AL16" s="9">
        <v>5515.3106014232662</v>
      </c>
      <c r="AM16" s="10">
        <v>-361.43710497149294</v>
      </c>
      <c r="AN16" s="9">
        <v>6142.5736536615104</v>
      </c>
      <c r="AO16" s="10">
        <v>-270.46925584568623</v>
      </c>
      <c r="AP16" s="9">
        <v>15834.075815570524</v>
      </c>
      <c r="AQ16" s="10">
        <v>-562.299840620228</v>
      </c>
      <c r="AR16" s="9">
        <v>9745.8573343279277</v>
      </c>
      <c r="AS16" s="10">
        <v>-208.18289633149533</v>
      </c>
      <c r="AT16" s="9">
        <v>2896.8619959915504</v>
      </c>
      <c r="AU16" s="10">
        <v>-178.15463946550577</v>
      </c>
      <c r="AV16" s="9">
        <v>3200.2457057933925</v>
      </c>
      <c r="AW16" s="10">
        <v>-108.90915601876844</v>
      </c>
      <c r="AX16" s="9">
        <v>29201.540727952506</v>
      </c>
      <c r="AY16" s="10">
        <v>-796.30605468178021</v>
      </c>
      <c r="AZ16" s="9">
        <v>8511.0271899011859</v>
      </c>
      <c r="BA16" s="10">
        <v>-665.08649481845998</v>
      </c>
      <c r="BB16" s="9">
        <v>9479.5986380640534</v>
      </c>
      <c r="BC16" s="10">
        <v>-601.6954731923197</v>
      </c>
      <c r="BD16" s="9">
        <v>5231.2842555087918</v>
      </c>
      <c r="BE16" s="10">
        <v>-415.42215515236302</v>
      </c>
      <c r="BF16" s="9">
        <v>6010.1462424337087</v>
      </c>
      <c r="BG16" s="10">
        <v>-372.55384027527413</v>
      </c>
      <c r="BH16" s="9">
        <v>1728.7883856956169</v>
      </c>
      <c r="BI16" s="10">
        <v>-171.27542564150161</v>
      </c>
    </row>
    <row r="17" spans="1:61" x14ac:dyDescent="0.25">
      <c r="A17" s="10" t="s">
        <v>58</v>
      </c>
      <c r="B17" s="21">
        <v>2278</v>
      </c>
      <c r="C17" s="14">
        <f t="shared" si="0"/>
        <v>2244.5714696375635</v>
      </c>
      <c r="D17" s="15">
        <f t="shared" si="1"/>
        <v>1.4674508499752636</v>
      </c>
      <c r="E17" s="10">
        <v>16</v>
      </c>
      <c r="F17" s="9">
        <v>168.68571428571431</v>
      </c>
      <c r="G17" s="10">
        <v>8.1901590386388605</v>
      </c>
      <c r="H17" s="9">
        <v>637.99642857142862</v>
      </c>
      <c r="I17" s="10">
        <v>-39.717123362265454</v>
      </c>
      <c r="J17" s="9">
        <v>318.60714285714289</v>
      </c>
      <c r="K17" s="10">
        <v>-9.4443044335370931</v>
      </c>
      <c r="L17" s="9">
        <v>1004.9351246804919</v>
      </c>
      <c r="M17" s="10">
        <v>10.333169784632819</v>
      </c>
      <c r="N17" s="9">
        <v>702.73165512334231</v>
      </c>
      <c r="O17" s="10">
        <v>-10.365324052132634</v>
      </c>
      <c r="P17" s="9">
        <v>179.42711006224681</v>
      </c>
      <c r="Q17" s="10">
        <v>-8.6344673225883888</v>
      </c>
      <c r="R17" s="9">
        <v>227.98292922157643</v>
      </c>
      <c r="S17" s="10">
        <v>-3.4707943748953261</v>
      </c>
      <c r="T17" s="9">
        <v>5384.8137244897953</v>
      </c>
      <c r="U17" s="10">
        <v>190.09137800208094</v>
      </c>
      <c r="V17" s="9">
        <v>2688.7725510204086</v>
      </c>
      <c r="W17" s="10">
        <v>84.442644744840337</v>
      </c>
      <c r="X17" s="9">
        <v>8448.3537994172912</v>
      </c>
      <c r="Y17" s="10">
        <v>170.87366475374378</v>
      </c>
      <c r="Z17" s="9">
        <v>5926.732961382435</v>
      </c>
      <c r="AA17" s="10">
        <v>18.383635668892214</v>
      </c>
      <c r="AB17" s="9">
        <v>1509.0710797469674</v>
      </c>
      <c r="AC17" s="10">
        <v>-22.209714451598455</v>
      </c>
      <c r="AD17" s="9">
        <v>1925.4797468599577</v>
      </c>
      <c r="AE17" s="10">
        <v>30.695506107073953</v>
      </c>
      <c r="AF17" s="9">
        <v>10185.780178571427</v>
      </c>
      <c r="AG17" s="10">
        <v>-404.41265851606613</v>
      </c>
      <c r="AH17" s="9">
        <v>32085.870875742348</v>
      </c>
      <c r="AI17" s="10">
        <v>-199.32930444819101</v>
      </c>
      <c r="AJ17" s="9">
        <v>22446.66772976935</v>
      </c>
      <c r="AK17" s="10">
        <v>-310.70421533656742</v>
      </c>
      <c r="AL17" s="9">
        <v>5748.9357111914469</v>
      </c>
      <c r="AM17" s="10">
        <v>-274.63145976273211</v>
      </c>
      <c r="AN17" s="9">
        <v>7311.08694085143</v>
      </c>
      <c r="AO17" s="10">
        <v>-74.842263064994626</v>
      </c>
      <c r="AP17" s="9">
        <v>16035.021654697455</v>
      </c>
      <c r="AQ17" s="10">
        <v>-347.73413207546253</v>
      </c>
      <c r="AR17" s="9">
        <v>11196.44122898633</v>
      </c>
      <c r="AS17" s="10">
        <v>-14.679314718842768</v>
      </c>
      <c r="AT17" s="9">
        <v>2880.4797554686247</v>
      </c>
      <c r="AU17" s="10">
        <v>-143.48799321135402</v>
      </c>
      <c r="AV17" s="9">
        <v>3643.2072648502435</v>
      </c>
      <c r="AW17" s="10">
        <v>-3.5509308928317971</v>
      </c>
      <c r="AX17" s="9">
        <v>35695.730790502304</v>
      </c>
      <c r="AY17" s="10">
        <v>-329.32982093380554</v>
      </c>
      <c r="AZ17" s="9">
        <v>9273.0393494713426</v>
      </c>
      <c r="BA17" s="10">
        <v>-375.65963936886453</v>
      </c>
      <c r="BB17" s="9">
        <v>11620.134214560836</v>
      </c>
      <c r="BC17" s="10">
        <v>-273.62084932973744</v>
      </c>
      <c r="BD17" s="9">
        <v>6413.6329606926311</v>
      </c>
      <c r="BE17" s="10">
        <v>-211.6459656128211</v>
      </c>
      <c r="BF17" s="9">
        <v>8304.7291159381457</v>
      </c>
      <c r="BG17" s="10">
        <v>-182.46410386340352</v>
      </c>
      <c r="BH17" s="9">
        <v>2096.4984651361542</v>
      </c>
      <c r="BI17" s="10">
        <v>-84.098764378083686</v>
      </c>
    </row>
    <row r="18" spans="1:61" x14ac:dyDescent="0.25">
      <c r="A18" s="10" t="s">
        <v>59</v>
      </c>
      <c r="B18" s="21">
        <v>2541</v>
      </c>
      <c r="C18" s="14">
        <f t="shared" si="0"/>
        <v>2683.8945654153563</v>
      </c>
      <c r="D18" s="15">
        <f t="shared" si="1"/>
        <v>-5.6235562934024514</v>
      </c>
      <c r="E18" s="10">
        <v>17</v>
      </c>
      <c r="F18" s="9">
        <v>179.8031746031746</v>
      </c>
      <c r="G18" s="10">
        <v>9.0492719964754151</v>
      </c>
      <c r="H18" s="9">
        <v>624.5151530612244</v>
      </c>
      <c r="I18" s="10">
        <v>-36.236303976805324</v>
      </c>
      <c r="J18" s="9">
        <v>330.27438775510211</v>
      </c>
      <c r="K18" s="10">
        <v>-5.1126698035646925</v>
      </c>
      <c r="L18" s="9">
        <v>1161.0350433868368</v>
      </c>
      <c r="M18" s="10">
        <v>9.0128511345738129</v>
      </c>
      <c r="N18" s="9">
        <v>717.3624922961825</v>
      </c>
      <c r="O18" s="10">
        <v>-11.077666359362524</v>
      </c>
      <c r="P18" s="9">
        <v>209.64186595766822</v>
      </c>
      <c r="Q18" s="10">
        <v>-9.7707860235006248</v>
      </c>
      <c r="R18" s="9">
        <v>195.32773900051356</v>
      </c>
      <c r="S18" s="10">
        <v>-3.1903058828472997</v>
      </c>
      <c r="T18" s="9">
        <v>5626.2450588759302</v>
      </c>
      <c r="U18" s="10">
        <v>210.63700546505152</v>
      </c>
      <c r="V18" s="9">
        <v>2983.2770409782956</v>
      </c>
      <c r="W18" s="10">
        <v>122.28321401006505</v>
      </c>
      <c r="X18" s="9">
        <v>10438.805455643993</v>
      </c>
      <c r="Y18" s="10">
        <v>224.02865936807666</v>
      </c>
      <c r="Z18" s="9">
        <v>6458.984964724852</v>
      </c>
      <c r="AA18" s="10">
        <v>22.5853144060132</v>
      </c>
      <c r="AB18" s="9">
        <v>1893.4778489842972</v>
      </c>
      <c r="AC18" s="10">
        <v>-14.702581821644198</v>
      </c>
      <c r="AD18" s="9">
        <v>1765.4183595233619</v>
      </c>
      <c r="AE18" s="10">
        <v>36.473938223408339</v>
      </c>
      <c r="AF18" s="9">
        <v>10369.577746342668</v>
      </c>
      <c r="AG18" s="10">
        <v>-242.55180606388871</v>
      </c>
      <c r="AH18" s="9">
        <v>36264.652614152663</v>
      </c>
      <c r="AI18" s="10">
        <v>-16.654758857878335</v>
      </c>
      <c r="AJ18" s="9">
        <v>22428.973677924532</v>
      </c>
      <c r="AK18" s="10">
        <v>-241.70147433880888</v>
      </c>
      <c r="AL18" s="9">
        <v>6587.9990432988998</v>
      </c>
      <c r="AM18" s="10">
        <v>-250.91500678112092</v>
      </c>
      <c r="AN18" s="9">
        <v>6125.7569935207739</v>
      </c>
      <c r="AO18" s="10">
        <v>-34.921506921692149</v>
      </c>
      <c r="AP18" s="9">
        <v>19183.33056033291</v>
      </c>
      <c r="AQ18" s="10">
        <v>-280.9736126288883</v>
      </c>
      <c r="AR18" s="9">
        <v>11883.803385606318</v>
      </c>
      <c r="AS18" s="10">
        <v>-33.126003397734301</v>
      </c>
      <c r="AT18" s="9">
        <v>3510.2139395136778</v>
      </c>
      <c r="AU18" s="10">
        <v>-129.3131396846708</v>
      </c>
      <c r="AV18" s="9">
        <v>3251.951612652907</v>
      </c>
      <c r="AW18" s="10">
        <v>0.81324339516649147</v>
      </c>
      <c r="AX18" s="9">
        <v>41718.758530290339</v>
      </c>
      <c r="AY18" s="10">
        <v>-652.58347375890639</v>
      </c>
      <c r="AZ18" s="9">
        <v>12198.37929976606</v>
      </c>
      <c r="BA18" s="10">
        <v>-558.22977369403691</v>
      </c>
      <c r="BB18" s="9">
        <v>11349.881733664133</v>
      </c>
      <c r="BC18" s="10">
        <v>-270.31685737295663</v>
      </c>
      <c r="BD18" s="9">
        <v>7565.4015363447215</v>
      </c>
      <c r="BE18" s="10">
        <v>-330.39579814733287</v>
      </c>
      <c r="BF18" s="9">
        <v>7037.0315081450663</v>
      </c>
      <c r="BG18" s="10">
        <v>-221.27860202675021</v>
      </c>
      <c r="BH18" s="9">
        <v>2072.5328012094951</v>
      </c>
      <c r="BI18" s="10">
        <v>-85.992170808161021</v>
      </c>
    </row>
    <row r="19" spans="1:61" x14ac:dyDescent="0.25">
      <c r="A19" s="10" t="s">
        <v>60</v>
      </c>
      <c r="B19" s="25">
        <v>2833</v>
      </c>
      <c r="C19" s="14">
        <f t="shared" si="0"/>
        <v>2826.7065537571998</v>
      </c>
      <c r="D19" s="15">
        <f t="shared" si="1"/>
        <v>0.22214776713025769</v>
      </c>
      <c r="E19" s="10">
        <v>18</v>
      </c>
      <c r="F19" s="9">
        <v>168.73571428571427</v>
      </c>
      <c r="G19" s="10">
        <v>9.073595588733868</v>
      </c>
      <c r="H19" s="9">
        <v>616.94959183673473</v>
      </c>
      <c r="I19" s="10">
        <v>-34.681182023513081</v>
      </c>
      <c r="J19" s="9">
        <v>313.70739795918365</v>
      </c>
      <c r="K19" s="10">
        <v>-4.218938148596612</v>
      </c>
      <c r="L19" s="9">
        <v>1238.2791072806788</v>
      </c>
      <c r="M19" s="10">
        <v>16.167574832987505</v>
      </c>
      <c r="N19" s="9">
        <v>743.48991258374781</v>
      </c>
      <c r="O19" s="10">
        <v>-4.7284124189694143</v>
      </c>
      <c r="P19" s="9">
        <v>205.2779461939769</v>
      </c>
      <c r="Q19" s="10">
        <v>-8.9367438783283575</v>
      </c>
      <c r="R19" s="9">
        <v>210.24234888266346</v>
      </c>
      <c r="S19" s="10">
        <v>-0.35816287427907911</v>
      </c>
      <c r="T19" s="9">
        <v>5198.8536122448977</v>
      </c>
      <c r="U19" s="10">
        <v>189.73781266312295</v>
      </c>
      <c r="V19" s="9">
        <v>2640.8831978862977</v>
      </c>
      <c r="W19" s="10">
        <v>103.33539004782118</v>
      </c>
      <c r="X19" s="9">
        <v>10478.281019447608</v>
      </c>
      <c r="Y19" s="10">
        <v>313.43322581392749</v>
      </c>
      <c r="Z19" s="9">
        <v>6270.1998340864056</v>
      </c>
      <c r="AA19" s="10">
        <v>90.414084873945299</v>
      </c>
      <c r="AB19" s="9">
        <v>1730.8535105765527</v>
      </c>
      <c r="AC19" s="10">
        <v>-14.786206871606918</v>
      </c>
      <c r="AD19" s="9">
        <v>1775.3680101288369</v>
      </c>
      <c r="AE19" s="10">
        <v>60.620616755479901</v>
      </c>
      <c r="AF19" s="9">
        <v>9793.5043753644313</v>
      </c>
      <c r="AG19" s="10">
        <v>-193.0171757779863</v>
      </c>
      <c r="AH19" s="9">
        <v>38066.460056644202</v>
      </c>
      <c r="AI19" s="10">
        <v>152.92000369301286</v>
      </c>
      <c r="AJ19" s="9">
        <v>22908.095065104088</v>
      </c>
      <c r="AK19" s="10">
        <v>-57.071760979061871</v>
      </c>
      <c r="AL19" s="9">
        <v>6390.5313889328136</v>
      </c>
      <c r="AM19" s="10">
        <v>-225.08881609201279</v>
      </c>
      <c r="AN19" s="9">
        <v>6495.3163060984325</v>
      </c>
      <c r="AO19" s="10">
        <v>37.37735308757771</v>
      </c>
      <c r="AP19" s="9">
        <v>19125.733440520402</v>
      </c>
      <c r="AQ19" s="10">
        <v>-327.49784686346334</v>
      </c>
      <c r="AR19" s="9">
        <v>11613.581821781603</v>
      </c>
      <c r="AS19" s="10">
        <v>40.576405141436346</v>
      </c>
      <c r="AT19" s="9">
        <v>3301.6880034824917</v>
      </c>
      <c r="AU19" s="10">
        <v>-122.50324627110301</v>
      </c>
      <c r="AV19" s="9">
        <v>3291.5427200718609</v>
      </c>
      <c r="AW19" s="10">
        <v>11.532200056198654</v>
      </c>
      <c r="AX19" s="9">
        <v>46384.85275247605</v>
      </c>
      <c r="AY19" s="10">
        <v>-113.81540295935696</v>
      </c>
      <c r="AZ19" s="9">
        <v>12702.241253999133</v>
      </c>
      <c r="BA19" s="10">
        <v>-484.59013307568057</v>
      </c>
      <c r="BB19" s="9">
        <v>13114.080802028242</v>
      </c>
      <c r="BC19" s="10">
        <v>57.57326534168439</v>
      </c>
      <c r="BD19" s="9">
        <v>7637.7729912204541</v>
      </c>
      <c r="BE19" s="10">
        <v>-222.4244503658777</v>
      </c>
      <c r="BF19" s="9">
        <v>7902.0510614780324</v>
      </c>
      <c r="BG19" s="10">
        <v>-27.03689650603571</v>
      </c>
      <c r="BH19" s="9">
        <v>2165.4076633189902</v>
      </c>
      <c r="BI19" s="10">
        <v>-51.812620226940204</v>
      </c>
    </row>
    <row r="20" spans="1:61" x14ac:dyDescent="0.25">
      <c r="A20" s="10" t="s">
        <v>61</v>
      </c>
      <c r="B20" s="21">
        <v>2871</v>
      </c>
      <c r="C20" s="14">
        <f t="shared" si="0"/>
        <v>2754.1890104941408</v>
      </c>
      <c r="D20" s="15">
        <f t="shared" si="1"/>
        <v>4.0686516720954096</v>
      </c>
      <c r="E20" s="10">
        <v>19</v>
      </c>
      <c r="F20" s="9">
        <v>178.18392857142854</v>
      </c>
      <c r="G20" s="10">
        <v>8.9174897178249708</v>
      </c>
      <c r="H20" s="9">
        <v>624.58214285714303</v>
      </c>
      <c r="I20" s="10">
        <v>-37.254004197102965</v>
      </c>
      <c r="J20" s="9">
        <v>289.10178571428571</v>
      </c>
      <c r="K20" s="10">
        <v>-6.4830660121328414</v>
      </c>
      <c r="L20" s="9">
        <v>1262.47002766834</v>
      </c>
      <c r="M20" s="10">
        <v>18.158549147531687</v>
      </c>
      <c r="N20" s="9">
        <v>770.52643643869283</v>
      </c>
      <c r="O20" s="10">
        <v>-4.5474731688517682</v>
      </c>
      <c r="P20" s="9">
        <v>197.05985873960574</v>
      </c>
      <c r="Q20" s="10">
        <v>-10.068747165220794</v>
      </c>
      <c r="R20" s="9">
        <v>226.83111006977433</v>
      </c>
      <c r="S20" s="10">
        <v>-3.3722087121104014</v>
      </c>
      <c r="T20" s="9">
        <v>5576.0077614795919</v>
      </c>
      <c r="U20" s="10">
        <v>189.59542412747402</v>
      </c>
      <c r="V20" s="9">
        <v>2585.2132748724484</v>
      </c>
      <c r="W20" s="10">
        <v>84.977396505297946</v>
      </c>
      <c r="X20" s="9">
        <v>11262.890289225641</v>
      </c>
      <c r="Y20" s="10">
        <v>330.72941332698429</v>
      </c>
      <c r="Z20" s="9">
        <v>6855.6189190870209</v>
      </c>
      <c r="AA20" s="10">
        <v>76.133641470897686</v>
      </c>
      <c r="AB20" s="9">
        <v>1761.2487514774791</v>
      </c>
      <c r="AC20" s="10">
        <v>-30.506499066292239</v>
      </c>
      <c r="AD20" s="9">
        <v>2025.0869105220891</v>
      </c>
      <c r="AE20" s="10">
        <v>37.606759494008323</v>
      </c>
      <c r="AF20" s="9">
        <v>9142.2523660714269</v>
      </c>
      <c r="AG20" s="10">
        <v>-259.1908957957524</v>
      </c>
      <c r="AH20" s="9">
        <v>39528.112615488026</v>
      </c>
      <c r="AI20" s="10">
        <v>130.55045497025304</v>
      </c>
      <c r="AJ20" s="9">
        <v>24008.004830171634</v>
      </c>
      <c r="AK20" s="10">
        <v>-53.040903210451923</v>
      </c>
      <c r="AL20" s="9">
        <v>6235.7855521181673</v>
      </c>
      <c r="AM20" s="10">
        <v>-262.60068837499875</v>
      </c>
      <c r="AN20" s="9">
        <v>7127.1599911061166</v>
      </c>
      <c r="AO20" s="10">
        <v>-26.270264521789571</v>
      </c>
      <c r="AP20" s="9">
        <v>18317.312118996389</v>
      </c>
      <c r="AQ20" s="10">
        <v>-378.33374465107244</v>
      </c>
      <c r="AR20" s="9">
        <v>11093.104826351448</v>
      </c>
      <c r="AS20" s="10">
        <v>-0.32524438379786602</v>
      </c>
      <c r="AT20" s="9">
        <v>2955.6295827951467</v>
      </c>
      <c r="AU20" s="10">
        <v>-133.70164013429465</v>
      </c>
      <c r="AV20" s="9">
        <v>3332.9282415273647</v>
      </c>
      <c r="AW20" s="10">
        <v>-7.2453168012715743</v>
      </c>
      <c r="AX20" s="9">
        <v>49091.657614521871</v>
      </c>
      <c r="AY20" s="10">
        <v>-109.38713931014576</v>
      </c>
      <c r="AZ20" s="9">
        <v>12706.864297101945</v>
      </c>
      <c r="BA20" s="10">
        <v>-649.27581280167954</v>
      </c>
      <c r="BB20" s="9">
        <v>14552.417724057274</v>
      </c>
      <c r="BC20" s="10">
        <v>-287.37238415096272</v>
      </c>
      <c r="BD20" s="9">
        <v>7632.1120405520396</v>
      </c>
      <c r="BE20" s="10">
        <v>-339.19090671334811</v>
      </c>
      <c r="BF20" s="9">
        <v>8926.0760183929924</v>
      </c>
      <c r="BG20" s="10">
        <v>-134.72885754370049</v>
      </c>
      <c r="BH20" s="9">
        <v>2318.1601112680978</v>
      </c>
      <c r="BI20" s="10">
        <v>-125.44520931994342</v>
      </c>
    </row>
    <row r="21" spans="1:61" x14ac:dyDescent="0.25">
      <c r="A21" s="10" t="s">
        <v>62</v>
      </c>
      <c r="B21" s="21">
        <v>2792.7927927927926</v>
      </c>
      <c r="C21" s="14">
        <f t="shared" si="0"/>
        <v>2895.8060444427201</v>
      </c>
      <c r="D21" s="15">
        <f t="shared" si="1"/>
        <v>-3.6885390106909526</v>
      </c>
      <c r="E21" s="10">
        <v>20</v>
      </c>
      <c r="F21" s="9">
        <v>169.18714285714285</v>
      </c>
      <c r="G21" s="10">
        <v>8.7277518323591927</v>
      </c>
      <c r="H21" s="9">
        <v>654.34285714285716</v>
      </c>
      <c r="I21" s="10">
        <v>-30.978481583705978</v>
      </c>
      <c r="J21" s="9">
        <v>328.78571428571422</v>
      </c>
      <c r="K21" s="10">
        <v>-4.1365748842410612</v>
      </c>
      <c r="L21" s="9">
        <v>1137.9367775169599</v>
      </c>
      <c r="M21" s="10">
        <v>11.070029186042866</v>
      </c>
      <c r="N21" s="9">
        <v>686.33789995231336</v>
      </c>
      <c r="O21" s="10">
        <v>-9.4800883081334781</v>
      </c>
      <c r="P21" s="9">
        <v>217.80892001838578</v>
      </c>
      <c r="Q21" s="10">
        <v>-4.9581730102590225</v>
      </c>
      <c r="R21" s="9">
        <v>195.13982133480462</v>
      </c>
      <c r="S21" s="10">
        <v>-0.3901068631120681</v>
      </c>
      <c r="T21" s="9">
        <v>5544.065510204081</v>
      </c>
      <c r="U21" s="10">
        <v>234.30610863301038</v>
      </c>
      <c r="V21" s="9">
        <v>2786.9862244897959</v>
      </c>
      <c r="W21" s="10">
        <v>112.59550359809811</v>
      </c>
      <c r="X21" s="9">
        <v>9625.6380132186969</v>
      </c>
      <c r="Y21" s="10">
        <v>233.96193637049959</v>
      </c>
      <c r="Z21" s="9">
        <v>5809.5297924972683</v>
      </c>
      <c r="AA21" s="10">
        <v>19.19394137485466</v>
      </c>
      <c r="AB21" s="9">
        <v>1862.128963737538</v>
      </c>
      <c r="AC21" s="10">
        <v>25.415824502281396</v>
      </c>
      <c r="AD21" s="9">
        <v>1662.3283988873386</v>
      </c>
      <c r="AE21" s="10">
        <v>51.329584962011566</v>
      </c>
      <c r="AF21" s="9">
        <v>10860.669387755101</v>
      </c>
      <c r="AG21" s="10">
        <v>-179.23537406756211</v>
      </c>
      <c r="AH21" s="9">
        <v>37296.777547983838</v>
      </c>
      <c r="AI21" s="10">
        <v>187.97528105454313</v>
      </c>
      <c r="AJ21" s="9">
        <v>22401.921011159568</v>
      </c>
      <c r="AK21" s="10">
        <v>-177.59545807407531</v>
      </c>
      <c r="AL21" s="9">
        <v>7273.2749582781025</v>
      </c>
      <c r="AM21" s="10">
        <v>-30.82704385227083</v>
      </c>
      <c r="AN21" s="9">
        <v>6426.7231743808252</v>
      </c>
      <c r="AO21" s="10">
        <v>70.315571496053963</v>
      </c>
      <c r="AP21" s="9">
        <v>18718.223156216907</v>
      </c>
      <c r="AQ21" s="10">
        <v>-107.01846200768625</v>
      </c>
      <c r="AR21" s="9">
        <v>11279.438311243499</v>
      </c>
      <c r="AS21" s="10">
        <v>38.649601900194583</v>
      </c>
      <c r="AT21" s="9">
        <v>3659.6098280256442</v>
      </c>
      <c r="AU21" s="10">
        <v>-28.146545071469127</v>
      </c>
      <c r="AV21" s="9">
        <v>3246.0974848300962</v>
      </c>
      <c r="AW21" s="10">
        <v>76.024774774508245</v>
      </c>
      <c r="AX21" s="9">
        <v>38900.849851939798</v>
      </c>
      <c r="AY21" s="10">
        <v>-467.22992309983294</v>
      </c>
      <c r="AZ21" s="9">
        <v>12446.572623608712</v>
      </c>
      <c r="BA21" s="10">
        <v>-339.03354049888753</v>
      </c>
      <c r="BB21" s="9">
        <v>11117.533458197195</v>
      </c>
      <c r="BC21" s="10">
        <v>-76.947135567459952</v>
      </c>
      <c r="BD21" s="9">
        <v>7481.8719227142765</v>
      </c>
      <c r="BE21" s="10">
        <v>-163.13164278608718</v>
      </c>
      <c r="BF21" s="9">
        <v>6714.8708356266134</v>
      </c>
      <c r="BG21" s="10">
        <v>-120.9507599038366</v>
      </c>
      <c r="BH21" s="9">
        <v>2212.735749126035</v>
      </c>
      <c r="BI21" s="10">
        <v>26.519498684907482</v>
      </c>
    </row>
    <row r="22" spans="1:61" x14ac:dyDescent="0.25">
      <c r="A22" s="10" t="s">
        <v>63</v>
      </c>
      <c r="B22" s="21">
        <v>3232</v>
      </c>
      <c r="C22" s="14">
        <f t="shared" si="0"/>
        <v>3154.251032360276</v>
      </c>
      <c r="D22" s="15">
        <f t="shared" si="1"/>
        <v>2.4055992462785896</v>
      </c>
      <c r="E22" s="10">
        <v>21</v>
      </c>
      <c r="F22" s="9">
        <v>170.21785714285716</v>
      </c>
      <c r="G22" s="10">
        <v>9.3581155038481203</v>
      </c>
      <c r="H22" s="9">
        <v>592.26964285714291</v>
      </c>
      <c r="I22" s="10">
        <v>-34.489700247060355</v>
      </c>
      <c r="J22" s="9">
        <v>308.96250000000003</v>
      </c>
      <c r="K22" s="10">
        <v>-2.1658534534482214</v>
      </c>
      <c r="L22" s="9">
        <v>1151.8912917452424</v>
      </c>
      <c r="M22" s="10">
        <v>16.095100705848289</v>
      </c>
      <c r="N22" s="9">
        <v>671.49630101973696</v>
      </c>
      <c r="O22" s="10">
        <v>-9.2436963503581566</v>
      </c>
      <c r="P22" s="9">
        <v>186.49977138478243</v>
      </c>
      <c r="Q22" s="10">
        <v>-9.0484798186624698</v>
      </c>
      <c r="R22" s="9">
        <v>171.2025907925233</v>
      </c>
      <c r="S22" s="10">
        <v>-4.6017305083641631</v>
      </c>
      <c r="T22" s="9">
        <v>5048.674646045919</v>
      </c>
      <c r="U22" s="10">
        <v>207.27474339001986</v>
      </c>
      <c r="V22" s="9">
        <v>2634.6654241071428</v>
      </c>
      <c r="W22" s="10">
        <v>116.3375176110082</v>
      </c>
      <c r="X22" s="9">
        <v>9793.4302247203432</v>
      </c>
      <c r="Y22" s="10">
        <v>284.48735764671306</v>
      </c>
      <c r="Z22" s="9">
        <v>5728.4302211515851</v>
      </c>
      <c r="AA22" s="10">
        <v>32.127968461151433</v>
      </c>
      <c r="AB22" s="9">
        <v>1596.7754388791896</v>
      </c>
      <c r="AC22" s="10">
        <v>-8.3138482266180684</v>
      </c>
      <c r="AD22" s="9">
        <v>1460.6332749435239</v>
      </c>
      <c r="AE22" s="10">
        <v>17.796394533206239</v>
      </c>
      <c r="AF22" s="9">
        <v>9207.9382174744878</v>
      </c>
      <c r="AG22" s="10">
        <v>-144.32091234510926</v>
      </c>
      <c r="AH22" s="9">
        <v>34120.683871177767</v>
      </c>
      <c r="AI22" s="10">
        <v>131.32508590152662</v>
      </c>
      <c r="AJ22" s="9">
        <v>19847.529065124629</v>
      </c>
      <c r="AK22" s="10">
        <v>-196.94997887997403</v>
      </c>
      <c r="AL22" s="9">
        <v>5567.524800089207</v>
      </c>
      <c r="AM22" s="10">
        <v>-224.55564388960263</v>
      </c>
      <c r="AN22" s="9">
        <v>5082.0143496977744</v>
      </c>
      <c r="AO22" s="10">
        <v>-75.866533213731202</v>
      </c>
      <c r="AP22" s="9">
        <v>17804.033327257814</v>
      </c>
      <c r="AQ22" s="10">
        <v>-62.798792629587879</v>
      </c>
      <c r="AR22" s="9">
        <v>10376.70578611087</v>
      </c>
      <c r="AS22" s="10">
        <v>1.33186063051091</v>
      </c>
      <c r="AT22" s="9">
        <v>2935.1758277739855</v>
      </c>
      <c r="AU22" s="10">
        <v>-98.161484663393196</v>
      </c>
      <c r="AV22" s="9">
        <v>2673.2015382659101</v>
      </c>
      <c r="AW22" s="10">
        <v>-17.840313834826915</v>
      </c>
      <c r="AX22" s="9">
        <v>38642.473461944646</v>
      </c>
      <c r="AY22" s="10">
        <v>-226.89431743149987</v>
      </c>
      <c r="AZ22" s="9">
        <v>10769.232576104558</v>
      </c>
      <c r="BA22" s="10">
        <v>-462.01413269286974</v>
      </c>
      <c r="BB22" s="9">
        <v>9856.2027511879933</v>
      </c>
      <c r="BC22" s="10">
        <v>-244.50185915046242</v>
      </c>
      <c r="BD22" s="9">
        <v>6265.2685778353725</v>
      </c>
      <c r="BE22" s="10">
        <v>-285.31718994505746</v>
      </c>
      <c r="BF22" s="9">
        <v>5781.5136628352047</v>
      </c>
      <c r="BG22" s="10">
        <v>-224.58483166292632</v>
      </c>
      <c r="BH22" s="9">
        <v>1625.4465548531412</v>
      </c>
      <c r="BI22" s="10">
        <v>-94.192064902280876</v>
      </c>
    </row>
    <row r="23" spans="1:61" x14ac:dyDescent="0.25">
      <c r="A23" s="10" t="s">
        <v>64</v>
      </c>
      <c r="B23" s="21">
        <v>2596</v>
      </c>
      <c r="C23" s="14">
        <f t="shared" si="0"/>
        <v>2445.1718471277964</v>
      </c>
      <c r="D23" s="15">
        <f t="shared" si="1"/>
        <v>5.8100212970802634</v>
      </c>
      <c r="E23" s="10">
        <v>22</v>
      </c>
      <c r="F23" s="9">
        <v>161.17678571428567</v>
      </c>
      <c r="G23" s="10">
        <v>8.4654191739297833</v>
      </c>
      <c r="H23" s="9">
        <v>639.25535714285718</v>
      </c>
      <c r="I23" s="10">
        <v>-36.477907647947873</v>
      </c>
      <c r="J23" s="9">
        <v>351.74821428571431</v>
      </c>
      <c r="K23" s="10">
        <v>-6.8454346079813497</v>
      </c>
      <c r="L23" s="9">
        <v>1149.3282322848406</v>
      </c>
      <c r="M23" s="10">
        <v>6.4152255634760849</v>
      </c>
      <c r="N23" s="9">
        <v>654.04526928595919</v>
      </c>
      <c r="O23" s="10">
        <v>-11.872715704110103</v>
      </c>
      <c r="P23" s="9">
        <v>192.36955930076095</v>
      </c>
      <c r="Q23" s="10">
        <v>-10.833778877838435</v>
      </c>
      <c r="R23" s="9">
        <v>186.61108690930388</v>
      </c>
      <c r="S23" s="10">
        <v>-3.9858732670366757</v>
      </c>
      <c r="T23" s="9">
        <v>5184.3553475765302</v>
      </c>
      <c r="U23" s="10">
        <v>240.53345221881295</v>
      </c>
      <c r="V23" s="9">
        <v>2846.5435491071426</v>
      </c>
      <c r="W23" s="10">
        <v>126.99067161016548</v>
      </c>
      <c r="X23" s="9">
        <v>9215.0546775267485</v>
      </c>
      <c r="Y23" s="10">
        <v>51.494408282458323</v>
      </c>
      <c r="Z23" s="9">
        <v>5288.1030082256111</v>
      </c>
      <c r="AA23" s="10">
        <v>-21.334574435412641</v>
      </c>
      <c r="AB23" s="9">
        <v>1563.7737075366822</v>
      </c>
      <c r="AC23" s="10">
        <v>-32.375191524690962</v>
      </c>
      <c r="AD23" s="9">
        <v>1525.3907335616714</v>
      </c>
      <c r="AE23" s="10">
        <v>27.665263404618369</v>
      </c>
      <c r="AF23" s="9">
        <v>11306.581878188776</v>
      </c>
      <c r="AG23" s="10">
        <v>-303.48655627683371</v>
      </c>
      <c r="AH23" s="9">
        <v>36658.519682106242</v>
      </c>
      <c r="AI23" s="10">
        <v>-159.08059194977966</v>
      </c>
      <c r="AJ23" s="9">
        <v>20930.509983624175</v>
      </c>
      <c r="AK23" s="10">
        <v>-215.30376023783583</v>
      </c>
      <c r="AL23" s="9">
        <v>6203.4783427601778</v>
      </c>
      <c r="AM23" s="10">
        <v>-280.58531926730149</v>
      </c>
      <c r="AN23" s="9">
        <v>5999.6424048771605</v>
      </c>
      <c r="AO23" s="10">
        <v>-40.358722411173488</v>
      </c>
      <c r="AP23" s="9">
        <v>20226.30202124346</v>
      </c>
      <c r="AQ23" s="10">
        <v>-416.72108257577145</v>
      </c>
      <c r="AR23" s="9">
        <v>11559.402048548814</v>
      </c>
      <c r="AS23" s="10">
        <v>-60.858078922559656</v>
      </c>
      <c r="AT23" s="9">
        <v>3447.9640865439642</v>
      </c>
      <c r="AU23" s="10">
        <v>-172.49433307845959</v>
      </c>
      <c r="AV23" s="9">
        <v>3315.408157756357</v>
      </c>
      <c r="AW23" s="10">
        <v>-26.883229988240345</v>
      </c>
      <c r="AX23" s="9">
        <v>37672.736938259324</v>
      </c>
      <c r="AY23" s="10">
        <v>-741.90346221527466</v>
      </c>
      <c r="AZ23" s="9">
        <v>11087.575371409703</v>
      </c>
      <c r="BA23" s="10">
        <v>-666.02524485216475</v>
      </c>
      <c r="BB23" s="9">
        <v>10723.0166797852</v>
      </c>
      <c r="BC23" s="10">
        <v>-356.02283809239293</v>
      </c>
      <c r="BD23" s="9">
        <v>6366.8090451447224</v>
      </c>
      <c r="BE23" s="10">
        <v>-364.89905374402014</v>
      </c>
      <c r="BF23" s="9">
        <v>6168.3999970642344</v>
      </c>
      <c r="BG23" s="10">
        <v>-236.78651021428848</v>
      </c>
      <c r="BH23" s="9">
        <v>1831.50989779479</v>
      </c>
      <c r="BI23" s="10">
        <v>-113.67320688755538</v>
      </c>
    </row>
    <row r="24" spans="1:61" x14ac:dyDescent="0.25">
      <c r="A24" s="10" t="s">
        <v>65</v>
      </c>
      <c r="B24" s="22">
        <v>2500</v>
      </c>
      <c r="C24" s="14">
        <f t="shared" si="0"/>
        <v>2487.9877373154327</v>
      </c>
      <c r="D24" s="15">
        <f t="shared" si="1"/>
        <v>0.48049050738269217</v>
      </c>
      <c r="E24" s="10">
        <v>23</v>
      </c>
      <c r="F24" s="9">
        <v>164.72837662337662</v>
      </c>
      <c r="G24" s="10">
        <v>8.696573492764518</v>
      </c>
      <c r="H24" s="9">
        <v>616.70000000000005</v>
      </c>
      <c r="I24" s="10">
        <v>-38.725122953191459</v>
      </c>
      <c r="J24" s="9">
        <v>369.35714285714289</v>
      </c>
      <c r="K24" s="10">
        <v>-6.3607132165330853</v>
      </c>
      <c r="L24" s="9">
        <v>1168.5860197008183</v>
      </c>
      <c r="M24" s="10">
        <v>-2.1039927193744372</v>
      </c>
      <c r="N24" s="9">
        <v>815.35578337004654</v>
      </c>
      <c r="O24" s="10">
        <v>-21.271696599861212</v>
      </c>
      <c r="P24" s="9">
        <v>262.87448747673852</v>
      </c>
      <c r="Q24" s="10">
        <v>-15.176254043577895</v>
      </c>
      <c r="R24" s="9">
        <v>230.24961171633541</v>
      </c>
      <c r="S24" s="10">
        <v>-8.9908990945568412</v>
      </c>
      <c r="T24" s="9">
        <v>5082.7282722634509</v>
      </c>
      <c r="U24" s="10">
        <v>193.67848123696803</v>
      </c>
      <c r="V24" s="9">
        <v>3019.1954471243043</v>
      </c>
      <c r="W24" s="10">
        <v>104.94667613954462</v>
      </c>
      <c r="X24" s="9">
        <v>9586.1902687416332</v>
      </c>
      <c r="Y24" s="10">
        <v>104.98183082481634</v>
      </c>
      <c r="Z24" s="9">
        <v>6661.1749631577795</v>
      </c>
      <c r="AA24" s="10">
        <v>-60.431371012633839</v>
      </c>
      <c r="AB24" s="9">
        <v>2152.1700839276828</v>
      </c>
      <c r="AC24" s="10">
        <v>-41.00537369421474</v>
      </c>
      <c r="AD24" s="9">
        <v>1874.463125682933</v>
      </c>
      <c r="AE24" s="10">
        <v>0.6931353512694246</v>
      </c>
      <c r="AF24" s="9">
        <v>11409.925102040817</v>
      </c>
      <c r="AG24" s="10">
        <v>-316.1441062792145</v>
      </c>
      <c r="AH24" s="9">
        <v>36025.650048366035</v>
      </c>
      <c r="AI24" s="10">
        <v>-323.80413772230901</v>
      </c>
      <c r="AJ24" s="9">
        <v>25090.310629853102</v>
      </c>
      <c r="AK24" s="10">
        <v>-532.34107901888251</v>
      </c>
      <c r="AL24" s="9">
        <v>8106.3348770481871</v>
      </c>
      <c r="AM24" s="10">
        <v>-466.84812942344473</v>
      </c>
      <c r="AN24" s="9">
        <v>7091.0478000392022</v>
      </c>
      <c r="AO24" s="10">
        <v>-224.47502294570253</v>
      </c>
      <c r="AP24" s="9">
        <v>21749.085099644275</v>
      </c>
      <c r="AQ24" s="10">
        <v>-541.61400757242484</v>
      </c>
      <c r="AR24" s="9">
        <v>15357.381279415473</v>
      </c>
      <c r="AS24" s="10">
        <v>-269.55524565911981</v>
      </c>
      <c r="AT24" s="9">
        <v>4872.8155637389864</v>
      </c>
      <c r="AU24" s="10">
        <v>-247.18148999835381</v>
      </c>
      <c r="AV24" s="9">
        <v>4325.8461310821622</v>
      </c>
      <c r="AW24" s="10">
        <v>-115.92376740864924</v>
      </c>
      <c r="AX24" s="9">
        <v>48508.145899501578</v>
      </c>
      <c r="AY24" s="10">
        <v>-1797.6298286486792</v>
      </c>
      <c r="AZ24" s="9">
        <v>15509.729454168653</v>
      </c>
      <c r="BA24" s="10">
        <v>-864.95723401318355</v>
      </c>
      <c r="BB24" s="9">
        <v>13681.400626674118</v>
      </c>
      <c r="BC24" s="10">
        <v>-732.75356347421121</v>
      </c>
      <c r="BD24" s="9">
        <v>10888.023873708853</v>
      </c>
      <c r="BE24" s="10">
        <v>-630.00447667642413</v>
      </c>
      <c r="BF24" s="9">
        <v>9710.7090391231122</v>
      </c>
      <c r="BG24" s="10">
        <v>-627.46064159266416</v>
      </c>
      <c r="BH24" s="9">
        <v>3081.9440254169576</v>
      </c>
      <c r="BI24" s="10">
        <v>-229.56867399837057</v>
      </c>
    </row>
    <row r="25" spans="1:61" x14ac:dyDescent="0.25">
      <c r="A25" s="10" t="s">
        <v>66</v>
      </c>
      <c r="B25" s="22">
        <v>2931</v>
      </c>
      <c r="C25" s="14">
        <f t="shared" si="0"/>
        <v>3166.5955908277233</v>
      </c>
      <c r="D25" s="15">
        <f t="shared" si="1"/>
        <v>-8.0380617819079951</v>
      </c>
      <c r="E25" s="10">
        <v>24</v>
      </c>
      <c r="F25" s="9">
        <v>174.04642857142861</v>
      </c>
      <c r="G25" s="10">
        <v>8.5765507919933377</v>
      </c>
      <c r="H25" s="9">
        <v>619.47035714285698</v>
      </c>
      <c r="I25" s="10">
        <v>-38.681401733948633</v>
      </c>
      <c r="J25" s="9">
        <v>352.4678571428571</v>
      </c>
      <c r="K25" s="10">
        <v>0.68893425195267977</v>
      </c>
      <c r="L25" s="9">
        <v>1040.2535571338863</v>
      </c>
      <c r="M25" s="10">
        <v>6.7807203780761309</v>
      </c>
      <c r="N25" s="9">
        <v>664.90376643603224</v>
      </c>
      <c r="O25" s="10">
        <v>-5.8856007926648495</v>
      </c>
      <c r="P25" s="9">
        <v>214.53607237122102</v>
      </c>
      <c r="Q25" s="10">
        <v>-7.3403880470185729</v>
      </c>
      <c r="R25" s="9">
        <v>169.06794871081632</v>
      </c>
      <c r="S25" s="10">
        <v>-0.27850230728529646</v>
      </c>
      <c r="T25" s="9">
        <v>5388.5771951530614</v>
      </c>
      <c r="U25" s="10">
        <v>184.85227531698573</v>
      </c>
      <c r="V25" s="9">
        <v>3058.3734566326534</v>
      </c>
      <c r="W25" s="10">
        <v>173.77485774972132</v>
      </c>
      <c r="X25" s="9">
        <v>9032.9582727240504</v>
      </c>
      <c r="Y25" s="10">
        <v>279.15083236343571</v>
      </c>
      <c r="Z25" s="9">
        <v>5815.3388216113181</v>
      </c>
      <c r="AA25" s="10">
        <v>69.80591875331352</v>
      </c>
      <c r="AB25" s="9">
        <v>1870.8537713056444</v>
      </c>
      <c r="AC25" s="10">
        <v>3.5361439551633711</v>
      </c>
      <c r="AD25" s="9">
        <v>1476.0573570190913</v>
      </c>
      <c r="AE25" s="10">
        <v>50.772462878333748</v>
      </c>
      <c r="AF25" s="9">
        <v>10963.055478316328</v>
      </c>
      <c r="AG25" s="10">
        <v>-118.7415949758994</v>
      </c>
      <c r="AH25" s="9">
        <v>32207.566729654602</v>
      </c>
      <c r="AI25" s="10">
        <v>27.22645663220726</v>
      </c>
      <c r="AJ25" s="9">
        <v>20610.936769981774</v>
      </c>
      <c r="AK25" s="10">
        <v>-23.684800049185199</v>
      </c>
      <c r="AL25" s="9">
        <v>6634.5273004749379</v>
      </c>
      <c r="AM25" s="10">
        <v>-213.44087979654918</v>
      </c>
      <c r="AN25" s="9">
        <v>5241.0846373692784</v>
      </c>
      <c r="AO25" s="10">
        <v>27.897328216511749</v>
      </c>
      <c r="AP25" s="9">
        <v>18375.646062877546</v>
      </c>
      <c r="AQ25" s="10">
        <v>2.6957173719085574</v>
      </c>
      <c r="AR25" s="9">
        <v>11873.731281022736</v>
      </c>
      <c r="AS25" s="10">
        <v>317.77843365845945</v>
      </c>
      <c r="AT25" s="9">
        <v>3850.7082493762491</v>
      </c>
      <c r="AU25" s="10">
        <v>-6.6368400717132481</v>
      </c>
      <c r="AV25" s="9">
        <v>3033.945520844431</v>
      </c>
      <c r="AW25" s="10">
        <v>138.31399490158896</v>
      </c>
      <c r="AX25" s="9">
        <v>34566.268843493119</v>
      </c>
      <c r="AY25" s="10">
        <v>-218.59560290452004</v>
      </c>
      <c r="AZ25" s="9">
        <v>11212.299606538869</v>
      </c>
      <c r="BA25" s="10">
        <v>-301.89536055831377</v>
      </c>
      <c r="BB25" s="9">
        <v>8802.2969388816891</v>
      </c>
      <c r="BC25" s="10">
        <v>-38.485866836897102</v>
      </c>
      <c r="BD25" s="9">
        <v>7180.1400344851481</v>
      </c>
      <c r="BE25" s="10">
        <v>-72.605980287250418</v>
      </c>
      <c r="BF25" s="9">
        <v>5669.8830017152022</v>
      </c>
      <c r="BG25" s="10">
        <v>-31.391575520471534</v>
      </c>
      <c r="BH25" s="9">
        <v>1832.2085837243933</v>
      </c>
      <c r="BI25" s="10">
        <v>0.55879948769259347</v>
      </c>
    </row>
    <row r="26" spans="1:61" x14ac:dyDescent="0.25">
      <c r="A26" s="10" t="s">
        <v>67</v>
      </c>
      <c r="B26" s="22">
        <v>2959</v>
      </c>
      <c r="C26" s="14">
        <f t="shared" si="0"/>
        <v>2769.7470576385758</v>
      </c>
      <c r="D26" s="15">
        <f>(B26-C26)/B26*100</f>
        <v>6.3958412423597215</v>
      </c>
      <c r="E26" s="10">
        <v>25</v>
      </c>
      <c r="F26" s="9">
        <v>159.8203305785124</v>
      </c>
      <c r="G26" s="10">
        <v>8.1829310309703622</v>
      </c>
      <c r="H26" s="9">
        <v>614.14285714285722</v>
      </c>
      <c r="I26" s="10">
        <v>-40.617801024757874</v>
      </c>
      <c r="J26" s="9">
        <v>290.54821428571427</v>
      </c>
      <c r="K26" s="10">
        <v>-4.4241429665771657</v>
      </c>
      <c r="L26" s="9">
        <v>1049.4885112102993</v>
      </c>
      <c r="M26" s="10">
        <v>2.2186917019728973</v>
      </c>
      <c r="N26" s="9">
        <v>674.33581812461694</v>
      </c>
      <c r="O26" s="10">
        <v>-6.683601398407589</v>
      </c>
      <c r="P26" s="9">
        <v>191.94423112602945</v>
      </c>
      <c r="Q26" s="10">
        <v>-11.549303474875042</v>
      </c>
      <c r="R26" s="9">
        <v>158.60728116753205</v>
      </c>
      <c r="S26" s="10">
        <v>-6.4624995532924032</v>
      </c>
      <c r="T26" s="9">
        <v>4891.1298583234948</v>
      </c>
      <c r="U26" s="10">
        <v>171.72429698171049</v>
      </c>
      <c r="V26" s="9">
        <v>2265.9918434811943</v>
      </c>
      <c r="W26" s="10">
        <v>121.34123826449974</v>
      </c>
      <c r="X26" s="9">
        <v>8382.5628239397593</v>
      </c>
      <c r="Y26" s="10">
        <v>244.92752426377481</v>
      </c>
      <c r="Z26" s="9">
        <v>5406.4684701401829</v>
      </c>
      <c r="AA26" s="10">
        <v>98.061800809856507</v>
      </c>
      <c r="AB26" s="9">
        <v>1523.5862730224551</v>
      </c>
      <c r="AC26" s="10">
        <v>-21.274246442908591</v>
      </c>
      <c r="AD26" s="9">
        <v>1252.3326909636994</v>
      </c>
      <c r="AE26" s="10">
        <v>13.023480809573204</v>
      </c>
      <c r="AF26" s="9">
        <v>9062.1248724489778</v>
      </c>
      <c r="AG26" s="10">
        <v>-245.03564887317816</v>
      </c>
      <c r="AH26" s="9">
        <v>32206.546391456497</v>
      </c>
      <c r="AI26" s="10">
        <v>-162.0775028777789</v>
      </c>
      <c r="AJ26" s="9">
        <v>20664.285395552677</v>
      </c>
      <c r="AK26" s="10">
        <v>-160.8458762284327</v>
      </c>
      <c r="AL26" s="9">
        <v>5928.2395359207912</v>
      </c>
      <c r="AM26" s="10">
        <v>-346.83046927269118</v>
      </c>
      <c r="AN26" s="9">
        <v>4901.0905757340097</v>
      </c>
      <c r="AO26" s="10">
        <v>-173.69706950120442</v>
      </c>
      <c r="AP26" s="9">
        <v>15298.915168820655</v>
      </c>
      <c r="AQ26" s="10">
        <v>-349.0046073000982</v>
      </c>
      <c r="AR26" s="9">
        <v>9716.1807639291073</v>
      </c>
      <c r="AS26" s="10">
        <v>-29.069361084994647</v>
      </c>
      <c r="AT26" s="9">
        <v>2878.4409283278701</v>
      </c>
      <c r="AU26" s="10">
        <v>-152.16427496252462</v>
      </c>
      <c r="AV26" s="9">
        <v>2384.6835049620445</v>
      </c>
      <c r="AW26" s="10">
        <v>-73.253321619806599</v>
      </c>
      <c r="AX26" s="9">
        <v>35379.761008915906</v>
      </c>
      <c r="AY26" s="10">
        <v>-369.01796280636808</v>
      </c>
      <c r="AZ26" s="9">
        <v>10117.335783535316</v>
      </c>
      <c r="BA26" s="10">
        <v>-551.45552886654548</v>
      </c>
      <c r="BB26" s="9">
        <v>8361.1890613014839</v>
      </c>
      <c r="BC26" s="10">
        <v>-345.57058628391496</v>
      </c>
      <c r="BD26" s="9">
        <v>6487.915360686593</v>
      </c>
      <c r="BE26" s="10">
        <v>-289.86974716279025</v>
      </c>
      <c r="BF26" s="9">
        <v>5376.5118040613934</v>
      </c>
      <c r="BG26" s="10">
        <v>-219.3436578417774</v>
      </c>
      <c r="BH26" s="9">
        <v>1570.9105595526869</v>
      </c>
      <c r="BI26" s="10">
        <v>-116.77626682075054</v>
      </c>
    </row>
    <row r="27" spans="1:61" x14ac:dyDescent="0.25">
      <c r="C27" s="14"/>
      <c r="F27" s="9"/>
      <c r="H27" s="9"/>
      <c r="J27" s="9"/>
      <c r="L27" s="9"/>
      <c r="N27" s="9"/>
      <c r="P27" s="9"/>
      <c r="R27" s="9"/>
      <c r="T27" s="9"/>
      <c r="V27" s="9"/>
      <c r="X27" s="9"/>
      <c r="Z27" s="9"/>
      <c r="AB27" s="9"/>
      <c r="AD27" s="9"/>
      <c r="AF27" s="9"/>
      <c r="AH27" s="9"/>
      <c r="AJ27" s="9"/>
      <c r="AL27" s="9"/>
      <c r="AN27" s="9"/>
      <c r="AP27" s="9"/>
      <c r="AR27" s="9"/>
      <c r="AT27" s="9"/>
      <c r="AV27" s="9"/>
      <c r="AX27" s="9"/>
      <c r="AZ27" s="9"/>
      <c r="BB27" s="9"/>
      <c r="BD27" s="9"/>
      <c r="BF27" s="9"/>
      <c r="BH27" s="9"/>
    </row>
    <row r="28" spans="1:61" x14ac:dyDescent="0.25">
      <c r="A28" s="10" t="s">
        <v>68</v>
      </c>
      <c r="B28" s="23">
        <v>3292</v>
      </c>
      <c r="C28" s="14">
        <f t="shared" ref="C28:C30" si="2">$D$77+($D$78*AQ28)+($D$79*E28)+($D$80*G28)+($D$81*Y28)+($D$82*AG28)</f>
        <v>3308.9235450656988</v>
      </c>
      <c r="D28" s="15">
        <f>(B28-C28)/B28*100</f>
        <v>-0.51408095582317181</v>
      </c>
      <c r="E28" s="10">
        <v>26</v>
      </c>
      <c r="F28" s="9">
        <v>175.90492768595041</v>
      </c>
      <c r="G28" s="10">
        <v>9.1143218113671338</v>
      </c>
      <c r="H28" s="9">
        <v>614.67096586803211</v>
      </c>
      <c r="I28" s="10">
        <v>-36.470602564038231</v>
      </c>
      <c r="J28" s="9">
        <v>312.67877638234773</v>
      </c>
      <c r="K28" s="10">
        <v>0.80580119612912693</v>
      </c>
      <c r="L28" s="9">
        <v>1069.847132132948</v>
      </c>
      <c r="M28" s="10">
        <v>8.8947099656582846</v>
      </c>
      <c r="N28" s="9">
        <v>682.50194120391791</v>
      </c>
      <c r="O28" s="10">
        <v>-15.351923305263643</v>
      </c>
      <c r="P28" s="9">
        <v>209.5652994397667</v>
      </c>
      <c r="Q28" s="10">
        <v>-11.185148942952683</v>
      </c>
      <c r="R28" s="9">
        <v>188.86610175252943</v>
      </c>
      <c r="S28" s="10">
        <v>-2.3014942768153737</v>
      </c>
      <c r="T28" s="9">
        <v>5414.063174832283</v>
      </c>
      <c r="U28" s="10">
        <v>193.9979717699178</v>
      </c>
      <c r="V28" s="9">
        <v>2752.7671562363294</v>
      </c>
      <c r="W28" s="10">
        <v>125.43126984304176</v>
      </c>
      <c r="X28" s="9">
        <v>9438.1102168279194</v>
      </c>
      <c r="Y28" s="10">
        <v>238.39483883447957</v>
      </c>
      <c r="Z28" s="9">
        <v>6047.6856045560853</v>
      </c>
      <c r="AA28" s="10">
        <v>-6.1247518240964247</v>
      </c>
      <c r="AB28" s="9">
        <v>1843.963574268666</v>
      </c>
      <c r="AC28" s="10">
        <v>-32.528591599166489</v>
      </c>
      <c r="AD28" s="9">
        <v>1671.8859212118184</v>
      </c>
      <c r="AE28" s="10">
        <v>38.531787717595108</v>
      </c>
      <c r="AF28" s="9">
        <v>9665.2666317494732</v>
      </c>
      <c r="AG28" s="10">
        <v>-89.316231651809176</v>
      </c>
      <c r="AH28" s="9">
        <v>32912.597570122583</v>
      </c>
      <c r="AI28" s="10">
        <v>34.133754652402672</v>
      </c>
      <c r="AJ28" s="9">
        <v>21048.048354293031</v>
      </c>
      <c r="AK28" s="10">
        <v>-340.54222152212714</v>
      </c>
      <c r="AL28" s="9">
        <v>6451.5165483445917</v>
      </c>
      <c r="AM28" s="10">
        <v>-314.21487079176444</v>
      </c>
      <c r="AN28" s="9">
        <v>5836.4750378873077</v>
      </c>
      <c r="AO28" s="10">
        <v>12.622870280491597</v>
      </c>
      <c r="AP28" s="9">
        <v>16667.253984044375</v>
      </c>
      <c r="AQ28" s="10">
        <v>-25.892988628697935</v>
      </c>
      <c r="AR28" s="9">
        <v>10594.255107821622</v>
      </c>
      <c r="AS28" s="10">
        <v>-6.8573784328135901</v>
      </c>
      <c r="AT28" s="9">
        <v>3330.5725875376434</v>
      </c>
      <c r="AU28" s="10">
        <v>-96.460460331218613</v>
      </c>
      <c r="AV28" s="9">
        <v>2954.7928439436173</v>
      </c>
      <c r="AW28" s="10">
        <v>53.003212405885108</v>
      </c>
      <c r="AX28" s="9">
        <v>37116.126907111422</v>
      </c>
      <c r="AY28" s="10">
        <v>-913.73726289615047</v>
      </c>
      <c r="AZ28" s="9">
        <v>11127.647831766893</v>
      </c>
      <c r="BA28" s="10">
        <v>-452.66296198617852</v>
      </c>
      <c r="BB28" s="9">
        <v>10231.316769498113</v>
      </c>
      <c r="BC28" s="10">
        <v>-164.13921724443017</v>
      </c>
      <c r="BD28" s="9">
        <v>7088.9384972309299</v>
      </c>
      <c r="BE28" s="10">
        <v>-354.48284621297722</v>
      </c>
      <c r="BF28" s="9">
        <v>6668.9625600733552</v>
      </c>
      <c r="BG28" s="10">
        <v>-211.07967167271386</v>
      </c>
      <c r="BH28" s="9">
        <v>1961.9821787461372</v>
      </c>
      <c r="BI28" s="10">
        <v>-88.611065294178459</v>
      </c>
    </row>
    <row r="29" spans="1:61" x14ac:dyDescent="0.25">
      <c r="A29" s="10" t="s">
        <v>312</v>
      </c>
      <c r="B29" s="20">
        <v>3629</v>
      </c>
      <c r="C29" s="14">
        <f>$D$77+($D$78*AQ29)+($D$79*E29)+($D$80*G29)+($D$81*Y29)+($D$82*AG29)</f>
        <v>3216.3911275166715</v>
      </c>
      <c r="D29" s="15">
        <f>(B29-C29)/B29*100</f>
        <v>11.369767773031922</v>
      </c>
      <c r="E29" s="10">
        <v>27</v>
      </c>
      <c r="F29" s="9">
        <v>175.83250000000001</v>
      </c>
      <c r="G29" s="10">
        <v>8.6783601152675427</v>
      </c>
      <c r="H29" s="9">
        <v>576.01964285714291</v>
      </c>
      <c r="I29" s="10">
        <v>-33.270198622609207</v>
      </c>
      <c r="J29" s="9">
        <v>241.98392857142858</v>
      </c>
      <c r="K29" s="10">
        <v>-0.46966957183505897</v>
      </c>
      <c r="L29" s="9">
        <v>1504.9926873413931</v>
      </c>
      <c r="M29" s="10">
        <v>18.99497535589785</v>
      </c>
      <c r="N29" s="9">
        <v>756.44841698336666</v>
      </c>
      <c r="O29" s="10">
        <v>7.0827692292075035</v>
      </c>
      <c r="P29" s="9">
        <v>196.0497037851249</v>
      </c>
      <c r="Q29" s="10">
        <v>-9.6869364526526347</v>
      </c>
      <c r="R29" s="9">
        <v>201.23397974457473</v>
      </c>
      <c r="S29" s="10">
        <v>-1.2503446888783367</v>
      </c>
      <c r="T29" s="9">
        <v>5108.4495414540816</v>
      </c>
      <c r="U29" s="10">
        <v>141.09464256632592</v>
      </c>
      <c r="V29" s="9">
        <v>2147.2803858418365</v>
      </c>
      <c r="W29" s="10">
        <v>93.252469715147896</v>
      </c>
      <c r="X29" s="9">
        <v>13123.483302882076</v>
      </c>
      <c r="Y29" s="10">
        <v>360.22149363253698</v>
      </c>
      <c r="Z29" s="9">
        <v>6537.7480749729211</v>
      </c>
      <c r="AA29" s="10">
        <v>130.28720814516976</v>
      </c>
      <c r="AB29" s="9">
        <v>1735.1200969812321</v>
      </c>
      <c r="AC29" s="10">
        <v>-27.587712483495366</v>
      </c>
      <c r="AD29" s="9">
        <v>1775.2409181082439</v>
      </c>
      <c r="AE29" s="10">
        <v>38.542179157223572</v>
      </c>
      <c r="AF29" s="9">
        <v>7284.553383290815</v>
      </c>
      <c r="AG29" s="10">
        <v>-21.058187245813684</v>
      </c>
      <c r="AH29" s="9">
        <v>43207.09358149601</v>
      </c>
      <c r="AI29" s="10">
        <v>-183.4663072995869</v>
      </c>
      <c r="AJ29" s="9">
        <v>21450.866222104036</v>
      </c>
      <c r="AK29" s="10">
        <v>133.378964350942</v>
      </c>
      <c r="AL29" s="9">
        <v>5804.7374963473476</v>
      </c>
      <c r="AM29" s="10">
        <v>-245.25858556671361</v>
      </c>
      <c r="AN29" s="9">
        <v>5908.0599547655384</v>
      </c>
      <c r="AO29" s="10">
        <v>-32.996593011449825</v>
      </c>
      <c r="AP29" s="9">
        <v>17985.335087473974</v>
      </c>
      <c r="AQ29" s="10">
        <v>-414.347316090589</v>
      </c>
      <c r="AR29" s="9">
        <v>8978.6044446998185</v>
      </c>
      <c r="AS29" s="10">
        <v>142.33599317372492</v>
      </c>
      <c r="AT29" s="9">
        <v>2504.3244151948065</v>
      </c>
      <c r="AU29" s="10">
        <v>-83.528211340145489</v>
      </c>
      <c r="AV29" s="9">
        <v>2517.1421600313279</v>
      </c>
      <c r="AW29" s="10">
        <v>9.3374310470705595</v>
      </c>
      <c r="AX29" s="9">
        <v>58330.141728277631</v>
      </c>
      <c r="AY29" s="10">
        <v>509.41560774300456</v>
      </c>
      <c r="AZ29" s="9">
        <v>14806.752598741443</v>
      </c>
      <c r="BA29" s="10">
        <v>-759.06940550928084</v>
      </c>
      <c r="BB29" s="9">
        <v>15358.871030436272</v>
      </c>
      <c r="BC29" s="10">
        <v>-262.94726079717776</v>
      </c>
      <c r="BD29" s="9">
        <v>7374.8781459382481</v>
      </c>
      <c r="BE29" s="10">
        <v>-170.1460882217097</v>
      </c>
      <c r="BF29" s="9">
        <v>7875.0071704086313</v>
      </c>
      <c r="BG29" s="10">
        <v>71.787894287511079</v>
      </c>
      <c r="BH29" s="9">
        <v>2020.6869285697203</v>
      </c>
      <c r="BI29" s="10">
        <v>-75.504021263654181</v>
      </c>
    </row>
    <row r="30" spans="1:61" x14ac:dyDescent="0.25">
      <c r="A30" s="10" t="s">
        <v>313</v>
      </c>
      <c r="C30" s="14">
        <f t="shared" si="2"/>
        <v>3285.1506912571326</v>
      </c>
      <c r="E30" s="10">
        <v>28</v>
      </c>
      <c r="F30" s="9">
        <v>177.94005565862707</v>
      </c>
      <c r="G30" s="10">
        <v>8.6771722796667525</v>
      </c>
      <c r="H30" s="9">
        <v>602.29902421610041</v>
      </c>
      <c r="I30" s="10">
        <v>-34.092786819234178</v>
      </c>
      <c r="J30" s="9">
        <v>278.29279154518952</v>
      </c>
      <c r="K30" s="10">
        <v>1.4718077292478133</v>
      </c>
      <c r="L30" s="9">
        <v>1376.3613574450842</v>
      </c>
      <c r="M30" s="10">
        <v>9.7897170219643641</v>
      </c>
      <c r="N30" s="9">
        <v>712.29220169813277</v>
      </c>
      <c r="O30" s="10">
        <v>-5.3705419093311928</v>
      </c>
      <c r="P30" s="9">
        <v>209.33622427751064</v>
      </c>
      <c r="Q30" s="10">
        <v>-9.2920067615185307</v>
      </c>
      <c r="R30" s="9">
        <v>261.14870417724558</v>
      </c>
      <c r="S30" s="10">
        <v>-20.151996251321876</v>
      </c>
      <c r="T30" s="9">
        <v>5378.9815179437737</v>
      </c>
      <c r="U30" s="10">
        <v>172.08225742437875</v>
      </c>
      <c r="V30" s="9">
        <v>2489.3183018750756</v>
      </c>
      <c r="W30" s="10">
        <v>124.68567514209565</v>
      </c>
      <c r="X30" s="9">
        <v>12209.441665184579</v>
      </c>
      <c r="Y30" s="10">
        <v>212.54991983405799</v>
      </c>
      <c r="Z30" s="9">
        <v>6313.0571068156241</v>
      </c>
      <c r="AA30" s="10">
        <v>59.983689455731103</v>
      </c>
      <c r="AB30" s="9">
        <v>1866.3758793950315</v>
      </c>
      <c r="AC30" s="10">
        <v>-18.873033470444749</v>
      </c>
      <c r="AD30" s="9">
        <v>2331.6790236180063</v>
      </c>
      <c r="AE30" s="10">
        <v>-35.665715509390978</v>
      </c>
      <c r="AF30" s="9">
        <v>8545.4754298741609</v>
      </c>
      <c r="AG30" s="10">
        <v>25.967081057437412</v>
      </c>
      <c r="AH30" s="9">
        <v>41006.490712596198</v>
      </c>
      <c r="AI30" s="10">
        <v>-251.16960206194389</v>
      </c>
      <c r="AJ30" s="9">
        <v>21188.385565696408</v>
      </c>
      <c r="AK30" s="10">
        <v>-146.75750475680888</v>
      </c>
      <c r="AL30" s="9">
        <v>6355.5642052929816</v>
      </c>
      <c r="AM30" s="10">
        <v>-188.42615617706105</v>
      </c>
      <c r="AN30" s="9">
        <v>7970.7403654309892</v>
      </c>
      <c r="AO30" s="10">
        <v>-592.69561768524693</v>
      </c>
      <c r="AP30" s="9">
        <v>18729.812842335359</v>
      </c>
      <c r="AQ30" s="10">
        <v>-193.11827623705221</v>
      </c>
      <c r="AR30" s="9">
        <v>9871.6945215402011</v>
      </c>
      <c r="AS30" s="10">
        <v>133.95144697443934</v>
      </c>
      <c r="AT30" s="9">
        <v>2994.0854519055097</v>
      </c>
      <c r="AU30" s="10">
        <v>-37.822082825226936</v>
      </c>
      <c r="AV30" s="9">
        <v>3600.7294480750088</v>
      </c>
      <c r="AW30" s="10">
        <v>-140.89869665591806</v>
      </c>
      <c r="AX30" s="9">
        <v>49381.081207819996</v>
      </c>
      <c r="AY30" s="10">
        <v>-286.64095891123537</v>
      </c>
      <c r="AZ30" s="9">
        <v>14350.518385711255</v>
      </c>
      <c r="BA30" s="10">
        <v>-739.11086963721812</v>
      </c>
      <c r="BB30" s="9">
        <v>18090.046874307267</v>
      </c>
      <c r="BC30" s="10">
        <v>-1565.4251551195916</v>
      </c>
      <c r="BD30" s="9">
        <v>7470.6354879672908</v>
      </c>
      <c r="BE30" s="10">
        <v>-255.17223531775937</v>
      </c>
      <c r="BF30" s="9">
        <v>9471.1120441694111</v>
      </c>
      <c r="BG30" s="10">
        <v>-733.83117007786245</v>
      </c>
      <c r="BH30" s="9">
        <v>2752.0895339146482</v>
      </c>
      <c r="BI30" s="10">
        <v>-218.7808601261182</v>
      </c>
    </row>
    <row r="31" spans="1:61" x14ac:dyDescent="0.25">
      <c r="A31" s="10" t="s">
        <v>676</v>
      </c>
      <c r="C31" s="78">
        <f>$D$77+($D$78*AQ31)+($D$79*E31)+($D$80*G31)+($D$81*Y31)+($D$82*AG31)</f>
        <v>2824.7742088559662</v>
      </c>
      <c r="E31" s="10">
        <v>29</v>
      </c>
      <c r="F31" s="9">
        <v>171.39917917580254</v>
      </c>
      <c r="G31" s="10">
        <v>8.6036132823327591</v>
      </c>
      <c r="H31" s="9">
        <v>620.1563366537091</v>
      </c>
      <c r="I31" s="10">
        <v>-37.071466866432189</v>
      </c>
      <c r="J31" s="9">
        <v>338.63214203257058</v>
      </c>
      <c r="K31" s="10">
        <v>-8.6497311243129111</v>
      </c>
      <c r="L31" s="9">
        <v>1127.7454455627869</v>
      </c>
      <c r="M31" s="10">
        <v>10.89003754996337</v>
      </c>
      <c r="N31" s="9">
        <v>742.12463999578836</v>
      </c>
      <c r="O31" s="10">
        <v>-12.773288807631751</v>
      </c>
      <c r="P31" s="9">
        <v>202.5769706586924</v>
      </c>
      <c r="Q31" s="10">
        <v>-9.4380598934715767</v>
      </c>
      <c r="R31" s="9">
        <v>199.05723208922572</v>
      </c>
      <c r="S31" s="10">
        <v>-3.0631165981020692</v>
      </c>
      <c r="T31" s="9">
        <v>5322.1754694192841</v>
      </c>
      <c r="U31" s="10">
        <v>192.07976913234822</v>
      </c>
      <c r="V31" s="9">
        <v>2901.1969558885439</v>
      </c>
      <c r="W31" s="10">
        <v>96.5045316535777</v>
      </c>
      <c r="X31" s="9">
        <v>9668.9114965000499</v>
      </c>
      <c r="Y31" s="10">
        <v>236.19236006747747</v>
      </c>
      <c r="Z31" s="9">
        <v>6363.8236748591926</v>
      </c>
      <c r="AA31" s="10">
        <v>18.806656214541075</v>
      </c>
      <c r="AB31" s="9">
        <v>1739.2233765003793</v>
      </c>
      <c r="AC31" s="10">
        <v>-14.756980292000948</v>
      </c>
      <c r="AD31" s="9">
        <v>1709.9290841873578</v>
      </c>
      <c r="AE31" s="10">
        <v>36.863687904197292</v>
      </c>
      <c r="AF31" s="9">
        <v>10524.081703330281</v>
      </c>
      <c r="AG31" s="10">
        <v>-352.2053209706898</v>
      </c>
      <c r="AH31" s="9">
        <v>34961.577101563074</v>
      </c>
      <c r="AI31" s="10">
        <v>68.799865394541541</v>
      </c>
      <c r="AJ31" s="9">
        <v>23000.73475038691</v>
      </c>
      <c r="AK31" s="10">
        <v>-293.16790526752891</v>
      </c>
      <c r="AL31" s="9">
        <v>6303.7412635441769</v>
      </c>
      <c r="AM31" s="10">
        <v>-251.03557907275564</v>
      </c>
      <c r="AN31" s="9">
        <v>6188.1923920191703</v>
      </c>
      <c r="AO31" s="10">
        <v>-16.713964910361582</v>
      </c>
      <c r="AP31" s="9">
        <v>19041.651470100896</v>
      </c>
      <c r="AQ31" s="10">
        <v>-431.38370099369627</v>
      </c>
      <c r="AR31" s="9">
        <v>12708.83687296288</v>
      </c>
      <c r="AS31" s="10">
        <v>-190.34469307600853</v>
      </c>
      <c r="AT31" s="9">
        <v>3501.6850862506576</v>
      </c>
      <c r="AU31" s="10">
        <v>-152.34426677569655</v>
      </c>
      <c r="AV31" s="9">
        <v>3404.4505910932703</v>
      </c>
      <c r="AW31" s="10">
        <v>-38.02993981456838</v>
      </c>
      <c r="AX31" s="9">
        <v>41870.653767875454</v>
      </c>
      <c r="AY31" s="10">
        <v>-614.70422913830089</v>
      </c>
      <c r="AZ31" s="9">
        <v>11421.083149880324</v>
      </c>
      <c r="BA31" s="10">
        <v>-500.6127934863606</v>
      </c>
      <c r="BB31" s="9">
        <v>11218.405612256613</v>
      </c>
      <c r="BC31" s="10">
        <v>-189.75581298092462</v>
      </c>
      <c r="BD31" s="9">
        <v>7579.0245023457946</v>
      </c>
      <c r="BE31" s="10">
        <v>-334.41873710665453</v>
      </c>
      <c r="BF31" s="9">
        <v>7423.6988362098746</v>
      </c>
      <c r="BG31" s="10">
        <v>-230.98038473902614</v>
      </c>
      <c r="BH31" s="9">
        <v>2032.9799228596012</v>
      </c>
      <c r="BI31" s="10">
        <v>-79.753471471798804</v>
      </c>
    </row>
    <row r="34" spans="2:8" ht="15.75" thickBot="1" x14ac:dyDescent="0.3">
      <c r="B34" s="82" t="s">
        <v>677</v>
      </c>
      <c r="C34" s="83"/>
      <c r="D34" s="83"/>
      <c r="E34" s="83"/>
      <c r="F34" s="83"/>
      <c r="G34" s="26"/>
      <c r="H34" s="26"/>
    </row>
    <row r="35" spans="2:8" ht="37.5" thickBot="1" x14ac:dyDescent="0.3">
      <c r="B35" s="27" t="s">
        <v>678</v>
      </c>
      <c r="C35" s="28" t="s">
        <v>679</v>
      </c>
      <c r="D35" s="29" t="s">
        <v>680</v>
      </c>
      <c r="E35" s="29" t="s">
        <v>681</v>
      </c>
      <c r="F35" s="30" t="s">
        <v>682</v>
      </c>
      <c r="G35" s="26"/>
      <c r="H35" s="26"/>
    </row>
    <row r="36" spans="2:8" x14ac:dyDescent="0.25">
      <c r="B36" s="31">
        <v>1</v>
      </c>
      <c r="C36" s="32" t="s">
        <v>683</v>
      </c>
      <c r="D36" s="33">
        <v>0.63644762098127394</v>
      </c>
      <c r="E36" s="33">
        <v>0.62064099580654675</v>
      </c>
      <c r="F36" s="34">
        <v>278.8418604342603</v>
      </c>
      <c r="G36" s="26"/>
      <c r="H36" s="26"/>
    </row>
    <row r="37" spans="2:8" x14ac:dyDescent="0.25">
      <c r="B37" s="35">
        <v>2</v>
      </c>
      <c r="C37" s="36" t="s">
        <v>684</v>
      </c>
      <c r="D37" s="37">
        <v>0.78645412217047184</v>
      </c>
      <c r="E37" s="37">
        <v>0.76704086054960563</v>
      </c>
      <c r="F37" s="38">
        <v>218.51067069621848</v>
      </c>
      <c r="G37" s="26"/>
      <c r="H37" s="26"/>
    </row>
    <row r="38" spans="2:8" x14ac:dyDescent="0.25">
      <c r="B38" s="35">
        <v>3</v>
      </c>
      <c r="C38" s="36" t="s">
        <v>685</v>
      </c>
      <c r="D38" s="37">
        <v>0.85492938198337365</v>
      </c>
      <c r="E38" s="37">
        <v>0.8342050079809985</v>
      </c>
      <c r="F38" s="38">
        <v>184.33953068052895</v>
      </c>
      <c r="G38" s="26"/>
      <c r="H38" s="26"/>
    </row>
    <row r="39" spans="2:8" x14ac:dyDescent="0.25">
      <c r="B39" s="35">
        <v>4</v>
      </c>
      <c r="C39" s="36" t="s">
        <v>686</v>
      </c>
      <c r="D39" s="37">
        <v>0.8868041383629145</v>
      </c>
      <c r="E39" s="37">
        <v>0.86416496603549742</v>
      </c>
      <c r="F39" s="38">
        <v>166.85478711741882</v>
      </c>
      <c r="G39" s="26"/>
      <c r="H39" s="26"/>
    </row>
    <row r="40" spans="2:8" ht="15.75" thickBot="1" x14ac:dyDescent="0.3">
      <c r="B40" s="39">
        <v>5</v>
      </c>
      <c r="C40" s="40" t="s">
        <v>687</v>
      </c>
      <c r="D40" s="41">
        <v>0.90920412665087469</v>
      </c>
      <c r="E40" s="41">
        <v>0.88531047576952593</v>
      </c>
      <c r="F40" s="42">
        <v>153.31853081630058</v>
      </c>
      <c r="G40" s="26"/>
      <c r="H40" s="26"/>
    </row>
    <row r="41" spans="2:8" x14ac:dyDescent="0.25">
      <c r="B41" s="26"/>
      <c r="C41" s="26"/>
      <c r="D41" s="26"/>
      <c r="E41" s="26"/>
      <c r="F41" s="26"/>
      <c r="G41" s="26"/>
      <c r="H41" s="26"/>
    </row>
    <row r="42" spans="2:8" ht="15.75" thickBot="1" x14ac:dyDescent="0.3">
      <c r="B42" s="84" t="s">
        <v>688</v>
      </c>
      <c r="C42" s="85"/>
      <c r="D42" s="85"/>
      <c r="E42" s="85"/>
      <c r="F42" s="85"/>
      <c r="G42" s="85"/>
      <c r="H42" s="85"/>
    </row>
    <row r="43" spans="2:8" ht="25.5" thickBot="1" x14ac:dyDescent="0.3">
      <c r="B43" s="86" t="s">
        <v>678</v>
      </c>
      <c r="C43" s="87"/>
      <c r="D43" s="28" t="s">
        <v>689</v>
      </c>
      <c r="E43" s="29" t="s">
        <v>690</v>
      </c>
      <c r="F43" s="29" t="s">
        <v>691</v>
      </c>
      <c r="G43" s="29" t="s">
        <v>692</v>
      </c>
      <c r="H43" s="30" t="s">
        <v>693</v>
      </c>
    </row>
    <row r="44" spans="2:8" ht="24" x14ac:dyDescent="0.25">
      <c r="B44" s="88">
        <v>1</v>
      </c>
      <c r="C44" s="43" t="s">
        <v>694</v>
      </c>
      <c r="D44" s="44">
        <v>3130685.6018299386</v>
      </c>
      <c r="E44" s="45">
        <v>1</v>
      </c>
      <c r="F44" s="33">
        <v>3130685.6018299386</v>
      </c>
      <c r="G44" s="33">
        <v>40.264611449056986</v>
      </c>
      <c r="H44" s="46" t="s">
        <v>695</v>
      </c>
    </row>
    <row r="45" spans="2:8" x14ac:dyDescent="0.25">
      <c r="B45" s="80"/>
      <c r="C45" s="47" t="s">
        <v>696</v>
      </c>
      <c r="D45" s="48">
        <v>1788314.0120001084</v>
      </c>
      <c r="E45" s="49">
        <v>23</v>
      </c>
      <c r="F45" s="37">
        <v>77752.783130439493</v>
      </c>
      <c r="G45" s="50"/>
      <c r="H45" s="51"/>
    </row>
    <row r="46" spans="2:8" x14ac:dyDescent="0.25">
      <c r="B46" s="81"/>
      <c r="C46" s="52" t="s">
        <v>697</v>
      </c>
      <c r="D46" s="53">
        <v>4918999.6138300467</v>
      </c>
      <c r="E46" s="54">
        <v>24</v>
      </c>
      <c r="F46" s="55"/>
      <c r="G46" s="55"/>
      <c r="H46" s="56"/>
    </row>
    <row r="47" spans="2:8" ht="24" x14ac:dyDescent="0.25">
      <c r="B47" s="79">
        <v>2</v>
      </c>
      <c r="C47" s="57" t="s">
        <v>694</v>
      </c>
      <c r="D47" s="58">
        <v>3868567.5232515996</v>
      </c>
      <c r="E47" s="59">
        <v>2</v>
      </c>
      <c r="F47" s="60">
        <v>1934283.7616257998</v>
      </c>
      <c r="G47" s="60">
        <v>40.511179292260579</v>
      </c>
      <c r="H47" s="61" t="s">
        <v>698</v>
      </c>
    </row>
    <row r="48" spans="2:8" x14ac:dyDescent="0.25">
      <c r="B48" s="80"/>
      <c r="C48" s="47" t="s">
        <v>696</v>
      </c>
      <c r="D48" s="48">
        <v>1050432.0905784473</v>
      </c>
      <c r="E48" s="49">
        <v>22</v>
      </c>
      <c r="F48" s="37">
        <v>47746.91320811124</v>
      </c>
      <c r="G48" s="50"/>
      <c r="H48" s="51"/>
    </row>
    <row r="49" spans="2:8" x14ac:dyDescent="0.25">
      <c r="B49" s="81"/>
      <c r="C49" s="52" t="s">
        <v>697</v>
      </c>
      <c r="D49" s="53">
        <v>4918999.6138300467</v>
      </c>
      <c r="E49" s="54">
        <v>24</v>
      </c>
      <c r="F49" s="55"/>
      <c r="G49" s="55"/>
      <c r="H49" s="56"/>
    </row>
    <row r="50" spans="2:8" ht="24" x14ac:dyDescent="0.25">
      <c r="B50" s="79">
        <v>3</v>
      </c>
      <c r="C50" s="57" t="s">
        <v>694</v>
      </c>
      <c r="D50" s="58">
        <v>4205397.2998281755</v>
      </c>
      <c r="E50" s="59">
        <v>3</v>
      </c>
      <c r="F50" s="60">
        <v>1401799.0999427252</v>
      </c>
      <c r="G50" s="60">
        <v>41.252362164733718</v>
      </c>
      <c r="H50" s="61" t="s">
        <v>699</v>
      </c>
    </row>
    <row r="51" spans="2:8" x14ac:dyDescent="0.25">
      <c r="B51" s="80"/>
      <c r="C51" s="47" t="s">
        <v>696</v>
      </c>
      <c r="D51" s="48">
        <v>713602.31400187127</v>
      </c>
      <c r="E51" s="49">
        <v>21</v>
      </c>
      <c r="F51" s="37">
        <v>33981.062571517679</v>
      </c>
      <c r="G51" s="50"/>
      <c r="H51" s="51"/>
    </row>
    <row r="52" spans="2:8" x14ac:dyDescent="0.25">
      <c r="B52" s="81"/>
      <c r="C52" s="52" t="s">
        <v>697</v>
      </c>
      <c r="D52" s="53">
        <v>4918999.6138300467</v>
      </c>
      <c r="E52" s="54">
        <v>24</v>
      </c>
      <c r="F52" s="55"/>
      <c r="G52" s="55"/>
      <c r="H52" s="56"/>
    </row>
    <row r="53" spans="2:8" ht="24" x14ac:dyDescent="0.25">
      <c r="B53" s="79">
        <v>4</v>
      </c>
      <c r="C53" s="57" t="s">
        <v>694</v>
      </c>
      <c r="D53" s="58">
        <v>4362189.2141500637</v>
      </c>
      <c r="E53" s="59">
        <v>4</v>
      </c>
      <c r="F53" s="60">
        <v>1090547.3035375159</v>
      </c>
      <c r="G53" s="60">
        <v>39.171226118057007</v>
      </c>
      <c r="H53" s="61" t="s">
        <v>700</v>
      </c>
    </row>
    <row r="54" spans="2:8" x14ac:dyDescent="0.25">
      <c r="B54" s="80"/>
      <c r="C54" s="47" t="s">
        <v>696</v>
      </c>
      <c r="D54" s="48">
        <v>556810.39967998303</v>
      </c>
      <c r="E54" s="49">
        <v>20</v>
      </c>
      <c r="F54" s="37">
        <v>27840.519983999151</v>
      </c>
      <c r="G54" s="50"/>
      <c r="H54" s="51"/>
    </row>
    <row r="55" spans="2:8" x14ac:dyDescent="0.25">
      <c r="B55" s="81"/>
      <c r="C55" s="52" t="s">
        <v>697</v>
      </c>
      <c r="D55" s="53">
        <v>4918999.6138300467</v>
      </c>
      <c r="E55" s="54">
        <v>24</v>
      </c>
      <c r="F55" s="55"/>
      <c r="G55" s="55"/>
      <c r="H55" s="56"/>
    </row>
    <row r="56" spans="2:8" ht="24.75" thickBot="1" x14ac:dyDescent="0.3">
      <c r="B56" s="89">
        <v>5</v>
      </c>
      <c r="C56" s="57" t="s">
        <v>694</v>
      </c>
      <c r="D56" s="58">
        <v>4472374.7478883378</v>
      </c>
      <c r="E56" s="59">
        <v>5</v>
      </c>
      <c r="F56" s="60">
        <v>894474.94957766752</v>
      </c>
      <c r="G56" s="60">
        <v>38.052122346886456</v>
      </c>
      <c r="H56" s="61" t="s">
        <v>701</v>
      </c>
    </row>
    <row r="57" spans="2:8" x14ac:dyDescent="0.25">
      <c r="B57" s="80"/>
      <c r="C57" s="47" t="s">
        <v>696</v>
      </c>
      <c r="D57" s="48">
        <v>446624.86594170926</v>
      </c>
      <c r="E57" s="49">
        <v>19</v>
      </c>
      <c r="F57" s="37">
        <v>23506.571891668907</v>
      </c>
      <c r="G57" s="50"/>
      <c r="H57" s="51"/>
    </row>
    <row r="58" spans="2:8" ht="15.75" thickBot="1" x14ac:dyDescent="0.3">
      <c r="B58" s="90"/>
      <c r="C58" s="62" t="s">
        <v>697</v>
      </c>
      <c r="D58" s="63">
        <v>4918999.6138300467</v>
      </c>
      <c r="E58" s="64">
        <v>24</v>
      </c>
      <c r="F58" s="65"/>
      <c r="G58" s="65"/>
      <c r="H58" s="66"/>
    </row>
    <row r="59" spans="2:8" x14ac:dyDescent="0.25">
      <c r="B59" s="26"/>
      <c r="C59" s="26"/>
      <c r="D59" s="26"/>
      <c r="E59" s="26"/>
      <c r="F59" s="26"/>
      <c r="G59" s="26"/>
      <c r="H59" s="26"/>
    </row>
    <row r="60" spans="2:8" ht="15.75" thickBot="1" x14ac:dyDescent="0.3">
      <c r="B60" s="84" t="s">
        <v>702</v>
      </c>
      <c r="C60" s="85"/>
      <c r="D60" s="85"/>
      <c r="E60" s="85"/>
      <c r="F60" s="85"/>
      <c r="G60" s="85"/>
      <c r="H60" s="85"/>
    </row>
    <row r="61" spans="2:8" ht="25.5" thickBot="1" x14ac:dyDescent="0.3">
      <c r="B61" s="86" t="s">
        <v>678</v>
      </c>
      <c r="C61" s="91"/>
      <c r="D61" s="93" t="s">
        <v>703</v>
      </c>
      <c r="E61" s="94"/>
      <c r="F61" s="67" t="s">
        <v>704</v>
      </c>
      <c r="G61" s="95" t="s">
        <v>705</v>
      </c>
      <c r="H61" s="97" t="s">
        <v>693</v>
      </c>
    </row>
    <row r="62" spans="2:8" ht="15.75" thickBot="1" x14ac:dyDescent="0.3">
      <c r="B62" s="90"/>
      <c r="C62" s="92"/>
      <c r="D62" s="68" t="s">
        <v>706</v>
      </c>
      <c r="E62" s="69" t="s">
        <v>707</v>
      </c>
      <c r="F62" s="69" t="s">
        <v>708</v>
      </c>
      <c r="G62" s="96"/>
      <c r="H62" s="98"/>
    </row>
    <row r="63" spans="2:8" x14ac:dyDescent="0.25">
      <c r="B63" s="88">
        <v>1</v>
      </c>
      <c r="C63" s="43" t="s">
        <v>709</v>
      </c>
      <c r="D63" s="44">
        <v>3024.7299491757817</v>
      </c>
      <c r="E63" s="33">
        <v>123.27584380940638</v>
      </c>
      <c r="F63" s="70"/>
      <c r="G63" s="33">
        <v>24.53627455069169</v>
      </c>
      <c r="H63" s="71">
        <v>5.3809265698369374E-18</v>
      </c>
    </row>
    <row r="64" spans="2:8" x14ac:dyDescent="0.25">
      <c r="B64" s="81"/>
      <c r="C64" s="52" t="s">
        <v>710</v>
      </c>
      <c r="D64" s="53">
        <v>1.5642711034229402</v>
      </c>
      <c r="E64" s="72">
        <v>0.24651892569167563</v>
      </c>
      <c r="F64" s="72">
        <v>0.79777667362569205</v>
      </c>
      <c r="G64" s="72">
        <v>6.3454402092413549</v>
      </c>
      <c r="H64" s="73">
        <v>1.7846194047724114E-6</v>
      </c>
    </row>
    <row r="65" spans="2:8" x14ac:dyDescent="0.25">
      <c r="B65" s="79">
        <v>2</v>
      </c>
      <c r="C65" s="57" t="s">
        <v>709</v>
      </c>
      <c r="D65" s="58">
        <v>2492.2640968674355</v>
      </c>
      <c r="E65" s="60">
        <v>166.36781974803799</v>
      </c>
      <c r="F65" s="74"/>
      <c r="G65" s="60">
        <v>14.980445741501804</v>
      </c>
      <c r="H65" s="75">
        <v>5.0428990073314396E-13</v>
      </c>
    </row>
    <row r="66" spans="2:8" x14ac:dyDescent="0.25">
      <c r="B66" s="80"/>
      <c r="C66" s="47" t="s">
        <v>710</v>
      </c>
      <c r="D66" s="48">
        <v>1.1579538801017188</v>
      </c>
      <c r="E66" s="37">
        <v>0.21909332276373439</v>
      </c>
      <c r="F66" s="37">
        <v>0.59055530250356036</v>
      </c>
      <c r="G66" s="37">
        <v>5.2852084467696532</v>
      </c>
      <c r="H66" s="76">
        <v>2.6482547521570442E-5</v>
      </c>
    </row>
    <row r="67" spans="2:8" x14ac:dyDescent="0.25">
      <c r="B67" s="81"/>
      <c r="C67" s="52" t="s">
        <v>711</v>
      </c>
      <c r="D67" s="53">
        <v>27.020038029628001</v>
      </c>
      <c r="E67" s="72">
        <v>6.873297957752869</v>
      </c>
      <c r="F67" s="72">
        <v>0.43925755296742947</v>
      </c>
      <c r="G67" s="72">
        <v>3.9311605863310826</v>
      </c>
      <c r="H67" s="73">
        <v>7.1326013930606328E-4</v>
      </c>
    </row>
    <row r="68" spans="2:8" x14ac:dyDescent="0.25">
      <c r="B68" s="79">
        <v>3</v>
      </c>
      <c r="C68" s="57" t="s">
        <v>709</v>
      </c>
      <c r="D68" s="58">
        <v>517.05283949171439</v>
      </c>
      <c r="E68" s="60">
        <v>642.88179639132636</v>
      </c>
      <c r="F68" s="74"/>
      <c r="G68" s="60">
        <v>0.80427357314217829</v>
      </c>
      <c r="H68" s="75">
        <v>0.43025032129502183</v>
      </c>
    </row>
    <row r="69" spans="2:8" x14ac:dyDescent="0.25">
      <c r="B69" s="80"/>
      <c r="C69" s="47" t="s">
        <v>710</v>
      </c>
      <c r="D69" s="48">
        <v>1.1186978230448956</v>
      </c>
      <c r="E69" s="37">
        <v>0.18525115572842579</v>
      </c>
      <c r="F69" s="37">
        <v>0.57053475328423153</v>
      </c>
      <c r="G69" s="37">
        <v>6.0388169706475816</v>
      </c>
      <c r="H69" s="76">
        <v>5.4136472936178348E-6</v>
      </c>
    </row>
    <row r="70" spans="2:8" x14ac:dyDescent="0.25">
      <c r="B70" s="80"/>
      <c r="C70" s="47" t="s">
        <v>711</v>
      </c>
      <c r="D70" s="48">
        <v>34.310618816985709</v>
      </c>
      <c r="E70" s="37">
        <v>6.2437309031171546</v>
      </c>
      <c r="F70" s="37">
        <v>0.55777858068969111</v>
      </c>
      <c r="G70" s="37">
        <v>5.4952110123542139</v>
      </c>
      <c r="H70" s="76">
        <v>1.8800781851975021E-5</v>
      </c>
    </row>
    <row r="71" spans="2:8" x14ac:dyDescent="0.25">
      <c r="B71" s="81"/>
      <c r="C71" s="52" t="s">
        <v>712</v>
      </c>
      <c r="D71" s="53">
        <v>211.31453423060853</v>
      </c>
      <c r="E71" s="72">
        <v>67.118556510885583</v>
      </c>
      <c r="F71" s="72">
        <v>0.28405018747971023</v>
      </c>
      <c r="G71" s="72">
        <v>3.1483772180996863</v>
      </c>
      <c r="H71" s="73">
        <v>4.8501069218235982E-3</v>
      </c>
    </row>
    <row r="72" spans="2:8" x14ac:dyDescent="0.25">
      <c r="B72" s="79">
        <v>4</v>
      </c>
      <c r="C72" s="57" t="s">
        <v>709</v>
      </c>
      <c r="D72" s="58">
        <v>456.89685927338303</v>
      </c>
      <c r="E72" s="60">
        <v>582.4558268409985</v>
      </c>
      <c r="F72" s="74"/>
      <c r="G72" s="60">
        <v>0.78443177700084865</v>
      </c>
      <c r="H72" s="75">
        <v>0.44197944832168767</v>
      </c>
    </row>
    <row r="73" spans="2:8" x14ac:dyDescent="0.25">
      <c r="B73" s="80"/>
      <c r="C73" s="47" t="s">
        <v>710</v>
      </c>
      <c r="D73" s="48">
        <v>0.91100725130468441</v>
      </c>
      <c r="E73" s="37">
        <v>0.18914500039390514</v>
      </c>
      <c r="F73" s="37">
        <v>0.46461277268652107</v>
      </c>
      <c r="G73" s="37">
        <v>4.8164490174599406</v>
      </c>
      <c r="H73" s="76">
        <v>1.0493780694035613E-4</v>
      </c>
    </row>
    <row r="74" spans="2:8" x14ac:dyDescent="0.25">
      <c r="B74" s="80"/>
      <c r="C74" s="47" t="s">
        <v>711</v>
      </c>
      <c r="D74" s="48">
        <v>35.696037034849049</v>
      </c>
      <c r="E74" s="37">
        <v>5.6815806526113208</v>
      </c>
      <c r="F74" s="37">
        <v>0.58030095521587999</v>
      </c>
      <c r="G74" s="37">
        <v>6.2827651700135121</v>
      </c>
      <c r="H74" s="76">
        <v>3.9135634760440239E-6</v>
      </c>
    </row>
    <row r="75" spans="2:8" x14ac:dyDescent="0.25">
      <c r="B75" s="80"/>
      <c r="C75" s="47" t="s">
        <v>712</v>
      </c>
      <c r="D75" s="48">
        <v>183.99712386873964</v>
      </c>
      <c r="E75" s="37">
        <v>61.833230615797099</v>
      </c>
      <c r="F75" s="37">
        <v>0.24732997056230194</v>
      </c>
      <c r="G75" s="37">
        <v>2.9756996688724238</v>
      </c>
      <c r="H75" s="76">
        <v>7.4733314491008821E-3</v>
      </c>
    </row>
    <row r="76" spans="2:8" x14ac:dyDescent="0.25">
      <c r="B76" s="81"/>
      <c r="C76" s="52" t="s">
        <v>713</v>
      </c>
      <c r="D76" s="53">
        <v>0.91800536350882611</v>
      </c>
      <c r="E76" s="72">
        <v>0.38683170195122307</v>
      </c>
      <c r="F76" s="72">
        <v>0.20579415259369865</v>
      </c>
      <c r="G76" s="72">
        <v>2.3731389099660207</v>
      </c>
      <c r="H76" s="73">
        <v>2.7772781976493684E-2</v>
      </c>
    </row>
    <row r="77" spans="2:8" ht="15.75" thickBot="1" x14ac:dyDescent="0.3">
      <c r="B77" s="89">
        <v>5</v>
      </c>
      <c r="C77" s="57" t="s">
        <v>709</v>
      </c>
      <c r="D77" s="58">
        <v>598.7926619790378</v>
      </c>
      <c r="E77" s="60">
        <v>539.20146904626586</v>
      </c>
      <c r="F77" s="74"/>
      <c r="G77" s="60">
        <v>1.1105174899433716</v>
      </c>
      <c r="H77" s="75">
        <v>0.28063303278822371</v>
      </c>
    </row>
    <row r="78" spans="2:8" x14ac:dyDescent="0.25">
      <c r="B78" s="80"/>
      <c r="C78" s="47" t="s">
        <v>710</v>
      </c>
      <c r="D78" s="48">
        <v>0.57718153348708845</v>
      </c>
      <c r="E78" s="37">
        <v>0.23233747207368272</v>
      </c>
      <c r="F78" s="37">
        <v>0.29436199572818411</v>
      </c>
      <c r="G78" s="37">
        <v>2.4842378129346394</v>
      </c>
      <c r="H78" s="76">
        <v>2.2474172741376926E-2</v>
      </c>
    </row>
    <row r="79" spans="2:8" x14ac:dyDescent="0.25">
      <c r="B79" s="80"/>
      <c r="C79" s="47" t="s">
        <v>711</v>
      </c>
      <c r="D79" s="48">
        <v>33.811991784098559</v>
      </c>
      <c r="E79" s="37">
        <v>5.2926857786883392</v>
      </c>
      <c r="F79" s="37">
        <v>0.54967253398208638</v>
      </c>
      <c r="G79" s="37">
        <v>6.3884374017151693</v>
      </c>
      <c r="H79" s="76">
        <v>3.9748804066785794E-6</v>
      </c>
    </row>
    <row r="80" spans="2:8" x14ac:dyDescent="0.25">
      <c r="B80" s="80"/>
      <c r="C80" s="47" t="s">
        <v>712</v>
      </c>
      <c r="D80" s="48">
        <v>187.56604157484426</v>
      </c>
      <c r="E80" s="37">
        <v>56.840857599859028</v>
      </c>
      <c r="F80" s="37">
        <v>0.25212732985048208</v>
      </c>
      <c r="G80" s="37">
        <v>3.2998453840237176</v>
      </c>
      <c r="H80" s="76">
        <v>3.7666625738994948E-3</v>
      </c>
    </row>
    <row r="81" spans="2:8" x14ac:dyDescent="0.25">
      <c r="B81" s="80"/>
      <c r="C81" s="47" t="s">
        <v>713</v>
      </c>
      <c r="D81" s="48">
        <v>0.93382652668601474</v>
      </c>
      <c r="E81" s="37">
        <v>0.35552471350490683</v>
      </c>
      <c r="F81" s="37">
        <v>0.20934086702317797</v>
      </c>
      <c r="G81" s="37">
        <v>2.6266149474672917</v>
      </c>
      <c r="H81" s="76">
        <v>1.6612928801050839E-2</v>
      </c>
    </row>
    <row r="82" spans="2:8" ht="15.75" thickBot="1" x14ac:dyDescent="0.3">
      <c r="B82" s="90"/>
      <c r="C82" s="62" t="s">
        <v>714</v>
      </c>
      <c r="D82" s="63">
        <v>0.9650276881218145</v>
      </c>
      <c r="E82" s="41">
        <v>0.44573027483685412</v>
      </c>
      <c r="F82" s="41">
        <v>0.23886689238828457</v>
      </c>
      <c r="G82" s="41">
        <v>2.1650485564953676</v>
      </c>
      <c r="H82" s="77">
        <v>4.3320137164626835E-2</v>
      </c>
    </row>
    <row r="83" spans="2:8" x14ac:dyDescent="0.25">
      <c r="B83" s="26"/>
      <c r="C83" s="26"/>
      <c r="D83" s="26"/>
      <c r="E83" s="26"/>
      <c r="F83" s="26"/>
      <c r="G83" s="26"/>
      <c r="H83" s="26"/>
    </row>
  </sheetData>
  <mergeCells count="18">
    <mergeCell ref="B63:B64"/>
    <mergeCell ref="B65:B67"/>
    <mergeCell ref="B68:B71"/>
    <mergeCell ref="B72:B76"/>
    <mergeCell ref="B77:B82"/>
    <mergeCell ref="B53:B55"/>
    <mergeCell ref="B56:B58"/>
    <mergeCell ref="B60:H60"/>
    <mergeCell ref="B61:C62"/>
    <mergeCell ref="D61:E61"/>
    <mergeCell ref="G61:G62"/>
    <mergeCell ref="H61:H62"/>
    <mergeCell ref="B50:B52"/>
    <mergeCell ref="B34:F34"/>
    <mergeCell ref="B42:H42"/>
    <mergeCell ref="B43:C43"/>
    <mergeCell ref="B44:B46"/>
    <mergeCell ref="B47:B4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"/>
  <sheetViews>
    <sheetView workbookViewId="0">
      <selection activeCell="E31" sqref="E31"/>
    </sheetView>
  </sheetViews>
  <sheetFormatPr defaultRowHeight="15" x14ac:dyDescent="0.25"/>
  <sheetData>
    <row r="1" spans="1:58" x14ac:dyDescent="0.25">
      <c r="A1" t="s">
        <v>308</v>
      </c>
      <c r="B1" t="s">
        <v>32</v>
      </c>
      <c r="C1" s="10" t="s">
        <v>41</v>
      </c>
      <c r="D1" s="10" t="s">
        <v>42</v>
      </c>
      <c r="E1" s="10" t="s">
        <v>78</v>
      </c>
      <c r="F1" s="10" t="s">
        <v>79</v>
      </c>
      <c r="G1" s="10" t="s">
        <v>88</v>
      </c>
      <c r="H1" s="10" t="s">
        <v>89</v>
      </c>
      <c r="I1" s="10" t="s">
        <v>90</v>
      </c>
      <c r="J1" s="10" t="s">
        <v>91</v>
      </c>
      <c r="K1" s="10" t="s">
        <v>92</v>
      </c>
      <c r="L1" s="10" t="s">
        <v>93</v>
      </c>
      <c r="M1" s="10" t="s">
        <v>94</v>
      </c>
      <c r="N1" s="10" t="s">
        <v>95</v>
      </c>
      <c r="O1" s="10" t="s">
        <v>96</v>
      </c>
      <c r="P1" s="10" t="s">
        <v>97</v>
      </c>
      <c r="Q1" s="10" t="s">
        <v>106</v>
      </c>
      <c r="R1" s="10" t="s">
        <v>107</v>
      </c>
      <c r="S1" s="10" t="s">
        <v>116</v>
      </c>
      <c r="T1" s="10" t="s">
        <v>117</v>
      </c>
      <c r="U1" s="10" t="s">
        <v>126</v>
      </c>
      <c r="V1" s="10" t="s">
        <v>127</v>
      </c>
      <c r="W1" s="10" t="s">
        <v>136</v>
      </c>
      <c r="X1" s="10" t="s">
        <v>137</v>
      </c>
      <c r="Y1" s="10" t="s">
        <v>146</v>
      </c>
      <c r="Z1" s="10" t="s">
        <v>147</v>
      </c>
      <c r="AA1" s="10" t="s">
        <v>156</v>
      </c>
      <c r="AB1" s="10" t="s">
        <v>157</v>
      </c>
      <c r="AC1" s="10" t="s">
        <v>166</v>
      </c>
      <c r="AD1" s="10" t="s">
        <v>167</v>
      </c>
      <c r="AE1" s="10" t="s">
        <v>176</v>
      </c>
      <c r="AF1" s="10" t="s">
        <v>177</v>
      </c>
      <c r="AG1" s="10" t="s">
        <v>186</v>
      </c>
      <c r="AH1" s="10" t="s">
        <v>187</v>
      </c>
      <c r="AI1" s="10" t="s">
        <v>196</v>
      </c>
      <c r="AJ1" s="10" t="s">
        <v>197</v>
      </c>
      <c r="AK1" s="10" t="s">
        <v>206</v>
      </c>
      <c r="AL1" s="10" t="s">
        <v>207</v>
      </c>
      <c r="AM1" s="10" t="s">
        <v>216</v>
      </c>
      <c r="AN1" s="10" t="s">
        <v>217</v>
      </c>
      <c r="AO1" s="10" t="s">
        <v>226</v>
      </c>
      <c r="AP1" s="10" t="s">
        <v>227</v>
      </c>
      <c r="AQ1" s="10" t="s">
        <v>236</v>
      </c>
      <c r="AR1" s="10" t="s">
        <v>237</v>
      </c>
      <c r="AS1" s="10" t="s">
        <v>246</v>
      </c>
      <c r="AT1" s="10" t="s">
        <v>247</v>
      </c>
      <c r="AU1" s="10" t="s">
        <v>256</v>
      </c>
      <c r="AV1" s="10" t="s">
        <v>257</v>
      </c>
      <c r="AW1" s="10" t="s">
        <v>266</v>
      </c>
      <c r="AX1" s="10" t="s">
        <v>267</v>
      </c>
      <c r="AY1" s="10" t="s">
        <v>276</v>
      </c>
      <c r="AZ1" s="10" t="s">
        <v>277</v>
      </c>
      <c r="BA1" s="10" t="s">
        <v>286</v>
      </c>
      <c r="BB1" s="10" t="s">
        <v>287</v>
      </c>
      <c r="BC1" s="10" t="s">
        <v>296</v>
      </c>
      <c r="BD1" s="10" t="s">
        <v>297</v>
      </c>
      <c r="BE1" s="10" t="s">
        <v>306</v>
      </c>
      <c r="BF1" s="10" t="s">
        <v>307</v>
      </c>
    </row>
    <row r="2" spans="1:58" x14ac:dyDescent="0.25">
      <c r="A2" s="16">
        <v>1533</v>
      </c>
      <c r="B2">
        <v>1</v>
      </c>
      <c r="C2" s="9">
        <v>192.03749999999997</v>
      </c>
      <c r="D2" s="10">
        <v>10.136285742148155</v>
      </c>
      <c r="E2" s="9">
        <v>536.72321428571422</v>
      </c>
      <c r="F2" s="10">
        <v>-36.853521344736841</v>
      </c>
      <c r="G2" s="9">
        <v>302.72499999999997</v>
      </c>
      <c r="H2" s="10">
        <v>-11.309211210741775</v>
      </c>
      <c r="I2" s="9">
        <v>1551.5901228158095</v>
      </c>
      <c r="J2" s="10">
        <v>-25.794457314603946</v>
      </c>
      <c r="K2" s="9">
        <v>1028.086695532653</v>
      </c>
      <c r="L2" s="10">
        <v>-19.740951371667286</v>
      </c>
      <c r="M2" s="9">
        <v>217.03037210151581</v>
      </c>
      <c r="N2" s="10">
        <v>-10.417383068935344</v>
      </c>
      <c r="O2" s="9">
        <v>244.26997827902372</v>
      </c>
      <c r="P2" s="10">
        <v>-8.0844174511294042</v>
      </c>
      <c r="Q2" s="9">
        <v>5166.5618144132659</v>
      </c>
      <c r="R2" s="10">
        <v>159.87103430297969</v>
      </c>
      <c r="S2" s="9">
        <v>2925.8269579081634</v>
      </c>
      <c r="T2" s="10">
        <v>73.076601936133954</v>
      </c>
      <c r="U2" s="9">
        <v>15020.879783309532</v>
      </c>
      <c r="V2" s="10">
        <v>-2.6111828521089535</v>
      </c>
      <c r="W2" s="9">
        <v>9872.7896379851318</v>
      </c>
      <c r="X2" s="10">
        <v>29.037140143327299</v>
      </c>
      <c r="Y2" s="9">
        <v>2086.2175415644665</v>
      </c>
      <c r="Z2" s="10">
        <v>-26.107031576461445</v>
      </c>
      <c r="AA2" s="9">
        <v>2353.7001916915528</v>
      </c>
      <c r="AB2" s="10">
        <v>10.161575140974364</v>
      </c>
      <c r="AC2" s="9">
        <v>8188.3910395408157</v>
      </c>
      <c r="AD2" s="10">
        <v>-414.6472631428432</v>
      </c>
      <c r="AE2" s="9">
        <v>41199.37283465478</v>
      </c>
      <c r="AF2" s="10">
        <v>-986.11501644588134</v>
      </c>
      <c r="AG2" s="9">
        <v>27583.176542822996</v>
      </c>
      <c r="AH2" s="10">
        <v>-435.46260025978461</v>
      </c>
      <c r="AI2" s="9">
        <v>5840.6170361971981</v>
      </c>
      <c r="AJ2" s="10">
        <v>-297.87122538314151</v>
      </c>
      <c r="AK2" s="9">
        <v>6588.977862202657</v>
      </c>
      <c r="AL2" s="10">
        <v>-195.17777216546222</v>
      </c>
      <c r="AM2" s="9">
        <v>22985.580051187382</v>
      </c>
      <c r="AN2" s="10">
        <v>-827.20709805201466</v>
      </c>
      <c r="AO2" s="9">
        <v>15657.320659067285</v>
      </c>
      <c r="AP2" s="10">
        <v>-228.54383452648085</v>
      </c>
      <c r="AQ2" s="9">
        <v>3305.9145757103415</v>
      </c>
      <c r="AR2" s="10">
        <v>-156.06826106246783</v>
      </c>
      <c r="AS2" s="9">
        <v>3767.6221784221261</v>
      </c>
      <c r="AT2" s="10">
        <v>-95.452213780534066</v>
      </c>
      <c r="AU2" s="9">
        <v>80691.238507530987</v>
      </c>
      <c r="AV2" s="10">
        <v>-2542.4524399474722</v>
      </c>
      <c r="AW2" s="9">
        <v>17684.870596793109</v>
      </c>
      <c r="AX2" s="10">
        <v>-1127.7827263603372</v>
      </c>
      <c r="AY2" s="9">
        <v>18978.761453051655</v>
      </c>
      <c r="AZ2" s="10">
        <v>-589.61049844747538</v>
      </c>
      <c r="BA2" s="9">
        <v>11483.999679114897</v>
      </c>
      <c r="BB2" s="10">
        <v>-515.10238745767606</v>
      </c>
      <c r="BC2" s="9">
        <v>13182.440853256967</v>
      </c>
      <c r="BD2" s="10">
        <v>-690.52478604727742</v>
      </c>
      <c r="BE2" s="9">
        <v>2771.9924907184977</v>
      </c>
      <c r="BF2" s="10">
        <v>-155.53849061028575</v>
      </c>
    </row>
    <row r="3" spans="1:58" x14ac:dyDescent="0.25">
      <c r="A3" s="16">
        <v>2426</v>
      </c>
      <c r="B3">
        <v>2</v>
      </c>
      <c r="C3" s="9">
        <v>197.36071428571427</v>
      </c>
      <c r="D3" s="10">
        <v>9.8809149409075872</v>
      </c>
      <c r="E3" s="9">
        <v>603.00317460317456</v>
      </c>
      <c r="F3" s="10">
        <v>-37.526285979136823</v>
      </c>
      <c r="G3" s="9">
        <v>336.36507936507945</v>
      </c>
      <c r="H3" s="10">
        <v>-6.3934822141820522</v>
      </c>
      <c r="I3" s="9">
        <v>1277.6859901114437</v>
      </c>
      <c r="J3" s="10">
        <v>0.84979274319688614</v>
      </c>
      <c r="K3" s="9">
        <v>799.4266930848562</v>
      </c>
      <c r="L3" s="10">
        <v>-1.6332472626070746</v>
      </c>
      <c r="M3" s="9">
        <v>204.84096185917082</v>
      </c>
      <c r="N3" s="10">
        <v>-10.511755342970218</v>
      </c>
      <c r="O3" s="9">
        <v>237.39521240624015</v>
      </c>
      <c r="P3" s="10">
        <v>-4.3891454873483804</v>
      </c>
      <c r="Q3" s="9">
        <v>5957.7831519274378</v>
      </c>
      <c r="R3" s="10">
        <v>196.16078761943652</v>
      </c>
      <c r="S3" s="9">
        <v>3326.0736961451248</v>
      </c>
      <c r="T3" s="10">
        <v>115.77469575837634</v>
      </c>
      <c r="U3" s="9">
        <v>12569.016680105815</v>
      </c>
      <c r="V3" s="10">
        <v>240.27235568631178</v>
      </c>
      <c r="W3" s="9">
        <v>7852.877889340527</v>
      </c>
      <c r="X3" s="10">
        <v>128.961737611339</v>
      </c>
      <c r="Y3" s="9">
        <v>2020.2491036607262</v>
      </c>
      <c r="Z3" s="10">
        <v>-28.090641930033872</v>
      </c>
      <c r="AA3" s="9">
        <v>2336.9144854131841</v>
      </c>
      <c r="AB3" s="10">
        <v>37.196680755690032</v>
      </c>
      <c r="AC3" s="9">
        <v>10218.673607961704</v>
      </c>
      <c r="AD3" s="10">
        <v>-306.39232004387122</v>
      </c>
      <c r="AE3" s="9">
        <v>38470.389569345323</v>
      </c>
      <c r="AF3" s="10">
        <v>-298.90627147806038</v>
      </c>
      <c r="AG3" s="9">
        <v>24034.244163447303</v>
      </c>
      <c r="AH3" s="10">
        <v>-15.206367752989451</v>
      </c>
      <c r="AI3" s="9">
        <v>6214.1589581399894</v>
      </c>
      <c r="AJ3" s="10">
        <v>-279.23734616021159</v>
      </c>
      <c r="AK3" s="9">
        <v>7176.0175189061683</v>
      </c>
      <c r="AL3" s="10">
        <v>-93.130283912985277</v>
      </c>
      <c r="AM3" s="9">
        <v>21402.63799365313</v>
      </c>
      <c r="AN3" s="10">
        <v>-405.04277662829912</v>
      </c>
      <c r="AO3" s="9">
        <v>13349.63056878626</v>
      </c>
      <c r="AP3" s="10">
        <v>32.66594286911306</v>
      </c>
      <c r="AQ3" s="9">
        <v>3521.9677406366191</v>
      </c>
      <c r="AR3" s="10">
        <v>-146.0869895690665</v>
      </c>
      <c r="AS3" s="9">
        <v>4020.9359071467038</v>
      </c>
      <c r="AT3" s="10">
        <v>-38.115629065627139</v>
      </c>
      <c r="AU3" s="9">
        <v>51465.181506573812</v>
      </c>
      <c r="AV3" s="10">
        <v>-523.3863311573532</v>
      </c>
      <c r="AW3" s="9">
        <v>13128.665695323398</v>
      </c>
      <c r="AX3" s="10">
        <v>-703.95829709943234</v>
      </c>
      <c r="AY3" s="9">
        <v>15243.853154589287</v>
      </c>
      <c r="AZ3" s="10">
        <v>-487.49046923066527</v>
      </c>
      <c r="BA3" s="9">
        <v>8187.7785207638863</v>
      </c>
      <c r="BB3" s="10">
        <v>-340.38243446231928</v>
      </c>
      <c r="BC3" s="9">
        <v>9837.0915208904189</v>
      </c>
      <c r="BD3" s="10">
        <v>-109.34725086593622</v>
      </c>
      <c r="BE3" s="9">
        <v>2460.014260669635</v>
      </c>
      <c r="BF3" s="10">
        <v>-136.15323914048133</v>
      </c>
    </row>
    <row r="4" spans="1:58" x14ac:dyDescent="0.25">
      <c r="A4" s="16">
        <v>1979</v>
      </c>
      <c r="B4">
        <v>3</v>
      </c>
      <c r="C4" s="9">
        <v>191.28214285714287</v>
      </c>
      <c r="D4" s="10">
        <v>8.8757980709668427</v>
      </c>
      <c r="E4" s="9">
        <v>618.9375</v>
      </c>
      <c r="F4" s="10">
        <v>-41.016095322127192</v>
      </c>
      <c r="G4" s="9">
        <v>359.42857142857139</v>
      </c>
      <c r="H4" s="10">
        <v>-9.6510668183338346</v>
      </c>
      <c r="I4" s="9">
        <v>1262.5658720817473</v>
      </c>
      <c r="J4" s="10">
        <v>17.024654311179209</v>
      </c>
      <c r="K4" s="9">
        <v>823.59677150179755</v>
      </c>
      <c r="L4" s="10">
        <v>-12.607071133416447</v>
      </c>
      <c r="M4" s="9">
        <v>208.89966351492706</v>
      </c>
      <c r="N4" s="10">
        <v>-8.9292216563295685</v>
      </c>
      <c r="O4" s="9">
        <v>264.68070783456244</v>
      </c>
      <c r="P4" s="10">
        <v>-4.8251156732334479</v>
      </c>
      <c r="Q4" s="9">
        <v>5926.9888711734684</v>
      </c>
      <c r="R4" s="10">
        <v>168.78836089598582</v>
      </c>
      <c r="S4" s="9">
        <v>3442.210204081633</v>
      </c>
      <c r="T4" s="10">
        <v>81.752715747681648</v>
      </c>
      <c r="U4" s="9">
        <v>12010.89313682532</v>
      </c>
      <c r="V4" s="10">
        <v>320.41771504003401</v>
      </c>
      <c r="W4" s="9">
        <v>7868.9894867035837</v>
      </c>
      <c r="X4" s="10">
        <v>-22.360225408453115</v>
      </c>
      <c r="Y4" s="9">
        <v>1990.4958501109159</v>
      </c>
      <c r="Z4" s="10">
        <v>-37.259192325558971</v>
      </c>
      <c r="AA4" s="9">
        <v>2536.9732697447389</v>
      </c>
      <c r="AB4" s="10">
        <v>1.2470132065144623</v>
      </c>
      <c r="AC4" s="9">
        <v>11220.645408163266</v>
      </c>
      <c r="AD4" s="10">
        <v>-483.44419143836996</v>
      </c>
      <c r="AE4" s="9">
        <v>38848.992107032027</v>
      </c>
      <c r="AF4" s="10">
        <v>-33.381829081893216</v>
      </c>
      <c r="AG4" s="9">
        <v>25430.017274247028</v>
      </c>
      <c r="AH4" s="10">
        <v>-249.6364000885045</v>
      </c>
      <c r="AI4" s="9">
        <v>6490.4049684069523</v>
      </c>
      <c r="AJ4" s="10">
        <v>-291.87633391090179</v>
      </c>
      <c r="AK4" s="9">
        <v>8248.8935615062219</v>
      </c>
      <c r="AL4" s="10">
        <v>-121.70875768485394</v>
      </c>
      <c r="AM4" s="9">
        <v>22457.914875497645</v>
      </c>
      <c r="AN4" s="10">
        <v>-379.57229247092397</v>
      </c>
      <c r="AO4" s="9">
        <v>14715.400597262269</v>
      </c>
      <c r="AP4" s="10">
        <v>-75.522900369755703</v>
      </c>
      <c r="AQ4" s="9">
        <v>3797.2292863505945</v>
      </c>
      <c r="AR4" s="10">
        <v>-164.84490172440445</v>
      </c>
      <c r="AS4" s="9">
        <v>4805.4953669108263</v>
      </c>
      <c r="AT4" s="10">
        <v>-73.590476176555825</v>
      </c>
      <c r="AU4" s="9">
        <v>52459.772953629756</v>
      </c>
      <c r="AV4" s="10">
        <v>-131.35499928055765</v>
      </c>
      <c r="AW4" s="9">
        <v>13303.595565632022</v>
      </c>
      <c r="AX4" s="10">
        <v>-459.55671342696837</v>
      </c>
      <c r="AY4" s="9">
        <v>16670.778176494234</v>
      </c>
      <c r="AZ4" s="10">
        <v>-149.5400812170169</v>
      </c>
      <c r="BA4" s="9">
        <v>8629.9577329842396</v>
      </c>
      <c r="BB4" s="10">
        <v>-217.63032166507398</v>
      </c>
      <c r="BC4" s="9">
        <v>11160.377101126249</v>
      </c>
      <c r="BD4" s="10">
        <v>-264.72226886186513</v>
      </c>
      <c r="BE4" s="9">
        <v>2790.9432628022655</v>
      </c>
      <c r="BF4" s="10">
        <v>-98.033341590959836</v>
      </c>
    </row>
    <row r="5" spans="1:58" x14ac:dyDescent="0.25">
      <c r="A5" s="16">
        <v>1961</v>
      </c>
      <c r="B5">
        <v>4</v>
      </c>
      <c r="C5" s="9">
        <v>190.50535714285715</v>
      </c>
      <c r="D5" s="10">
        <v>9.1490550115350615</v>
      </c>
      <c r="E5" s="9">
        <v>604.07142857142844</v>
      </c>
      <c r="F5" s="10">
        <v>-36.901189185492917</v>
      </c>
      <c r="G5" s="9">
        <v>340.66428571428571</v>
      </c>
      <c r="H5" s="10">
        <v>-6.1834487686392805</v>
      </c>
      <c r="I5" s="9">
        <v>1265.6464322528193</v>
      </c>
      <c r="J5" s="10">
        <v>4.5146276856405976</v>
      </c>
      <c r="K5" s="9">
        <v>865.34246524776597</v>
      </c>
      <c r="L5" s="10">
        <v>-13.369703815178784</v>
      </c>
      <c r="M5" s="9">
        <v>205.46653644084012</v>
      </c>
      <c r="N5" s="10">
        <v>-11.529500422344245</v>
      </c>
      <c r="O5" s="9">
        <v>264.55717410530821</v>
      </c>
      <c r="P5" s="10">
        <v>-5.4658005944137802</v>
      </c>
      <c r="Q5" s="9">
        <v>5771.487755102039</v>
      </c>
      <c r="R5" s="10">
        <v>187.92535392069976</v>
      </c>
      <c r="S5" s="9">
        <v>3264.9225637755108</v>
      </c>
      <c r="T5" s="10">
        <v>115.00950518386261</v>
      </c>
      <c r="U5" s="9">
        <v>12081.637579924714</v>
      </c>
      <c r="V5" s="10">
        <v>166.68801144766769</v>
      </c>
      <c r="W5" s="9">
        <v>8256.7025250266797</v>
      </c>
      <c r="X5" s="10">
        <v>6.896337971285238</v>
      </c>
      <c r="Y5" s="9">
        <v>1972.9439669174435</v>
      </c>
      <c r="Z5" s="10">
        <v>-51.39565700594521</v>
      </c>
      <c r="AA5" s="9">
        <v>2535.5982418261124</v>
      </c>
      <c r="AB5" s="10">
        <v>15.397726187122734</v>
      </c>
      <c r="AC5" s="9">
        <v>10398.065306122449</v>
      </c>
      <c r="AD5" s="10">
        <v>-286.56566770249958</v>
      </c>
      <c r="AE5" s="9">
        <v>38329.262292906424</v>
      </c>
      <c r="AF5" s="10">
        <v>-291.4512587428942</v>
      </c>
      <c r="AG5" s="9">
        <v>26073.869023102226</v>
      </c>
      <c r="AH5" s="10">
        <v>-327.73408980487284</v>
      </c>
      <c r="AI5" s="9">
        <v>6286.5270056245008</v>
      </c>
      <c r="AJ5" s="10">
        <v>-336.71944017166959</v>
      </c>
      <c r="AK5" s="9">
        <v>8038.8610811940734</v>
      </c>
      <c r="AL5" s="10">
        <v>-109.13303322232937</v>
      </c>
      <c r="AM5" s="9">
        <v>21760.26039490859</v>
      </c>
      <c r="AN5" s="10">
        <v>-455.22747222382804</v>
      </c>
      <c r="AO5" s="9">
        <v>14736.53844656466</v>
      </c>
      <c r="AP5" s="10">
        <v>-197.95835256057723</v>
      </c>
      <c r="AQ5" s="9">
        <v>3658.5692411604978</v>
      </c>
      <c r="AR5" s="10">
        <v>-189.04969090454202</v>
      </c>
      <c r="AS5" s="9">
        <v>4577.5563460673147</v>
      </c>
      <c r="AT5" s="10">
        <v>-85.027093789966614</v>
      </c>
      <c r="AU5" s="9">
        <v>55137.916462980982</v>
      </c>
      <c r="AV5" s="10">
        <v>-1129.8723018491185</v>
      </c>
      <c r="AW5" s="9">
        <v>13303.473323048496</v>
      </c>
      <c r="AX5" s="10">
        <v>-757.28295943279829</v>
      </c>
      <c r="AY5" s="9">
        <v>16895.187936068342</v>
      </c>
      <c r="AZ5" s="10">
        <v>-570.23916745943711</v>
      </c>
      <c r="BA5" s="9">
        <v>8950.2560394108787</v>
      </c>
      <c r="BB5" s="10">
        <v>-514.47381141139783</v>
      </c>
      <c r="BC5" s="9">
        <v>11741.177396916964</v>
      </c>
      <c r="BD5" s="10">
        <v>-418.69265296312545</v>
      </c>
      <c r="BE5" s="9">
        <v>2785.3834667384244</v>
      </c>
      <c r="BF5" s="10">
        <v>-188.82692306083754</v>
      </c>
    </row>
    <row r="6" spans="1:58" x14ac:dyDescent="0.25">
      <c r="A6" s="16">
        <v>2330</v>
      </c>
      <c r="B6">
        <v>5</v>
      </c>
      <c r="C6" s="9">
        <v>186.28571428571428</v>
      </c>
      <c r="D6" s="10">
        <v>9.6897020826728468</v>
      </c>
      <c r="E6" s="9">
        <v>602.07142857142867</v>
      </c>
      <c r="F6" s="10">
        <v>-37.20773288560779</v>
      </c>
      <c r="G6" s="9">
        <v>343.26785714285705</v>
      </c>
      <c r="H6" s="10">
        <v>-6.5800482653146046</v>
      </c>
      <c r="I6" s="9">
        <v>1411.3138235579081</v>
      </c>
      <c r="J6" s="10">
        <v>10.181076229831815</v>
      </c>
      <c r="K6" s="9">
        <v>428.98066545039461</v>
      </c>
      <c r="L6" s="10">
        <v>-7.5794910953974792</v>
      </c>
      <c r="M6" s="9">
        <v>224.02157943656692</v>
      </c>
      <c r="N6" s="10">
        <v>-11.172900720276624</v>
      </c>
      <c r="O6" s="9">
        <v>140.87830167769562</v>
      </c>
      <c r="P6" s="10">
        <v>-6.1808696383061354</v>
      </c>
      <c r="Q6" s="9">
        <v>5620.0844897959169</v>
      </c>
      <c r="R6" s="10">
        <v>185.81664614660261</v>
      </c>
      <c r="S6" s="9">
        <v>3205.9536734693879</v>
      </c>
      <c r="T6" s="10">
        <v>115.08701020700883</v>
      </c>
      <c r="U6" s="9">
        <v>13118.64535760589</v>
      </c>
      <c r="V6" s="10">
        <v>310.58794503758975</v>
      </c>
      <c r="W6" s="9">
        <v>3997.8025540414014</v>
      </c>
      <c r="X6" s="10">
        <v>13.380099444672219</v>
      </c>
      <c r="Y6" s="9">
        <v>2088.3538369340858</v>
      </c>
      <c r="Z6" s="10">
        <v>-28.306120668017165</v>
      </c>
      <c r="AA6" s="9">
        <v>1317.2088688737092</v>
      </c>
      <c r="AB6" s="10">
        <v>-8.4807932762871925</v>
      </c>
      <c r="AC6" s="9">
        <v>10463.473214285716</v>
      </c>
      <c r="AD6" s="10">
        <v>-317.55452341898859</v>
      </c>
      <c r="AE6" s="9">
        <v>42409.345400049941</v>
      </c>
      <c r="AF6" s="10">
        <v>-243.55790798491182</v>
      </c>
      <c r="AG6" s="9">
        <v>13127.36629887649</v>
      </c>
      <c r="AH6" s="10">
        <v>-298.89356829609483</v>
      </c>
      <c r="AI6" s="9">
        <v>6818.6376985496727</v>
      </c>
      <c r="AJ6" s="10">
        <v>-346.58218607028442</v>
      </c>
      <c r="AK6" s="9">
        <v>4362.2944710009806</v>
      </c>
      <c r="AL6" s="10">
        <v>-194.60563728458203</v>
      </c>
      <c r="AM6" s="9">
        <v>24199.093661193914</v>
      </c>
      <c r="AN6" s="10">
        <v>-520.75236196138565</v>
      </c>
      <c r="AO6" s="9">
        <v>7778.331937477069</v>
      </c>
      <c r="AP6" s="10">
        <v>-54.436725907247173</v>
      </c>
      <c r="AQ6" s="9">
        <v>3953.3692339252293</v>
      </c>
      <c r="AR6" s="10">
        <v>-174.19401270772426</v>
      </c>
      <c r="AS6" s="9">
        <v>2601.8336875075242</v>
      </c>
      <c r="AT6" s="10">
        <v>-71.652013850226226</v>
      </c>
      <c r="AU6" s="9">
        <v>30419.872842007822</v>
      </c>
      <c r="AV6" s="10">
        <v>-1159.1832420601854</v>
      </c>
      <c r="AW6" s="9">
        <v>15998.010214221849</v>
      </c>
      <c r="AX6" s="10">
        <v>-796.06481031327837</v>
      </c>
      <c r="AY6" s="9">
        <v>9932.1771067424525</v>
      </c>
      <c r="AZ6" s="10">
        <v>-622.36873519437211</v>
      </c>
      <c r="BA6" s="9">
        <v>5107.0407603282401</v>
      </c>
      <c r="BB6" s="10">
        <v>-259.21564494478844</v>
      </c>
      <c r="BC6" s="9">
        <v>3542.5738354127161</v>
      </c>
      <c r="BD6" s="10">
        <v>-217.3092220217936</v>
      </c>
      <c r="BE6" s="9">
        <v>1700.2917357340241</v>
      </c>
      <c r="BF6" s="10">
        <v>-131.35366496660458</v>
      </c>
    </row>
    <row r="7" spans="1:58" x14ac:dyDescent="0.25">
      <c r="A7" s="16">
        <v>1867</v>
      </c>
      <c r="B7">
        <v>6</v>
      </c>
      <c r="C7" s="9">
        <v>186.31904761904764</v>
      </c>
      <c r="D7" s="10">
        <v>9.2905495582609614</v>
      </c>
      <c r="E7" s="9">
        <v>627.46428571428589</v>
      </c>
      <c r="F7" s="10">
        <v>-42.39022149123138</v>
      </c>
      <c r="G7" s="9">
        <v>366.64642857142849</v>
      </c>
      <c r="H7" s="10">
        <v>-9.4800352506779113</v>
      </c>
      <c r="I7" s="9">
        <v>1218.6151382090345</v>
      </c>
      <c r="J7" s="10">
        <v>9.2875199968890598E-2</v>
      </c>
      <c r="K7" s="9">
        <v>475.6914614314025</v>
      </c>
      <c r="L7" s="10">
        <v>-18.59780048134245</v>
      </c>
      <c r="M7" s="9">
        <v>212.64680776708676</v>
      </c>
      <c r="N7" s="10">
        <v>-13.607941316277174</v>
      </c>
      <c r="O7" s="9">
        <v>161.03433524521066</v>
      </c>
      <c r="P7" s="10">
        <v>-9.9481737472838745</v>
      </c>
      <c r="Q7" s="9">
        <v>5856.8639455782322</v>
      </c>
      <c r="R7" s="10">
        <v>178.36139447046168</v>
      </c>
      <c r="S7" s="9">
        <v>3438.1063265306125</v>
      </c>
      <c r="T7" s="10">
        <v>104.2109215143395</v>
      </c>
      <c r="U7" s="9">
        <v>11331.443931230073</v>
      </c>
      <c r="V7" s="10">
        <v>173.60213886596367</v>
      </c>
      <c r="W7" s="9">
        <v>4495.5139241352208</v>
      </c>
      <c r="X7" s="10">
        <v>-74.127840409859274</v>
      </c>
      <c r="Y7" s="9">
        <v>1990.3281733072938</v>
      </c>
      <c r="Z7" s="10">
        <v>-51.045072933360387</v>
      </c>
      <c r="AA7" s="9">
        <v>1526.6527052531499</v>
      </c>
      <c r="AB7" s="10">
        <v>-37.807075555094563</v>
      </c>
      <c r="AC7" s="9">
        <v>11587.342729591835</v>
      </c>
      <c r="AD7" s="10">
        <v>-497.22962884204196</v>
      </c>
      <c r="AE7" s="9">
        <v>38131.454331890971</v>
      </c>
      <c r="AF7" s="10">
        <v>-489.34046527040982</v>
      </c>
      <c r="AG7" s="9">
        <v>15141.790015986924</v>
      </c>
      <c r="AH7" s="10">
        <v>-600.96308540639882</v>
      </c>
      <c r="AI7" s="9">
        <v>6706.9637334914732</v>
      </c>
      <c r="AJ7" s="10">
        <v>-436.14807692971982</v>
      </c>
      <c r="AK7" s="9">
        <v>5153.7794627501989</v>
      </c>
      <c r="AL7" s="10">
        <v>-304.33057672961473</v>
      </c>
      <c r="AM7" s="9">
        <v>22316.13604579855</v>
      </c>
      <c r="AN7" s="10">
        <v>-607.93480232031834</v>
      </c>
      <c r="AO7" s="9">
        <v>9240.5482978438777</v>
      </c>
      <c r="AP7" s="10">
        <v>-285.57559241365283</v>
      </c>
      <c r="AQ7" s="9">
        <v>4004.1297560604776</v>
      </c>
      <c r="AR7" s="10">
        <v>-238.97735317494516</v>
      </c>
      <c r="AS7" s="9">
        <v>3167.6746367641181</v>
      </c>
      <c r="AT7" s="10">
        <v>-160.67210026420361</v>
      </c>
      <c r="AU7" s="9">
        <v>29273.394013098674</v>
      </c>
      <c r="AV7" s="10">
        <v>-1576.021181973354</v>
      </c>
      <c r="AW7" s="9">
        <v>13240.739502325514</v>
      </c>
      <c r="AX7" s="10">
        <v>-921.01026060665652</v>
      </c>
      <c r="AY7" s="9">
        <v>9855.045577083285</v>
      </c>
      <c r="AZ7" s="10">
        <v>-776.06242999850679</v>
      </c>
      <c r="BA7" s="9">
        <v>5455.8595509368697</v>
      </c>
      <c r="BB7" s="10">
        <v>-483.16829658986478</v>
      </c>
      <c r="BC7" s="9">
        <v>4518.4030275407476</v>
      </c>
      <c r="BD7" s="10">
        <v>-470.363894869018</v>
      </c>
      <c r="BE7" s="9">
        <v>1862.2057140315717</v>
      </c>
      <c r="BF7" s="10">
        <v>-197.62915299800244</v>
      </c>
    </row>
    <row r="8" spans="1:58" x14ac:dyDescent="0.25">
      <c r="A8" s="16">
        <v>2073</v>
      </c>
      <c r="B8">
        <v>7</v>
      </c>
      <c r="C8" s="9">
        <v>177.92142857142858</v>
      </c>
      <c r="D8" s="10">
        <v>8.3627170897435619</v>
      </c>
      <c r="E8" s="9">
        <v>614.19285714285718</v>
      </c>
      <c r="F8" s="10">
        <v>-36.838951824203008</v>
      </c>
      <c r="G8" s="9">
        <v>341.20535714285722</v>
      </c>
      <c r="H8" s="10">
        <v>-6.6543335100698018</v>
      </c>
      <c r="I8" s="9">
        <v>1500.7931335355161</v>
      </c>
      <c r="J8" s="10">
        <v>2.6320121029753629</v>
      </c>
      <c r="K8" s="9">
        <v>426.53753995545776</v>
      </c>
      <c r="L8" s="10">
        <v>-22.259944145758709</v>
      </c>
      <c r="M8" s="9">
        <v>257.78180493591282</v>
      </c>
      <c r="N8" s="10">
        <v>-14.932236594585854</v>
      </c>
      <c r="O8" s="9">
        <v>138.52976972725824</v>
      </c>
      <c r="P8" s="10">
        <v>-10.690757934132549</v>
      </c>
      <c r="Q8" s="9">
        <v>5470.5601530612239</v>
      </c>
      <c r="R8" s="10">
        <v>187.6483550406104</v>
      </c>
      <c r="S8" s="9">
        <v>3037.2125637755103</v>
      </c>
      <c r="T8" s="10">
        <v>116.33494032759199</v>
      </c>
      <c r="U8" s="9">
        <v>13325.434230280987</v>
      </c>
      <c r="V8" s="10">
        <v>207.54270807902989</v>
      </c>
      <c r="W8" s="9">
        <v>3766.1687704171632</v>
      </c>
      <c r="X8" s="10">
        <v>-108.54738660056235</v>
      </c>
      <c r="Y8" s="9">
        <v>2286.7166067617977</v>
      </c>
      <c r="Z8" s="10">
        <v>-46.204983609333937</v>
      </c>
      <c r="AA8" s="9">
        <v>1227.2496718035716</v>
      </c>
      <c r="AB8" s="10">
        <v>-40.929109942542254</v>
      </c>
      <c r="AC8" s="9">
        <v>10559.798405612242</v>
      </c>
      <c r="AD8" s="10">
        <v>-288.79218231480343</v>
      </c>
      <c r="AE8" s="9">
        <v>46009.307164703554</v>
      </c>
      <c r="AF8" s="10">
        <v>-681.39839774313668</v>
      </c>
      <c r="AG8" s="9">
        <v>13273.689999416056</v>
      </c>
      <c r="AH8" s="10">
        <v>-665.15116987119245</v>
      </c>
      <c r="AI8" s="9">
        <v>7959.1748247790874</v>
      </c>
      <c r="AJ8" s="10">
        <v>-449.69471133943256</v>
      </c>
      <c r="AK8" s="9">
        <v>4334.3042616485727</v>
      </c>
      <c r="AL8" s="10">
        <v>-267.05439096642681</v>
      </c>
      <c r="AM8" s="9">
        <v>25562.004345698933</v>
      </c>
      <c r="AN8" s="10">
        <v>-667.10779914224918</v>
      </c>
      <c r="AO8" s="9">
        <v>7823.1345381416049</v>
      </c>
      <c r="AP8" s="10">
        <v>-348.76536236968877</v>
      </c>
      <c r="AQ8" s="9">
        <v>4527.78847654534</v>
      </c>
      <c r="AR8" s="10">
        <v>-234.49261376224442</v>
      </c>
      <c r="AS8" s="9">
        <v>2570.457299289078</v>
      </c>
      <c r="AT8" s="10">
        <v>-144.69779948636037</v>
      </c>
      <c r="AU8" s="9">
        <v>32027.628471690001</v>
      </c>
      <c r="AV8" s="10">
        <v>-1830.5138309342401</v>
      </c>
      <c r="AW8" s="9">
        <v>19632.427789553756</v>
      </c>
      <c r="AX8" s="10">
        <v>-1198.0425050485328</v>
      </c>
      <c r="AY8" s="9">
        <v>10352.848302850849</v>
      </c>
      <c r="AZ8" s="10">
        <v>-893.23035811801446</v>
      </c>
      <c r="BA8" s="9">
        <v>5938.676147509339</v>
      </c>
      <c r="BB8" s="10">
        <v>-538.8399553208742</v>
      </c>
      <c r="BC8" s="9">
        <v>3633.1393710628072</v>
      </c>
      <c r="BD8" s="10">
        <v>-456.81236815092564</v>
      </c>
      <c r="BE8" s="9">
        <v>1941.4837157463758</v>
      </c>
      <c r="BF8" s="10">
        <v>-212.94325645564817</v>
      </c>
    </row>
    <row r="9" spans="1:58" x14ac:dyDescent="0.25">
      <c r="A9" s="16">
        <v>2413</v>
      </c>
      <c r="B9">
        <v>8</v>
      </c>
      <c r="C9" s="9">
        <v>163.52678571428575</v>
      </c>
      <c r="D9" s="10">
        <v>7.5427210810196073</v>
      </c>
      <c r="E9" s="9">
        <v>559.09464285714273</v>
      </c>
      <c r="F9" s="10">
        <v>-27.965682372310859</v>
      </c>
      <c r="G9" s="9">
        <v>315.35892857142858</v>
      </c>
      <c r="H9" s="10">
        <v>-2.4498476284944832</v>
      </c>
      <c r="I9" s="9">
        <v>1474.8104598062828</v>
      </c>
      <c r="J9" s="10">
        <v>1.0756331196854276</v>
      </c>
      <c r="K9" s="9">
        <v>505.4304334003977</v>
      </c>
      <c r="L9" s="10">
        <v>-5.5413256694047686</v>
      </c>
      <c r="M9" s="9">
        <v>233.2359402929863</v>
      </c>
      <c r="N9" s="10">
        <v>-7.9563177268298082</v>
      </c>
      <c r="O9" s="9">
        <v>140.38998152683604</v>
      </c>
      <c r="P9" s="10">
        <v>0.7027908776929549</v>
      </c>
      <c r="Q9" s="9">
        <v>4591.8784789540814</v>
      </c>
      <c r="R9" s="10">
        <v>190.42387647575072</v>
      </c>
      <c r="S9" s="9">
        <v>2590.8017825255101</v>
      </c>
      <c r="T9" s="10">
        <v>114.80490451543318</v>
      </c>
      <c r="U9" s="9">
        <v>12052.217818746685</v>
      </c>
      <c r="V9" s="10">
        <v>180.9802594402498</v>
      </c>
      <c r="W9" s="9">
        <v>4142.2208290822382</v>
      </c>
      <c r="X9" s="10">
        <v>57.117149205668696</v>
      </c>
      <c r="Y9" s="9">
        <v>1918.1276706254841</v>
      </c>
      <c r="Z9" s="10">
        <v>-1.9045824784357848</v>
      </c>
      <c r="AA9" s="9">
        <v>1155.7833297788961</v>
      </c>
      <c r="AB9" s="10">
        <v>45.12283058586042</v>
      </c>
      <c r="AC9" s="9">
        <v>9259.5853475765325</v>
      </c>
      <c r="AD9" s="10">
        <v>-95.818263910294633</v>
      </c>
      <c r="AE9" s="9">
        <v>40747.184178952884</v>
      </c>
      <c r="AF9" s="10">
        <v>625.18226452267413</v>
      </c>
      <c r="AG9" s="9">
        <v>13839.771872568714</v>
      </c>
      <c r="AH9" s="10">
        <v>264.57290334585332</v>
      </c>
      <c r="AI9" s="9">
        <v>6743.5444666085968</v>
      </c>
      <c r="AJ9" s="10">
        <v>-85.611666807852885</v>
      </c>
      <c r="AK9" s="9">
        <v>4042.0346372627223</v>
      </c>
      <c r="AL9" s="10">
        <v>123.02935162280266</v>
      </c>
      <c r="AM9" s="9">
        <v>23010.819499111418</v>
      </c>
      <c r="AN9" s="10">
        <v>-38.809155061610369</v>
      </c>
      <c r="AO9" s="9">
        <v>7881.9093593738344</v>
      </c>
      <c r="AP9" s="10">
        <v>249.94999309333099</v>
      </c>
      <c r="AQ9" s="9">
        <v>3834.1428213330305</v>
      </c>
      <c r="AR9" s="10">
        <v>-58.046143820137907</v>
      </c>
      <c r="AS9" s="9">
        <v>2313.1977187819816</v>
      </c>
      <c r="AT9" s="10">
        <v>101.6984869096182</v>
      </c>
      <c r="AU9" s="9">
        <v>37712.724149368922</v>
      </c>
      <c r="AV9" s="10">
        <v>-934.47522513187573</v>
      </c>
      <c r="AW9" s="9">
        <v>17240.016177842666</v>
      </c>
      <c r="AX9" s="10">
        <v>-708.14352867891705</v>
      </c>
      <c r="AY9" s="9">
        <v>10376.632557566927</v>
      </c>
      <c r="AZ9" s="10">
        <v>-167.58601416766487</v>
      </c>
      <c r="BA9" s="9">
        <v>5878.1213552642557</v>
      </c>
      <c r="BB9" s="10">
        <v>-126.10898847585152</v>
      </c>
      <c r="BC9" s="9">
        <v>3655.2462562986489</v>
      </c>
      <c r="BD9" s="10">
        <v>11.481923296382771</v>
      </c>
      <c r="BE9" s="9">
        <v>1704.9375914107325</v>
      </c>
      <c r="BF9" s="10">
        <v>-20.996468326347973</v>
      </c>
    </row>
    <row r="10" spans="1:58" x14ac:dyDescent="0.25">
      <c r="A10" s="16">
        <v>2099</v>
      </c>
      <c r="B10">
        <v>9</v>
      </c>
      <c r="C10" s="9">
        <v>178.16964285714286</v>
      </c>
      <c r="D10" s="10">
        <v>8.9690337718543915</v>
      </c>
      <c r="E10" s="9">
        <v>616.42380258225739</v>
      </c>
      <c r="F10" s="10">
        <v>-39.42751566136549</v>
      </c>
      <c r="G10" s="9">
        <v>330.88254373177841</v>
      </c>
      <c r="H10" s="10">
        <v>-6.8562897270807683</v>
      </c>
      <c r="I10" s="9">
        <v>1582.6912970707394</v>
      </c>
      <c r="J10" s="10">
        <v>1.044592963814349</v>
      </c>
      <c r="K10" s="9">
        <v>471.35140901437262</v>
      </c>
      <c r="L10" s="10">
        <v>-9.7534838433278157</v>
      </c>
      <c r="M10" s="9">
        <v>240.79541442134172</v>
      </c>
      <c r="N10" s="10">
        <v>-17.886577016193858</v>
      </c>
      <c r="O10" s="9">
        <v>136.91149803647403</v>
      </c>
      <c r="P10" s="10">
        <v>1.4015645852143912</v>
      </c>
      <c r="Q10" s="9">
        <v>5490.0894313846165</v>
      </c>
      <c r="R10" s="10">
        <v>178.3053173517701</v>
      </c>
      <c r="S10" s="9">
        <v>2942.2029779258646</v>
      </c>
      <c r="T10" s="10">
        <v>97.707922865937178</v>
      </c>
      <c r="U10" s="9">
        <v>14077.257492588489</v>
      </c>
      <c r="V10" s="10">
        <v>216.13447890560286</v>
      </c>
      <c r="W10" s="9">
        <v>4201.9402320285626</v>
      </c>
      <c r="X10" s="10">
        <v>13.256295290324159</v>
      </c>
      <c r="Y10" s="9">
        <v>2126.3501718309717</v>
      </c>
      <c r="Z10" s="10">
        <v>-77.425952434523083</v>
      </c>
      <c r="AA10" s="9">
        <v>1221.1056522546469</v>
      </c>
      <c r="AB10" s="10">
        <v>58.05383059365915</v>
      </c>
      <c r="AC10" s="9">
        <v>10290.805007072984</v>
      </c>
      <c r="AD10" s="10">
        <v>-322.75352502899329</v>
      </c>
      <c r="AE10" s="9">
        <v>48503.622418324529</v>
      </c>
      <c r="AF10" s="10">
        <v>-536.6197455929389</v>
      </c>
      <c r="AG10" s="9">
        <v>14686.246887996889</v>
      </c>
      <c r="AH10" s="10">
        <v>-210.34667611235761</v>
      </c>
      <c r="AI10" s="9">
        <v>7431.108618860103</v>
      </c>
      <c r="AJ10" s="10">
        <v>-489.10115309614844</v>
      </c>
      <c r="AK10" s="9">
        <v>4287.0110509059459</v>
      </c>
      <c r="AL10" s="10">
        <v>113.22092489253967</v>
      </c>
      <c r="AM10" s="9">
        <v>26048.400998907939</v>
      </c>
      <c r="AN10" s="10">
        <v>-648.11712522761991</v>
      </c>
      <c r="AO10" s="9">
        <v>7971.5532638610348</v>
      </c>
      <c r="AP10" s="10">
        <v>-1.0321225605337503</v>
      </c>
      <c r="AQ10" s="9">
        <v>4006.5893047118952</v>
      </c>
      <c r="AR10" s="10">
        <v>-249.536512883879</v>
      </c>
      <c r="AS10" s="9">
        <v>2312.4539132299155</v>
      </c>
      <c r="AT10" s="10">
        <v>78.089886847958439</v>
      </c>
      <c r="AU10" s="9">
        <v>36210.911722169403</v>
      </c>
      <c r="AV10" s="10">
        <v>-920.17138109748316</v>
      </c>
      <c r="AW10" s="9">
        <v>20109.376077380119</v>
      </c>
      <c r="AX10" s="10">
        <v>-1372.2731361203714</v>
      </c>
      <c r="AY10" s="9">
        <v>10569.048155817165</v>
      </c>
      <c r="AZ10" s="10">
        <v>-221.60706125492132</v>
      </c>
      <c r="BA10" s="9">
        <v>5287.4702667672082</v>
      </c>
      <c r="BB10" s="10">
        <v>-308.94222166702525</v>
      </c>
      <c r="BC10" s="9">
        <v>3441.8264741514149</v>
      </c>
      <c r="BD10" s="10">
        <v>15.716202611756259</v>
      </c>
      <c r="BE10" s="9">
        <v>1641.2224649299558</v>
      </c>
      <c r="BF10" s="10">
        <v>-114.7119130181774</v>
      </c>
    </row>
    <row r="11" spans="1:58" x14ac:dyDescent="0.25">
      <c r="A11" s="16">
        <v>1615</v>
      </c>
      <c r="B11">
        <v>10</v>
      </c>
      <c r="C11" s="9">
        <v>171.48035714285714</v>
      </c>
      <c r="D11" s="10">
        <v>8.2082447220228989</v>
      </c>
      <c r="E11" s="9">
        <v>610.98412698412687</v>
      </c>
      <c r="F11" s="10">
        <v>-38.489836431781058</v>
      </c>
      <c r="G11" s="9">
        <v>346.96031746031741</v>
      </c>
      <c r="H11" s="10">
        <v>-8.999020570371389</v>
      </c>
      <c r="I11" s="9">
        <v>1531.7492891711802</v>
      </c>
      <c r="J11" s="10">
        <v>2.1224061146747992</v>
      </c>
      <c r="K11" s="9">
        <v>452.46627065306825</v>
      </c>
      <c r="L11" s="10">
        <v>-17.498849540693211</v>
      </c>
      <c r="M11" s="9">
        <v>258.72085377610472</v>
      </c>
      <c r="N11" s="10">
        <v>-13.398737373833061</v>
      </c>
      <c r="O11" s="9">
        <v>147.25195351018991</v>
      </c>
      <c r="P11" s="10">
        <v>-8.3391855382601499</v>
      </c>
      <c r="Q11" s="9">
        <v>5234.2360402494351</v>
      </c>
      <c r="R11" s="10">
        <v>145.97155041006533</v>
      </c>
      <c r="S11" s="9">
        <v>2970.2219246031741</v>
      </c>
      <c r="T11" s="10">
        <v>79.051039861047443</v>
      </c>
      <c r="U11" s="9">
        <v>13145.055745632582</v>
      </c>
      <c r="V11" s="10">
        <v>273.90262928495173</v>
      </c>
      <c r="W11" s="9">
        <v>3874.8057513892136</v>
      </c>
      <c r="X11" s="10">
        <v>-49.419114232094699</v>
      </c>
      <c r="Y11" s="9">
        <v>2217.280749648799</v>
      </c>
      <c r="Z11" s="10">
        <v>-32.654175223456406</v>
      </c>
      <c r="AA11" s="9">
        <v>1259.5383297430362</v>
      </c>
      <c r="AB11" s="10">
        <v>-20.533119508793412</v>
      </c>
      <c r="AC11" s="9">
        <v>10653.903124212649</v>
      </c>
      <c r="AD11" s="10">
        <v>-403.02407416439166</v>
      </c>
      <c r="AE11" s="9">
        <v>46793.725932028225</v>
      </c>
      <c r="AF11" s="10">
        <v>-399.06955653678352</v>
      </c>
      <c r="AG11" s="9">
        <v>13963.13141145384</v>
      </c>
      <c r="AH11" s="10">
        <v>-504.96668275468949</v>
      </c>
      <c r="AI11" s="9">
        <v>7955.0117243150899</v>
      </c>
      <c r="AJ11" s="10">
        <v>-373.86400307048262</v>
      </c>
      <c r="AK11" s="9">
        <v>4556.065243293946</v>
      </c>
      <c r="AL11" s="10">
        <v>-201.50510893262728</v>
      </c>
      <c r="AM11" s="9">
        <v>26568.506673138389</v>
      </c>
      <c r="AN11" s="10">
        <v>-701.86189577692869</v>
      </c>
      <c r="AO11" s="9">
        <v>8164.9052711830182</v>
      </c>
      <c r="AP11" s="10">
        <v>-251.65931210826579</v>
      </c>
      <c r="AQ11" s="9">
        <v>4581.1914881913553</v>
      </c>
      <c r="AR11" s="10">
        <v>-225.40999452996641</v>
      </c>
      <c r="AS11" s="9">
        <v>2671.8401987085781</v>
      </c>
      <c r="AT11" s="10">
        <v>-105.64927482723699</v>
      </c>
      <c r="AU11" s="9">
        <v>34655.968969553061</v>
      </c>
      <c r="AV11" s="10">
        <v>-1675.8472877431454</v>
      </c>
      <c r="AW11" s="9">
        <v>19880.248403614041</v>
      </c>
      <c r="AX11" s="10">
        <v>-1088.0242377683519</v>
      </c>
      <c r="AY11" s="9">
        <v>11283.153641799678</v>
      </c>
      <c r="AZ11" s="10">
        <v>-720.03406686409903</v>
      </c>
      <c r="BA11" s="9">
        <v>6153.0789592835135</v>
      </c>
      <c r="BB11" s="10">
        <v>-437.32400317027367</v>
      </c>
      <c r="BC11" s="9">
        <v>3730.1120479124406</v>
      </c>
      <c r="BD11" s="10">
        <v>-336.90333989959078</v>
      </c>
      <c r="BE11" s="9">
        <v>2017.6806619346191</v>
      </c>
      <c r="BF11" s="10">
        <v>-165.14146730151091</v>
      </c>
    </row>
    <row r="12" spans="1:58" x14ac:dyDescent="0.25">
      <c r="A12" s="16">
        <v>2267</v>
      </c>
      <c r="B12">
        <v>11</v>
      </c>
      <c r="C12" s="9">
        <v>169.20714285714288</v>
      </c>
      <c r="D12" s="10">
        <v>8.9753749469032229</v>
      </c>
      <c r="E12" s="9">
        <v>612.6446428571428</v>
      </c>
      <c r="F12" s="10">
        <v>-39.841951717672202</v>
      </c>
      <c r="G12" s="9">
        <v>355.28571428571428</v>
      </c>
      <c r="H12" s="10">
        <v>-10.217728695770449</v>
      </c>
      <c r="I12" s="9">
        <v>1566.535676618091</v>
      </c>
      <c r="J12" s="10">
        <v>10.266791949476556</v>
      </c>
      <c r="K12" s="9">
        <v>498.77478764648572</v>
      </c>
      <c r="L12" s="10">
        <v>-15.15317333603169</v>
      </c>
      <c r="M12" s="9">
        <v>273.04674960027978</v>
      </c>
      <c r="N12" s="10">
        <v>-14.468864406307882</v>
      </c>
      <c r="O12" s="9">
        <v>164.41593757778926</v>
      </c>
      <c r="P12" s="10">
        <v>-7.4239384530200301</v>
      </c>
      <c r="Q12" s="9">
        <v>5181.3953188775522</v>
      </c>
      <c r="R12" s="10">
        <v>199.57355349908221</v>
      </c>
      <c r="S12" s="9">
        <v>3001.9571428571435</v>
      </c>
      <c r="T12" s="10">
        <v>90.128432008200178</v>
      </c>
      <c r="U12" s="9">
        <v>13252.795528634799</v>
      </c>
      <c r="V12" s="10">
        <v>284.4780979841122</v>
      </c>
      <c r="W12" s="9">
        <v>4209.2660247912008</v>
      </c>
      <c r="X12" s="10">
        <v>-21.196030781352306</v>
      </c>
      <c r="Y12" s="9">
        <v>2302.8206089623682</v>
      </c>
      <c r="Z12" s="10">
        <v>-33.163863241512956</v>
      </c>
      <c r="AA12" s="9">
        <v>1386.8662659910963</v>
      </c>
      <c r="AB12" s="10">
        <v>0.84158121309667666</v>
      </c>
      <c r="AC12" s="9">
        <v>10963.004081632653</v>
      </c>
      <c r="AD12" s="10">
        <v>-457.74739733224192</v>
      </c>
      <c r="AE12" s="9">
        <v>47972.284448050254</v>
      </c>
      <c r="AF12" s="10">
        <v>-404.8129219741831</v>
      </c>
      <c r="AG12" s="9">
        <v>15443.621847008229</v>
      </c>
      <c r="AH12" s="10">
        <v>-468.38814187371014</v>
      </c>
      <c r="AI12" s="9">
        <v>8441.2038014502141</v>
      </c>
      <c r="AJ12" s="10">
        <v>-432.43503396443185</v>
      </c>
      <c r="AK12" s="9">
        <v>5124.0157853472319</v>
      </c>
      <c r="AL12" s="10">
        <v>-205.62136137885622</v>
      </c>
      <c r="AM12" s="9">
        <v>27808.494420787505</v>
      </c>
      <c r="AN12" s="10">
        <v>-643.5286957197585</v>
      </c>
      <c r="AO12" s="9">
        <v>9110.8537843246177</v>
      </c>
      <c r="AP12" s="10">
        <v>-236.70958111060685</v>
      </c>
      <c r="AQ12" s="9">
        <v>4954.4003157843226</v>
      </c>
      <c r="AR12" s="10">
        <v>-255.95304444589365</v>
      </c>
      <c r="AS12" s="9">
        <v>3043.8816893520693</v>
      </c>
      <c r="AT12" s="10">
        <v>-114.73925773125541</v>
      </c>
      <c r="AU12" s="9">
        <v>39006.077240963423</v>
      </c>
      <c r="AV12" s="10">
        <v>-1173.0544786980508</v>
      </c>
      <c r="AW12" s="9">
        <v>21411.363880498913</v>
      </c>
      <c r="AX12" s="10">
        <v>-1116.4965378503821</v>
      </c>
      <c r="AY12" s="9">
        <v>12855.339657727716</v>
      </c>
      <c r="AZ12" s="10">
        <v>-698.29934062771304</v>
      </c>
      <c r="BA12" s="9">
        <v>7047.5707365713615</v>
      </c>
      <c r="BB12" s="10">
        <v>-451.38354004781053</v>
      </c>
      <c r="BC12" s="9">
        <v>4403.7409281423361</v>
      </c>
      <c r="BD12" s="10">
        <v>-328.20917672490674</v>
      </c>
      <c r="BE12" s="9">
        <v>2364.9769770941798</v>
      </c>
      <c r="BF12" s="10">
        <v>-188.42751127736742</v>
      </c>
    </row>
    <row r="13" spans="1:58" x14ac:dyDescent="0.25">
      <c r="A13" s="16">
        <v>2236</v>
      </c>
      <c r="B13">
        <v>12</v>
      </c>
      <c r="C13" s="9">
        <v>176.14285714285714</v>
      </c>
      <c r="D13" s="10">
        <v>8.572720041529422</v>
      </c>
      <c r="E13" s="9">
        <v>637.63571428571424</v>
      </c>
      <c r="F13" s="10">
        <v>-38.539523539943403</v>
      </c>
      <c r="G13" s="9">
        <v>355.33928571428567</v>
      </c>
      <c r="H13" s="10">
        <v>-6.9954984923838461</v>
      </c>
      <c r="I13" s="9">
        <v>1252.8134123820223</v>
      </c>
      <c r="J13" s="10">
        <v>17.251966477221227</v>
      </c>
      <c r="K13" s="9">
        <v>634.36461478643082</v>
      </c>
      <c r="L13" s="10">
        <v>-14.946402857212252</v>
      </c>
      <c r="M13" s="9">
        <v>219.44934666345858</v>
      </c>
      <c r="N13" s="10">
        <v>-13.786628266152995</v>
      </c>
      <c r="O13" s="9">
        <v>216.10914786908415</v>
      </c>
      <c r="P13" s="10">
        <v>-3.849255542621465</v>
      </c>
      <c r="Q13" s="9">
        <v>5606.74693877551</v>
      </c>
      <c r="R13" s="10">
        <v>196.48722937065116</v>
      </c>
      <c r="S13" s="9">
        <v>3116.0056122448977</v>
      </c>
      <c r="T13" s="10">
        <v>107.42927003556895</v>
      </c>
      <c r="U13" s="9">
        <v>11024.393706824574</v>
      </c>
      <c r="V13" s="10">
        <v>302.36389800370432</v>
      </c>
      <c r="W13" s="9">
        <v>5609.7193559797624</v>
      </c>
      <c r="X13" s="10">
        <v>-6.6428423924057718</v>
      </c>
      <c r="Y13" s="9">
        <v>1918.3208850326403</v>
      </c>
      <c r="Z13" s="10">
        <v>-54.332336612255574</v>
      </c>
      <c r="AA13" s="9">
        <v>1906.2540554099442</v>
      </c>
      <c r="AB13" s="10">
        <v>37.560493431625538</v>
      </c>
      <c r="AC13" s="9">
        <v>11475.029719387754</v>
      </c>
      <c r="AD13" s="10">
        <v>-298.09423351260432</v>
      </c>
      <c r="AE13" s="9">
        <v>39853.136194189196</v>
      </c>
      <c r="AF13" s="10">
        <v>-176.39332409620499</v>
      </c>
      <c r="AG13" s="9">
        <v>20230.319805878262</v>
      </c>
      <c r="AH13" s="10">
        <v>-425.02568044609529</v>
      </c>
      <c r="AI13" s="9">
        <v>7069.7846166188438</v>
      </c>
      <c r="AJ13" s="10">
        <v>-438.10029584933068</v>
      </c>
      <c r="AK13" s="9">
        <v>6965.3180234069987</v>
      </c>
      <c r="AL13" s="10">
        <v>-57.489014100412533</v>
      </c>
      <c r="AM13" s="9">
        <v>22291.694155772995</v>
      </c>
      <c r="AN13" s="10">
        <v>-583.47651796229025</v>
      </c>
      <c r="AO13" s="9">
        <v>11584.511257128794</v>
      </c>
      <c r="AP13" s="10">
        <v>-261.2523582217666</v>
      </c>
      <c r="AQ13" s="9">
        <v>4092.5578347333894</v>
      </c>
      <c r="AR13" s="10">
        <v>-240.16418614703628</v>
      </c>
      <c r="AS13" s="9">
        <v>4046.6822329108572</v>
      </c>
      <c r="AT13" s="10">
        <v>-53.194517839338623</v>
      </c>
      <c r="AU13" s="9">
        <v>40205.127238114088</v>
      </c>
      <c r="AV13" s="10">
        <v>-728.45060862961145</v>
      </c>
      <c r="AW13" s="9">
        <v>14153.122032169484</v>
      </c>
      <c r="AX13" s="10">
        <v>-866.08919784845557</v>
      </c>
      <c r="AY13" s="9">
        <v>13651.817030778209</v>
      </c>
      <c r="AZ13" s="10">
        <v>-417.06130181778332</v>
      </c>
      <c r="BA13" s="9">
        <v>7260.5554961357811</v>
      </c>
      <c r="BB13" s="10">
        <v>-516.04259404583502</v>
      </c>
      <c r="BC13" s="9">
        <v>7888.31603028073</v>
      </c>
      <c r="BD13" s="10">
        <v>-332.0541832897207</v>
      </c>
      <c r="BE13" s="9">
        <v>2527.8501850866483</v>
      </c>
      <c r="BF13" s="10">
        <v>-185.35792935914122</v>
      </c>
    </row>
    <row r="14" spans="1:58" x14ac:dyDescent="0.25">
      <c r="A14" s="16">
        <v>1588</v>
      </c>
      <c r="B14">
        <v>13</v>
      </c>
      <c r="C14" s="9">
        <v>179.05</v>
      </c>
      <c r="D14" s="10">
        <v>7.7899403482273195</v>
      </c>
      <c r="E14" s="9">
        <v>612.26126093294477</v>
      </c>
      <c r="F14" s="10">
        <v>-43.806026615697192</v>
      </c>
      <c r="G14" s="9">
        <v>297.99066326530607</v>
      </c>
      <c r="H14" s="10">
        <v>-9.0465956065617235</v>
      </c>
      <c r="I14" s="9">
        <v>1190.925762886232</v>
      </c>
      <c r="J14" s="10">
        <v>-30.484123339625881</v>
      </c>
      <c r="K14" s="9">
        <v>758.57095463377584</v>
      </c>
      <c r="L14" s="10">
        <v>-13.092379180000513</v>
      </c>
      <c r="M14" s="9">
        <v>193.7517859601148</v>
      </c>
      <c r="N14" s="10">
        <v>-13.162696548630617</v>
      </c>
      <c r="O14" s="9">
        <v>199.00439860867991</v>
      </c>
      <c r="P14" s="10">
        <v>-13.477448673557555</v>
      </c>
      <c r="Q14" s="9">
        <v>5481.9289566847146</v>
      </c>
      <c r="R14" s="10">
        <v>119.55231440281325</v>
      </c>
      <c r="S14" s="9">
        <v>2671.7183396501464</v>
      </c>
      <c r="T14" s="10">
        <v>67.884769228697692</v>
      </c>
      <c r="U14" s="9">
        <v>10663.494066685424</v>
      </c>
      <c r="V14" s="10">
        <v>-68.175095735814011</v>
      </c>
      <c r="W14" s="9">
        <v>6745.0322478051894</v>
      </c>
      <c r="X14" s="10">
        <v>-2.6557957220613382</v>
      </c>
      <c r="Y14" s="9">
        <v>1732.2059873283938</v>
      </c>
      <c r="Z14" s="10">
        <v>-61.955035345139557</v>
      </c>
      <c r="AA14" s="9">
        <v>1771.5567354983366</v>
      </c>
      <c r="AB14" s="10">
        <v>-66.877933964749062</v>
      </c>
      <c r="AC14" s="9">
        <v>9206.6723462638365</v>
      </c>
      <c r="AD14" s="10">
        <v>-449.43658359828464</v>
      </c>
      <c r="AE14" s="9">
        <v>36507.173605413926</v>
      </c>
      <c r="AF14" s="10">
        <v>-1269.7313426493849</v>
      </c>
      <c r="AG14" s="9">
        <v>23151.651820530686</v>
      </c>
      <c r="AH14" s="10">
        <v>-296.61301938219765</v>
      </c>
      <c r="AI14" s="9">
        <v>5982.4242057785259</v>
      </c>
      <c r="AJ14" s="10">
        <v>-408.54254923316262</v>
      </c>
      <c r="AK14" s="9">
        <v>6092.1780704487055</v>
      </c>
      <c r="AL14" s="10">
        <v>-401.42840268972122</v>
      </c>
      <c r="AM14" s="9">
        <v>17867.155483442042</v>
      </c>
      <c r="AN14" s="10">
        <v>-853.02669430031222</v>
      </c>
      <c r="AO14" s="9">
        <v>11245.585606644958</v>
      </c>
      <c r="AP14" s="10">
        <v>-91.608508528218863</v>
      </c>
      <c r="AQ14" s="9">
        <v>2951.5003475574872</v>
      </c>
      <c r="AR14" s="10">
        <v>-204.51410696435221</v>
      </c>
      <c r="AS14" s="9">
        <v>2976.626178570144</v>
      </c>
      <c r="AT14" s="10">
        <v>-185.56273721115917</v>
      </c>
      <c r="AU14" s="9">
        <v>45651.90608472962</v>
      </c>
      <c r="AV14" s="10">
        <v>-2120.5607903141477</v>
      </c>
      <c r="AW14" s="9">
        <v>11848.967595571568</v>
      </c>
      <c r="AX14" s="10">
        <v>-990.13508055602779</v>
      </c>
      <c r="AY14" s="9">
        <v>12243.227172430874</v>
      </c>
      <c r="AZ14" s="10">
        <v>-1066.413670731265</v>
      </c>
      <c r="BA14" s="9">
        <v>7407.7506238924352</v>
      </c>
      <c r="BB14" s="10">
        <v>-491.2895535724</v>
      </c>
      <c r="BC14" s="9">
        <v>7701.1104490732578</v>
      </c>
      <c r="BD14" s="10">
        <v>-518.48491624571841</v>
      </c>
      <c r="BE14" s="9">
        <v>2071.5529648028887</v>
      </c>
      <c r="BF14" s="10">
        <v>-249.98845635904883</v>
      </c>
    </row>
    <row r="15" spans="1:58" x14ac:dyDescent="0.25">
      <c r="A15" s="16">
        <v>2273</v>
      </c>
      <c r="B15">
        <v>14</v>
      </c>
      <c r="C15" s="9">
        <v>180.72321428571428</v>
      </c>
      <c r="D15" s="10">
        <v>9.1108970227163706</v>
      </c>
      <c r="E15" s="9">
        <v>643.70476190476188</v>
      </c>
      <c r="F15" s="10">
        <v>-42.634696695752353</v>
      </c>
      <c r="G15" s="9">
        <v>320.07936507936512</v>
      </c>
      <c r="H15" s="10">
        <v>-8.4460039386718755</v>
      </c>
      <c r="I15" s="9">
        <v>1174.0128572825847</v>
      </c>
      <c r="J15" s="10">
        <v>-7.8170349869960631E-2</v>
      </c>
      <c r="K15" s="9">
        <v>868.22960203167418</v>
      </c>
      <c r="L15" s="10">
        <v>-13.290349217702683</v>
      </c>
      <c r="M15" s="9">
        <v>203.35877066862844</v>
      </c>
      <c r="N15" s="10">
        <v>-9.6910691410666026</v>
      </c>
      <c r="O15" s="9">
        <v>280.0551765301567</v>
      </c>
      <c r="P15" s="10">
        <v>-6.9256182101376247</v>
      </c>
      <c r="Q15" s="9">
        <v>5820.4008843537422</v>
      </c>
      <c r="R15" s="10">
        <v>191.3882622148021</v>
      </c>
      <c r="S15" s="9">
        <v>2897.7229875283442</v>
      </c>
      <c r="T15" s="10">
        <v>97.203454262822206</v>
      </c>
      <c r="U15" s="9">
        <v>10623.266670213352</v>
      </c>
      <c r="V15" s="10">
        <v>189.76683616327728</v>
      </c>
      <c r="W15" s="9">
        <v>7844.4135973227258</v>
      </c>
      <c r="X15" s="10">
        <v>15.063593067979607</v>
      </c>
      <c r="Y15" s="9">
        <v>1843.8616390735694</v>
      </c>
      <c r="Z15" s="10">
        <v>-18.321424776191595</v>
      </c>
      <c r="AA15" s="9">
        <v>2532.7061844903742</v>
      </c>
      <c r="AB15" s="10">
        <v>22.428572456102131</v>
      </c>
      <c r="AC15" s="9">
        <v>10354.683688586547</v>
      </c>
      <c r="AD15" s="10">
        <v>-414.47881107954015</v>
      </c>
      <c r="AE15" s="9">
        <v>37845.545941543096</v>
      </c>
      <c r="AF15" s="10">
        <v>-263.70412185394957</v>
      </c>
      <c r="AG15" s="9">
        <v>27905.368990312334</v>
      </c>
      <c r="AH15" s="10">
        <v>-333.81464203455334</v>
      </c>
      <c r="AI15" s="9">
        <v>6597.9871930310246</v>
      </c>
      <c r="AJ15" s="10">
        <v>-304.93761763089873</v>
      </c>
      <c r="AK15" s="9">
        <v>9043.1300251102894</v>
      </c>
      <c r="AL15" s="10">
        <v>-192.46802773545249</v>
      </c>
      <c r="AM15" s="9">
        <v>18833.851132692042</v>
      </c>
      <c r="AN15" s="10">
        <v>-446.28895253658391</v>
      </c>
      <c r="AO15" s="9">
        <v>13787.634115925441</v>
      </c>
      <c r="AP15" s="10">
        <v>-30.559125853282033</v>
      </c>
      <c r="AQ15" s="9">
        <v>3318.2544014084469</v>
      </c>
      <c r="AR15" s="10">
        <v>-150.13595229792162</v>
      </c>
      <c r="AS15" s="9">
        <v>4487.2556429170627</v>
      </c>
      <c r="AT15" s="10">
        <v>-52.462165149899612</v>
      </c>
      <c r="AU15" s="9">
        <v>51174.830272951149</v>
      </c>
      <c r="AV15" s="10">
        <v>-1117.5820032674574</v>
      </c>
      <c r="AW15" s="9">
        <v>12097.64985057444</v>
      </c>
      <c r="AX15" s="10">
        <v>-581.97129699217294</v>
      </c>
      <c r="AY15" s="9">
        <v>16552.506946237347</v>
      </c>
      <c r="AZ15" s="10">
        <v>-572.09173521313403</v>
      </c>
      <c r="BA15" s="9">
        <v>8796.2406406791088</v>
      </c>
      <c r="BB15" s="10">
        <v>-378.73811919135119</v>
      </c>
      <c r="BC15" s="9">
        <v>12388.011730778284</v>
      </c>
      <c r="BD15" s="10">
        <v>-446.26290427463994</v>
      </c>
      <c r="BE15" s="9">
        <v>2877.8490493051031</v>
      </c>
      <c r="BF15" s="10">
        <v>-158.14292963834831</v>
      </c>
    </row>
    <row r="16" spans="1:58" x14ac:dyDescent="0.25">
      <c r="A16" s="16">
        <v>1984</v>
      </c>
      <c r="B16">
        <v>15</v>
      </c>
      <c r="C16" s="9">
        <v>169.41587301587299</v>
      </c>
      <c r="D16" s="10">
        <v>8.6055542698265146</v>
      </c>
      <c r="E16" s="9">
        <v>634.80357142857133</v>
      </c>
      <c r="F16" s="10">
        <v>-40.277636600005494</v>
      </c>
      <c r="G16" s="9">
        <v>327.05</v>
      </c>
      <c r="H16" s="10">
        <v>-7.9125820523659049</v>
      </c>
      <c r="I16" s="9">
        <v>955.93914623016576</v>
      </c>
      <c r="J16" s="10">
        <v>-3.3291773344663689</v>
      </c>
      <c r="K16" s="9">
        <v>595.09062565583145</v>
      </c>
      <c r="L16" s="10">
        <v>-12.673030253857087</v>
      </c>
      <c r="M16" s="9">
        <v>171.20699422713682</v>
      </c>
      <c r="N16" s="10">
        <v>-11.870207164272498</v>
      </c>
      <c r="O16" s="9">
        <v>192.30337023459381</v>
      </c>
      <c r="P16" s="10">
        <v>-8.813220494079248</v>
      </c>
      <c r="Q16" s="9">
        <v>5394.0942970521537</v>
      </c>
      <c r="R16" s="10">
        <v>170.2319696916019</v>
      </c>
      <c r="S16" s="9">
        <v>2783.0482766439909</v>
      </c>
      <c r="T16" s="10">
        <v>85.251335212169437</v>
      </c>
      <c r="U16" s="9">
        <v>8094.2239933704877</v>
      </c>
      <c r="V16" s="10">
        <v>149.75066377441635</v>
      </c>
      <c r="W16" s="9">
        <v>5012.1722087576727</v>
      </c>
      <c r="X16" s="10">
        <v>-37.556031531806909</v>
      </c>
      <c r="Y16" s="9">
        <v>1459.2929598484334</v>
      </c>
      <c r="Z16" s="10">
        <v>-43.119139970249009</v>
      </c>
      <c r="AA16" s="9">
        <v>1631.8905763193386</v>
      </c>
      <c r="AB16" s="10">
        <v>-23.918146510367446</v>
      </c>
      <c r="AC16" s="9">
        <v>10482.521096938775</v>
      </c>
      <c r="AD16" s="10">
        <v>-356.1908421352183</v>
      </c>
      <c r="AE16" s="9">
        <v>30481.729155255965</v>
      </c>
      <c r="AF16" s="10">
        <v>-602.23832297829699</v>
      </c>
      <c r="AG16" s="9">
        <v>18834.819343549298</v>
      </c>
      <c r="AH16" s="10">
        <v>-528.319365020227</v>
      </c>
      <c r="AI16" s="9">
        <v>5515.3106014232662</v>
      </c>
      <c r="AJ16" s="10">
        <v>-361.43710497149294</v>
      </c>
      <c r="AK16" s="9">
        <v>6142.5736536615104</v>
      </c>
      <c r="AL16" s="10">
        <v>-270.46925584568623</v>
      </c>
      <c r="AM16" s="9">
        <v>15834.075815570524</v>
      </c>
      <c r="AN16" s="10">
        <v>-562.299840620228</v>
      </c>
      <c r="AO16" s="9">
        <v>9745.8573343279277</v>
      </c>
      <c r="AP16" s="10">
        <v>-208.18289633149533</v>
      </c>
      <c r="AQ16" s="9">
        <v>2896.8619959915504</v>
      </c>
      <c r="AR16" s="10">
        <v>-178.15463946550577</v>
      </c>
      <c r="AS16" s="9">
        <v>3200.2457057933925</v>
      </c>
      <c r="AT16" s="10">
        <v>-108.90915601876844</v>
      </c>
      <c r="AU16" s="9">
        <v>29201.540727952506</v>
      </c>
      <c r="AV16" s="10">
        <v>-796.30605468178021</v>
      </c>
      <c r="AW16" s="9">
        <v>8511.0271899011859</v>
      </c>
      <c r="AX16" s="10">
        <v>-665.08649481845998</v>
      </c>
      <c r="AY16" s="9">
        <v>9479.5986380640534</v>
      </c>
      <c r="AZ16" s="10">
        <v>-601.6954731923197</v>
      </c>
      <c r="BA16" s="9">
        <v>5231.2842555087918</v>
      </c>
      <c r="BB16" s="10">
        <v>-415.42215515236302</v>
      </c>
      <c r="BC16" s="9">
        <v>6010.1462424337087</v>
      </c>
      <c r="BD16" s="10">
        <v>-372.55384027527413</v>
      </c>
      <c r="BE16" s="9">
        <v>1728.7883856956169</v>
      </c>
      <c r="BF16" s="10">
        <v>-171.27542564150161</v>
      </c>
    </row>
    <row r="17" spans="1:58" x14ac:dyDescent="0.25">
      <c r="A17" s="16">
        <v>2278</v>
      </c>
      <c r="B17">
        <v>16</v>
      </c>
      <c r="C17" s="9">
        <v>168.68571428571431</v>
      </c>
      <c r="D17" s="10">
        <v>8.1901590386388605</v>
      </c>
      <c r="E17" s="9">
        <v>637.99642857142862</v>
      </c>
      <c r="F17" s="10">
        <v>-39.717123362265454</v>
      </c>
      <c r="G17" s="9">
        <v>318.60714285714289</v>
      </c>
      <c r="H17" s="10">
        <v>-9.4443044335370931</v>
      </c>
      <c r="I17" s="9">
        <v>1004.9351246804919</v>
      </c>
      <c r="J17" s="10">
        <v>10.333169784632819</v>
      </c>
      <c r="K17" s="9">
        <v>702.73165512334231</v>
      </c>
      <c r="L17" s="10">
        <v>-10.365324052132634</v>
      </c>
      <c r="M17" s="9">
        <v>179.42711006224681</v>
      </c>
      <c r="N17" s="10">
        <v>-8.6344673225883888</v>
      </c>
      <c r="O17" s="9">
        <v>227.98292922157643</v>
      </c>
      <c r="P17" s="10">
        <v>-3.4707943748953261</v>
      </c>
      <c r="Q17" s="9">
        <v>5384.8137244897953</v>
      </c>
      <c r="R17" s="10">
        <v>190.09137800208094</v>
      </c>
      <c r="S17" s="9">
        <v>2688.7725510204086</v>
      </c>
      <c r="T17" s="10">
        <v>84.442644744840337</v>
      </c>
      <c r="U17" s="9">
        <v>8448.3537994172912</v>
      </c>
      <c r="V17" s="10">
        <v>170.87366475374378</v>
      </c>
      <c r="W17" s="9">
        <v>5926.732961382435</v>
      </c>
      <c r="X17" s="10">
        <v>18.383635668892214</v>
      </c>
      <c r="Y17" s="9">
        <v>1509.0710797469674</v>
      </c>
      <c r="Z17" s="10">
        <v>-22.209714451598455</v>
      </c>
      <c r="AA17" s="9">
        <v>1925.4797468599577</v>
      </c>
      <c r="AB17" s="10">
        <v>30.695506107073953</v>
      </c>
      <c r="AC17" s="9">
        <v>10185.780178571427</v>
      </c>
      <c r="AD17" s="10">
        <v>-404.41265851606613</v>
      </c>
      <c r="AE17" s="9">
        <v>32085.870875742348</v>
      </c>
      <c r="AF17" s="10">
        <v>-199.32930444819101</v>
      </c>
      <c r="AG17" s="9">
        <v>22446.66772976935</v>
      </c>
      <c r="AH17" s="10">
        <v>-310.70421533656742</v>
      </c>
      <c r="AI17" s="9">
        <v>5748.9357111914469</v>
      </c>
      <c r="AJ17" s="10">
        <v>-274.63145976273211</v>
      </c>
      <c r="AK17" s="9">
        <v>7311.08694085143</v>
      </c>
      <c r="AL17" s="10">
        <v>-74.842263064994626</v>
      </c>
      <c r="AM17" s="9">
        <v>16035.021654697455</v>
      </c>
      <c r="AN17" s="10">
        <v>-347.73413207546253</v>
      </c>
      <c r="AO17" s="9">
        <v>11196.44122898633</v>
      </c>
      <c r="AP17" s="10">
        <v>-14.679314718842768</v>
      </c>
      <c r="AQ17" s="9">
        <v>2880.4797554686247</v>
      </c>
      <c r="AR17" s="10">
        <v>-143.48799321135402</v>
      </c>
      <c r="AS17" s="9">
        <v>3643.2072648502435</v>
      </c>
      <c r="AT17" s="10">
        <v>-3.5509308928317971</v>
      </c>
      <c r="AU17" s="9">
        <v>35695.730790502304</v>
      </c>
      <c r="AV17" s="10">
        <v>-329.32982093380554</v>
      </c>
      <c r="AW17" s="9">
        <v>9273.0393494713426</v>
      </c>
      <c r="AX17" s="10">
        <v>-375.65963936886453</v>
      </c>
      <c r="AY17" s="9">
        <v>11620.134214560836</v>
      </c>
      <c r="AZ17" s="10">
        <v>-273.62084932973744</v>
      </c>
      <c r="BA17" s="9">
        <v>6413.6329606926311</v>
      </c>
      <c r="BB17" s="10">
        <v>-211.6459656128211</v>
      </c>
      <c r="BC17" s="9">
        <v>8304.7291159381457</v>
      </c>
      <c r="BD17" s="10">
        <v>-182.46410386340352</v>
      </c>
      <c r="BE17" s="9">
        <v>2096.4984651361542</v>
      </c>
      <c r="BF17" s="10">
        <v>-84.098764378083686</v>
      </c>
    </row>
    <row r="18" spans="1:58" x14ac:dyDescent="0.25">
      <c r="A18" s="16">
        <v>2541</v>
      </c>
      <c r="B18">
        <v>17</v>
      </c>
      <c r="C18" s="9">
        <v>179.8031746031746</v>
      </c>
      <c r="D18" s="10">
        <v>9.0492719964754151</v>
      </c>
      <c r="E18" s="9">
        <v>624.5151530612244</v>
      </c>
      <c r="F18" s="10">
        <v>-36.236303976805324</v>
      </c>
      <c r="G18" s="9">
        <v>330.27438775510211</v>
      </c>
      <c r="H18" s="10">
        <v>-5.1126698035646925</v>
      </c>
      <c r="I18" s="9">
        <v>1161.0350433868368</v>
      </c>
      <c r="J18" s="10">
        <v>9.0128511345738129</v>
      </c>
      <c r="K18" s="9">
        <v>717.3624922961825</v>
      </c>
      <c r="L18" s="10">
        <v>-11.077666359362524</v>
      </c>
      <c r="M18" s="9">
        <v>209.64186595766822</v>
      </c>
      <c r="N18" s="10">
        <v>-9.7707860235006248</v>
      </c>
      <c r="O18" s="9">
        <v>195.32773900051356</v>
      </c>
      <c r="P18" s="10">
        <v>-3.1903058828472997</v>
      </c>
      <c r="Q18" s="9">
        <v>5626.2450588759302</v>
      </c>
      <c r="R18" s="10">
        <v>210.63700546505152</v>
      </c>
      <c r="S18" s="9">
        <v>2983.2770409782956</v>
      </c>
      <c r="T18" s="10">
        <v>122.28321401006505</v>
      </c>
      <c r="U18" s="9">
        <v>10438.805455643993</v>
      </c>
      <c r="V18" s="10">
        <v>224.02865936807666</v>
      </c>
      <c r="W18" s="9">
        <v>6458.984964724852</v>
      </c>
      <c r="X18" s="10">
        <v>22.5853144060132</v>
      </c>
      <c r="Y18" s="9">
        <v>1893.4778489842972</v>
      </c>
      <c r="Z18" s="10">
        <v>-14.702581821644198</v>
      </c>
      <c r="AA18" s="9">
        <v>1765.4183595233619</v>
      </c>
      <c r="AB18" s="10">
        <v>36.473938223408339</v>
      </c>
      <c r="AC18" s="9">
        <v>10369.577746342668</v>
      </c>
      <c r="AD18" s="10">
        <v>-242.55180606388871</v>
      </c>
      <c r="AE18" s="9">
        <v>36264.652614152663</v>
      </c>
      <c r="AF18" s="10">
        <v>-16.654758857878335</v>
      </c>
      <c r="AG18" s="9">
        <v>22428.973677924532</v>
      </c>
      <c r="AH18" s="10">
        <v>-241.70147433880888</v>
      </c>
      <c r="AI18" s="9">
        <v>6587.9990432988998</v>
      </c>
      <c r="AJ18" s="10">
        <v>-250.91500678112092</v>
      </c>
      <c r="AK18" s="9">
        <v>6125.7569935207739</v>
      </c>
      <c r="AL18" s="10">
        <v>-34.921506921692149</v>
      </c>
      <c r="AM18" s="9">
        <v>19183.33056033291</v>
      </c>
      <c r="AN18" s="10">
        <v>-280.9736126288883</v>
      </c>
      <c r="AO18" s="9">
        <v>11883.803385606318</v>
      </c>
      <c r="AP18" s="10">
        <v>-33.126003397734301</v>
      </c>
      <c r="AQ18" s="9">
        <v>3510.2139395136778</v>
      </c>
      <c r="AR18" s="10">
        <v>-129.3131396846708</v>
      </c>
      <c r="AS18" s="9">
        <v>3251.951612652907</v>
      </c>
      <c r="AT18" s="10">
        <v>0.81324339516649147</v>
      </c>
      <c r="AU18" s="9">
        <v>41718.758530290339</v>
      </c>
      <c r="AV18" s="10">
        <v>-652.58347375890639</v>
      </c>
      <c r="AW18" s="9">
        <v>12198.37929976606</v>
      </c>
      <c r="AX18" s="10">
        <v>-558.22977369403691</v>
      </c>
      <c r="AY18" s="9">
        <v>11349.881733664133</v>
      </c>
      <c r="AZ18" s="10">
        <v>-270.31685737295663</v>
      </c>
      <c r="BA18" s="9">
        <v>7565.4015363447215</v>
      </c>
      <c r="BB18" s="10">
        <v>-330.39579814733287</v>
      </c>
      <c r="BC18" s="9">
        <v>7037.0315081450663</v>
      </c>
      <c r="BD18" s="10">
        <v>-221.27860202675021</v>
      </c>
      <c r="BE18" s="9">
        <v>2072.5328012094951</v>
      </c>
      <c r="BF18" s="10">
        <v>-85.992170808161021</v>
      </c>
    </row>
    <row r="19" spans="1:58" x14ac:dyDescent="0.25">
      <c r="A19" s="17">
        <v>2833</v>
      </c>
      <c r="B19">
        <v>18</v>
      </c>
      <c r="C19" s="9">
        <v>168.73571428571427</v>
      </c>
      <c r="D19" s="10">
        <v>9.073595588733868</v>
      </c>
      <c r="E19" s="9">
        <v>616.94959183673473</v>
      </c>
      <c r="F19" s="10">
        <v>-34.681182023513081</v>
      </c>
      <c r="G19" s="9">
        <v>313.70739795918365</v>
      </c>
      <c r="H19" s="10">
        <v>-4.218938148596612</v>
      </c>
      <c r="I19" s="9">
        <v>1238.2791072806788</v>
      </c>
      <c r="J19" s="10">
        <v>16.167574832987505</v>
      </c>
      <c r="K19" s="9">
        <v>743.48991258374781</v>
      </c>
      <c r="L19" s="10">
        <v>-4.7284124189694143</v>
      </c>
      <c r="M19" s="9">
        <v>205.2779461939769</v>
      </c>
      <c r="N19" s="10">
        <v>-8.9367438783283575</v>
      </c>
      <c r="O19" s="9">
        <v>210.24234888266346</v>
      </c>
      <c r="P19" s="10">
        <v>-0.35816287427907911</v>
      </c>
      <c r="Q19" s="9">
        <v>5198.8536122448977</v>
      </c>
      <c r="R19" s="10">
        <v>189.73781266312295</v>
      </c>
      <c r="S19" s="9">
        <v>2640.8831978862977</v>
      </c>
      <c r="T19" s="10">
        <v>103.33539004782118</v>
      </c>
      <c r="U19" s="9">
        <v>10478.281019447608</v>
      </c>
      <c r="V19" s="10">
        <v>313.43322581392749</v>
      </c>
      <c r="W19" s="9">
        <v>6270.1998340864056</v>
      </c>
      <c r="X19" s="10">
        <v>90.414084873945299</v>
      </c>
      <c r="Y19" s="9">
        <v>1730.8535105765527</v>
      </c>
      <c r="Z19" s="10">
        <v>-14.786206871606918</v>
      </c>
      <c r="AA19" s="9">
        <v>1775.3680101288369</v>
      </c>
      <c r="AB19" s="10">
        <v>60.620616755479901</v>
      </c>
      <c r="AC19" s="9">
        <v>9793.5043753644313</v>
      </c>
      <c r="AD19" s="10">
        <v>-193.0171757779863</v>
      </c>
      <c r="AE19" s="9">
        <v>38066.460056644202</v>
      </c>
      <c r="AF19" s="10">
        <v>152.92000369301286</v>
      </c>
      <c r="AG19" s="9">
        <v>22908.095065104088</v>
      </c>
      <c r="AH19" s="10">
        <v>-57.071760979061871</v>
      </c>
      <c r="AI19" s="9">
        <v>6390.5313889328136</v>
      </c>
      <c r="AJ19" s="10">
        <v>-225.08881609201279</v>
      </c>
      <c r="AK19" s="9">
        <v>6495.3163060984325</v>
      </c>
      <c r="AL19" s="10">
        <v>37.37735308757771</v>
      </c>
      <c r="AM19" s="9">
        <v>19125.733440520402</v>
      </c>
      <c r="AN19" s="10">
        <v>-327.49784686346334</v>
      </c>
      <c r="AO19" s="9">
        <v>11613.581821781603</v>
      </c>
      <c r="AP19" s="10">
        <v>40.576405141436346</v>
      </c>
      <c r="AQ19" s="9">
        <v>3301.6880034824917</v>
      </c>
      <c r="AR19" s="10">
        <v>-122.50324627110301</v>
      </c>
      <c r="AS19" s="9">
        <v>3291.5427200718609</v>
      </c>
      <c r="AT19" s="10">
        <v>11.532200056198654</v>
      </c>
      <c r="AU19" s="9">
        <v>46384.85275247605</v>
      </c>
      <c r="AV19" s="10">
        <v>-113.81540295935696</v>
      </c>
      <c r="AW19" s="9">
        <v>12702.241253999133</v>
      </c>
      <c r="AX19" s="10">
        <v>-484.59013307568057</v>
      </c>
      <c r="AY19" s="9">
        <v>13114.080802028242</v>
      </c>
      <c r="AZ19" s="10">
        <v>57.57326534168439</v>
      </c>
      <c r="BA19" s="9">
        <v>7637.7729912204541</v>
      </c>
      <c r="BB19" s="10">
        <v>-222.4244503658777</v>
      </c>
      <c r="BC19" s="9">
        <v>7902.0510614780324</v>
      </c>
      <c r="BD19" s="10">
        <v>-27.03689650603571</v>
      </c>
      <c r="BE19" s="9">
        <v>2165.4076633189902</v>
      </c>
      <c r="BF19" s="10">
        <v>-51.812620226940204</v>
      </c>
    </row>
    <row r="20" spans="1:58" x14ac:dyDescent="0.25">
      <c r="A20" s="16">
        <v>2871</v>
      </c>
      <c r="B20">
        <v>19</v>
      </c>
      <c r="C20" s="9">
        <v>178.18392857142854</v>
      </c>
      <c r="D20" s="10">
        <v>8.9174897178249708</v>
      </c>
      <c r="E20" s="9">
        <v>624.58214285714303</v>
      </c>
      <c r="F20" s="10">
        <v>-37.254004197102965</v>
      </c>
      <c r="G20" s="9">
        <v>289.10178571428571</v>
      </c>
      <c r="H20" s="10">
        <v>-6.4830660121328414</v>
      </c>
      <c r="I20" s="9">
        <v>1262.47002766834</v>
      </c>
      <c r="J20" s="10">
        <v>18.158549147531687</v>
      </c>
      <c r="K20" s="9">
        <v>770.52643643869283</v>
      </c>
      <c r="L20" s="10">
        <v>-4.5474731688517682</v>
      </c>
      <c r="M20" s="9">
        <v>197.05985873960574</v>
      </c>
      <c r="N20" s="10">
        <v>-10.068747165220794</v>
      </c>
      <c r="O20" s="9">
        <v>226.83111006977433</v>
      </c>
      <c r="P20" s="10">
        <v>-3.3722087121104014</v>
      </c>
      <c r="Q20" s="9">
        <v>5576.0077614795919</v>
      </c>
      <c r="R20" s="10">
        <v>189.59542412747402</v>
      </c>
      <c r="S20" s="9">
        <v>2585.2132748724484</v>
      </c>
      <c r="T20" s="10">
        <v>84.977396505297946</v>
      </c>
      <c r="U20" s="9">
        <v>11262.890289225641</v>
      </c>
      <c r="V20" s="10">
        <v>330.72941332698429</v>
      </c>
      <c r="W20" s="9">
        <v>6855.6189190870209</v>
      </c>
      <c r="X20" s="10">
        <v>76.133641470897686</v>
      </c>
      <c r="Y20" s="9">
        <v>1761.2487514774791</v>
      </c>
      <c r="Z20" s="10">
        <v>-30.506499066292239</v>
      </c>
      <c r="AA20" s="9">
        <v>2025.0869105220891</v>
      </c>
      <c r="AB20" s="10">
        <v>37.606759494008323</v>
      </c>
      <c r="AC20" s="9">
        <v>9142.2523660714269</v>
      </c>
      <c r="AD20" s="10">
        <v>-259.1908957957524</v>
      </c>
      <c r="AE20" s="9">
        <v>39528.112615488026</v>
      </c>
      <c r="AF20" s="10">
        <v>130.55045497025304</v>
      </c>
      <c r="AG20" s="9">
        <v>24008.004830171634</v>
      </c>
      <c r="AH20" s="10">
        <v>-53.040903210451923</v>
      </c>
      <c r="AI20" s="9">
        <v>6235.7855521181673</v>
      </c>
      <c r="AJ20" s="10">
        <v>-262.60068837499875</v>
      </c>
      <c r="AK20" s="9">
        <v>7127.1599911061166</v>
      </c>
      <c r="AL20" s="10">
        <v>-26.270264521789571</v>
      </c>
      <c r="AM20" s="9">
        <v>18317.312118996389</v>
      </c>
      <c r="AN20" s="10">
        <v>-378.33374465107244</v>
      </c>
      <c r="AO20" s="9">
        <v>11093.104826351448</v>
      </c>
      <c r="AP20" s="10">
        <v>-0.32524438379786602</v>
      </c>
      <c r="AQ20" s="9">
        <v>2955.6295827951467</v>
      </c>
      <c r="AR20" s="10">
        <v>-133.70164013429465</v>
      </c>
      <c r="AS20" s="9">
        <v>3332.9282415273647</v>
      </c>
      <c r="AT20" s="10">
        <v>-7.2453168012715743</v>
      </c>
      <c r="AU20" s="9">
        <v>49091.657614521871</v>
      </c>
      <c r="AV20" s="10">
        <v>-109.38713931014576</v>
      </c>
      <c r="AW20" s="9">
        <v>12706.864297101945</v>
      </c>
      <c r="AX20" s="10">
        <v>-649.27581280167954</v>
      </c>
      <c r="AY20" s="9">
        <v>14552.417724057274</v>
      </c>
      <c r="AZ20" s="10">
        <v>-287.37238415096272</v>
      </c>
      <c r="BA20" s="9">
        <v>7632.1120405520396</v>
      </c>
      <c r="BB20" s="10">
        <v>-339.19090671334811</v>
      </c>
      <c r="BC20" s="9">
        <v>8926.0760183929924</v>
      </c>
      <c r="BD20" s="10">
        <v>-134.72885754370049</v>
      </c>
      <c r="BE20" s="9">
        <v>2318.1601112680978</v>
      </c>
      <c r="BF20" s="10">
        <v>-125.44520931994342</v>
      </c>
    </row>
    <row r="21" spans="1:58" x14ac:dyDescent="0.25">
      <c r="A21" s="16">
        <v>2792.7927927927926</v>
      </c>
      <c r="B21">
        <v>20</v>
      </c>
      <c r="C21" s="9">
        <v>169.18714285714285</v>
      </c>
      <c r="D21" s="10">
        <v>8.7277518323591927</v>
      </c>
      <c r="E21" s="9">
        <v>654.34285714285716</v>
      </c>
      <c r="F21" s="10">
        <v>-30.978481583705978</v>
      </c>
      <c r="G21" s="9">
        <v>328.78571428571422</v>
      </c>
      <c r="H21" s="10">
        <v>-4.1365748842410612</v>
      </c>
      <c r="I21" s="9">
        <v>1137.9367775169599</v>
      </c>
      <c r="J21" s="10">
        <v>11.070029186042866</v>
      </c>
      <c r="K21" s="9">
        <v>686.33789995231336</v>
      </c>
      <c r="L21" s="10">
        <v>-9.4800883081334781</v>
      </c>
      <c r="M21" s="9">
        <v>217.80892001838578</v>
      </c>
      <c r="N21" s="10">
        <v>-4.9581730102590225</v>
      </c>
      <c r="O21" s="9">
        <v>195.13982133480462</v>
      </c>
      <c r="P21" s="10">
        <v>-0.3901068631120681</v>
      </c>
      <c r="Q21" s="9">
        <v>5544.065510204081</v>
      </c>
      <c r="R21" s="10">
        <v>234.30610863301038</v>
      </c>
      <c r="S21" s="9">
        <v>2786.9862244897959</v>
      </c>
      <c r="T21" s="10">
        <v>112.59550359809811</v>
      </c>
      <c r="U21" s="9">
        <v>9625.6380132186969</v>
      </c>
      <c r="V21" s="10">
        <v>233.96193637049959</v>
      </c>
      <c r="W21" s="9">
        <v>5809.5297924972683</v>
      </c>
      <c r="X21" s="10">
        <v>19.19394137485466</v>
      </c>
      <c r="Y21" s="9">
        <v>1862.128963737538</v>
      </c>
      <c r="Z21" s="10">
        <v>25.415824502281396</v>
      </c>
      <c r="AA21" s="9">
        <v>1662.3283988873386</v>
      </c>
      <c r="AB21" s="10">
        <v>51.329584962011566</v>
      </c>
      <c r="AC21" s="9">
        <v>10860.669387755101</v>
      </c>
      <c r="AD21" s="10">
        <v>-179.23537406756211</v>
      </c>
      <c r="AE21" s="9">
        <v>37296.777547983838</v>
      </c>
      <c r="AF21" s="10">
        <v>187.97528105454313</v>
      </c>
      <c r="AG21" s="9">
        <v>22401.921011159568</v>
      </c>
      <c r="AH21" s="10">
        <v>-177.59545807407531</v>
      </c>
      <c r="AI21" s="9">
        <v>7273.2749582781025</v>
      </c>
      <c r="AJ21" s="10">
        <v>-30.82704385227083</v>
      </c>
      <c r="AK21" s="9">
        <v>6426.7231743808252</v>
      </c>
      <c r="AL21" s="10">
        <v>70.315571496053963</v>
      </c>
      <c r="AM21" s="9">
        <v>18718.223156216907</v>
      </c>
      <c r="AN21" s="10">
        <v>-107.01846200768625</v>
      </c>
      <c r="AO21" s="9">
        <v>11279.438311243499</v>
      </c>
      <c r="AP21" s="10">
        <v>38.649601900194583</v>
      </c>
      <c r="AQ21" s="9">
        <v>3659.6098280256442</v>
      </c>
      <c r="AR21" s="10">
        <v>-28.146545071469127</v>
      </c>
      <c r="AS21" s="9">
        <v>3246.0974848300962</v>
      </c>
      <c r="AT21" s="10">
        <v>76.024774774508245</v>
      </c>
      <c r="AU21" s="9">
        <v>38900.849851939798</v>
      </c>
      <c r="AV21" s="10">
        <v>-467.22992309983294</v>
      </c>
      <c r="AW21" s="9">
        <v>12446.572623608712</v>
      </c>
      <c r="AX21" s="10">
        <v>-339.03354049888753</v>
      </c>
      <c r="AY21" s="9">
        <v>11117.533458197195</v>
      </c>
      <c r="AZ21" s="10">
        <v>-76.947135567459952</v>
      </c>
      <c r="BA21" s="9">
        <v>7481.8719227142765</v>
      </c>
      <c r="BB21" s="10">
        <v>-163.13164278608718</v>
      </c>
      <c r="BC21" s="9">
        <v>6714.8708356266134</v>
      </c>
      <c r="BD21" s="10">
        <v>-120.9507599038366</v>
      </c>
      <c r="BE21" s="9">
        <v>2212.735749126035</v>
      </c>
      <c r="BF21" s="10">
        <v>26.519498684907482</v>
      </c>
    </row>
    <row r="22" spans="1:58" x14ac:dyDescent="0.25">
      <c r="A22" s="16">
        <v>3232</v>
      </c>
      <c r="B22">
        <v>21</v>
      </c>
      <c r="C22" s="9">
        <v>170.21785714285716</v>
      </c>
      <c r="D22" s="10">
        <v>9.3581155038481203</v>
      </c>
      <c r="E22" s="9">
        <v>592.26964285714291</v>
      </c>
      <c r="F22" s="10">
        <v>-34.489700247060355</v>
      </c>
      <c r="G22" s="9">
        <v>308.96250000000003</v>
      </c>
      <c r="H22" s="10">
        <v>-2.1658534534482214</v>
      </c>
      <c r="I22" s="9">
        <v>1151.8912917452424</v>
      </c>
      <c r="J22" s="10">
        <v>16.095100705848289</v>
      </c>
      <c r="K22" s="9">
        <v>671.49630101973696</v>
      </c>
      <c r="L22" s="10">
        <v>-9.2436963503581566</v>
      </c>
      <c r="M22" s="9">
        <v>186.49977138478243</v>
      </c>
      <c r="N22" s="10">
        <v>-9.0484798186624698</v>
      </c>
      <c r="O22" s="9">
        <v>171.2025907925233</v>
      </c>
      <c r="P22" s="10">
        <v>-4.6017305083641631</v>
      </c>
      <c r="Q22" s="9">
        <v>5048.674646045919</v>
      </c>
      <c r="R22" s="10">
        <v>207.27474339001986</v>
      </c>
      <c r="S22" s="9">
        <v>2634.6654241071428</v>
      </c>
      <c r="T22" s="10">
        <v>116.3375176110082</v>
      </c>
      <c r="U22" s="9">
        <v>9793.4302247203432</v>
      </c>
      <c r="V22" s="10">
        <v>284.48735764671306</v>
      </c>
      <c r="W22" s="9">
        <v>5728.4302211515851</v>
      </c>
      <c r="X22" s="10">
        <v>32.127968461151433</v>
      </c>
      <c r="Y22" s="9">
        <v>1596.7754388791896</v>
      </c>
      <c r="Z22" s="10">
        <v>-8.3138482266180684</v>
      </c>
      <c r="AA22" s="9">
        <v>1460.6332749435239</v>
      </c>
      <c r="AB22" s="10">
        <v>17.796394533206239</v>
      </c>
      <c r="AC22" s="9">
        <v>9207.9382174744878</v>
      </c>
      <c r="AD22" s="10">
        <v>-144.32091234510926</v>
      </c>
      <c r="AE22" s="9">
        <v>34120.683871177767</v>
      </c>
      <c r="AF22" s="10">
        <v>131.32508590152662</v>
      </c>
      <c r="AG22" s="9">
        <v>19847.529065124629</v>
      </c>
      <c r="AH22" s="10">
        <v>-196.94997887997403</v>
      </c>
      <c r="AI22" s="9">
        <v>5567.524800089207</v>
      </c>
      <c r="AJ22" s="10">
        <v>-224.55564388960263</v>
      </c>
      <c r="AK22" s="9">
        <v>5082.0143496977744</v>
      </c>
      <c r="AL22" s="10">
        <v>-75.866533213731202</v>
      </c>
      <c r="AM22" s="9">
        <v>17804.033327257814</v>
      </c>
      <c r="AN22" s="10">
        <v>-62.798792629587879</v>
      </c>
      <c r="AO22" s="9">
        <v>10376.70578611087</v>
      </c>
      <c r="AP22" s="10">
        <v>1.33186063051091</v>
      </c>
      <c r="AQ22" s="9">
        <v>2935.1758277739855</v>
      </c>
      <c r="AR22" s="10">
        <v>-98.161484663393196</v>
      </c>
      <c r="AS22" s="9">
        <v>2673.2015382659101</v>
      </c>
      <c r="AT22" s="10">
        <v>-17.840313834826915</v>
      </c>
      <c r="AU22" s="9">
        <v>38642.473461944646</v>
      </c>
      <c r="AV22" s="10">
        <v>-226.89431743149987</v>
      </c>
      <c r="AW22" s="9">
        <v>10769.232576104558</v>
      </c>
      <c r="AX22" s="10">
        <v>-462.01413269286974</v>
      </c>
      <c r="AY22" s="9">
        <v>9856.2027511879933</v>
      </c>
      <c r="AZ22" s="10">
        <v>-244.50185915046242</v>
      </c>
      <c r="BA22" s="9">
        <v>6265.2685778353725</v>
      </c>
      <c r="BB22" s="10">
        <v>-285.31718994505746</v>
      </c>
      <c r="BC22" s="9">
        <v>5781.5136628352047</v>
      </c>
      <c r="BD22" s="10">
        <v>-224.58483166292632</v>
      </c>
      <c r="BE22" s="9">
        <v>1625.4465548531412</v>
      </c>
      <c r="BF22" s="10">
        <v>-94.192064902280876</v>
      </c>
    </row>
    <row r="23" spans="1:58" x14ac:dyDescent="0.25">
      <c r="A23" s="16">
        <v>2596</v>
      </c>
      <c r="B23">
        <v>22</v>
      </c>
      <c r="C23" s="9">
        <v>161.17678571428567</v>
      </c>
      <c r="D23" s="10">
        <v>8.4654191739297833</v>
      </c>
      <c r="E23" s="9">
        <v>639.25535714285718</v>
      </c>
      <c r="F23" s="10">
        <v>-36.477907647947873</v>
      </c>
      <c r="G23" s="9">
        <v>351.74821428571431</v>
      </c>
      <c r="H23" s="10">
        <v>-6.8454346079813497</v>
      </c>
      <c r="I23" s="9">
        <v>1149.3282322848406</v>
      </c>
      <c r="J23" s="10">
        <v>6.4152255634760849</v>
      </c>
      <c r="K23" s="9">
        <v>654.04526928595919</v>
      </c>
      <c r="L23" s="10">
        <v>-11.872715704110103</v>
      </c>
      <c r="M23" s="9">
        <v>192.36955930076095</v>
      </c>
      <c r="N23" s="10">
        <v>-10.833778877838435</v>
      </c>
      <c r="O23" s="9">
        <v>186.61108690930388</v>
      </c>
      <c r="P23" s="10">
        <v>-3.9858732670366757</v>
      </c>
      <c r="Q23" s="9">
        <v>5184.3553475765302</v>
      </c>
      <c r="R23" s="10">
        <v>240.53345221881295</v>
      </c>
      <c r="S23" s="9">
        <v>2846.5435491071426</v>
      </c>
      <c r="T23" s="10">
        <v>126.99067161016548</v>
      </c>
      <c r="U23" s="9">
        <v>9215.0546775267485</v>
      </c>
      <c r="V23" s="10">
        <v>51.494408282458323</v>
      </c>
      <c r="W23" s="9">
        <v>5288.1030082256111</v>
      </c>
      <c r="X23" s="10">
        <v>-21.334574435412641</v>
      </c>
      <c r="Y23" s="9">
        <v>1563.7737075366822</v>
      </c>
      <c r="Z23" s="10">
        <v>-32.375191524690962</v>
      </c>
      <c r="AA23" s="9">
        <v>1525.3907335616714</v>
      </c>
      <c r="AB23" s="10">
        <v>27.665263404618369</v>
      </c>
      <c r="AC23" s="9">
        <v>11306.581878188776</v>
      </c>
      <c r="AD23" s="10">
        <v>-303.48655627683371</v>
      </c>
      <c r="AE23" s="9">
        <v>36658.519682106242</v>
      </c>
      <c r="AF23" s="10">
        <v>-159.08059194977966</v>
      </c>
      <c r="AG23" s="9">
        <v>20930.509983624175</v>
      </c>
      <c r="AH23" s="10">
        <v>-215.30376023783583</v>
      </c>
      <c r="AI23" s="9">
        <v>6203.4783427601778</v>
      </c>
      <c r="AJ23" s="10">
        <v>-280.58531926730149</v>
      </c>
      <c r="AK23" s="9">
        <v>5999.6424048771605</v>
      </c>
      <c r="AL23" s="10">
        <v>-40.358722411173488</v>
      </c>
      <c r="AM23" s="9">
        <v>20226.30202124346</v>
      </c>
      <c r="AN23" s="10">
        <v>-416.72108257577145</v>
      </c>
      <c r="AO23" s="9">
        <v>11559.402048548814</v>
      </c>
      <c r="AP23" s="10">
        <v>-60.858078922559656</v>
      </c>
      <c r="AQ23" s="9">
        <v>3447.9640865439642</v>
      </c>
      <c r="AR23" s="10">
        <v>-172.49433307845959</v>
      </c>
      <c r="AS23" s="9">
        <v>3315.408157756357</v>
      </c>
      <c r="AT23" s="10">
        <v>-26.883229988240345</v>
      </c>
      <c r="AU23" s="9">
        <v>37672.736938259324</v>
      </c>
      <c r="AV23" s="10">
        <v>-741.90346221527466</v>
      </c>
      <c r="AW23" s="9">
        <v>11087.575371409703</v>
      </c>
      <c r="AX23" s="10">
        <v>-666.02524485216475</v>
      </c>
      <c r="AY23" s="9">
        <v>10723.0166797852</v>
      </c>
      <c r="AZ23" s="10">
        <v>-356.02283809239293</v>
      </c>
      <c r="BA23" s="9">
        <v>6366.8090451447224</v>
      </c>
      <c r="BB23" s="10">
        <v>-364.89905374402014</v>
      </c>
      <c r="BC23" s="9">
        <v>6168.3999970642344</v>
      </c>
      <c r="BD23" s="10">
        <v>-236.78651021428848</v>
      </c>
      <c r="BE23" s="9">
        <v>1831.50989779479</v>
      </c>
      <c r="BF23" s="10">
        <v>-113.67320688755538</v>
      </c>
    </row>
    <row r="24" spans="1:58" x14ac:dyDescent="0.25">
      <c r="A24" s="20">
        <v>2500</v>
      </c>
      <c r="B24">
        <v>23</v>
      </c>
      <c r="C24" s="9">
        <v>164.72837662337662</v>
      </c>
      <c r="D24" s="10">
        <v>8.696573492764518</v>
      </c>
      <c r="E24" s="9">
        <v>616.70000000000005</v>
      </c>
      <c r="F24" s="10">
        <v>-38.725122953191459</v>
      </c>
      <c r="G24" s="9">
        <v>369.35714285714289</v>
      </c>
      <c r="H24" s="10">
        <v>-6.3607132165330853</v>
      </c>
      <c r="I24" s="9">
        <v>1168.5860197008183</v>
      </c>
      <c r="J24" s="10">
        <v>-2.1039927193744372</v>
      </c>
      <c r="K24" s="9">
        <v>815.35578337004654</v>
      </c>
      <c r="L24" s="10">
        <v>-21.271696599861212</v>
      </c>
      <c r="M24" s="9">
        <v>262.87448747673852</v>
      </c>
      <c r="N24" s="10">
        <v>-15.176254043577895</v>
      </c>
      <c r="O24" s="9">
        <v>230.24961171633541</v>
      </c>
      <c r="P24" s="10">
        <v>-8.9908990945568412</v>
      </c>
      <c r="Q24" s="9">
        <v>5082.7282722634509</v>
      </c>
      <c r="R24" s="10">
        <v>193.67848123696803</v>
      </c>
      <c r="S24" s="9">
        <v>3019.1954471243043</v>
      </c>
      <c r="T24" s="10">
        <v>104.94667613954462</v>
      </c>
      <c r="U24" s="9">
        <v>9586.1902687416332</v>
      </c>
      <c r="V24" s="10">
        <v>104.98183082481634</v>
      </c>
      <c r="W24" s="9">
        <v>6661.1749631577795</v>
      </c>
      <c r="X24" s="10">
        <v>-60.431371012633839</v>
      </c>
      <c r="Y24" s="9">
        <v>2152.1700839276828</v>
      </c>
      <c r="Z24" s="10">
        <v>-41.00537369421474</v>
      </c>
      <c r="AA24" s="9">
        <v>1874.463125682933</v>
      </c>
      <c r="AB24" s="10">
        <v>0.6931353512694246</v>
      </c>
      <c r="AC24" s="9">
        <v>11409.925102040817</v>
      </c>
      <c r="AD24" s="10">
        <v>-316.1441062792145</v>
      </c>
      <c r="AE24" s="9">
        <v>36025.650048366035</v>
      </c>
      <c r="AF24" s="10">
        <v>-323.80413772230901</v>
      </c>
      <c r="AG24" s="9">
        <v>25090.310629853102</v>
      </c>
      <c r="AH24" s="10">
        <v>-532.34107901888251</v>
      </c>
      <c r="AI24" s="9">
        <v>8106.3348770481871</v>
      </c>
      <c r="AJ24" s="10">
        <v>-466.84812942344473</v>
      </c>
      <c r="AK24" s="9">
        <v>7091.0478000392022</v>
      </c>
      <c r="AL24" s="10">
        <v>-224.47502294570253</v>
      </c>
      <c r="AM24" s="9">
        <v>21749.085099644275</v>
      </c>
      <c r="AN24" s="10">
        <v>-541.61400757242484</v>
      </c>
      <c r="AO24" s="9">
        <v>15357.381279415473</v>
      </c>
      <c r="AP24" s="10">
        <v>-269.55524565911981</v>
      </c>
      <c r="AQ24" s="9">
        <v>4872.8155637389864</v>
      </c>
      <c r="AR24" s="10">
        <v>-247.18148999835381</v>
      </c>
      <c r="AS24" s="9">
        <v>4325.8461310821622</v>
      </c>
      <c r="AT24" s="10">
        <v>-115.92376740864924</v>
      </c>
      <c r="AU24" s="9">
        <v>48508.145899501578</v>
      </c>
      <c r="AV24" s="10">
        <v>-1797.6298286486792</v>
      </c>
      <c r="AW24" s="9">
        <v>15509.729454168653</v>
      </c>
      <c r="AX24" s="10">
        <v>-864.95723401318355</v>
      </c>
      <c r="AY24" s="9">
        <v>13681.400626674118</v>
      </c>
      <c r="AZ24" s="10">
        <v>-732.75356347421121</v>
      </c>
      <c r="BA24" s="9">
        <v>10888.023873708853</v>
      </c>
      <c r="BB24" s="10">
        <v>-630.00447667642413</v>
      </c>
      <c r="BC24" s="9">
        <v>9710.7090391231122</v>
      </c>
      <c r="BD24" s="10">
        <v>-627.46064159266416</v>
      </c>
      <c r="BE24" s="9">
        <v>3081.9440254169576</v>
      </c>
      <c r="BF24" s="10">
        <v>-229.56867399837057</v>
      </c>
    </row>
    <row r="25" spans="1:58" x14ac:dyDescent="0.25">
      <c r="A25" s="20">
        <v>2931</v>
      </c>
      <c r="B25">
        <v>24</v>
      </c>
      <c r="C25" s="9">
        <v>174.04642857142861</v>
      </c>
      <c r="D25" s="10">
        <v>8.5765507919933377</v>
      </c>
      <c r="E25" s="9">
        <v>619.47035714285698</v>
      </c>
      <c r="F25" s="10">
        <v>-38.681401733948633</v>
      </c>
      <c r="G25" s="9">
        <v>352.4678571428571</v>
      </c>
      <c r="H25" s="10">
        <v>0.68893425195267977</v>
      </c>
      <c r="I25" s="9">
        <v>1040.2535571338863</v>
      </c>
      <c r="J25" s="10">
        <v>6.7807203780761309</v>
      </c>
      <c r="K25" s="9">
        <v>664.90376643603224</v>
      </c>
      <c r="L25" s="10">
        <v>-5.8856007926648495</v>
      </c>
      <c r="M25" s="9">
        <v>214.53607237122102</v>
      </c>
      <c r="N25" s="10">
        <v>-7.3403880470185729</v>
      </c>
      <c r="O25" s="9">
        <v>169.06794871081632</v>
      </c>
      <c r="P25" s="10">
        <v>-0.27850230728529646</v>
      </c>
      <c r="Q25" s="9">
        <v>5388.5771951530614</v>
      </c>
      <c r="R25" s="10">
        <v>184.85227531698573</v>
      </c>
      <c r="S25" s="9">
        <v>3058.3734566326534</v>
      </c>
      <c r="T25" s="10">
        <v>173.77485774972132</v>
      </c>
      <c r="U25" s="9">
        <v>9032.9582727240504</v>
      </c>
      <c r="V25" s="10">
        <v>279.15083236343571</v>
      </c>
      <c r="W25" s="9">
        <v>5815.3388216113181</v>
      </c>
      <c r="X25" s="10">
        <v>69.80591875331352</v>
      </c>
      <c r="Y25" s="9">
        <v>1870.8537713056444</v>
      </c>
      <c r="Z25" s="10">
        <v>3.5361439551633711</v>
      </c>
      <c r="AA25" s="9">
        <v>1476.0573570190913</v>
      </c>
      <c r="AB25" s="10">
        <v>50.772462878333748</v>
      </c>
      <c r="AC25" s="9">
        <v>10963.055478316328</v>
      </c>
      <c r="AD25" s="10">
        <v>-118.7415949758994</v>
      </c>
      <c r="AE25" s="9">
        <v>32207.566729654602</v>
      </c>
      <c r="AF25" s="10">
        <v>27.22645663220726</v>
      </c>
      <c r="AG25" s="9">
        <v>20610.936769981774</v>
      </c>
      <c r="AH25" s="10">
        <v>-23.684800049185199</v>
      </c>
      <c r="AI25" s="9">
        <v>6634.5273004749379</v>
      </c>
      <c r="AJ25" s="10">
        <v>-213.44087979654918</v>
      </c>
      <c r="AK25" s="9">
        <v>5241.0846373692784</v>
      </c>
      <c r="AL25" s="10">
        <v>27.897328216511749</v>
      </c>
      <c r="AM25" s="9">
        <v>18375.646062877546</v>
      </c>
      <c r="AN25" s="10">
        <v>2.6957173719085574</v>
      </c>
      <c r="AO25" s="9">
        <v>11873.731281022736</v>
      </c>
      <c r="AP25" s="10">
        <v>317.77843365845945</v>
      </c>
      <c r="AQ25" s="9">
        <v>3850.7082493762491</v>
      </c>
      <c r="AR25" s="10">
        <v>-6.6368400717132481</v>
      </c>
      <c r="AS25" s="9">
        <v>3033.945520844431</v>
      </c>
      <c r="AT25" s="10">
        <v>138.31399490158896</v>
      </c>
      <c r="AU25" s="9">
        <v>34566.268843493119</v>
      </c>
      <c r="AV25" s="10">
        <v>-218.59560290452004</v>
      </c>
      <c r="AW25" s="9">
        <v>11212.299606538869</v>
      </c>
      <c r="AX25" s="10">
        <v>-301.89536055831377</v>
      </c>
      <c r="AY25" s="9">
        <v>8802.2969388816891</v>
      </c>
      <c r="AZ25" s="10">
        <v>-38.485866836897102</v>
      </c>
      <c r="BA25" s="9">
        <v>7180.1400344851481</v>
      </c>
      <c r="BB25" s="10">
        <v>-72.605980287250418</v>
      </c>
      <c r="BC25" s="9">
        <v>5669.8830017152022</v>
      </c>
      <c r="BD25" s="10">
        <v>-31.391575520471534</v>
      </c>
      <c r="BE25" s="9">
        <v>1832.2085837243933</v>
      </c>
      <c r="BF25" s="10">
        <v>0.55879948769259347</v>
      </c>
    </row>
    <row r="26" spans="1:58" x14ac:dyDescent="0.25">
      <c r="A26" s="16">
        <v>2959</v>
      </c>
      <c r="B26">
        <v>25</v>
      </c>
      <c r="C26" s="9">
        <v>159.8203305785124</v>
      </c>
      <c r="D26" s="10">
        <v>8.1829310309703622</v>
      </c>
      <c r="E26" s="9">
        <v>614.14285714285722</v>
      </c>
      <c r="F26" s="10">
        <v>-40.617801024757874</v>
      </c>
      <c r="G26" s="9">
        <v>290.54821428571427</v>
      </c>
      <c r="H26" s="10">
        <v>-4.4241429665771657</v>
      </c>
      <c r="I26" s="9">
        <v>1049.4885112102993</v>
      </c>
      <c r="J26" s="10">
        <v>2.2186917019728973</v>
      </c>
      <c r="K26" s="9">
        <v>674.33581812461694</v>
      </c>
      <c r="L26" s="10">
        <v>-6.683601398407589</v>
      </c>
      <c r="M26" s="9">
        <v>191.94423112602945</v>
      </c>
      <c r="N26" s="10">
        <v>-11.549303474875042</v>
      </c>
      <c r="O26" s="9">
        <v>158.60728116753205</v>
      </c>
      <c r="P26" s="10">
        <v>-6.4624995532924032</v>
      </c>
      <c r="Q26" s="9">
        <v>4891.1298583234948</v>
      </c>
      <c r="R26" s="10">
        <v>171.72429698171049</v>
      </c>
      <c r="S26" s="9">
        <v>2265.9918434811943</v>
      </c>
      <c r="T26" s="10">
        <v>121.34123826449974</v>
      </c>
      <c r="U26" s="9">
        <v>8382.5628239397593</v>
      </c>
      <c r="V26" s="10">
        <v>244.92752426377481</v>
      </c>
      <c r="W26" s="9">
        <v>5406.4684701401829</v>
      </c>
      <c r="X26" s="10">
        <v>98.061800809856507</v>
      </c>
      <c r="Y26" s="9">
        <v>1523.5862730224551</v>
      </c>
      <c r="Z26" s="10">
        <v>-21.274246442908591</v>
      </c>
      <c r="AA26" s="9">
        <v>1252.3326909636994</v>
      </c>
      <c r="AB26" s="10">
        <v>13.023480809573204</v>
      </c>
      <c r="AC26" s="9">
        <v>9062.1248724489778</v>
      </c>
      <c r="AD26" s="10">
        <v>-245.03564887317816</v>
      </c>
      <c r="AE26" s="9">
        <v>32206.546391456497</v>
      </c>
      <c r="AF26" s="10">
        <v>-162.0775028777789</v>
      </c>
      <c r="AG26" s="9">
        <v>20664.285395552677</v>
      </c>
      <c r="AH26" s="10">
        <v>-160.8458762284327</v>
      </c>
      <c r="AI26" s="9">
        <v>5928.2395359207912</v>
      </c>
      <c r="AJ26" s="10">
        <v>-346.83046927269118</v>
      </c>
      <c r="AK26" s="9">
        <v>4901.0905757340097</v>
      </c>
      <c r="AL26" s="10">
        <v>-173.69706950120442</v>
      </c>
      <c r="AM26" s="9">
        <v>15298.915168820655</v>
      </c>
      <c r="AN26" s="10">
        <v>-349.0046073000982</v>
      </c>
      <c r="AO26" s="9">
        <v>9716.1807639291073</v>
      </c>
      <c r="AP26" s="10">
        <v>-29.069361084994647</v>
      </c>
      <c r="AQ26" s="9">
        <v>2878.4409283278701</v>
      </c>
      <c r="AR26" s="10">
        <v>-152.16427496252462</v>
      </c>
      <c r="AS26" s="9">
        <v>2384.6835049620445</v>
      </c>
      <c r="AT26" s="10">
        <v>-73.253321619806599</v>
      </c>
      <c r="AU26" s="9">
        <v>35379.761008915906</v>
      </c>
      <c r="AV26" s="10">
        <v>-369.01796280636808</v>
      </c>
      <c r="AW26" s="9">
        <v>10117.335783535316</v>
      </c>
      <c r="AX26" s="10">
        <v>-551.45552886654548</v>
      </c>
      <c r="AY26" s="9">
        <v>8361.1890613014839</v>
      </c>
      <c r="AZ26" s="10">
        <v>-345.57058628391496</v>
      </c>
      <c r="BA26" s="9">
        <v>6487.915360686593</v>
      </c>
      <c r="BB26" s="10">
        <v>-289.86974716279025</v>
      </c>
      <c r="BC26" s="9">
        <v>5376.5118040613934</v>
      </c>
      <c r="BD26" s="10">
        <v>-219.3436578417774</v>
      </c>
      <c r="BE26" s="9">
        <v>1570.9105595526869</v>
      </c>
      <c r="BF26" s="10">
        <v>-116.77626682075054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2016-03-19T21:54:29Z</dcterms:modified>
</cp:coreProperties>
</file>