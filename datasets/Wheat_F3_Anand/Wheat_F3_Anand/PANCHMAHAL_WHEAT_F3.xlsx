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IELD FORECAST\2015_16\RABI_2015\WHEAT\STATISTICAL\F3\"/>
    </mc:Choice>
  </mc:AlternateContent>
  <bookViews>
    <workbookView xWindow="360" yWindow="360" windowWidth="14895" windowHeight="7815" activeTab="2"/>
  </bookViews>
  <sheets>
    <sheet name="WEATHER INDICES" sheetId="2" r:id="rId1"/>
    <sheet name="TIME TREND" sheetId="4" r:id="rId2"/>
    <sheet name="VALIDATION" sheetId="3" r:id="rId3"/>
    <sheet name="SPSS" sheetId="5" r:id="rId4"/>
  </sheets>
  <calcPr calcId="152511"/>
</workbook>
</file>

<file path=xl/calcChain.xml><?xml version="1.0" encoding="utf-8"?>
<calcChain xmlns="http://schemas.openxmlformats.org/spreadsheetml/2006/main">
  <c r="C28" i="3" l="1"/>
  <c r="C29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0" i="3"/>
  <c r="D28" i="3" l="1"/>
  <c r="D921" i="2" l="1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V921" i="2"/>
  <c r="W921" i="2"/>
  <c r="Y921" i="2"/>
  <c r="Z921" i="2"/>
  <c r="D888" i="2"/>
  <c r="E888" i="2"/>
  <c r="F888" i="2"/>
  <c r="Y888" i="2" s="1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V888" i="2"/>
  <c r="W888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U855" i="2"/>
  <c r="V855" i="2"/>
  <c r="W855" i="2"/>
  <c r="Y855" i="2"/>
  <c r="Z855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V822" i="2"/>
  <c r="W822" i="2"/>
  <c r="Y822" i="2"/>
  <c r="Z822" i="2"/>
  <c r="D789" i="2"/>
  <c r="Z789" i="2" s="1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Y789" i="2"/>
  <c r="D756" i="2"/>
  <c r="E756" i="2"/>
  <c r="F756" i="2"/>
  <c r="G756" i="2"/>
  <c r="H756" i="2"/>
  <c r="I756" i="2"/>
  <c r="Y756" i="2" s="1"/>
  <c r="J756" i="2"/>
  <c r="K756" i="2"/>
  <c r="L756" i="2"/>
  <c r="M756" i="2"/>
  <c r="N756" i="2"/>
  <c r="O756" i="2"/>
  <c r="P756" i="2"/>
  <c r="Q756" i="2"/>
  <c r="R756" i="2"/>
  <c r="S756" i="2"/>
  <c r="T756" i="2"/>
  <c r="U756" i="2"/>
  <c r="V756" i="2"/>
  <c r="W756" i="2"/>
  <c r="Z756" i="2"/>
  <c r="D723" i="2"/>
  <c r="E723" i="2"/>
  <c r="Y723" i="2" s="1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Z723" i="2"/>
  <c r="D690" i="2"/>
  <c r="E690" i="2"/>
  <c r="Y690" i="2" s="1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Z690" i="2"/>
  <c r="D657" i="2"/>
  <c r="Z657" i="2" s="1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V657" i="2"/>
  <c r="W657" i="2"/>
  <c r="Y657" i="2"/>
  <c r="D624" i="2"/>
  <c r="E624" i="2"/>
  <c r="Y624" i="2" s="1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V624" i="2"/>
  <c r="W624" i="2"/>
  <c r="Z624" i="2"/>
  <c r="D591" i="2"/>
  <c r="E591" i="2"/>
  <c r="Y591" i="2" s="1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V591" i="2"/>
  <c r="W591" i="2"/>
  <c r="Z591" i="2"/>
  <c r="D558" i="2"/>
  <c r="E558" i="2"/>
  <c r="F558" i="2"/>
  <c r="Y558" i="2" s="1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V558" i="2"/>
  <c r="W558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V559" i="2"/>
  <c r="W559" i="2"/>
  <c r="D525" i="2"/>
  <c r="Z525" i="2" s="1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V525" i="2"/>
  <c r="W525" i="2"/>
  <c r="Y525" i="2"/>
  <c r="D492" i="2"/>
  <c r="E492" i="2"/>
  <c r="F492" i="2"/>
  <c r="G492" i="2"/>
  <c r="Y492" i="2" s="1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V492" i="2"/>
  <c r="W492" i="2"/>
  <c r="D459" i="2"/>
  <c r="Z459" i="2" s="1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V459" i="2"/>
  <c r="W459" i="2"/>
  <c r="Y459" i="2"/>
  <c r="D426" i="2"/>
  <c r="E426" i="2"/>
  <c r="Y426" i="2" s="1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Z426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Z393" i="2" s="1"/>
  <c r="Q393" i="2"/>
  <c r="R393" i="2"/>
  <c r="S393" i="2"/>
  <c r="T393" i="2"/>
  <c r="U393" i="2"/>
  <c r="V393" i="2"/>
  <c r="W393" i="2"/>
  <c r="Y393" i="2"/>
  <c r="D360" i="2"/>
  <c r="E360" i="2"/>
  <c r="Y360" i="2" s="1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Z360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Y327" i="2"/>
  <c r="Z327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Y294" i="2"/>
  <c r="Z294" i="2"/>
  <c r="D261" i="2"/>
  <c r="E261" i="2"/>
  <c r="Y261" i="2" s="1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Z261" i="2"/>
  <c r="Y228" i="2"/>
  <c r="Z228" i="2"/>
  <c r="Y195" i="2"/>
  <c r="Z195" i="2"/>
  <c r="Y162" i="2"/>
  <c r="Z162" i="2"/>
  <c r="Y129" i="2"/>
  <c r="Z129" i="2"/>
  <c r="Y96" i="2"/>
  <c r="Z96" i="2"/>
  <c r="Y63" i="2"/>
  <c r="Z63" i="2"/>
  <c r="Y30" i="2"/>
  <c r="Z30" i="2"/>
  <c r="Z888" i="2" l="1"/>
  <c r="Z558" i="2"/>
  <c r="Z492" i="2"/>
  <c r="E229" i="2" l="1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D229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D196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D163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D130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D97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D64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D31" i="2"/>
  <c r="T255" i="2" l="1"/>
  <c r="U255" i="2"/>
  <c r="V255" i="2"/>
  <c r="W255" i="2"/>
  <c r="T256" i="2"/>
  <c r="U256" i="2"/>
  <c r="V256" i="2"/>
  <c r="W256" i="2"/>
  <c r="T258" i="2"/>
  <c r="U258" i="2"/>
  <c r="V258" i="2"/>
  <c r="W258" i="2"/>
  <c r="T259" i="2"/>
  <c r="U259" i="2"/>
  <c r="V259" i="2"/>
  <c r="W259" i="2"/>
  <c r="T260" i="2"/>
  <c r="U260" i="2"/>
  <c r="V260" i="2"/>
  <c r="W260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69" i="2"/>
  <c r="U269" i="2"/>
  <c r="V269" i="2"/>
  <c r="W269" i="2"/>
  <c r="T270" i="2"/>
  <c r="U270" i="2"/>
  <c r="V270" i="2"/>
  <c r="W270" i="2"/>
  <c r="T271" i="2"/>
  <c r="U271" i="2"/>
  <c r="V271" i="2"/>
  <c r="W271" i="2"/>
  <c r="T272" i="2"/>
  <c r="U272" i="2"/>
  <c r="V272" i="2"/>
  <c r="W272" i="2"/>
  <c r="T273" i="2"/>
  <c r="U273" i="2"/>
  <c r="V273" i="2"/>
  <c r="W273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79" i="2"/>
  <c r="U279" i="2"/>
  <c r="V279" i="2"/>
  <c r="W279" i="2"/>
  <c r="T280" i="2"/>
  <c r="U280" i="2"/>
  <c r="V280" i="2"/>
  <c r="W280" i="2"/>
  <c r="T281" i="2"/>
  <c r="U281" i="2"/>
  <c r="V281" i="2"/>
  <c r="W281" i="2"/>
  <c r="T282" i="2"/>
  <c r="U282" i="2"/>
  <c r="V282" i="2"/>
  <c r="W282" i="2"/>
  <c r="T283" i="2"/>
  <c r="U283" i="2"/>
  <c r="V283" i="2"/>
  <c r="W283" i="2"/>
  <c r="T284" i="2"/>
  <c r="U284" i="2"/>
  <c r="V284" i="2"/>
  <c r="W284" i="2"/>
  <c r="T285" i="2"/>
  <c r="U285" i="2"/>
  <c r="V285" i="2"/>
  <c r="W285" i="2"/>
  <c r="T286" i="2"/>
  <c r="U286" i="2"/>
  <c r="V286" i="2"/>
  <c r="W286" i="2"/>
  <c r="T287" i="2"/>
  <c r="U287" i="2"/>
  <c r="V287" i="2"/>
  <c r="W287" i="2"/>
  <c r="T288" i="2"/>
  <c r="U288" i="2"/>
  <c r="V288" i="2"/>
  <c r="W288" i="2"/>
  <c r="T289" i="2"/>
  <c r="U289" i="2"/>
  <c r="V289" i="2"/>
  <c r="W289" i="2"/>
  <c r="T291" i="2"/>
  <c r="U291" i="2"/>
  <c r="V291" i="2"/>
  <c r="W291" i="2"/>
  <c r="T292" i="2"/>
  <c r="U292" i="2"/>
  <c r="V292" i="2"/>
  <c r="W292" i="2"/>
  <c r="T293" i="2"/>
  <c r="U293" i="2"/>
  <c r="V293" i="2"/>
  <c r="W293" i="2"/>
  <c r="T299" i="2"/>
  <c r="U299" i="2"/>
  <c r="V299" i="2"/>
  <c r="W299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3" i="2"/>
  <c r="U303" i="2"/>
  <c r="V303" i="2"/>
  <c r="W303" i="2"/>
  <c r="T304" i="2"/>
  <c r="U304" i="2"/>
  <c r="V304" i="2"/>
  <c r="W304" i="2"/>
  <c r="T305" i="2"/>
  <c r="U305" i="2"/>
  <c r="V305" i="2"/>
  <c r="W305" i="2"/>
  <c r="T306" i="2"/>
  <c r="U306" i="2"/>
  <c r="V306" i="2"/>
  <c r="W306" i="2"/>
  <c r="T307" i="2"/>
  <c r="U307" i="2"/>
  <c r="V307" i="2"/>
  <c r="W307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2" i="2"/>
  <c r="U312" i="2"/>
  <c r="V312" i="2"/>
  <c r="W312" i="2"/>
  <c r="T313" i="2"/>
  <c r="U313" i="2"/>
  <c r="V313" i="2"/>
  <c r="W313" i="2"/>
  <c r="T314" i="2"/>
  <c r="U314" i="2"/>
  <c r="V314" i="2"/>
  <c r="W314" i="2"/>
  <c r="T315" i="2"/>
  <c r="U315" i="2"/>
  <c r="V315" i="2"/>
  <c r="W315" i="2"/>
  <c r="T316" i="2"/>
  <c r="U316" i="2"/>
  <c r="V316" i="2"/>
  <c r="W316" i="2"/>
  <c r="T317" i="2"/>
  <c r="U317" i="2"/>
  <c r="V317" i="2"/>
  <c r="W317" i="2"/>
  <c r="T318" i="2"/>
  <c r="U318" i="2"/>
  <c r="V318" i="2"/>
  <c r="W318" i="2"/>
  <c r="T319" i="2"/>
  <c r="U319" i="2"/>
  <c r="V319" i="2"/>
  <c r="W319" i="2"/>
  <c r="T320" i="2"/>
  <c r="U320" i="2"/>
  <c r="V320" i="2"/>
  <c r="W320" i="2"/>
  <c r="T321" i="2"/>
  <c r="U321" i="2"/>
  <c r="V321" i="2"/>
  <c r="W321" i="2"/>
  <c r="T322" i="2"/>
  <c r="U322" i="2"/>
  <c r="V322" i="2"/>
  <c r="W322" i="2"/>
  <c r="T324" i="2"/>
  <c r="U324" i="2"/>
  <c r="V324" i="2"/>
  <c r="W324" i="2"/>
  <c r="T325" i="2"/>
  <c r="U325" i="2"/>
  <c r="V325" i="2"/>
  <c r="W325" i="2"/>
  <c r="T326" i="2"/>
  <c r="U326" i="2"/>
  <c r="V326" i="2"/>
  <c r="W326" i="2"/>
  <c r="T332" i="2"/>
  <c r="U332" i="2"/>
  <c r="V332" i="2"/>
  <c r="W332" i="2"/>
  <c r="T333" i="2"/>
  <c r="U333" i="2"/>
  <c r="V333" i="2"/>
  <c r="W333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37" i="2"/>
  <c r="U337" i="2"/>
  <c r="V337" i="2"/>
  <c r="W337" i="2"/>
  <c r="T338" i="2"/>
  <c r="U338" i="2"/>
  <c r="V338" i="2"/>
  <c r="W338" i="2"/>
  <c r="T339" i="2"/>
  <c r="U339" i="2"/>
  <c r="V339" i="2"/>
  <c r="W339" i="2"/>
  <c r="T340" i="2"/>
  <c r="U340" i="2"/>
  <c r="V340" i="2"/>
  <c r="W340" i="2"/>
  <c r="T341" i="2"/>
  <c r="U341" i="2"/>
  <c r="V341" i="2"/>
  <c r="W341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45" i="2"/>
  <c r="U345" i="2"/>
  <c r="V345" i="2"/>
  <c r="W345" i="2"/>
  <c r="T346" i="2"/>
  <c r="U346" i="2"/>
  <c r="V346" i="2"/>
  <c r="W346" i="2"/>
  <c r="T347" i="2"/>
  <c r="U347" i="2"/>
  <c r="V347" i="2"/>
  <c r="W347" i="2"/>
  <c r="T348" i="2"/>
  <c r="U348" i="2"/>
  <c r="V348" i="2"/>
  <c r="W348" i="2"/>
  <c r="T349" i="2"/>
  <c r="U349" i="2"/>
  <c r="V349" i="2"/>
  <c r="W349" i="2"/>
  <c r="T350" i="2"/>
  <c r="U350" i="2"/>
  <c r="V350" i="2"/>
  <c r="W350" i="2"/>
  <c r="T351" i="2"/>
  <c r="U351" i="2"/>
  <c r="V351" i="2"/>
  <c r="W351" i="2"/>
  <c r="T352" i="2"/>
  <c r="U352" i="2"/>
  <c r="V352" i="2"/>
  <c r="W352" i="2"/>
  <c r="T353" i="2"/>
  <c r="U353" i="2"/>
  <c r="V353" i="2"/>
  <c r="W353" i="2"/>
  <c r="T354" i="2"/>
  <c r="U354" i="2"/>
  <c r="V354" i="2"/>
  <c r="W354" i="2"/>
  <c r="T355" i="2"/>
  <c r="U355" i="2"/>
  <c r="V355" i="2"/>
  <c r="W355" i="2"/>
  <c r="T357" i="2"/>
  <c r="U357" i="2"/>
  <c r="V357" i="2"/>
  <c r="W357" i="2"/>
  <c r="T358" i="2"/>
  <c r="U358" i="2"/>
  <c r="V358" i="2"/>
  <c r="W358" i="2"/>
  <c r="T359" i="2"/>
  <c r="U359" i="2"/>
  <c r="V359" i="2"/>
  <c r="W359" i="2"/>
  <c r="T365" i="2"/>
  <c r="U365" i="2"/>
  <c r="V365" i="2"/>
  <c r="W365" i="2"/>
  <c r="T366" i="2"/>
  <c r="U366" i="2"/>
  <c r="V366" i="2"/>
  <c r="W366" i="2"/>
  <c r="T367" i="2"/>
  <c r="U367" i="2"/>
  <c r="V367" i="2"/>
  <c r="W367" i="2"/>
  <c r="T368" i="2"/>
  <c r="U368" i="2"/>
  <c r="V368" i="2"/>
  <c r="W368" i="2"/>
  <c r="T369" i="2"/>
  <c r="U369" i="2"/>
  <c r="V369" i="2"/>
  <c r="W369" i="2"/>
  <c r="T370" i="2"/>
  <c r="U370" i="2"/>
  <c r="V370" i="2"/>
  <c r="W370" i="2"/>
  <c r="T371" i="2"/>
  <c r="U371" i="2"/>
  <c r="V371" i="2"/>
  <c r="W371" i="2"/>
  <c r="T372" i="2"/>
  <c r="U372" i="2"/>
  <c r="V372" i="2"/>
  <c r="W372" i="2"/>
  <c r="T373" i="2"/>
  <c r="U373" i="2"/>
  <c r="V373" i="2"/>
  <c r="W373" i="2"/>
  <c r="T374" i="2"/>
  <c r="U374" i="2"/>
  <c r="V374" i="2"/>
  <c r="W374" i="2"/>
  <c r="T375" i="2"/>
  <c r="U375" i="2"/>
  <c r="V375" i="2"/>
  <c r="W375" i="2"/>
  <c r="T376" i="2"/>
  <c r="U376" i="2"/>
  <c r="V376" i="2"/>
  <c r="W376" i="2"/>
  <c r="T377" i="2"/>
  <c r="U377" i="2"/>
  <c r="V377" i="2"/>
  <c r="W377" i="2"/>
  <c r="T378" i="2"/>
  <c r="U378" i="2"/>
  <c r="V378" i="2"/>
  <c r="W378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7" i="2"/>
  <c r="U387" i="2"/>
  <c r="V387" i="2"/>
  <c r="W387" i="2"/>
  <c r="T388" i="2"/>
  <c r="U388" i="2"/>
  <c r="V388" i="2"/>
  <c r="W388" i="2"/>
  <c r="T390" i="2"/>
  <c r="U390" i="2"/>
  <c r="V390" i="2"/>
  <c r="W390" i="2"/>
  <c r="T391" i="2"/>
  <c r="U391" i="2"/>
  <c r="V391" i="2"/>
  <c r="W391" i="2"/>
  <c r="T392" i="2"/>
  <c r="U392" i="2"/>
  <c r="V392" i="2"/>
  <c r="W392" i="2"/>
  <c r="T398" i="2"/>
  <c r="U398" i="2"/>
  <c r="V398" i="2"/>
  <c r="W398" i="2"/>
  <c r="T399" i="2"/>
  <c r="U399" i="2"/>
  <c r="V399" i="2"/>
  <c r="W399" i="2"/>
  <c r="T400" i="2"/>
  <c r="U400" i="2"/>
  <c r="V400" i="2"/>
  <c r="W400" i="2"/>
  <c r="T401" i="2"/>
  <c r="U401" i="2"/>
  <c r="V401" i="2"/>
  <c r="W401" i="2"/>
  <c r="T402" i="2"/>
  <c r="U402" i="2"/>
  <c r="V402" i="2"/>
  <c r="W402" i="2"/>
  <c r="T403" i="2"/>
  <c r="U403" i="2"/>
  <c r="V403" i="2"/>
  <c r="W403" i="2"/>
  <c r="T404" i="2"/>
  <c r="U404" i="2"/>
  <c r="V404" i="2"/>
  <c r="W404" i="2"/>
  <c r="T405" i="2"/>
  <c r="U405" i="2"/>
  <c r="V405" i="2"/>
  <c r="W405" i="2"/>
  <c r="T406" i="2"/>
  <c r="U406" i="2"/>
  <c r="V406" i="2"/>
  <c r="W406" i="2"/>
  <c r="T407" i="2"/>
  <c r="U407" i="2"/>
  <c r="V407" i="2"/>
  <c r="W407" i="2"/>
  <c r="T408" i="2"/>
  <c r="U408" i="2"/>
  <c r="V408" i="2"/>
  <c r="W408" i="2"/>
  <c r="T409" i="2"/>
  <c r="U409" i="2"/>
  <c r="V409" i="2"/>
  <c r="W409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3" i="2"/>
  <c r="U423" i="2"/>
  <c r="V423" i="2"/>
  <c r="W423" i="2"/>
  <c r="T424" i="2"/>
  <c r="U424" i="2"/>
  <c r="V424" i="2"/>
  <c r="W424" i="2"/>
  <c r="T425" i="2"/>
  <c r="U425" i="2"/>
  <c r="V425" i="2"/>
  <c r="W425" i="2"/>
  <c r="T431" i="2"/>
  <c r="U431" i="2"/>
  <c r="V431" i="2"/>
  <c r="W431" i="2"/>
  <c r="T432" i="2"/>
  <c r="U432" i="2"/>
  <c r="V432" i="2"/>
  <c r="W432" i="2"/>
  <c r="T433" i="2"/>
  <c r="U433" i="2"/>
  <c r="V433" i="2"/>
  <c r="W433" i="2"/>
  <c r="T434" i="2"/>
  <c r="U434" i="2"/>
  <c r="V434" i="2"/>
  <c r="W434" i="2"/>
  <c r="T435" i="2"/>
  <c r="U435" i="2"/>
  <c r="V435" i="2"/>
  <c r="W435" i="2"/>
  <c r="T436" i="2"/>
  <c r="U436" i="2"/>
  <c r="V436" i="2"/>
  <c r="W436" i="2"/>
  <c r="T437" i="2"/>
  <c r="U437" i="2"/>
  <c r="V437" i="2"/>
  <c r="W437" i="2"/>
  <c r="T438" i="2"/>
  <c r="U438" i="2"/>
  <c r="V438" i="2"/>
  <c r="W438" i="2"/>
  <c r="T439" i="2"/>
  <c r="U439" i="2"/>
  <c r="V439" i="2"/>
  <c r="W439" i="2"/>
  <c r="T440" i="2"/>
  <c r="U440" i="2"/>
  <c r="V440" i="2"/>
  <c r="W440" i="2"/>
  <c r="T441" i="2"/>
  <c r="U441" i="2"/>
  <c r="V441" i="2"/>
  <c r="W441" i="2"/>
  <c r="T442" i="2"/>
  <c r="U442" i="2"/>
  <c r="V442" i="2"/>
  <c r="W442" i="2"/>
  <c r="T443" i="2"/>
  <c r="U443" i="2"/>
  <c r="V443" i="2"/>
  <c r="W443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6" i="2"/>
  <c r="U456" i="2"/>
  <c r="V456" i="2"/>
  <c r="W456" i="2"/>
  <c r="T457" i="2"/>
  <c r="U457" i="2"/>
  <c r="V457" i="2"/>
  <c r="W457" i="2"/>
  <c r="T458" i="2"/>
  <c r="U458" i="2"/>
  <c r="V458" i="2"/>
  <c r="W458" i="2"/>
  <c r="T464" i="2"/>
  <c r="U464" i="2"/>
  <c r="V464" i="2"/>
  <c r="W464" i="2"/>
  <c r="T465" i="2"/>
  <c r="U465" i="2"/>
  <c r="V465" i="2"/>
  <c r="W465" i="2"/>
  <c r="T466" i="2"/>
  <c r="U466" i="2"/>
  <c r="V466" i="2"/>
  <c r="W466" i="2"/>
  <c r="T467" i="2"/>
  <c r="U467" i="2"/>
  <c r="V467" i="2"/>
  <c r="W467" i="2"/>
  <c r="T468" i="2"/>
  <c r="U468" i="2"/>
  <c r="V468" i="2"/>
  <c r="W468" i="2"/>
  <c r="T469" i="2"/>
  <c r="U469" i="2"/>
  <c r="V469" i="2"/>
  <c r="W469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3" i="2"/>
  <c r="U473" i="2"/>
  <c r="V473" i="2"/>
  <c r="W473" i="2"/>
  <c r="T474" i="2"/>
  <c r="U474" i="2"/>
  <c r="V474" i="2"/>
  <c r="W474" i="2"/>
  <c r="T475" i="2"/>
  <c r="U475" i="2"/>
  <c r="V475" i="2"/>
  <c r="W475" i="2"/>
  <c r="T476" i="2"/>
  <c r="U476" i="2"/>
  <c r="V476" i="2"/>
  <c r="W476" i="2"/>
  <c r="T477" i="2"/>
  <c r="U477" i="2"/>
  <c r="V477" i="2"/>
  <c r="W477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6" i="2"/>
  <c r="U486" i="2"/>
  <c r="V486" i="2"/>
  <c r="W486" i="2"/>
  <c r="T487" i="2"/>
  <c r="U487" i="2"/>
  <c r="V487" i="2"/>
  <c r="W487" i="2"/>
  <c r="T489" i="2"/>
  <c r="U489" i="2"/>
  <c r="V489" i="2"/>
  <c r="W489" i="2"/>
  <c r="T490" i="2"/>
  <c r="U490" i="2"/>
  <c r="V490" i="2"/>
  <c r="W490" i="2"/>
  <c r="T491" i="2"/>
  <c r="U491" i="2"/>
  <c r="V491" i="2"/>
  <c r="W491" i="2"/>
  <c r="T497" i="2"/>
  <c r="U497" i="2"/>
  <c r="V497" i="2"/>
  <c r="W497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1" i="2"/>
  <c r="U501" i="2"/>
  <c r="V501" i="2"/>
  <c r="W501" i="2"/>
  <c r="T502" i="2"/>
  <c r="U502" i="2"/>
  <c r="V502" i="2"/>
  <c r="W502" i="2"/>
  <c r="T503" i="2"/>
  <c r="U503" i="2"/>
  <c r="V503" i="2"/>
  <c r="W503" i="2"/>
  <c r="T504" i="2"/>
  <c r="U504" i="2"/>
  <c r="V504" i="2"/>
  <c r="W504" i="2"/>
  <c r="T505" i="2"/>
  <c r="U505" i="2"/>
  <c r="V505" i="2"/>
  <c r="W505" i="2"/>
  <c r="T506" i="2"/>
  <c r="U506" i="2"/>
  <c r="V506" i="2"/>
  <c r="W506" i="2"/>
  <c r="T507" i="2"/>
  <c r="U507" i="2"/>
  <c r="V507" i="2"/>
  <c r="W507" i="2"/>
  <c r="T508" i="2"/>
  <c r="U508" i="2"/>
  <c r="V508" i="2"/>
  <c r="W508" i="2"/>
  <c r="T509" i="2"/>
  <c r="U509" i="2"/>
  <c r="V509" i="2"/>
  <c r="W509" i="2"/>
  <c r="T510" i="2"/>
  <c r="U510" i="2"/>
  <c r="V510" i="2"/>
  <c r="W510" i="2"/>
  <c r="T511" i="2"/>
  <c r="U511" i="2"/>
  <c r="V511" i="2"/>
  <c r="W511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5" i="2"/>
  <c r="U515" i="2"/>
  <c r="V515" i="2"/>
  <c r="W515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19" i="2"/>
  <c r="U519" i="2"/>
  <c r="V519" i="2"/>
  <c r="W519" i="2"/>
  <c r="T520" i="2"/>
  <c r="U520" i="2"/>
  <c r="V520" i="2"/>
  <c r="W520" i="2"/>
  <c r="T522" i="2"/>
  <c r="U522" i="2"/>
  <c r="V522" i="2"/>
  <c r="W522" i="2"/>
  <c r="T523" i="2"/>
  <c r="U523" i="2"/>
  <c r="V523" i="2"/>
  <c r="W523" i="2"/>
  <c r="T524" i="2"/>
  <c r="U524" i="2"/>
  <c r="V524" i="2"/>
  <c r="W524" i="2"/>
  <c r="T530" i="2"/>
  <c r="U530" i="2"/>
  <c r="V530" i="2"/>
  <c r="W530" i="2"/>
  <c r="T531" i="2"/>
  <c r="U531" i="2"/>
  <c r="V531" i="2"/>
  <c r="W531" i="2"/>
  <c r="T532" i="2"/>
  <c r="U532" i="2"/>
  <c r="V532" i="2"/>
  <c r="W532" i="2"/>
  <c r="T533" i="2"/>
  <c r="U533" i="2"/>
  <c r="V533" i="2"/>
  <c r="W533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37" i="2"/>
  <c r="U537" i="2"/>
  <c r="V537" i="2"/>
  <c r="W537" i="2"/>
  <c r="T538" i="2"/>
  <c r="U538" i="2"/>
  <c r="V538" i="2"/>
  <c r="W538" i="2"/>
  <c r="T539" i="2"/>
  <c r="U539" i="2"/>
  <c r="V539" i="2"/>
  <c r="W539" i="2"/>
  <c r="T540" i="2"/>
  <c r="U540" i="2"/>
  <c r="V540" i="2"/>
  <c r="W540" i="2"/>
  <c r="T541" i="2"/>
  <c r="U541" i="2"/>
  <c r="V541" i="2"/>
  <c r="W541" i="2"/>
  <c r="T542" i="2"/>
  <c r="U542" i="2"/>
  <c r="V542" i="2"/>
  <c r="W542" i="2"/>
  <c r="T543" i="2"/>
  <c r="U543" i="2"/>
  <c r="V543" i="2"/>
  <c r="W543" i="2"/>
  <c r="T544" i="2"/>
  <c r="U544" i="2"/>
  <c r="V544" i="2"/>
  <c r="W544" i="2"/>
  <c r="T545" i="2"/>
  <c r="U545" i="2"/>
  <c r="V545" i="2"/>
  <c r="W545" i="2"/>
  <c r="T546" i="2"/>
  <c r="U546" i="2"/>
  <c r="V546" i="2"/>
  <c r="W546" i="2"/>
  <c r="T547" i="2"/>
  <c r="U547" i="2"/>
  <c r="V547" i="2"/>
  <c r="W547" i="2"/>
  <c r="T548" i="2"/>
  <c r="U548" i="2"/>
  <c r="V548" i="2"/>
  <c r="W548" i="2"/>
  <c r="T549" i="2"/>
  <c r="U549" i="2"/>
  <c r="V549" i="2"/>
  <c r="W549" i="2"/>
  <c r="T550" i="2"/>
  <c r="U550" i="2"/>
  <c r="V550" i="2"/>
  <c r="W550" i="2"/>
  <c r="T551" i="2"/>
  <c r="U551" i="2"/>
  <c r="V551" i="2"/>
  <c r="W551" i="2"/>
  <c r="T552" i="2"/>
  <c r="U552" i="2"/>
  <c r="V552" i="2"/>
  <c r="W552" i="2"/>
  <c r="T553" i="2"/>
  <c r="U553" i="2"/>
  <c r="V553" i="2"/>
  <c r="W553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6" i="2"/>
  <c r="U566" i="2"/>
  <c r="V566" i="2"/>
  <c r="W566" i="2"/>
  <c r="T567" i="2"/>
  <c r="U567" i="2"/>
  <c r="V567" i="2"/>
  <c r="W567" i="2"/>
  <c r="T568" i="2"/>
  <c r="U568" i="2"/>
  <c r="V568" i="2"/>
  <c r="W568" i="2"/>
  <c r="T569" i="2"/>
  <c r="U569" i="2"/>
  <c r="V569" i="2"/>
  <c r="W569" i="2"/>
  <c r="T570" i="2"/>
  <c r="U570" i="2"/>
  <c r="V570" i="2"/>
  <c r="W570" i="2"/>
  <c r="T571" i="2"/>
  <c r="U571" i="2"/>
  <c r="V571" i="2"/>
  <c r="W571" i="2"/>
  <c r="T572" i="2"/>
  <c r="U572" i="2"/>
  <c r="V572" i="2"/>
  <c r="W572" i="2"/>
  <c r="T573" i="2"/>
  <c r="U573" i="2"/>
  <c r="V573" i="2"/>
  <c r="W573" i="2"/>
  <c r="T574" i="2"/>
  <c r="U574" i="2"/>
  <c r="V574" i="2"/>
  <c r="W574" i="2"/>
  <c r="T575" i="2"/>
  <c r="U575" i="2"/>
  <c r="V575" i="2"/>
  <c r="W575" i="2"/>
  <c r="T576" i="2"/>
  <c r="U576" i="2"/>
  <c r="V576" i="2"/>
  <c r="W576" i="2"/>
  <c r="T577" i="2"/>
  <c r="U577" i="2"/>
  <c r="V577" i="2"/>
  <c r="W577" i="2"/>
  <c r="T578" i="2"/>
  <c r="U578" i="2"/>
  <c r="V578" i="2"/>
  <c r="W578" i="2"/>
  <c r="T579" i="2"/>
  <c r="U579" i="2"/>
  <c r="V579" i="2"/>
  <c r="W579" i="2"/>
  <c r="T580" i="2"/>
  <c r="U580" i="2"/>
  <c r="V580" i="2"/>
  <c r="W580" i="2"/>
  <c r="T581" i="2"/>
  <c r="U581" i="2"/>
  <c r="V581" i="2"/>
  <c r="W581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2" i="2"/>
  <c r="U602" i="2"/>
  <c r="V602" i="2"/>
  <c r="W602" i="2"/>
  <c r="T603" i="2"/>
  <c r="U603" i="2"/>
  <c r="V603" i="2"/>
  <c r="W603" i="2"/>
  <c r="T604" i="2"/>
  <c r="U604" i="2"/>
  <c r="V604" i="2"/>
  <c r="W604" i="2"/>
  <c r="T605" i="2"/>
  <c r="U605" i="2"/>
  <c r="V605" i="2"/>
  <c r="W605" i="2"/>
  <c r="T606" i="2"/>
  <c r="U606" i="2"/>
  <c r="V606" i="2"/>
  <c r="W606" i="2"/>
  <c r="T607" i="2"/>
  <c r="U607" i="2"/>
  <c r="V607" i="2"/>
  <c r="W607" i="2"/>
  <c r="T608" i="2"/>
  <c r="U608" i="2"/>
  <c r="V608" i="2"/>
  <c r="W608" i="2"/>
  <c r="T609" i="2"/>
  <c r="U609" i="2"/>
  <c r="V609" i="2"/>
  <c r="W609" i="2"/>
  <c r="T610" i="2"/>
  <c r="U610" i="2"/>
  <c r="V610" i="2"/>
  <c r="W610" i="2"/>
  <c r="T611" i="2"/>
  <c r="U611" i="2"/>
  <c r="V611" i="2"/>
  <c r="W611" i="2"/>
  <c r="T612" i="2"/>
  <c r="U612" i="2"/>
  <c r="V612" i="2"/>
  <c r="W612" i="2"/>
  <c r="T613" i="2"/>
  <c r="U613" i="2"/>
  <c r="V613" i="2"/>
  <c r="W613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9" i="2"/>
  <c r="U629" i="2"/>
  <c r="V629" i="2"/>
  <c r="W629" i="2"/>
  <c r="T630" i="2"/>
  <c r="U630" i="2"/>
  <c r="V630" i="2"/>
  <c r="W630" i="2"/>
  <c r="T631" i="2"/>
  <c r="U631" i="2"/>
  <c r="V631" i="2"/>
  <c r="W631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35" i="2"/>
  <c r="U635" i="2"/>
  <c r="V635" i="2"/>
  <c r="W635" i="2"/>
  <c r="T636" i="2"/>
  <c r="U636" i="2"/>
  <c r="V636" i="2"/>
  <c r="W636" i="2"/>
  <c r="T637" i="2"/>
  <c r="U637" i="2"/>
  <c r="V637" i="2"/>
  <c r="W637" i="2"/>
  <c r="T638" i="2"/>
  <c r="U638" i="2"/>
  <c r="V638" i="2"/>
  <c r="W638" i="2"/>
  <c r="T639" i="2"/>
  <c r="U639" i="2"/>
  <c r="V639" i="2"/>
  <c r="W639" i="2"/>
  <c r="T640" i="2"/>
  <c r="U640" i="2"/>
  <c r="V640" i="2"/>
  <c r="W640" i="2"/>
  <c r="T641" i="2"/>
  <c r="U641" i="2"/>
  <c r="V641" i="2"/>
  <c r="W641" i="2"/>
  <c r="T642" i="2"/>
  <c r="U642" i="2"/>
  <c r="V642" i="2"/>
  <c r="W642" i="2"/>
  <c r="T643" i="2"/>
  <c r="U643" i="2"/>
  <c r="V643" i="2"/>
  <c r="W643" i="2"/>
  <c r="T644" i="2"/>
  <c r="U644" i="2"/>
  <c r="V644" i="2"/>
  <c r="W644" i="2"/>
  <c r="T645" i="2"/>
  <c r="U645" i="2"/>
  <c r="V645" i="2"/>
  <c r="W645" i="2"/>
  <c r="T646" i="2"/>
  <c r="U646" i="2"/>
  <c r="V646" i="2"/>
  <c r="W646" i="2"/>
  <c r="T647" i="2"/>
  <c r="U647" i="2"/>
  <c r="V647" i="2"/>
  <c r="W647" i="2"/>
  <c r="T648" i="2"/>
  <c r="U648" i="2"/>
  <c r="V648" i="2"/>
  <c r="W648" i="2"/>
  <c r="T649" i="2"/>
  <c r="U649" i="2"/>
  <c r="V649" i="2"/>
  <c r="W649" i="2"/>
  <c r="T650" i="2"/>
  <c r="U650" i="2"/>
  <c r="V650" i="2"/>
  <c r="W650" i="2"/>
  <c r="T651" i="2"/>
  <c r="U651" i="2"/>
  <c r="V651" i="2"/>
  <c r="W651" i="2"/>
  <c r="T652" i="2"/>
  <c r="U652" i="2"/>
  <c r="V652" i="2"/>
  <c r="W652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62" i="2"/>
  <c r="U662" i="2"/>
  <c r="V662" i="2"/>
  <c r="W662" i="2"/>
  <c r="T663" i="2"/>
  <c r="U663" i="2"/>
  <c r="V663" i="2"/>
  <c r="W663" i="2"/>
  <c r="T664" i="2"/>
  <c r="U664" i="2"/>
  <c r="V664" i="2"/>
  <c r="W664" i="2"/>
  <c r="T665" i="2"/>
  <c r="U665" i="2"/>
  <c r="V665" i="2"/>
  <c r="W665" i="2"/>
  <c r="T666" i="2"/>
  <c r="U666" i="2"/>
  <c r="V666" i="2"/>
  <c r="W666" i="2"/>
  <c r="T667" i="2"/>
  <c r="U667" i="2"/>
  <c r="V667" i="2"/>
  <c r="W667" i="2"/>
  <c r="T668" i="2"/>
  <c r="U668" i="2"/>
  <c r="V668" i="2"/>
  <c r="W668" i="2"/>
  <c r="T669" i="2"/>
  <c r="U669" i="2"/>
  <c r="V669" i="2"/>
  <c r="W669" i="2"/>
  <c r="T670" i="2"/>
  <c r="U670" i="2"/>
  <c r="V670" i="2"/>
  <c r="W670" i="2"/>
  <c r="T671" i="2"/>
  <c r="U671" i="2"/>
  <c r="V671" i="2"/>
  <c r="W671" i="2"/>
  <c r="T672" i="2"/>
  <c r="U672" i="2"/>
  <c r="V672" i="2"/>
  <c r="W672" i="2"/>
  <c r="T673" i="2"/>
  <c r="U673" i="2"/>
  <c r="V673" i="2"/>
  <c r="W673" i="2"/>
  <c r="T674" i="2"/>
  <c r="U674" i="2"/>
  <c r="V674" i="2"/>
  <c r="W674" i="2"/>
  <c r="T675" i="2"/>
  <c r="U675" i="2"/>
  <c r="V675" i="2"/>
  <c r="W675" i="2"/>
  <c r="T676" i="2"/>
  <c r="U676" i="2"/>
  <c r="V676" i="2"/>
  <c r="W676" i="2"/>
  <c r="T677" i="2"/>
  <c r="U677" i="2"/>
  <c r="V677" i="2"/>
  <c r="W677" i="2"/>
  <c r="T678" i="2"/>
  <c r="U678" i="2"/>
  <c r="V678" i="2"/>
  <c r="W678" i="2"/>
  <c r="T679" i="2"/>
  <c r="U679" i="2"/>
  <c r="V679" i="2"/>
  <c r="W679" i="2"/>
  <c r="T680" i="2"/>
  <c r="U680" i="2"/>
  <c r="V680" i="2"/>
  <c r="W680" i="2"/>
  <c r="T681" i="2"/>
  <c r="U681" i="2"/>
  <c r="V681" i="2"/>
  <c r="W681" i="2"/>
  <c r="T682" i="2"/>
  <c r="U682" i="2"/>
  <c r="V682" i="2"/>
  <c r="W682" i="2"/>
  <c r="T683" i="2"/>
  <c r="U683" i="2"/>
  <c r="V683" i="2"/>
  <c r="W683" i="2"/>
  <c r="T684" i="2"/>
  <c r="U684" i="2"/>
  <c r="V684" i="2"/>
  <c r="W684" i="2"/>
  <c r="T685" i="2"/>
  <c r="U685" i="2"/>
  <c r="V685" i="2"/>
  <c r="W685" i="2"/>
  <c r="T687" i="2"/>
  <c r="U687" i="2"/>
  <c r="V687" i="2"/>
  <c r="W687" i="2"/>
  <c r="T688" i="2"/>
  <c r="U688" i="2"/>
  <c r="V688" i="2"/>
  <c r="W688" i="2"/>
  <c r="T689" i="2"/>
  <c r="U689" i="2"/>
  <c r="V689" i="2"/>
  <c r="W689" i="2"/>
  <c r="T695" i="2"/>
  <c r="U695" i="2"/>
  <c r="V695" i="2"/>
  <c r="W695" i="2"/>
  <c r="T696" i="2"/>
  <c r="U696" i="2"/>
  <c r="V696" i="2"/>
  <c r="W696" i="2"/>
  <c r="T697" i="2"/>
  <c r="U697" i="2"/>
  <c r="V697" i="2"/>
  <c r="W697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7" i="2"/>
  <c r="U707" i="2"/>
  <c r="V707" i="2"/>
  <c r="W707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1" i="2"/>
  <c r="U711" i="2"/>
  <c r="V711" i="2"/>
  <c r="W711" i="2"/>
  <c r="T712" i="2"/>
  <c r="U712" i="2"/>
  <c r="V712" i="2"/>
  <c r="W712" i="2"/>
  <c r="T713" i="2"/>
  <c r="U713" i="2"/>
  <c r="V713" i="2"/>
  <c r="W713" i="2"/>
  <c r="T714" i="2"/>
  <c r="U714" i="2"/>
  <c r="V714" i="2"/>
  <c r="W714" i="2"/>
  <c r="T715" i="2"/>
  <c r="U715" i="2"/>
  <c r="V715" i="2"/>
  <c r="W715" i="2"/>
  <c r="T716" i="2"/>
  <c r="U716" i="2"/>
  <c r="V716" i="2"/>
  <c r="W716" i="2"/>
  <c r="T717" i="2"/>
  <c r="U717" i="2"/>
  <c r="V717" i="2"/>
  <c r="W717" i="2"/>
  <c r="T718" i="2"/>
  <c r="U718" i="2"/>
  <c r="V718" i="2"/>
  <c r="W718" i="2"/>
  <c r="T720" i="2"/>
  <c r="U720" i="2"/>
  <c r="V720" i="2"/>
  <c r="W720" i="2"/>
  <c r="T721" i="2"/>
  <c r="U721" i="2"/>
  <c r="V721" i="2"/>
  <c r="W721" i="2"/>
  <c r="T722" i="2"/>
  <c r="U722" i="2"/>
  <c r="V722" i="2"/>
  <c r="W722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1" i="2"/>
  <c r="U741" i="2"/>
  <c r="V741" i="2"/>
  <c r="W741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45" i="2"/>
  <c r="U745" i="2"/>
  <c r="V745" i="2"/>
  <c r="W745" i="2"/>
  <c r="T746" i="2"/>
  <c r="U746" i="2"/>
  <c r="V746" i="2"/>
  <c r="W746" i="2"/>
  <c r="T747" i="2"/>
  <c r="U747" i="2"/>
  <c r="V747" i="2"/>
  <c r="W747" i="2"/>
  <c r="T748" i="2"/>
  <c r="U748" i="2"/>
  <c r="V748" i="2"/>
  <c r="W748" i="2"/>
  <c r="T749" i="2"/>
  <c r="U749" i="2"/>
  <c r="V749" i="2"/>
  <c r="W749" i="2"/>
  <c r="T750" i="2"/>
  <c r="U750" i="2"/>
  <c r="V750" i="2"/>
  <c r="W750" i="2"/>
  <c r="T751" i="2"/>
  <c r="U751" i="2"/>
  <c r="V751" i="2"/>
  <c r="W751" i="2"/>
  <c r="T753" i="2"/>
  <c r="U753" i="2"/>
  <c r="V753" i="2"/>
  <c r="W753" i="2"/>
  <c r="T754" i="2"/>
  <c r="U754" i="2"/>
  <c r="V754" i="2"/>
  <c r="W754" i="2"/>
  <c r="T755" i="2"/>
  <c r="U755" i="2"/>
  <c r="V755" i="2"/>
  <c r="W755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5" i="2"/>
  <c r="U775" i="2"/>
  <c r="V775" i="2"/>
  <c r="W775" i="2"/>
  <c r="T776" i="2"/>
  <c r="U776" i="2"/>
  <c r="V776" i="2"/>
  <c r="W776" i="2"/>
  <c r="T777" i="2"/>
  <c r="U777" i="2"/>
  <c r="V777" i="2"/>
  <c r="W777" i="2"/>
  <c r="T778" i="2"/>
  <c r="U778" i="2"/>
  <c r="V778" i="2"/>
  <c r="W778" i="2"/>
  <c r="T779" i="2"/>
  <c r="U779" i="2"/>
  <c r="V779" i="2"/>
  <c r="W779" i="2"/>
  <c r="T780" i="2"/>
  <c r="U780" i="2"/>
  <c r="V780" i="2"/>
  <c r="W780" i="2"/>
  <c r="T781" i="2"/>
  <c r="U781" i="2"/>
  <c r="V781" i="2"/>
  <c r="W781" i="2"/>
  <c r="T782" i="2"/>
  <c r="U782" i="2"/>
  <c r="V782" i="2"/>
  <c r="W782" i="2"/>
  <c r="T783" i="2"/>
  <c r="U783" i="2"/>
  <c r="V783" i="2"/>
  <c r="W783" i="2"/>
  <c r="T784" i="2"/>
  <c r="U784" i="2"/>
  <c r="V784" i="2"/>
  <c r="W784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5" i="2"/>
  <c r="U805" i="2"/>
  <c r="V805" i="2"/>
  <c r="W805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T809" i="2"/>
  <c r="U809" i="2"/>
  <c r="V809" i="2"/>
  <c r="W809" i="2"/>
  <c r="T810" i="2"/>
  <c r="U810" i="2"/>
  <c r="V810" i="2"/>
  <c r="W810" i="2"/>
  <c r="T811" i="2"/>
  <c r="U811" i="2"/>
  <c r="V811" i="2"/>
  <c r="W811" i="2"/>
  <c r="T812" i="2"/>
  <c r="U812" i="2"/>
  <c r="V812" i="2"/>
  <c r="W812" i="2"/>
  <c r="T813" i="2"/>
  <c r="U813" i="2"/>
  <c r="V813" i="2"/>
  <c r="W813" i="2"/>
  <c r="T814" i="2"/>
  <c r="U814" i="2"/>
  <c r="V814" i="2"/>
  <c r="W814" i="2"/>
  <c r="T815" i="2"/>
  <c r="U815" i="2"/>
  <c r="V815" i="2"/>
  <c r="W815" i="2"/>
  <c r="T816" i="2"/>
  <c r="U816" i="2"/>
  <c r="V816" i="2"/>
  <c r="W816" i="2"/>
  <c r="T817" i="2"/>
  <c r="U817" i="2"/>
  <c r="V817" i="2"/>
  <c r="W817" i="2"/>
  <c r="T819" i="2"/>
  <c r="U819" i="2"/>
  <c r="V819" i="2"/>
  <c r="W819" i="2"/>
  <c r="T820" i="2"/>
  <c r="U820" i="2"/>
  <c r="V820" i="2"/>
  <c r="W820" i="2"/>
  <c r="T821" i="2"/>
  <c r="U821" i="2"/>
  <c r="V821" i="2"/>
  <c r="W821" i="2"/>
  <c r="T827" i="2"/>
  <c r="U827" i="2"/>
  <c r="V827" i="2"/>
  <c r="W827" i="2"/>
  <c r="T828" i="2"/>
  <c r="U828" i="2"/>
  <c r="V828" i="2"/>
  <c r="W828" i="2"/>
  <c r="T829" i="2"/>
  <c r="U829" i="2"/>
  <c r="V829" i="2"/>
  <c r="W829" i="2"/>
  <c r="T830" i="2"/>
  <c r="U830" i="2"/>
  <c r="V830" i="2"/>
  <c r="W830" i="2"/>
  <c r="T831" i="2"/>
  <c r="U831" i="2"/>
  <c r="V831" i="2"/>
  <c r="W831" i="2"/>
  <c r="T832" i="2"/>
  <c r="U832" i="2"/>
  <c r="V832" i="2"/>
  <c r="W832" i="2"/>
  <c r="T833" i="2"/>
  <c r="U833" i="2"/>
  <c r="V833" i="2"/>
  <c r="W833" i="2"/>
  <c r="T834" i="2"/>
  <c r="U834" i="2"/>
  <c r="V834" i="2"/>
  <c r="W834" i="2"/>
  <c r="T835" i="2"/>
  <c r="U835" i="2"/>
  <c r="V835" i="2"/>
  <c r="W835" i="2"/>
  <c r="T836" i="2"/>
  <c r="U836" i="2"/>
  <c r="V836" i="2"/>
  <c r="W836" i="2"/>
  <c r="T837" i="2"/>
  <c r="U837" i="2"/>
  <c r="V837" i="2"/>
  <c r="W837" i="2"/>
  <c r="T838" i="2"/>
  <c r="U838" i="2"/>
  <c r="V838" i="2"/>
  <c r="W838" i="2"/>
  <c r="T839" i="2"/>
  <c r="U839" i="2"/>
  <c r="V839" i="2"/>
  <c r="W839" i="2"/>
  <c r="T840" i="2"/>
  <c r="U840" i="2"/>
  <c r="V840" i="2"/>
  <c r="W840" i="2"/>
  <c r="T841" i="2"/>
  <c r="U841" i="2"/>
  <c r="V841" i="2"/>
  <c r="W841" i="2"/>
  <c r="T842" i="2"/>
  <c r="U842" i="2"/>
  <c r="V842" i="2"/>
  <c r="W842" i="2"/>
  <c r="T843" i="2"/>
  <c r="U843" i="2"/>
  <c r="V843" i="2"/>
  <c r="W843" i="2"/>
  <c r="T844" i="2"/>
  <c r="U844" i="2"/>
  <c r="V844" i="2"/>
  <c r="W844" i="2"/>
  <c r="T845" i="2"/>
  <c r="U845" i="2"/>
  <c r="V845" i="2"/>
  <c r="W845" i="2"/>
  <c r="T846" i="2"/>
  <c r="U846" i="2"/>
  <c r="V846" i="2"/>
  <c r="W846" i="2"/>
  <c r="T847" i="2"/>
  <c r="U847" i="2"/>
  <c r="V847" i="2"/>
  <c r="W847" i="2"/>
  <c r="T848" i="2"/>
  <c r="U848" i="2"/>
  <c r="V848" i="2"/>
  <c r="W848" i="2"/>
  <c r="T849" i="2"/>
  <c r="U849" i="2"/>
  <c r="V849" i="2"/>
  <c r="W849" i="2"/>
  <c r="T850" i="2"/>
  <c r="U850" i="2"/>
  <c r="V850" i="2"/>
  <c r="W850" i="2"/>
  <c r="T852" i="2"/>
  <c r="U852" i="2"/>
  <c r="V852" i="2"/>
  <c r="W852" i="2"/>
  <c r="T853" i="2"/>
  <c r="U853" i="2"/>
  <c r="V853" i="2"/>
  <c r="W853" i="2"/>
  <c r="T854" i="2"/>
  <c r="U854" i="2"/>
  <c r="V854" i="2"/>
  <c r="W854" i="2"/>
  <c r="T860" i="2"/>
  <c r="U860" i="2"/>
  <c r="V860" i="2"/>
  <c r="W860" i="2"/>
  <c r="T861" i="2"/>
  <c r="U861" i="2"/>
  <c r="V861" i="2"/>
  <c r="W861" i="2"/>
  <c r="T862" i="2"/>
  <c r="U862" i="2"/>
  <c r="V862" i="2"/>
  <c r="W862" i="2"/>
  <c r="T863" i="2"/>
  <c r="U863" i="2"/>
  <c r="V863" i="2"/>
  <c r="W863" i="2"/>
  <c r="T864" i="2"/>
  <c r="U864" i="2"/>
  <c r="V864" i="2"/>
  <c r="W864" i="2"/>
  <c r="T865" i="2"/>
  <c r="U865" i="2"/>
  <c r="V865" i="2"/>
  <c r="W865" i="2"/>
  <c r="T866" i="2"/>
  <c r="U866" i="2"/>
  <c r="V866" i="2"/>
  <c r="W866" i="2"/>
  <c r="T867" i="2"/>
  <c r="U867" i="2"/>
  <c r="V867" i="2"/>
  <c r="W867" i="2"/>
  <c r="T868" i="2"/>
  <c r="U868" i="2"/>
  <c r="V868" i="2"/>
  <c r="W868" i="2"/>
  <c r="T869" i="2"/>
  <c r="U869" i="2"/>
  <c r="V869" i="2"/>
  <c r="W869" i="2"/>
  <c r="T870" i="2"/>
  <c r="U870" i="2"/>
  <c r="V870" i="2"/>
  <c r="W870" i="2"/>
  <c r="T871" i="2"/>
  <c r="U871" i="2"/>
  <c r="V871" i="2"/>
  <c r="W871" i="2"/>
  <c r="T872" i="2"/>
  <c r="U872" i="2"/>
  <c r="V872" i="2"/>
  <c r="W872" i="2"/>
  <c r="T873" i="2"/>
  <c r="U873" i="2"/>
  <c r="V873" i="2"/>
  <c r="W873" i="2"/>
  <c r="T874" i="2"/>
  <c r="U874" i="2"/>
  <c r="V874" i="2"/>
  <c r="W874" i="2"/>
  <c r="T875" i="2"/>
  <c r="U875" i="2"/>
  <c r="V875" i="2"/>
  <c r="W875" i="2"/>
  <c r="T876" i="2"/>
  <c r="U876" i="2"/>
  <c r="V876" i="2"/>
  <c r="W876" i="2"/>
  <c r="T877" i="2"/>
  <c r="U877" i="2"/>
  <c r="V877" i="2"/>
  <c r="W877" i="2"/>
  <c r="T878" i="2"/>
  <c r="U878" i="2"/>
  <c r="V878" i="2"/>
  <c r="W878" i="2"/>
  <c r="T879" i="2"/>
  <c r="U879" i="2"/>
  <c r="V879" i="2"/>
  <c r="W879" i="2"/>
  <c r="T880" i="2"/>
  <c r="U880" i="2"/>
  <c r="V880" i="2"/>
  <c r="W880" i="2"/>
  <c r="T881" i="2"/>
  <c r="U881" i="2"/>
  <c r="V881" i="2"/>
  <c r="W881" i="2"/>
  <c r="T882" i="2"/>
  <c r="U882" i="2"/>
  <c r="V882" i="2"/>
  <c r="W882" i="2"/>
  <c r="T883" i="2"/>
  <c r="U883" i="2"/>
  <c r="V883" i="2"/>
  <c r="W883" i="2"/>
  <c r="T885" i="2"/>
  <c r="U885" i="2"/>
  <c r="V885" i="2"/>
  <c r="W885" i="2"/>
  <c r="T886" i="2"/>
  <c r="U886" i="2"/>
  <c r="V886" i="2"/>
  <c r="W886" i="2"/>
  <c r="T887" i="2"/>
  <c r="U887" i="2"/>
  <c r="V887" i="2"/>
  <c r="W887" i="2"/>
  <c r="T893" i="2"/>
  <c r="U893" i="2"/>
  <c r="V893" i="2"/>
  <c r="W893" i="2"/>
  <c r="T894" i="2"/>
  <c r="U894" i="2"/>
  <c r="V894" i="2"/>
  <c r="W894" i="2"/>
  <c r="T895" i="2"/>
  <c r="U895" i="2"/>
  <c r="V895" i="2"/>
  <c r="W895" i="2"/>
  <c r="T896" i="2"/>
  <c r="U896" i="2"/>
  <c r="V896" i="2"/>
  <c r="W896" i="2"/>
  <c r="T897" i="2"/>
  <c r="U897" i="2"/>
  <c r="V897" i="2"/>
  <c r="W897" i="2"/>
  <c r="T898" i="2"/>
  <c r="U898" i="2"/>
  <c r="V898" i="2"/>
  <c r="W898" i="2"/>
  <c r="T899" i="2"/>
  <c r="U899" i="2"/>
  <c r="V899" i="2"/>
  <c r="W899" i="2"/>
  <c r="T900" i="2"/>
  <c r="U900" i="2"/>
  <c r="V900" i="2"/>
  <c r="W900" i="2"/>
  <c r="T901" i="2"/>
  <c r="U901" i="2"/>
  <c r="V901" i="2"/>
  <c r="W901" i="2"/>
  <c r="T902" i="2"/>
  <c r="U902" i="2"/>
  <c r="V902" i="2"/>
  <c r="W902" i="2"/>
  <c r="T903" i="2"/>
  <c r="U903" i="2"/>
  <c r="V903" i="2"/>
  <c r="W903" i="2"/>
  <c r="T904" i="2"/>
  <c r="U904" i="2"/>
  <c r="V904" i="2"/>
  <c r="W904" i="2"/>
  <c r="T905" i="2"/>
  <c r="U905" i="2"/>
  <c r="V905" i="2"/>
  <c r="W905" i="2"/>
  <c r="T906" i="2"/>
  <c r="U906" i="2"/>
  <c r="V906" i="2"/>
  <c r="W906" i="2"/>
  <c r="T907" i="2"/>
  <c r="U907" i="2"/>
  <c r="V907" i="2"/>
  <c r="W907" i="2"/>
  <c r="T908" i="2"/>
  <c r="U908" i="2"/>
  <c r="V908" i="2"/>
  <c r="W908" i="2"/>
  <c r="T909" i="2"/>
  <c r="U909" i="2"/>
  <c r="V909" i="2"/>
  <c r="W909" i="2"/>
  <c r="T910" i="2"/>
  <c r="U910" i="2"/>
  <c r="V910" i="2"/>
  <c r="W910" i="2"/>
  <c r="T911" i="2"/>
  <c r="U911" i="2"/>
  <c r="V911" i="2"/>
  <c r="W911" i="2"/>
  <c r="T912" i="2"/>
  <c r="U912" i="2"/>
  <c r="V912" i="2"/>
  <c r="W912" i="2"/>
  <c r="T913" i="2"/>
  <c r="U913" i="2"/>
  <c r="V913" i="2"/>
  <c r="W913" i="2"/>
  <c r="T914" i="2"/>
  <c r="U914" i="2"/>
  <c r="V914" i="2"/>
  <c r="W914" i="2"/>
  <c r="T915" i="2"/>
  <c r="U915" i="2"/>
  <c r="V915" i="2"/>
  <c r="W915" i="2"/>
  <c r="T916" i="2"/>
  <c r="U916" i="2"/>
  <c r="V916" i="2"/>
  <c r="W916" i="2"/>
  <c r="T918" i="2"/>
  <c r="U918" i="2"/>
  <c r="V918" i="2"/>
  <c r="W918" i="2"/>
  <c r="T919" i="2"/>
  <c r="U919" i="2"/>
  <c r="V919" i="2"/>
  <c r="W919" i="2"/>
  <c r="T920" i="2"/>
  <c r="U920" i="2"/>
  <c r="V920" i="2"/>
  <c r="W920" i="2"/>
  <c r="W922" i="2" l="1"/>
  <c r="W790" i="2"/>
  <c r="W658" i="2"/>
  <c r="W625" i="2"/>
  <c r="W592" i="2"/>
  <c r="W526" i="2"/>
  <c r="W460" i="2"/>
  <c r="W427" i="2"/>
  <c r="W361" i="2"/>
  <c r="W295" i="2"/>
  <c r="V922" i="2"/>
  <c r="V889" i="2"/>
  <c r="V856" i="2"/>
  <c r="V823" i="2"/>
  <c r="V790" i="2"/>
  <c r="V757" i="2"/>
  <c r="V724" i="2"/>
  <c r="V691" i="2"/>
  <c r="V658" i="2"/>
  <c r="V625" i="2"/>
  <c r="V592" i="2"/>
  <c r="V526" i="2"/>
  <c r="V493" i="2"/>
  <c r="V460" i="2"/>
  <c r="V427" i="2"/>
  <c r="V394" i="2"/>
  <c r="V361" i="2"/>
  <c r="V328" i="2"/>
  <c r="V295" i="2"/>
  <c r="W889" i="2"/>
  <c r="W823" i="2"/>
  <c r="W757" i="2"/>
  <c r="W691" i="2"/>
  <c r="W493" i="2"/>
  <c r="W394" i="2"/>
  <c r="W328" i="2"/>
  <c r="U922" i="2"/>
  <c r="U889" i="2"/>
  <c r="U856" i="2"/>
  <c r="U823" i="2"/>
  <c r="U790" i="2"/>
  <c r="U757" i="2"/>
  <c r="U724" i="2"/>
  <c r="U691" i="2"/>
  <c r="U658" i="2"/>
  <c r="U625" i="2"/>
  <c r="U592" i="2"/>
  <c r="U526" i="2"/>
  <c r="U493" i="2"/>
  <c r="U460" i="2"/>
  <c r="U427" i="2"/>
  <c r="U394" i="2"/>
  <c r="U361" i="2"/>
  <c r="U328" i="2"/>
  <c r="U295" i="2"/>
  <c r="W856" i="2"/>
  <c r="W724" i="2"/>
  <c r="T922" i="2"/>
  <c r="T889" i="2"/>
  <c r="T856" i="2"/>
  <c r="T823" i="2"/>
  <c r="T790" i="2"/>
  <c r="T757" i="2"/>
  <c r="T724" i="2"/>
  <c r="T691" i="2"/>
  <c r="T658" i="2"/>
  <c r="T625" i="2"/>
  <c r="T592" i="2"/>
  <c r="T526" i="2"/>
  <c r="T493" i="2"/>
  <c r="T460" i="2"/>
  <c r="T427" i="2"/>
  <c r="T394" i="2"/>
  <c r="T361" i="2"/>
  <c r="T328" i="2"/>
  <c r="T295" i="2"/>
  <c r="Y227" i="2"/>
  <c r="Y226" i="2"/>
  <c r="Y225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4" i="2"/>
  <c r="Y193" i="2"/>
  <c r="Y192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1" i="2"/>
  <c r="Y160" i="2"/>
  <c r="Y159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28" i="2"/>
  <c r="Y127" i="2"/>
  <c r="Y126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95" i="2"/>
  <c r="Y94" i="2"/>
  <c r="Y93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2" i="2"/>
  <c r="Y61" i="2"/>
  <c r="Y60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7" i="2"/>
  <c r="Y28" i="2"/>
  <c r="Y29" i="2"/>
  <c r="Y2" i="2"/>
  <c r="T233" i="2" l="1"/>
  <c r="U233" i="2"/>
  <c r="V233" i="2"/>
  <c r="W233" i="2"/>
  <c r="T234" i="2"/>
  <c r="U234" i="2"/>
  <c r="V234" i="2"/>
  <c r="W234" i="2"/>
  <c r="T235" i="2"/>
  <c r="U235" i="2"/>
  <c r="V235" i="2"/>
  <c r="W235" i="2"/>
  <c r="T236" i="2"/>
  <c r="U236" i="2"/>
  <c r="V236" i="2"/>
  <c r="W236" i="2"/>
  <c r="T237" i="2"/>
  <c r="U237" i="2"/>
  <c r="V237" i="2"/>
  <c r="W237" i="2"/>
  <c r="T238" i="2"/>
  <c r="U238" i="2"/>
  <c r="V238" i="2"/>
  <c r="W238" i="2"/>
  <c r="T239" i="2"/>
  <c r="U239" i="2"/>
  <c r="V239" i="2"/>
  <c r="W239" i="2"/>
  <c r="T240" i="2"/>
  <c r="U240" i="2"/>
  <c r="V240" i="2"/>
  <c r="W240" i="2"/>
  <c r="T241" i="2"/>
  <c r="U241" i="2"/>
  <c r="V241" i="2"/>
  <c r="W241" i="2"/>
  <c r="T242" i="2"/>
  <c r="U242" i="2"/>
  <c r="V242" i="2"/>
  <c r="W242" i="2"/>
  <c r="T243" i="2"/>
  <c r="U243" i="2"/>
  <c r="V243" i="2"/>
  <c r="W243" i="2"/>
  <c r="T244" i="2"/>
  <c r="U244" i="2"/>
  <c r="V244" i="2"/>
  <c r="W244" i="2"/>
  <c r="T245" i="2"/>
  <c r="U245" i="2"/>
  <c r="V245" i="2"/>
  <c r="W245" i="2"/>
  <c r="T246" i="2"/>
  <c r="U246" i="2"/>
  <c r="V246" i="2"/>
  <c r="W246" i="2"/>
  <c r="T247" i="2"/>
  <c r="U247" i="2"/>
  <c r="V247" i="2"/>
  <c r="W247" i="2"/>
  <c r="T248" i="2"/>
  <c r="U248" i="2"/>
  <c r="V248" i="2"/>
  <c r="W248" i="2"/>
  <c r="T249" i="2"/>
  <c r="U249" i="2"/>
  <c r="V249" i="2"/>
  <c r="W249" i="2"/>
  <c r="T250" i="2"/>
  <c r="U250" i="2"/>
  <c r="V250" i="2"/>
  <c r="W250" i="2"/>
  <c r="T251" i="2"/>
  <c r="U251" i="2"/>
  <c r="V251" i="2"/>
  <c r="W251" i="2"/>
  <c r="T252" i="2"/>
  <c r="U252" i="2"/>
  <c r="V252" i="2"/>
  <c r="W252" i="2"/>
  <c r="T253" i="2"/>
  <c r="U253" i="2"/>
  <c r="V253" i="2"/>
  <c r="W253" i="2"/>
  <c r="T254" i="2"/>
  <c r="U254" i="2"/>
  <c r="V254" i="2"/>
  <c r="W254" i="2"/>
  <c r="V262" i="2" l="1"/>
  <c r="W262" i="2"/>
  <c r="U262" i="2"/>
  <c r="T262" i="2"/>
  <c r="P233" i="2"/>
  <c r="Q233" i="2"/>
  <c r="R233" i="2"/>
  <c r="S233" i="2"/>
  <c r="P234" i="2"/>
  <c r="Q234" i="2"/>
  <c r="R234" i="2"/>
  <c r="S234" i="2"/>
  <c r="P235" i="2"/>
  <c r="Q235" i="2"/>
  <c r="R235" i="2"/>
  <c r="S235" i="2"/>
  <c r="P236" i="2"/>
  <c r="Q236" i="2"/>
  <c r="R236" i="2"/>
  <c r="S236" i="2"/>
  <c r="P237" i="2"/>
  <c r="Q237" i="2"/>
  <c r="R237" i="2"/>
  <c r="S237" i="2"/>
  <c r="P238" i="2"/>
  <c r="Q238" i="2"/>
  <c r="R238" i="2"/>
  <c r="S238" i="2"/>
  <c r="P239" i="2"/>
  <c r="Q239" i="2"/>
  <c r="R239" i="2"/>
  <c r="S239" i="2"/>
  <c r="P240" i="2"/>
  <c r="Q240" i="2"/>
  <c r="R240" i="2"/>
  <c r="S240" i="2"/>
  <c r="P241" i="2"/>
  <c r="Q241" i="2"/>
  <c r="R241" i="2"/>
  <c r="S241" i="2"/>
  <c r="P242" i="2"/>
  <c r="Q242" i="2"/>
  <c r="R242" i="2"/>
  <c r="S242" i="2"/>
  <c r="P243" i="2"/>
  <c r="Q243" i="2"/>
  <c r="R243" i="2"/>
  <c r="S243" i="2"/>
  <c r="P244" i="2"/>
  <c r="Q244" i="2"/>
  <c r="R244" i="2"/>
  <c r="S244" i="2"/>
  <c r="P245" i="2"/>
  <c r="Q245" i="2"/>
  <c r="R245" i="2"/>
  <c r="S245" i="2"/>
  <c r="P246" i="2"/>
  <c r="Q246" i="2"/>
  <c r="R246" i="2"/>
  <c r="S246" i="2"/>
  <c r="P247" i="2"/>
  <c r="Q247" i="2"/>
  <c r="R247" i="2"/>
  <c r="S247" i="2"/>
  <c r="P248" i="2"/>
  <c r="Q248" i="2"/>
  <c r="R248" i="2"/>
  <c r="S248" i="2"/>
  <c r="P249" i="2"/>
  <c r="Q249" i="2"/>
  <c r="R249" i="2"/>
  <c r="S249" i="2"/>
  <c r="P250" i="2"/>
  <c r="Q250" i="2"/>
  <c r="R250" i="2"/>
  <c r="S250" i="2"/>
  <c r="P251" i="2"/>
  <c r="Q251" i="2"/>
  <c r="R251" i="2"/>
  <c r="S251" i="2"/>
  <c r="P252" i="2"/>
  <c r="Q252" i="2"/>
  <c r="R252" i="2"/>
  <c r="S252" i="2"/>
  <c r="P253" i="2"/>
  <c r="Q253" i="2"/>
  <c r="R253" i="2"/>
  <c r="S253" i="2"/>
  <c r="P254" i="2"/>
  <c r="Q254" i="2"/>
  <c r="R254" i="2"/>
  <c r="S254" i="2"/>
  <c r="P255" i="2"/>
  <c r="Q255" i="2"/>
  <c r="R255" i="2"/>
  <c r="S255" i="2"/>
  <c r="P256" i="2"/>
  <c r="Q256" i="2"/>
  <c r="R256" i="2"/>
  <c r="S256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1" i="2"/>
  <c r="Q281" i="2"/>
  <c r="R281" i="2"/>
  <c r="S281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85" i="2"/>
  <c r="Q285" i="2"/>
  <c r="R285" i="2"/>
  <c r="S285" i="2"/>
  <c r="P286" i="2"/>
  <c r="Q286" i="2"/>
  <c r="R286" i="2"/>
  <c r="S286" i="2"/>
  <c r="P287" i="2"/>
  <c r="Q287" i="2"/>
  <c r="R287" i="2"/>
  <c r="S287" i="2"/>
  <c r="P288" i="2"/>
  <c r="Q288" i="2"/>
  <c r="R288" i="2"/>
  <c r="S288" i="2"/>
  <c r="P289" i="2"/>
  <c r="Q289" i="2"/>
  <c r="R289" i="2"/>
  <c r="S289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7" i="2"/>
  <c r="Q317" i="2"/>
  <c r="R317" i="2"/>
  <c r="S317" i="2"/>
  <c r="P318" i="2"/>
  <c r="Q318" i="2"/>
  <c r="R318" i="2"/>
  <c r="S318" i="2"/>
  <c r="P319" i="2"/>
  <c r="Q319" i="2"/>
  <c r="R319" i="2"/>
  <c r="S319" i="2"/>
  <c r="P320" i="2"/>
  <c r="Q320" i="2"/>
  <c r="R320" i="2"/>
  <c r="S320" i="2"/>
  <c r="P321" i="2"/>
  <c r="Q321" i="2"/>
  <c r="R321" i="2"/>
  <c r="S321" i="2"/>
  <c r="P322" i="2"/>
  <c r="Q322" i="2"/>
  <c r="R322" i="2"/>
  <c r="S322" i="2"/>
  <c r="P324" i="2"/>
  <c r="Q324" i="2"/>
  <c r="R324" i="2"/>
  <c r="S324" i="2"/>
  <c r="P325" i="2"/>
  <c r="Q325" i="2"/>
  <c r="R325" i="2"/>
  <c r="S325" i="2"/>
  <c r="P326" i="2"/>
  <c r="Q326" i="2"/>
  <c r="R326" i="2"/>
  <c r="S326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1" i="2"/>
  <c r="Q341" i="2"/>
  <c r="R341" i="2"/>
  <c r="S341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3" i="2"/>
  <c r="Q353" i="2"/>
  <c r="R353" i="2"/>
  <c r="S353" i="2"/>
  <c r="P354" i="2"/>
  <c r="Q354" i="2"/>
  <c r="R354" i="2"/>
  <c r="S354" i="2"/>
  <c r="P355" i="2"/>
  <c r="Q355" i="2"/>
  <c r="R355" i="2"/>
  <c r="S355" i="2"/>
  <c r="P357" i="2"/>
  <c r="Q357" i="2"/>
  <c r="R357" i="2"/>
  <c r="S357" i="2"/>
  <c r="P358" i="2"/>
  <c r="Q358" i="2"/>
  <c r="R358" i="2"/>
  <c r="S358" i="2"/>
  <c r="P359" i="2"/>
  <c r="Q359" i="2"/>
  <c r="R359" i="2"/>
  <c r="S359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4" i="2"/>
  <c r="Q374" i="2"/>
  <c r="R374" i="2"/>
  <c r="S374" i="2"/>
  <c r="P375" i="2"/>
  <c r="Q375" i="2"/>
  <c r="R375" i="2"/>
  <c r="S375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8" i="2"/>
  <c r="Q398" i="2"/>
  <c r="R398" i="2"/>
  <c r="S398" i="2"/>
  <c r="S427" i="2" s="1"/>
  <c r="P399" i="2"/>
  <c r="Q399" i="2"/>
  <c r="R399" i="2"/>
  <c r="S399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05" i="2"/>
  <c r="Q405" i="2"/>
  <c r="R405" i="2"/>
  <c r="S405" i="2"/>
  <c r="P406" i="2"/>
  <c r="Q406" i="2"/>
  <c r="R406" i="2"/>
  <c r="S406" i="2"/>
  <c r="P407" i="2"/>
  <c r="Q407" i="2"/>
  <c r="R407" i="2"/>
  <c r="S407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3" i="2"/>
  <c r="Q423" i="2"/>
  <c r="R423" i="2"/>
  <c r="S423" i="2"/>
  <c r="P424" i="2"/>
  <c r="Q424" i="2"/>
  <c r="R424" i="2"/>
  <c r="S424" i="2"/>
  <c r="P425" i="2"/>
  <c r="Q425" i="2"/>
  <c r="R425" i="2"/>
  <c r="S425" i="2"/>
  <c r="P431" i="2"/>
  <c r="Q431" i="2"/>
  <c r="R431" i="2"/>
  <c r="S431" i="2"/>
  <c r="P432" i="2"/>
  <c r="Q432" i="2"/>
  <c r="R432" i="2"/>
  <c r="S432" i="2"/>
  <c r="P433" i="2"/>
  <c r="Q433" i="2"/>
  <c r="R433" i="2"/>
  <c r="S433" i="2"/>
  <c r="P434" i="2"/>
  <c r="Q434" i="2"/>
  <c r="R434" i="2"/>
  <c r="S434" i="2"/>
  <c r="P435" i="2"/>
  <c r="Q435" i="2"/>
  <c r="R435" i="2"/>
  <c r="S435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64" i="2"/>
  <c r="Q464" i="2"/>
  <c r="R464" i="2"/>
  <c r="S464" i="2"/>
  <c r="P465" i="2"/>
  <c r="Q465" i="2"/>
  <c r="R465" i="2"/>
  <c r="S465" i="2"/>
  <c r="P466" i="2"/>
  <c r="Q466" i="2"/>
  <c r="R466" i="2"/>
  <c r="S466" i="2"/>
  <c r="P467" i="2"/>
  <c r="Q467" i="2"/>
  <c r="R467" i="2"/>
  <c r="S467" i="2"/>
  <c r="P468" i="2"/>
  <c r="Q468" i="2"/>
  <c r="R468" i="2"/>
  <c r="S468" i="2"/>
  <c r="P469" i="2"/>
  <c r="Q469" i="2"/>
  <c r="R469" i="2"/>
  <c r="S469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7" i="2"/>
  <c r="Q497" i="2"/>
  <c r="R497" i="2"/>
  <c r="S497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1" i="2"/>
  <c r="Q501" i="2"/>
  <c r="R501" i="2"/>
  <c r="S501" i="2"/>
  <c r="P502" i="2"/>
  <c r="Q502" i="2"/>
  <c r="R502" i="2"/>
  <c r="S502" i="2"/>
  <c r="P503" i="2"/>
  <c r="Q503" i="2"/>
  <c r="R503" i="2"/>
  <c r="S503" i="2"/>
  <c r="P504" i="2"/>
  <c r="Q504" i="2"/>
  <c r="R504" i="2"/>
  <c r="S504" i="2"/>
  <c r="P505" i="2"/>
  <c r="Q505" i="2"/>
  <c r="R505" i="2"/>
  <c r="S505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3" i="2"/>
  <c r="Q533" i="2"/>
  <c r="R533" i="2"/>
  <c r="S533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37" i="2"/>
  <c r="Q537" i="2"/>
  <c r="R537" i="2"/>
  <c r="S537" i="2"/>
  <c r="P538" i="2"/>
  <c r="Q538" i="2"/>
  <c r="R538" i="2"/>
  <c r="S538" i="2"/>
  <c r="P539" i="2"/>
  <c r="Q539" i="2"/>
  <c r="R539" i="2"/>
  <c r="S539" i="2"/>
  <c r="P540" i="2"/>
  <c r="Q540" i="2"/>
  <c r="R540" i="2"/>
  <c r="S540" i="2"/>
  <c r="P541" i="2"/>
  <c r="Q541" i="2"/>
  <c r="R541" i="2"/>
  <c r="S541" i="2"/>
  <c r="P542" i="2"/>
  <c r="Q542" i="2"/>
  <c r="R542" i="2"/>
  <c r="S542" i="2"/>
  <c r="P543" i="2"/>
  <c r="Q543" i="2"/>
  <c r="R543" i="2"/>
  <c r="S543" i="2"/>
  <c r="P544" i="2"/>
  <c r="Q544" i="2"/>
  <c r="R544" i="2"/>
  <c r="S544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P553" i="2"/>
  <c r="Q553" i="2"/>
  <c r="R553" i="2"/>
  <c r="S553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69" i="2"/>
  <c r="Q569" i="2"/>
  <c r="R569" i="2"/>
  <c r="S569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3" i="2"/>
  <c r="Q573" i="2"/>
  <c r="R573" i="2"/>
  <c r="S573" i="2"/>
  <c r="P574" i="2"/>
  <c r="Q574" i="2"/>
  <c r="R574" i="2"/>
  <c r="S574" i="2"/>
  <c r="P575" i="2"/>
  <c r="Q575" i="2"/>
  <c r="R575" i="2"/>
  <c r="S575" i="2"/>
  <c r="P576" i="2"/>
  <c r="Q576" i="2"/>
  <c r="R576" i="2"/>
  <c r="S576" i="2"/>
  <c r="P577" i="2"/>
  <c r="Q577" i="2"/>
  <c r="R577" i="2"/>
  <c r="S577" i="2"/>
  <c r="P578" i="2"/>
  <c r="Q578" i="2"/>
  <c r="R578" i="2"/>
  <c r="S578" i="2"/>
  <c r="P579" i="2"/>
  <c r="Q579" i="2"/>
  <c r="R579" i="2"/>
  <c r="S579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5" i="2"/>
  <c r="Q605" i="2"/>
  <c r="R605" i="2"/>
  <c r="S605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09" i="2"/>
  <c r="Q609" i="2"/>
  <c r="R609" i="2"/>
  <c r="S609" i="2"/>
  <c r="P610" i="2"/>
  <c r="Q610" i="2"/>
  <c r="R610" i="2"/>
  <c r="S610" i="2"/>
  <c r="P611" i="2"/>
  <c r="Q611" i="2"/>
  <c r="R611" i="2"/>
  <c r="S611" i="2"/>
  <c r="P612" i="2"/>
  <c r="Q612" i="2"/>
  <c r="R612" i="2"/>
  <c r="S612" i="2"/>
  <c r="P613" i="2"/>
  <c r="Q613" i="2"/>
  <c r="R613" i="2"/>
  <c r="S613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39" i="2"/>
  <c r="Q639" i="2"/>
  <c r="R639" i="2"/>
  <c r="S639" i="2"/>
  <c r="P640" i="2"/>
  <c r="Q640" i="2"/>
  <c r="R640" i="2"/>
  <c r="S640" i="2"/>
  <c r="P641" i="2"/>
  <c r="Q641" i="2"/>
  <c r="R641" i="2"/>
  <c r="S641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45" i="2"/>
  <c r="Q645" i="2"/>
  <c r="R645" i="2"/>
  <c r="S645" i="2"/>
  <c r="P646" i="2"/>
  <c r="Q646" i="2"/>
  <c r="R646" i="2"/>
  <c r="S646" i="2"/>
  <c r="P647" i="2"/>
  <c r="Q647" i="2"/>
  <c r="R647" i="2"/>
  <c r="S647" i="2"/>
  <c r="P648" i="2"/>
  <c r="Q648" i="2"/>
  <c r="R648" i="2"/>
  <c r="S648" i="2"/>
  <c r="P649" i="2"/>
  <c r="Q649" i="2"/>
  <c r="R649" i="2"/>
  <c r="S649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7" i="2"/>
  <c r="Q677" i="2"/>
  <c r="R677" i="2"/>
  <c r="S677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1" i="2"/>
  <c r="Q681" i="2"/>
  <c r="R681" i="2"/>
  <c r="S681" i="2"/>
  <c r="P682" i="2"/>
  <c r="Q682" i="2"/>
  <c r="R682" i="2"/>
  <c r="S682" i="2"/>
  <c r="P683" i="2"/>
  <c r="Q683" i="2"/>
  <c r="R683" i="2"/>
  <c r="S683" i="2"/>
  <c r="P684" i="2"/>
  <c r="Q684" i="2"/>
  <c r="R684" i="2"/>
  <c r="S684" i="2"/>
  <c r="P685" i="2"/>
  <c r="Q685" i="2"/>
  <c r="R685" i="2"/>
  <c r="S685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3" i="2"/>
  <c r="Q713" i="2"/>
  <c r="R713" i="2"/>
  <c r="S713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17" i="2"/>
  <c r="Q717" i="2"/>
  <c r="R717" i="2"/>
  <c r="S717" i="2"/>
  <c r="P718" i="2"/>
  <c r="Q718" i="2"/>
  <c r="R718" i="2"/>
  <c r="S718" i="2"/>
  <c r="P720" i="2"/>
  <c r="Q720" i="2"/>
  <c r="R720" i="2"/>
  <c r="S720" i="2"/>
  <c r="P721" i="2"/>
  <c r="Q721" i="2"/>
  <c r="R721" i="2"/>
  <c r="S721" i="2"/>
  <c r="P722" i="2"/>
  <c r="Q722" i="2"/>
  <c r="R722" i="2"/>
  <c r="S722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7" i="2"/>
  <c r="Q747" i="2"/>
  <c r="R747" i="2"/>
  <c r="S747" i="2"/>
  <c r="P748" i="2"/>
  <c r="Q748" i="2"/>
  <c r="R748" i="2"/>
  <c r="S748" i="2"/>
  <c r="P749" i="2"/>
  <c r="Q749" i="2"/>
  <c r="R749" i="2"/>
  <c r="S749" i="2"/>
  <c r="P750" i="2"/>
  <c r="Q750" i="2"/>
  <c r="R750" i="2"/>
  <c r="S750" i="2"/>
  <c r="P751" i="2"/>
  <c r="Q751" i="2"/>
  <c r="R751" i="2"/>
  <c r="S751" i="2"/>
  <c r="P753" i="2"/>
  <c r="Q753" i="2"/>
  <c r="R753" i="2"/>
  <c r="S753" i="2"/>
  <c r="P754" i="2"/>
  <c r="Q754" i="2"/>
  <c r="R754" i="2"/>
  <c r="S754" i="2"/>
  <c r="P755" i="2"/>
  <c r="Q755" i="2"/>
  <c r="R755" i="2"/>
  <c r="S755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0" i="2"/>
  <c r="Q780" i="2"/>
  <c r="R780" i="2"/>
  <c r="S780" i="2"/>
  <c r="P781" i="2"/>
  <c r="Q781" i="2"/>
  <c r="R781" i="2"/>
  <c r="S781" i="2"/>
  <c r="P782" i="2"/>
  <c r="Q782" i="2"/>
  <c r="R782" i="2"/>
  <c r="S782" i="2"/>
  <c r="P783" i="2"/>
  <c r="Q783" i="2"/>
  <c r="R783" i="2"/>
  <c r="S783" i="2"/>
  <c r="P784" i="2"/>
  <c r="Q784" i="2"/>
  <c r="R784" i="2"/>
  <c r="S784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09" i="2"/>
  <c r="Q809" i="2"/>
  <c r="R809" i="2"/>
  <c r="S809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3" i="2"/>
  <c r="Q813" i="2"/>
  <c r="R813" i="2"/>
  <c r="S813" i="2"/>
  <c r="P814" i="2"/>
  <c r="Q814" i="2"/>
  <c r="R814" i="2"/>
  <c r="S814" i="2"/>
  <c r="P815" i="2"/>
  <c r="Q815" i="2"/>
  <c r="R815" i="2"/>
  <c r="S815" i="2"/>
  <c r="P816" i="2"/>
  <c r="Q816" i="2"/>
  <c r="R816" i="2"/>
  <c r="S816" i="2"/>
  <c r="P817" i="2"/>
  <c r="Q817" i="2"/>
  <c r="R817" i="2"/>
  <c r="S817" i="2"/>
  <c r="P819" i="2"/>
  <c r="Q819" i="2"/>
  <c r="R819" i="2"/>
  <c r="S819" i="2"/>
  <c r="P820" i="2"/>
  <c r="Q820" i="2"/>
  <c r="R820" i="2"/>
  <c r="S820" i="2"/>
  <c r="P821" i="2"/>
  <c r="Q821" i="2"/>
  <c r="R821" i="2"/>
  <c r="S821" i="2"/>
  <c r="P827" i="2"/>
  <c r="Q827" i="2"/>
  <c r="R827" i="2"/>
  <c r="S827" i="2"/>
  <c r="P828" i="2"/>
  <c r="Q828" i="2"/>
  <c r="R828" i="2"/>
  <c r="S828" i="2"/>
  <c r="P829" i="2"/>
  <c r="Q829" i="2"/>
  <c r="R829" i="2"/>
  <c r="S829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3" i="2"/>
  <c r="Q843" i="2"/>
  <c r="R843" i="2"/>
  <c r="S843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47" i="2"/>
  <c r="Q847" i="2"/>
  <c r="R847" i="2"/>
  <c r="S847" i="2"/>
  <c r="P848" i="2"/>
  <c r="Q848" i="2"/>
  <c r="R848" i="2"/>
  <c r="S848" i="2"/>
  <c r="P849" i="2"/>
  <c r="Q849" i="2"/>
  <c r="R849" i="2"/>
  <c r="S849" i="2"/>
  <c r="P850" i="2"/>
  <c r="Q850" i="2"/>
  <c r="R850" i="2"/>
  <c r="S850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60" i="2"/>
  <c r="Q860" i="2"/>
  <c r="R860" i="2"/>
  <c r="S860" i="2"/>
  <c r="P861" i="2"/>
  <c r="Q861" i="2"/>
  <c r="R861" i="2"/>
  <c r="S861" i="2"/>
  <c r="P862" i="2"/>
  <c r="Q862" i="2"/>
  <c r="R862" i="2"/>
  <c r="S862" i="2"/>
  <c r="P863" i="2"/>
  <c r="Q863" i="2"/>
  <c r="R863" i="2"/>
  <c r="S863" i="2"/>
  <c r="P864" i="2"/>
  <c r="Q864" i="2"/>
  <c r="R864" i="2"/>
  <c r="S864" i="2"/>
  <c r="P865" i="2"/>
  <c r="Q865" i="2"/>
  <c r="R865" i="2"/>
  <c r="S865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7" i="2"/>
  <c r="Q877" i="2"/>
  <c r="R877" i="2"/>
  <c r="S877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1" i="2"/>
  <c r="Q881" i="2"/>
  <c r="R881" i="2"/>
  <c r="S881" i="2"/>
  <c r="P882" i="2"/>
  <c r="Q882" i="2"/>
  <c r="R882" i="2"/>
  <c r="S882" i="2"/>
  <c r="P883" i="2"/>
  <c r="Q883" i="2"/>
  <c r="R883" i="2"/>
  <c r="S883" i="2"/>
  <c r="P885" i="2"/>
  <c r="Q885" i="2"/>
  <c r="R885" i="2"/>
  <c r="S885" i="2"/>
  <c r="P886" i="2"/>
  <c r="Q886" i="2"/>
  <c r="R886" i="2"/>
  <c r="S886" i="2"/>
  <c r="P887" i="2"/>
  <c r="Q887" i="2"/>
  <c r="R887" i="2"/>
  <c r="S887" i="2"/>
  <c r="P893" i="2"/>
  <c r="Q893" i="2"/>
  <c r="R893" i="2"/>
  <c r="S893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897" i="2"/>
  <c r="Q897" i="2"/>
  <c r="R897" i="2"/>
  <c r="S897" i="2"/>
  <c r="P898" i="2"/>
  <c r="Q898" i="2"/>
  <c r="R898" i="2"/>
  <c r="S898" i="2"/>
  <c r="P899" i="2"/>
  <c r="Q899" i="2"/>
  <c r="R899" i="2"/>
  <c r="S899" i="2"/>
  <c r="P900" i="2"/>
  <c r="Q900" i="2"/>
  <c r="R900" i="2"/>
  <c r="S900" i="2"/>
  <c r="P901" i="2"/>
  <c r="Q901" i="2"/>
  <c r="R901" i="2"/>
  <c r="S901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1" i="2"/>
  <c r="Q911" i="2"/>
  <c r="R911" i="2"/>
  <c r="S911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15" i="2"/>
  <c r="Q915" i="2"/>
  <c r="R915" i="2"/>
  <c r="S915" i="2"/>
  <c r="P916" i="2"/>
  <c r="Q916" i="2"/>
  <c r="R916" i="2"/>
  <c r="S916" i="2"/>
  <c r="P918" i="2"/>
  <c r="Q918" i="2"/>
  <c r="R918" i="2"/>
  <c r="S918" i="2"/>
  <c r="P919" i="2"/>
  <c r="Q919" i="2"/>
  <c r="R919" i="2"/>
  <c r="S919" i="2"/>
  <c r="P920" i="2"/>
  <c r="Q920" i="2"/>
  <c r="R920" i="2"/>
  <c r="S920" i="2"/>
  <c r="S856" i="2" l="1"/>
  <c r="S790" i="2"/>
  <c r="S658" i="2"/>
  <c r="S592" i="2"/>
  <c r="S526" i="2"/>
  <c r="S394" i="2"/>
  <c r="S295" i="2"/>
  <c r="S262" i="2"/>
  <c r="R922" i="2"/>
  <c r="R889" i="2"/>
  <c r="R856" i="2"/>
  <c r="R823" i="2"/>
  <c r="R790" i="2"/>
  <c r="R757" i="2"/>
  <c r="R724" i="2"/>
  <c r="R691" i="2"/>
  <c r="R658" i="2"/>
  <c r="R625" i="2"/>
  <c r="R592" i="2"/>
  <c r="R526" i="2"/>
  <c r="R493" i="2"/>
  <c r="R460" i="2"/>
  <c r="R427" i="2"/>
  <c r="R394" i="2"/>
  <c r="R361" i="2"/>
  <c r="R328" i="2"/>
  <c r="R295" i="2"/>
  <c r="R262" i="2"/>
  <c r="S889" i="2"/>
  <c r="S823" i="2"/>
  <c r="S757" i="2"/>
  <c r="S691" i="2"/>
  <c r="S493" i="2"/>
  <c r="S460" i="2"/>
  <c r="S361" i="2"/>
  <c r="Q922" i="2"/>
  <c r="Q889" i="2"/>
  <c r="Q856" i="2"/>
  <c r="Q823" i="2"/>
  <c r="Q790" i="2"/>
  <c r="Q757" i="2"/>
  <c r="Q724" i="2"/>
  <c r="Q691" i="2"/>
  <c r="Q658" i="2"/>
  <c r="Q625" i="2"/>
  <c r="Q592" i="2"/>
  <c r="Q526" i="2"/>
  <c r="Q493" i="2"/>
  <c r="Q460" i="2"/>
  <c r="Q427" i="2"/>
  <c r="Q394" i="2"/>
  <c r="Q361" i="2"/>
  <c r="Q328" i="2"/>
  <c r="Q295" i="2"/>
  <c r="Q262" i="2"/>
  <c r="S922" i="2"/>
  <c r="S724" i="2"/>
  <c r="S625" i="2"/>
  <c r="S328" i="2"/>
  <c r="P922" i="2"/>
  <c r="P889" i="2"/>
  <c r="P856" i="2"/>
  <c r="P823" i="2"/>
  <c r="P790" i="2"/>
  <c r="P757" i="2"/>
  <c r="P724" i="2"/>
  <c r="P691" i="2"/>
  <c r="P658" i="2"/>
  <c r="P625" i="2"/>
  <c r="P592" i="2"/>
  <c r="P526" i="2"/>
  <c r="P493" i="2"/>
  <c r="P460" i="2"/>
  <c r="P427" i="2"/>
  <c r="P394" i="2"/>
  <c r="P361" i="2"/>
  <c r="P328" i="2"/>
  <c r="P295" i="2"/>
  <c r="P262" i="2"/>
  <c r="D23" i="3"/>
  <c r="D19" i="3"/>
  <c r="D15" i="3"/>
  <c r="D7" i="3"/>
  <c r="D3" i="3"/>
  <c r="D24" i="3"/>
  <c r="D22" i="3"/>
  <c r="D21" i="3"/>
  <c r="D20" i="3"/>
  <c r="D18" i="3"/>
  <c r="D17" i="3"/>
  <c r="D16" i="3"/>
  <c r="D14" i="3"/>
  <c r="D13" i="3"/>
  <c r="D12" i="3"/>
  <c r="D11" i="3"/>
  <c r="D10" i="3"/>
  <c r="D9" i="3"/>
  <c r="D8" i="3"/>
  <c r="D6" i="3"/>
  <c r="D5" i="3"/>
  <c r="D4" i="3"/>
  <c r="D2" i="3"/>
  <c r="D27" i="3"/>
  <c r="D25" i="3"/>
  <c r="L893" i="2" l="1"/>
  <c r="M893" i="2"/>
  <c r="N893" i="2"/>
  <c r="O893" i="2"/>
  <c r="O922" i="2" s="1"/>
  <c r="L894" i="2"/>
  <c r="M894" i="2"/>
  <c r="N894" i="2"/>
  <c r="O894" i="2"/>
  <c r="L895" i="2"/>
  <c r="M895" i="2"/>
  <c r="N895" i="2"/>
  <c r="O895" i="2"/>
  <c r="L896" i="2"/>
  <c r="M896" i="2"/>
  <c r="N896" i="2"/>
  <c r="O896" i="2"/>
  <c r="L897" i="2"/>
  <c r="M897" i="2"/>
  <c r="N897" i="2"/>
  <c r="O897" i="2"/>
  <c r="L898" i="2"/>
  <c r="M898" i="2"/>
  <c r="N898" i="2"/>
  <c r="O898" i="2"/>
  <c r="L899" i="2"/>
  <c r="M899" i="2"/>
  <c r="N899" i="2"/>
  <c r="O899" i="2"/>
  <c r="L900" i="2"/>
  <c r="M900" i="2"/>
  <c r="N900" i="2"/>
  <c r="O900" i="2"/>
  <c r="L901" i="2"/>
  <c r="M901" i="2"/>
  <c r="N901" i="2"/>
  <c r="O901" i="2"/>
  <c r="L902" i="2"/>
  <c r="M902" i="2"/>
  <c r="N902" i="2"/>
  <c r="O902" i="2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1" i="2"/>
  <c r="M911" i="2"/>
  <c r="N911" i="2"/>
  <c r="O911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915" i="2"/>
  <c r="M915" i="2"/>
  <c r="N915" i="2"/>
  <c r="O915" i="2"/>
  <c r="L916" i="2"/>
  <c r="M916" i="2"/>
  <c r="N916" i="2"/>
  <c r="O916" i="2"/>
  <c r="L918" i="2"/>
  <c r="M918" i="2"/>
  <c r="N918" i="2"/>
  <c r="O918" i="2"/>
  <c r="L919" i="2"/>
  <c r="M919" i="2"/>
  <c r="N919" i="2"/>
  <c r="O919" i="2"/>
  <c r="L920" i="2"/>
  <c r="M920" i="2"/>
  <c r="N920" i="2"/>
  <c r="O920" i="2"/>
  <c r="L860" i="2"/>
  <c r="M860" i="2"/>
  <c r="N860" i="2"/>
  <c r="O860" i="2"/>
  <c r="L861" i="2"/>
  <c r="M861" i="2"/>
  <c r="N861" i="2"/>
  <c r="O861" i="2"/>
  <c r="L862" i="2"/>
  <c r="M862" i="2"/>
  <c r="N862" i="2"/>
  <c r="O862" i="2"/>
  <c r="L863" i="2"/>
  <c r="M863" i="2"/>
  <c r="N863" i="2"/>
  <c r="O863" i="2"/>
  <c r="L864" i="2"/>
  <c r="M864" i="2"/>
  <c r="N864" i="2"/>
  <c r="O864" i="2"/>
  <c r="L865" i="2"/>
  <c r="M865" i="2"/>
  <c r="N865" i="2"/>
  <c r="O865" i="2"/>
  <c r="L866" i="2"/>
  <c r="M866" i="2"/>
  <c r="N866" i="2"/>
  <c r="O866" i="2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7" i="2"/>
  <c r="M877" i="2"/>
  <c r="N877" i="2"/>
  <c r="O877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81" i="2"/>
  <c r="M881" i="2"/>
  <c r="N881" i="2"/>
  <c r="O881" i="2"/>
  <c r="L882" i="2"/>
  <c r="M882" i="2"/>
  <c r="N882" i="2"/>
  <c r="O882" i="2"/>
  <c r="L883" i="2"/>
  <c r="M883" i="2"/>
  <c r="N883" i="2"/>
  <c r="O883" i="2"/>
  <c r="L885" i="2"/>
  <c r="M885" i="2"/>
  <c r="N885" i="2"/>
  <c r="O885" i="2"/>
  <c r="L886" i="2"/>
  <c r="M886" i="2"/>
  <c r="N886" i="2"/>
  <c r="O886" i="2"/>
  <c r="L887" i="2"/>
  <c r="M887" i="2"/>
  <c r="N887" i="2"/>
  <c r="O887" i="2"/>
  <c r="L827" i="2"/>
  <c r="M827" i="2"/>
  <c r="N827" i="2"/>
  <c r="O827" i="2"/>
  <c r="L828" i="2"/>
  <c r="M828" i="2"/>
  <c r="N828" i="2"/>
  <c r="O828" i="2"/>
  <c r="L829" i="2"/>
  <c r="M829" i="2"/>
  <c r="N829" i="2"/>
  <c r="O829" i="2"/>
  <c r="L830" i="2"/>
  <c r="M830" i="2"/>
  <c r="N830" i="2"/>
  <c r="O830" i="2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3" i="2"/>
  <c r="M843" i="2"/>
  <c r="N843" i="2"/>
  <c r="O843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847" i="2"/>
  <c r="M847" i="2"/>
  <c r="N847" i="2"/>
  <c r="O847" i="2"/>
  <c r="L848" i="2"/>
  <c r="M848" i="2"/>
  <c r="N848" i="2"/>
  <c r="O848" i="2"/>
  <c r="L849" i="2"/>
  <c r="M849" i="2"/>
  <c r="N849" i="2"/>
  <c r="O849" i="2"/>
  <c r="L850" i="2"/>
  <c r="M850" i="2"/>
  <c r="N850" i="2"/>
  <c r="O850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794" i="2"/>
  <c r="M794" i="2"/>
  <c r="N794" i="2"/>
  <c r="O794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09" i="2"/>
  <c r="M809" i="2"/>
  <c r="N809" i="2"/>
  <c r="O809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813" i="2"/>
  <c r="M813" i="2"/>
  <c r="N813" i="2"/>
  <c r="O813" i="2"/>
  <c r="L814" i="2"/>
  <c r="M814" i="2"/>
  <c r="N814" i="2"/>
  <c r="O814" i="2"/>
  <c r="L815" i="2"/>
  <c r="M815" i="2"/>
  <c r="N815" i="2"/>
  <c r="O815" i="2"/>
  <c r="L816" i="2"/>
  <c r="M816" i="2"/>
  <c r="N816" i="2"/>
  <c r="O816" i="2"/>
  <c r="L817" i="2"/>
  <c r="M817" i="2"/>
  <c r="N817" i="2"/>
  <c r="O817" i="2"/>
  <c r="L819" i="2"/>
  <c r="M819" i="2"/>
  <c r="N819" i="2"/>
  <c r="O819" i="2"/>
  <c r="L820" i="2"/>
  <c r="M820" i="2"/>
  <c r="N820" i="2"/>
  <c r="O820" i="2"/>
  <c r="L821" i="2"/>
  <c r="M821" i="2"/>
  <c r="N821" i="2"/>
  <c r="O821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80" i="2"/>
  <c r="M780" i="2"/>
  <c r="N780" i="2"/>
  <c r="O780" i="2"/>
  <c r="L781" i="2"/>
  <c r="M781" i="2"/>
  <c r="N781" i="2"/>
  <c r="O781" i="2"/>
  <c r="L782" i="2"/>
  <c r="M782" i="2"/>
  <c r="N782" i="2"/>
  <c r="O782" i="2"/>
  <c r="L783" i="2"/>
  <c r="M783" i="2"/>
  <c r="N783" i="2"/>
  <c r="O783" i="2"/>
  <c r="L784" i="2"/>
  <c r="M784" i="2"/>
  <c r="N784" i="2"/>
  <c r="O784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7" i="2"/>
  <c r="M747" i="2"/>
  <c r="N747" i="2"/>
  <c r="O747" i="2"/>
  <c r="L748" i="2"/>
  <c r="M748" i="2"/>
  <c r="N748" i="2"/>
  <c r="O748" i="2"/>
  <c r="L749" i="2"/>
  <c r="M749" i="2"/>
  <c r="N749" i="2"/>
  <c r="O749" i="2"/>
  <c r="L750" i="2"/>
  <c r="M750" i="2"/>
  <c r="N750" i="2"/>
  <c r="O750" i="2"/>
  <c r="L751" i="2"/>
  <c r="M751" i="2"/>
  <c r="N751" i="2"/>
  <c r="O751" i="2"/>
  <c r="L753" i="2"/>
  <c r="M753" i="2"/>
  <c r="N753" i="2"/>
  <c r="O753" i="2"/>
  <c r="L754" i="2"/>
  <c r="M754" i="2"/>
  <c r="N754" i="2"/>
  <c r="O754" i="2"/>
  <c r="L755" i="2"/>
  <c r="M755" i="2"/>
  <c r="N755" i="2"/>
  <c r="O755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3" i="2"/>
  <c r="M713" i="2"/>
  <c r="N713" i="2"/>
  <c r="O713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717" i="2"/>
  <c r="M717" i="2"/>
  <c r="N717" i="2"/>
  <c r="O717" i="2"/>
  <c r="L718" i="2"/>
  <c r="M718" i="2"/>
  <c r="N718" i="2"/>
  <c r="O718" i="2"/>
  <c r="L720" i="2"/>
  <c r="M720" i="2"/>
  <c r="N720" i="2"/>
  <c r="O720" i="2"/>
  <c r="L721" i="2"/>
  <c r="M721" i="2"/>
  <c r="N721" i="2"/>
  <c r="O721" i="2"/>
  <c r="L722" i="2"/>
  <c r="M722" i="2"/>
  <c r="N722" i="2"/>
  <c r="O722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7" i="2"/>
  <c r="M677" i="2"/>
  <c r="N677" i="2"/>
  <c r="O677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81" i="2"/>
  <c r="M681" i="2"/>
  <c r="N681" i="2"/>
  <c r="O681" i="2"/>
  <c r="L682" i="2"/>
  <c r="M682" i="2"/>
  <c r="N682" i="2"/>
  <c r="O682" i="2"/>
  <c r="L683" i="2"/>
  <c r="M683" i="2"/>
  <c r="N683" i="2"/>
  <c r="O683" i="2"/>
  <c r="L684" i="2"/>
  <c r="M684" i="2"/>
  <c r="N684" i="2"/>
  <c r="O684" i="2"/>
  <c r="L685" i="2"/>
  <c r="M685" i="2"/>
  <c r="N685" i="2"/>
  <c r="O685" i="2"/>
  <c r="L687" i="2"/>
  <c r="M687" i="2"/>
  <c r="N687" i="2"/>
  <c r="O687" i="2"/>
  <c r="L688" i="2"/>
  <c r="M688" i="2"/>
  <c r="N688" i="2"/>
  <c r="O688" i="2"/>
  <c r="L689" i="2"/>
  <c r="M689" i="2"/>
  <c r="N689" i="2"/>
  <c r="O689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39" i="2"/>
  <c r="M639" i="2"/>
  <c r="N639" i="2"/>
  <c r="O639" i="2"/>
  <c r="L640" i="2"/>
  <c r="M640" i="2"/>
  <c r="N640" i="2"/>
  <c r="O640" i="2"/>
  <c r="L641" i="2"/>
  <c r="M641" i="2"/>
  <c r="N641" i="2"/>
  <c r="O641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645" i="2"/>
  <c r="M645" i="2"/>
  <c r="N645" i="2"/>
  <c r="O645" i="2"/>
  <c r="L646" i="2"/>
  <c r="M646" i="2"/>
  <c r="N646" i="2"/>
  <c r="O646" i="2"/>
  <c r="L647" i="2"/>
  <c r="M647" i="2"/>
  <c r="N647" i="2"/>
  <c r="O647" i="2"/>
  <c r="L648" i="2"/>
  <c r="M648" i="2"/>
  <c r="N648" i="2"/>
  <c r="O648" i="2"/>
  <c r="L649" i="2"/>
  <c r="M649" i="2"/>
  <c r="N649" i="2"/>
  <c r="O649" i="2"/>
  <c r="L650" i="2"/>
  <c r="M650" i="2"/>
  <c r="N650" i="2"/>
  <c r="O650" i="2"/>
  <c r="L651" i="2"/>
  <c r="M651" i="2"/>
  <c r="N651" i="2"/>
  <c r="O651" i="2"/>
  <c r="L652" i="2"/>
  <c r="M652" i="2"/>
  <c r="N652" i="2"/>
  <c r="O652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603" i="2"/>
  <c r="M603" i="2"/>
  <c r="N603" i="2"/>
  <c r="O603" i="2"/>
  <c r="L604" i="2"/>
  <c r="M604" i="2"/>
  <c r="N604" i="2"/>
  <c r="O604" i="2"/>
  <c r="L605" i="2"/>
  <c r="M605" i="2"/>
  <c r="N605" i="2"/>
  <c r="O605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609" i="2"/>
  <c r="M609" i="2"/>
  <c r="N609" i="2"/>
  <c r="O609" i="2"/>
  <c r="L610" i="2"/>
  <c r="M610" i="2"/>
  <c r="N610" i="2"/>
  <c r="O610" i="2"/>
  <c r="L611" i="2"/>
  <c r="M611" i="2"/>
  <c r="N611" i="2"/>
  <c r="O611" i="2"/>
  <c r="L612" i="2"/>
  <c r="M612" i="2"/>
  <c r="N612" i="2"/>
  <c r="O612" i="2"/>
  <c r="L613" i="2"/>
  <c r="M613" i="2"/>
  <c r="N613" i="2"/>
  <c r="O613" i="2"/>
  <c r="L614" i="2"/>
  <c r="M614" i="2"/>
  <c r="N614" i="2"/>
  <c r="O614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69" i="2"/>
  <c r="M569" i="2"/>
  <c r="N569" i="2"/>
  <c r="O569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73" i="2"/>
  <c r="M573" i="2"/>
  <c r="N573" i="2"/>
  <c r="O573" i="2"/>
  <c r="L574" i="2"/>
  <c r="M574" i="2"/>
  <c r="N574" i="2"/>
  <c r="O574" i="2"/>
  <c r="L575" i="2"/>
  <c r="M575" i="2"/>
  <c r="N575" i="2"/>
  <c r="O575" i="2"/>
  <c r="L576" i="2"/>
  <c r="M576" i="2"/>
  <c r="N576" i="2"/>
  <c r="O576" i="2"/>
  <c r="L577" i="2"/>
  <c r="M577" i="2"/>
  <c r="N577" i="2"/>
  <c r="O577" i="2"/>
  <c r="L578" i="2"/>
  <c r="M578" i="2"/>
  <c r="N578" i="2"/>
  <c r="O578" i="2"/>
  <c r="L579" i="2"/>
  <c r="M579" i="2"/>
  <c r="N579" i="2"/>
  <c r="O579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3" i="2"/>
  <c r="M533" i="2"/>
  <c r="N533" i="2"/>
  <c r="O533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537" i="2"/>
  <c r="M537" i="2"/>
  <c r="N537" i="2"/>
  <c r="O537" i="2"/>
  <c r="L538" i="2"/>
  <c r="M538" i="2"/>
  <c r="N538" i="2"/>
  <c r="O538" i="2"/>
  <c r="L539" i="2"/>
  <c r="M539" i="2"/>
  <c r="N539" i="2"/>
  <c r="O539" i="2"/>
  <c r="L540" i="2"/>
  <c r="M540" i="2"/>
  <c r="N540" i="2"/>
  <c r="O540" i="2"/>
  <c r="L541" i="2"/>
  <c r="M541" i="2"/>
  <c r="N541" i="2"/>
  <c r="O541" i="2"/>
  <c r="L542" i="2"/>
  <c r="M542" i="2"/>
  <c r="N542" i="2"/>
  <c r="O542" i="2"/>
  <c r="L543" i="2"/>
  <c r="M543" i="2"/>
  <c r="N543" i="2"/>
  <c r="O543" i="2"/>
  <c r="L544" i="2"/>
  <c r="M544" i="2"/>
  <c r="N544" i="2"/>
  <c r="O544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497" i="2"/>
  <c r="M497" i="2"/>
  <c r="N497" i="2"/>
  <c r="O497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501" i="2"/>
  <c r="M501" i="2"/>
  <c r="N501" i="2"/>
  <c r="O501" i="2"/>
  <c r="L502" i="2"/>
  <c r="M502" i="2"/>
  <c r="N502" i="2"/>
  <c r="O502" i="2"/>
  <c r="L503" i="2"/>
  <c r="M503" i="2"/>
  <c r="N503" i="2"/>
  <c r="O503" i="2"/>
  <c r="L504" i="2"/>
  <c r="M504" i="2"/>
  <c r="N504" i="2"/>
  <c r="O504" i="2"/>
  <c r="L505" i="2"/>
  <c r="M505" i="2"/>
  <c r="N505" i="2"/>
  <c r="O505" i="2"/>
  <c r="L506" i="2"/>
  <c r="M506" i="2"/>
  <c r="N506" i="2"/>
  <c r="O506" i="2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464" i="2"/>
  <c r="M464" i="2"/>
  <c r="N464" i="2"/>
  <c r="O464" i="2"/>
  <c r="L465" i="2"/>
  <c r="M465" i="2"/>
  <c r="N465" i="2"/>
  <c r="O465" i="2"/>
  <c r="L466" i="2"/>
  <c r="M466" i="2"/>
  <c r="N466" i="2"/>
  <c r="O466" i="2"/>
  <c r="L467" i="2"/>
  <c r="M467" i="2"/>
  <c r="N467" i="2"/>
  <c r="O467" i="2"/>
  <c r="L468" i="2"/>
  <c r="M468" i="2"/>
  <c r="N468" i="2"/>
  <c r="O468" i="2"/>
  <c r="L469" i="2"/>
  <c r="M469" i="2"/>
  <c r="N469" i="2"/>
  <c r="O469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31" i="2"/>
  <c r="M431" i="2"/>
  <c r="N431" i="2"/>
  <c r="O431" i="2"/>
  <c r="L432" i="2"/>
  <c r="M432" i="2"/>
  <c r="N432" i="2"/>
  <c r="O432" i="2"/>
  <c r="L433" i="2"/>
  <c r="M433" i="2"/>
  <c r="N433" i="2"/>
  <c r="O433" i="2"/>
  <c r="L434" i="2"/>
  <c r="M434" i="2"/>
  <c r="N434" i="2"/>
  <c r="O434" i="2"/>
  <c r="L435" i="2"/>
  <c r="M435" i="2"/>
  <c r="N435" i="2"/>
  <c r="O435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398" i="2"/>
  <c r="M398" i="2"/>
  <c r="N398" i="2"/>
  <c r="O398" i="2"/>
  <c r="L399" i="2"/>
  <c r="M399" i="2"/>
  <c r="N399" i="2"/>
  <c r="O399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405" i="2"/>
  <c r="M405" i="2"/>
  <c r="N405" i="2"/>
  <c r="O405" i="2"/>
  <c r="L406" i="2"/>
  <c r="M406" i="2"/>
  <c r="N406" i="2"/>
  <c r="O406" i="2"/>
  <c r="L407" i="2"/>
  <c r="M407" i="2"/>
  <c r="N407" i="2"/>
  <c r="O407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3" i="2"/>
  <c r="M423" i="2"/>
  <c r="N423" i="2"/>
  <c r="O423" i="2"/>
  <c r="L424" i="2"/>
  <c r="M424" i="2"/>
  <c r="N424" i="2"/>
  <c r="O424" i="2"/>
  <c r="L425" i="2"/>
  <c r="M425" i="2"/>
  <c r="N425" i="2"/>
  <c r="O425" i="2"/>
  <c r="L365" i="2"/>
  <c r="M365" i="2"/>
  <c r="N365" i="2"/>
  <c r="O365" i="2"/>
  <c r="L366" i="2"/>
  <c r="M366" i="2"/>
  <c r="N366" i="2"/>
  <c r="O366" i="2"/>
  <c r="L367" i="2"/>
  <c r="M367" i="2"/>
  <c r="N367" i="2"/>
  <c r="O367" i="2"/>
  <c r="L368" i="2"/>
  <c r="M368" i="2"/>
  <c r="N368" i="2"/>
  <c r="O368" i="2"/>
  <c r="L369" i="2"/>
  <c r="M369" i="2"/>
  <c r="N369" i="2"/>
  <c r="O369" i="2"/>
  <c r="L370" i="2"/>
  <c r="M370" i="2"/>
  <c r="N370" i="2"/>
  <c r="O370" i="2"/>
  <c r="L371" i="2"/>
  <c r="M371" i="2"/>
  <c r="N371" i="2"/>
  <c r="O371" i="2"/>
  <c r="L372" i="2"/>
  <c r="M372" i="2"/>
  <c r="N372" i="2"/>
  <c r="O372" i="2"/>
  <c r="L373" i="2"/>
  <c r="M373" i="2"/>
  <c r="N373" i="2"/>
  <c r="O373" i="2"/>
  <c r="L374" i="2"/>
  <c r="M374" i="2"/>
  <c r="N374" i="2"/>
  <c r="O374" i="2"/>
  <c r="L375" i="2"/>
  <c r="M375" i="2"/>
  <c r="N375" i="2"/>
  <c r="O375" i="2"/>
  <c r="L376" i="2"/>
  <c r="M376" i="2"/>
  <c r="N376" i="2"/>
  <c r="O376" i="2"/>
  <c r="L377" i="2"/>
  <c r="M377" i="2"/>
  <c r="N377" i="2"/>
  <c r="O377" i="2"/>
  <c r="L378" i="2"/>
  <c r="M378" i="2"/>
  <c r="N378" i="2"/>
  <c r="O378" i="2"/>
  <c r="L379" i="2"/>
  <c r="M379" i="2"/>
  <c r="N379" i="2"/>
  <c r="O379" i="2"/>
  <c r="L380" i="2"/>
  <c r="M380" i="2"/>
  <c r="N380" i="2"/>
  <c r="O380" i="2"/>
  <c r="L381" i="2"/>
  <c r="M381" i="2"/>
  <c r="N381" i="2"/>
  <c r="O381" i="2"/>
  <c r="L382" i="2"/>
  <c r="M382" i="2"/>
  <c r="N382" i="2"/>
  <c r="O382" i="2"/>
  <c r="L383" i="2"/>
  <c r="M383" i="2"/>
  <c r="N383" i="2"/>
  <c r="O383" i="2"/>
  <c r="L384" i="2"/>
  <c r="M384" i="2"/>
  <c r="N384" i="2"/>
  <c r="O384" i="2"/>
  <c r="L385" i="2"/>
  <c r="M385" i="2"/>
  <c r="N385" i="2"/>
  <c r="O385" i="2"/>
  <c r="L386" i="2"/>
  <c r="M386" i="2"/>
  <c r="N386" i="2"/>
  <c r="O386" i="2"/>
  <c r="L387" i="2"/>
  <c r="M387" i="2"/>
  <c r="N387" i="2"/>
  <c r="O387" i="2"/>
  <c r="L388" i="2"/>
  <c r="M388" i="2"/>
  <c r="N388" i="2"/>
  <c r="O388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1" i="2"/>
  <c r="M341" i="2"/>
  <c r="N341" i="2"/>
  <c r="O341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345" i="2"/>
  <c r="M345" i="2"/>
  <c r="N345" i="2"/>
  <c r="O345" i="2"/>
  <c r="L346" i="2"/>
  <c r="M346" i="2"/>
  <c r="N346" i="2"/>
  <c r="O346" i="2"/>
  <c r="L347" i="2"/>
  <c r="M347" i="2"/>
  <c r="N347" i="2"/>
  <c r="O347" i="2"/>
  <c r="L348" i="2"/>
  <c r="M348" i="2"/>
  <c r="N348" i="2"/>
  <c r="O348" i="2"/>
  <c r="L349" i="2"/>
  <c r="M349" i="2"/>
  <c r="N349" i="2"/>
  <c r="O349" i="2"/>
  <c r="L350" i="2"/>
  <c r="M350" i="2"/>
  <c r="N350" i="2"/>
  <c r="O350" i="2"/>
  <c r="L351" i="2"/>
  <c r="M351" i="2"/>
  <c r="N351" i="2"/>
  <c r="O351" i="2"/>
  <c r="L352" i="2"/>
  <c r="M352" i="2"/>
  <c r="N352" i="2"/>
  <c r="O352" i="2"/>
  <c r="L353" i="2"/>
  <c r="M353" i="2"/>
  <c r="N353" i="2"/>
  <c r="O353" i="2"/>
  <c r="L354" i="2"/>
  <c r="M354" i="2"/>
  <c r="N354" i="2"/>
  <c r="O354" i="2"/>
  <c r="L355" i="2"/>
  <c r="M355" i="2"/>
  <c r="N355" i="2"/>
  <c r="O355" i="2"/>
  <c r="L357" i="2"/>
  <c r="M357" i="2"/>
  <c r="N357" i="2"/>
  <c r="O357" i="2"/>
  <c r="L358" i="2"/>
  <c r="M358" i="2"/>
  <c r="N358" i="2"/>
  <c r="O358" i="2"/>
  <c r="L359" i="2"/>
  <c r="M359" i="2"/>
  <c r="N359" i="2"/>
  <c r="O359" i="2"/>
  <c r="L299" i="2"/>
  <c r="M299" i="2"/>
  <c r="N299" i="2"/>
  <c r="O299" i="2"/>
  <c r="L300" i="2"/>
  <c r="M300" i="2"/>
  <c r="N300" i="2"/>
  <c r="O300" i="2"/>
  <c r="L301" i="2"/>
  <c r="M301" i="2"/>
  <c r="N301" i="2"/>
  <c r="O301" i="2"/>
  <c r="L302" i="2"/>
  <c r="M302" i="2"/>
  <c r="N302" i="2"/>
  <c r="O302" i="2"/>
  <c r="L303" i="2"/>
  <c r="M303" i="2"/>
  <c r="N303" i="2"/>
  <c r="O303" i="2"/>
  <c r="L304" i="2"/>
  <c r="M304" i="2"/>
  <c r="N304" i="2"/>
  <c r="O304" i="2"/>
  <c r="L305" i="2"/>
  <c r="M305" i="2"/>
  <c r="N305" i="2"/>
  <c r="O305" i="2"/>
  <c r="L306" i="2"/>
  <c r="M306" i="2"/>
  <c r="N306" i="2"/>
  <c r="O306" i="2"/>
  <c r="L307" i="2"/>
  <c r="M307" i="2"/>
  <c r="N307" i="2"/>
  <c r="O307" i="2"/>
  <c r="L308" i="2"/>
  <c r="M308" i="2"/>
  <c r="N308" i="2"/>
  <c r="O308" i="2"/>
  <c r="L309" i="2"/>
  <c r="M309" i="2"/>
  <c r="N309" i="2"/>
  <c r="O309" i="2"/>
  <c r="L310" i="2"/>
  <c r="M310" i="2"/>
  <c r="N310" i="2"/>
  <c r="O310" i="2"/>
  <c r="L311" i="2"/>
  <c r="M311" i="2"/>
  <c r="N311" i="2"/>
  <c r="O311" i="2"/>
  <c r="L312" i="2"/>
  <c r="M312" i="2"/>
  <c r="N312" i="2"/>
  <c r="O312" i="2"/>
  <c r="L313" i="2"/>
  <c r="M313" i="2"/>
  <c r="N313" i="2"/>
  <c r="O313" i="2"/>
  <c r="L314" i="2"/>
  <c r="M314" i="2"/>
  <c r="N314" i="2"/>
  <c r="O314" i="2"/>
  <c r="L315" i="2"/>
  <c r="M315" i="2"/>
  <c r="N315" i="2"/>
  <c r="O315" i="2"/>
  <c r="L316" i="2"/>
  <c r="M316" i="2"/>
  <c r="N316" i="2"/>
  <c r="O316" i="2"/>
  <c r="L317" i="2"/>
  <c r="M317" i="2"/>
  <c r="N317" i="2"/>
  <c r="O317" i="2"/>
  <c r="L318" i="2"/>
  <c r="M318" i="2"/>
  <c r="N318" i="2"/>
  <c r="O318" i="2"/>
  <c r="L319" i="2"/>
  <c r="M319" i="2"/>
  <c r="N319" i="2"/>
  <c r="O319" i="2"/>
  <c r="L320" i="2"/>
  <c r="M320" i="2"/>
  <c r="N320" i="2"/>
  <c r="O320" i="2"/>
  <c r="L321" i="2"/>
  <c r="M321" i="2"/>
  <c r="N321" i="2"/>
  <c r="O321" i="2"/>
  <c r="L322" i="2"/>
  <c r="M322" i="2"/>
  <c r="N322" i="2"/>
  <c r="O322" i="2"/>
  <c r="L324" i="2"/>
  <c r="M324" i="2"/>
  <c r="N324" i="2"/>
  <c r="O324" i="2"/>
  <c r="L325" i="2"/>
  <c r="M325" i="2"/>
  <c r="N325" i="2"/>
  <c r="O325" i="2"/>
  <c r="L326" i="2"/>
  <c r="M326" i="2"/>
  <c r="N326" i="2"/>
  <c r="O326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78" i="2"/>
  <c r="M278" i="2"/>
  <c r="N278" i="2"/>
  <c r="O278" i="2"/>
  <c r="L279" i="2"/>
  <c r="M279" i="2"/>
  <c r="N279" i="2"/>
  <c r="O279" i="2"/>
  <c r="L280" i="2"/>
  <c r="M280" i="2"/>
  <c r="N280" i="2"/>
  <c r="O280" i="2"/>
  <c r="L281" i="2"/>
  <c r="M281" i="2"/>
  <c r="N281" i="2"/>
  <c r="O281" i="2"/>
  <c r="L282" i="2"/>
  <c r="M282" i="2"/>
  <c r="N282" i="2"/>
  <c r="O282" i="2"/>
  <c r="L283" i="2"/>
  <c r="M283" i="2"/>
  <c r="N283" i="2"/>
  <c r="O283" i="2"/>
  <c r="L284" i="2"/>
  <c r="M284" i="2"/>
  <c r="N284" i="2"/>
  <c r="O284" i="2"/>
  <c r="L285" i="2"/>
  <c r="M285" i="2"/>
  <c r="N285" i="2"/>
  <c r="O285" i="2"/>
  <c r="L286" i="2"/>
  <c r="M286" i="2"/>
  <c r="N286" i="2"/>
  <c r="O286" i="2"/>
  <c r="L287" i="2"/>
  <c r="M287" i="2"/>
  <c r="N287" i="2"/>
  <c r="O287" i="2"/>
  <c r="L288" i="2"/>
  <c r="M288" i="2"/>
  <c r="N288" i="2"/>
  <c r="O288" i="2"/>
  <c r="L289" i="2"/>
  <c r="M289" i="2"/>
  <c r="N289" i="2"/>
  <c r="O289" i="2"/>
  <c r="L291" i="2"/>
  <c r="M291" i="2"/>
  <c r="N291" i="2"/>
  <c r="O291" i="2"/>
  <c r="L292" i="2"/>
  <c r="M292" i="2"/>
  <c r="N292" i="2"/>
  <c r="O292" i="2"/>
  <c r="L293" i="2"/>
  <c r="M293" i="2"/>
  <c r="N293" i="2"/>
  <c r="O293" i="2"/>
  <c r="L233" i="2"/>
  <c r="M233" i="2"/>
  <c r="N233" i="2"/>
  <c r="O233" i="2"/>
  <c r="L234" i="2"/>
  <c r="M234" i="2"/>
  <c r="N234" i="2"/>
  <c r="O234" i="2"/>
  <c r="L235" i="2"/>
  <c r="M235" i="2"/>
  <c r="N235" i="2"/>
  <c r="O235" i="2"/>
  <c r="L236" i="2"/>
  <c r="M236" i="2"/>
  <c r="N236" i="2"/>
  <c r="O236" i="2"/>
  <c r="L237" i="2"/>
  <c r="M237" i="2"/>
  <c r="N237" i="2"/>
  <c r="O237" i="2"/>
  <c r="L238" i="2"/>
  <c r="M238" i="2"/>
  <c r="N238" i="2"/>
  <c r="O238" i="2"/>
  <c r="L239" i="2"/>
  <c r="M239" i="2"/>
  <c r="N239" i="2"/>
  <c r="O239" i="2"/>
  <c r="L240" i="2"/>
  <c r="M240" i="2"/>
  <c r="N240" i="2"/>
  <c r="O240" i="2"/>
  <c r="L241" i="2"/>
  <c r="M241" i="2"/>
  <c r="N241" i="2"/>
  <c r="O241" i="2"/>
  <c r="L242" i="2"/>
  <c r="M242" i="2"/>
  <c r="N242" i="2"/>
  <c r="O242" i="2"/>
  <c r="L243" i="2"/>
  <c r="M243" i="2"/>
  <c r="N243" i="2"/>
  <c r="O243" i="2"/>
  <c r="L244" i="2"/>
  <c r="M244" i="2"/>
  <c r="N244" i="2"/>
  <c r="O244" i="2"/>
  <c r="L245" i="2"/>
  <c r="M245" i="2"/>
  <c r="N245" i="2"/>
  <c r="O245" i="2"/>
  <c r="L246" i="2"/>
  <c r="M246" i="2"/>
  <c r="N246" i="2"/>
  <c r="O246" i="2"/>
  <c r="L247" i="2"/>
  <c r="M247" i="2"/>
  <c r="N247" i="2"/>
  <c r="O247" i="2"/>
  <c r="L248" i="2"/>
  <c r="M248" i="2"/>
  <c r="N248" i="2"/>
  <c r="O248" i="2"/>
  <c r="L249" i="2"/>
  <c r="M249" i="2"/>
  <c r="N249" i="2"/>
  <c r="O249" i="2"/>
  <c r="L250" i="2"/>
  <c r="M250" i="2"/>
  <c r="N250" i="2"/>
  <c r="O250" i="2"/>
  <c r="L251" i="2"/>
  <c r="M251" i="2"/>
  <c r="N251" i="2"/>
  <c r="O251" i="2"/>
  <c r="L252" i="2"/>
  <c r="M252" i="2"/>
  <c r="N252" i="2"/>
  <c r="O252" i="2"/>
  <c r="L253" i="2"/>
  <c r="M253" i="2"/>
  <c r="N253" i="2"/>
  <c r="O253" i="2"/>
  <c r="L254" i="2"/>
  <c r="M254" i="2"/>
  <c r="N254" i="2"/>
  <c r="O254" i="2"/>
  <c r="L255" i="2"/>
  <c r="M255" i="2"/>
  <c r="N255" i="2"/>
  <c r="O255" i="2"/>
  <c r="L256" i="2"/>
  <c r="M256" i="2"/>
  <c r="N256" i="2"/>
  <c r="O256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O295" i="2" l="1"/>
  <c r="O394" i="2"/>
  <c r="O460" i="2"/>
  <c r="O592" i="2"/>
  <c r="O658" i="2"/>
  <c r="O757" i="2"/>
  <c r="O889" i="2"/>
  <c r="N262" i="2"/>
  <c r="N295" i="2"/>
  <c r="N328" i="2"/>
  <c r="N361" i="2"/>
  <c r="N394" i="2"/>
  <c r="N427" i="2"/>
  <c r="N460" i="2"/>
  <c r="N493" i="2"/>
  <c r="N526" i="2"/>
  <c r="N592" i="2"/>
  <c r="N625" i="2"/>
  <c r="N658" i="2"/>
  <c r="N691" i="2"/>
  <c r="N724" i="2"/>
  <c r="N757" i="2"/>
  <c r="N790" i="2"/>
  <c r="N823" i="2"/>
  <c r="N856" i="2"/>
  <c r="N889" i="2"/>
  <c r="N922" i="2"/>
  <c r="O262" i="2"/>
  <c r="O361" i="2"/>
  <c r="O493" i="2"/>
  <c r="O625" i="2"/>
  <c r="O691" i="2"/>
  <c r="O823" i="2"/>
  <c r="O856" i="2"/>
  <c r="M262" i="2"/>
  <c r="M295" i="2"/>
  <c r="M328" i="2"/>
  <c r="M361" i="2"/>
  <c r="M394" i="2"/>
  <c r="M427" i="2"/>
  <c r="M460" i="2"/>
  <c r="M493" i="2"/>
  <c r="M526" i="2"/>
  <c r="M592" i="2"/>
  <c r="M625" i="2"/>
  <c r="M658" i="2"/>
  <c r="M691" i="2"/>
  <c r="M724" i="2"/>
  <c r="M757" i="2"/>
  <c r="M790" i="2"/>
  <c r="M823" i="2"/>
  <c r="M856" i="2"/>
  <c r="M889" i="2"/>
  <c r="M922" i="2"/>
  <c r="O328" i="2"/>
  <c r="O427" i="2"/>
  <c r="O526" i="2"/>
  <c r="O724" i="2"/>
  <c r="O790" i="2"/>
  <c r="L262" i="2"/>
  <c r="L295" i="2"/>
  <c r="L328" i="2"/>
  <c r="L361" i="2"/>
  <c r="L394" i="2"/>
  <c r="L427" i="2"/>
  <c r="L460" i="2"/>
  <c r="L493" i="2"/>
  <c r="L526" i="2"/>
  <c r="L592" i="2"/>
  <c r="L625" i="2"/>
  <c r="L658" i="2"/>
  <c r="L691" i="2"/>
  <c r="L724" i="2"/>
  <c r="L757" i="2"/>
  <c r="L790" i="2"/>
  <c r="L823" i="2"/>
  <c r="L856" i="2"/>
  <c r="L889" i="2"/>
  <c r="L922" i="2"/>
  <c r="D557" i="2"/>
  <c r="E557" i="2"/>
  <c r="F557" i="2"/>
  <c r="G557" i="2"/>
  <c r="H557" i="2"/>
  <c r="I557" i="2"/>
  <c r="J557" i="2"/>
  <c r="K557" i="2"/>
  <c r="D524" i="2"/>
  <c r="E524" i="2"/>
  <c r="F524" i="2"/>
  <c r="G524" i="2"/>
  <c r="H524" i="2"/>
  <c r="I524" i="2"/>
  <c r="J524" i="2"/>
  <c r="K524" i="2"/>
  <c r="Y524" i="2" l="1"/>
  <c r="Y557" i="2"/>
  <c r="D920" i="2"/>
  <c r="E920" i="2"/>
  <c r="F920" i="2"/>
  <c r="G920" i="2"/>
  <c r="H920" i="2"/>
  <c r="I920" i="2"/>
  <c r="J920" i="2"/>
  <c r="K920" i="2"/>
  <c r="D887" i="2"/>
  <c r="E887" i="2"/>
  <c r="F887" i="2"/>
  <c r="G887" i="2"/>
  <c r="H887" i="2"/>
  <c r="I887" i="2"/>
  <c r="J887" i="2"/>
  <c r="K887" i="2"/>
  <c r="D854" i="2"/>
  <c r="E854" i="2"/>
  <c r="F854" i="2"/>
  <c r="G854" i="2"/>
  <c r="H854" i="2"/>
  <c r="I854" i="2"/>
  <c r="J854" i="2"/>
  <c r="K854" i="2"/>
  <c r="D821" i="2"/>
  <c r="E821" i="2"/>
  <c r="F821" i="2"/>
  <c r="G821" i="2"/>
  <c r="H821" i="2"/>
  <c r="I821" i="2"/>
  <c r="J821" i="2"/>
  <c r="K821" i="2"/>
  <c r="D788" i="2"/>
  <c r="E788" i="2"/>
  <c r="F788" i="2"/>
  <c r="G788" i="2"/>
  <c r="H788" i="2"/>
  <c r="I788" i="2"/>
  <c r="J788" i="2"/>
  <c r="K788" i="2"/>
  <c r="D755" i="2"/>
  <c r="E755" i="2"/>
  <c r="F755" i="2"/>
  <c r="G755" i="2"/>
  <c r="H755" i="2"/>
  <c r="I755" i="2"/>
  <c r="J755" i="2"/>
  <c r="K755" i="2"/>
  <c r="D722" i="2"/>
  <c r="E722" i="2"/>
  <c r="F722" i="2"/>
  <c r="G722" i="2"/>
  <c r="H722" i="2"/>
  <c r="I722" i="2"/>
  <c r="J722" i="2"/>
  <c r="K722" i="2"/>
  <c r="D689" i="2"/>
  <c r="E689" i="2"/>
  <c r="F689" i="2"/>
  <c r="G689" i="2"/>
  <c r="H689" i="2"/>
  <c r="I689" i="2"/>
  <c r="J689" i="2"/>
  <c r="K689" i="2"/>
  <c r="D656" i="2"/>
  <c r="E656" i="2"/>
  <c r="F656" i="2"/>
  <c r="G656" i="2"/>
  <c r="H656" i="2"/>
  <c r="I656" i="2"/>
  <c r="J656" i="2"/>
  <c r="K656" i="2"/>
  <c r="D623" i="2"/>
  <c r="E623" i="2"/>
  <c r="F623" i="2"/>
  <c r="G623" i="2"/>
  <c r="H623" i="2"/>
  <c r="I623" i="2"/>
  <c r="J623" i="2"/>
  <c r="K623" i="2"/>
  <c r="D590" i="2"/>
  <c r="E590" i="2"/>
  <c r="F590" i="2"/>
  <c r="G590" i="2"/>
  <c r="H590" i="2"/>
  <c r="I590" i="2"/>
  <c r="J590" i="2"/>
  <c r="K590" i="2"/>
  <c r="D585" i="2"/>
  <c r="E585" i="2"/>
  <c r="F585" i="2"/>
  <c r="G585" i="2"/>
  <c r="D552" i="2"/>
  <c r="E552" i="2"/>
  <c r="F552" i="2"/>
  <c r="G552" i="2"/>
  <c r="D519" i="2"/>
  <c r="E519" i="2"/>
  <c r="F519" i="2"/>
  <c r="G519" i="2"/>
  <c r="D491" i="2"/>
  <c r="E491" i="2"/>
  <c r="F491" i="2"/>
  <c r="G491" i="2"/>
  <c r="H491" i="2"/>
  <c r="I491" i="2"/>
  <c r="J491" i="2"/>
  <c r="K491" i="2"/>
  <c r="D458" i="2"/>
  <c r="E458" i="2"/>
  <c r="F458" i="2"/>
  <c r="G458" i="2"/>
  <c r="H458" i="2"/>
  <c r="I458" i="2"/>
  <c r="J458" i="2"/>
  <c r="K458" i="2"/>
  <c r="D486" i="2"/>
  <c r="E486" i="2"/>
  <c r="F486" i="2"/>
  <c r="G486" i="2"/>
  <c r="D453" i="2"/>
  <c r="E453" i="2"/>
  <c r="F453" i="2"/>
  <c r="G453" i="2"/>
  <c r="D425" i="2"/>
  <c r="E425" i="2"/>
  <c r="F425" i="2"/>
  <c r="G425" i="2"/>
  <c r="H425" i="2"/>
  <c r="I425" i="2"/>
  <c r="J425" i="2"/>
  <c r="K425" i="2"/>
  <c r="D392" i="2"/>
  <c r="E392" i="2"/>
  <c r="F392" i="2"/>
  <c r="G392" i="2"/>
  <c r="H392" i="2"/>
  <c r="I392" i="2"/>
  <c r="J392" i="2"/>
  <c r="K392" i="2"/>
  <c r="D359" i="2"/>
  <c r="E359" i="2"/>
  <c r="F359" i="2"/>
  <c r="G359" i="2"/>
  <c r="H359" i="2"/>
  <c r="I359" i="2"/>
  <c r="J359" i="2"/>
  <c r="K359" i="2"/>
  <c r="D326" i="2"/>
  <c r="E326" i="2"/>
  <c r="F326" i="2"/>
  <c r="G326" i="2"/>
  <c r="H326" i="2"/>
  <c r="I326" i="2"/>
  <c r="J326" i="2"/>
  <c r="K326" i="2"/>
  <c r="D293" i="2"/>
  <c r="E293" i="2"/>
  <c r="F293" i="2"/>
  <c r="G293" i="2"/>
  <c r="H293" i="2"/>
  <c r="I293" i="2"/>
  <c r="J293" i="2"/>
  <c r="K293" i="2"/>
  <c r="D260" i="2"/>
  <c r="E260" i="2"/>
  <c r="F260" i="2"/>
  <c r="G260" i="2"/>
  <c r="H260" i="2"/>
  <c r="I260" i="2"/>
  <c r="J260" i="2"/>
  <c r="K260" i="2"/>
  <c r="Y326" i="2" l="1"/>
  <c r="Y392" i="2"/>
  <c r="Y623" i="2"/>
  <c r="Y656" i="2"/>
  <c r="Y722" i="2"/>
  <c r="Y788" i="2"/>
  <c r="Y821" i="2"/>
  <c r="Y854" i="2"/>
  <c r="Y887" i="2"/>
  <c r="Y920" i="2"/>
  <c r="Y260" i="2"/>
  <c r="Y293" i="2"/>
  <c r="Y359" i="2"/>
  <c r="Y425" i="2"/>
  <c r="Y458" i="2"/>
  <c r="Y491" i="2"/>
  <c r="Y590" i="2"/>
  <c r="Y689" i="2"/>
  <c r="Y755" i="2"/>
  <c r="Z147" i="2" l="1"/>
  <c r="Z138" i="2"/>
  <c r="Z140" i="2"/>
  <c r="Z156" i="2"/>
  <c r="Z137" i="2"/>
  <c r="Z153" i="2"/>
  <c r="Z157" i="2"/>
  <c r="Z135" i="2"/>
  <c r="Z151" i="2"/>
  <c r="Z146" i="2"/>
  <c r="Z144" i="2"/>
  <c r="Z160" i="2"/>
  <c r="Z141" i="2"/>
  <c r="Z139" i="2"/>
  <c r="Z154" i="2"/>
  <c r="Z150" i="2"/>
  <c r="Z161" i="2"/>
  <c r="Z143" i="2"/>
  <c r="Z136" i="2"/>
  <c r="Z134" i="2"/>
  <c r="Z142" i="2"/>
  <c r="Z148" i="2"/>
  <c r="Z152" i="2"/>
  <c r="Z145" i="2"/>
  <c r="Z149" i="2"/>
  <c r="Z155" i="2"/>
  <c r="Z159" i="2"/>
  <c r="Z176" i="2"/>
  <c r="Z192" i="2"/>
  <c r="Z169" i="2"/>
  <c r="Z185" i="2"/>
  <c r="Z179" i="2"/>
  <c r="Z178" i="2"/>
  <c r="Z194" i="2"/>
  <c r="Z180" i="2"/>
  <c r="Z175" i="2"/>
  <c r="Z173" i="2"/>
  <c r="Z189" i="2"/>
  <c r="Z190" i="2"/>
  <c r="Z182" i="2"/>
  <c r="Z187" i="2"/>
  <c r="Z168" i="2"/>
  <c r="Z183" i="2"/>
  <c r="Z193" i="2"/>
  <c r="Z186" i="2"/>
  <c r="Z172" i="2"/>
  <c r="Z167" i="2"/>
  <c r="Z171" i="2"/>
  <c r="Z184" i="2"/>
  <c r="Z170" i="2"/>
  <c r="Z188" i="2"/>
  <c r="Z174" i="2"/>
  <c r="Z177" i="2"/>
  <c r="Z181" i="2"/>
  <c r="Z201" i="2"/>
  <c r="Z217" i="2"/>
  <c r="Z206" i="2"/>
  <c r="Z222" i="2"/>
  <c r="Z207" i="2"/>
  <c r="Z212" i="2"/>
  <c r="Z205" i="2"/>
  <c r="Z221" i="2"/>
  <c r="Z210" i="2"/>
  <c r="Z226" i="2"/>
  <c r="Z211" i="2"/>
  <c r="Z227" i="2"/>
  <c r="Z216" i="2"/>
  <c r="Z209" i="2"/>
  <c r="Z214" i="2"/>
  <c r="Z215" i="2"/>
  <c r="Z220" i="2"/>
  <c r="Z213" i="2"/>
  <c r="Z218" i="2"/>
  <c r="Z219" i="2"/>
  <c r="Z223" i="2"/>
  <c r="Z225" i="2"/>
  <c r="Z204" i="2"/>
  <c r="Z202" i="2"/>
  <c r="Z208" i="2"/>
  <c r="Z200" i="2"/>
  <c r="Z203" i="2"/>
  <c r="Z44" i="2"/>
  <c r="Z60" i="2"/>
  <c r="Z49" i="2"/>
  <c r="Z38" i="2"/>
  <c r="Z54" i="2"/>
  <c r="Z58" i="2"/>
  <c r="Z39" i="2"/>
  <c r="Z48" i="2"/>
  <c r="Z41" i="2"/>
  <c r="Z61" i="2"/>
  <c r="Z35" i="2"/>
  <c r="Z52" i="2"/>
  <c r="Z45" i="2"/>
  <c r="Z42" i="2"/>
  <c r="Z62" i="2"/>
  <c r="Z51" i="2"/>
  <c r="Z36" i="2"/>
  <c r="Z53" i="2"/>
  <c r="Z43" i="2"/>
  <c r="Z46" i="2"/>
  <c r="Z37" i="2"/>
  <c r="Z40" i="2"/>
  <c r="Z57" i="2"/>
  <c r="Z47" i="2"/>
  <c r="Z56" i="2"/>
  <c r="Z55" i="2"/>
  <c r="Z50" i="2"/>
  <c r="Z69" i="2"/>
  <c r="Z76" i="2"/>
  <c r="Z89" i="2"/>
  <c r="Z79" i="2"/>
  <c r="Z91" i="2"/>
  <c r="Z71" i="2"/>
  <c r="Z94" i="2"/>
  <c r="Z85" i="2"/>
  <c r="Z75" i="2"/>
  <c r="Z70" i="2"/>
  <c r="Z95" i="2"/>
  <c r="Z80" i="2"/>
  <c r="Z68" i="2"/>
  <c r="Z93" i="2"/>
  <c r="Z88" i="2"/>
  <c r="Z86" i="2"/>
  <c r="Z77" i="2"/>
  <c r="Z81" i="2"/>
  <c r="Z90" i="2"/>
  <c r="Z83" i="2"/>
  <c r="Z82" i="2"/>
  <c r="Z87" i="2"/>
  <c r="Z73" i="2"/>
  <c r="Z84" i="2"/>
  <c r="Z74" i="2"/>
  <c r="Z78" i="2"/>
  <c r="Z72" i="2"/>
  <c r="Z7" i="2"/>
  <c r="Z23" i="2"/>
  <c r="Z12" i="2"/>
  <c r="Z28" i="2"/>
  <c r="Z17" i="2"/>
  <c r="Z2" i="2"/>
  <c r="Z22" i="2"/>
  <c r="Z27" i="2"/>
  <c r="Z21" i="2"/>
  <c r="Z25" i="2"/>
  <c r="Z11" i="2"/>
  <c r="Z16" i="2"/>
  <c r="Z5" i="2"/>
  <c r="Z10" i="2"/>
  <c r="Z4" i="2"/>
  <c r="Z9" i="2"/>
  <c r="Z18" i="2"/>
  <c r="Z29" i="2"/>
  <c r="Z19" i="2"/>
  <c r="Z14" i="2"/>
  <c r="Z3" i="2"/>
  <c r="Z8" i="2"/>
  <c r="Z13" i="2"/>
  <c r="Z6" i="2"/>
  <c r="Z15" i="2"/>
  <c r="Z20" i="2"/>
  <c r="Z24" i="2"/>
  <c r="Z110" i="2"/>
  <c r="Z126" i="2"/>
  <c r="Z107" i="2"/>
  <c r="Z123" i="2"/>
  <c r="Z101" i="2"/>
  <c r="Z116" i="2"/>
  <c r="Z113" i="2"/>
  <c r="Z114" i="2"/>
  <c r="Z105" i="2"/>
  <c r="Z111" i="2"/>
  <c r="Z127" i="2"/>
  <c r="Z104" i="2"/>
  <c r="Z120" i="2"/>
  <c r="Z124" i="2"/>
  <c r="Z118" i="2"/>
  <c r="Z115" i="2"/>
  <c r="Z108" i="2"/>
  <c r="Z122" i="2"/>
  <c r="Z119" i="2"/>
  <c r="Z112" i="2"/>
  <c r="Z121" i="2"/>
  <c r="Z109" i="2"/>
  <c r="Z103" i="2"/>
  <c r="Z128" i="2"/>
  <c r="Z102" i="2"/>
  <c r="Z117" i="2"/>
  <c r="Z106" i="2"/>
  <c r="E919" i="2"/>
  <c r="F919" i="2"/>
  <c r="G919" i="2"/>
  <c r="H919" i="2"/>
  <c r="I919" i="2"/>
  <c r="J919" i="2"/>
  <c r="K919" i="2"/>
  <c r="D919" i="2"/>
  <c r="E886" i="2"/>
  <c r="F886" i="2"/>
  <c r="G886" i="2"/>
  <c r="H886" i="2"/>
  <c r="I886" i="2"/>
  <c r="J886" i="2"/>
  <c r="K886" i="2"/>
  <c r="D886" i="2"/>
  <c r="E853" i="2"/>
  <c r="F853" i="2"/>
  <c r="G853" i="2"/>
  <c r="H853" i="2"/>
  <c r="I853" i="2"/>
  <c r="J853" i="2"/>
  <c r="K853" i="2"/>
  <c r="D853" i="2"/>
  <c r="E820" i="2"/>
  <c r="F820" i="2"/>
  <c r="G820" i="2"/>
  <c r="H820" i="2"/>
  <c r="I820" i="2"/>
  <c r="J820" i="2"/>
  <c r="K820" i="2"/>
  <c r="D820" i="2"/>
  <c r="E787" i="2"/>
  <c r="F787" i="2"/>
  <c r="G787" i="2"/>
  <c r="H787" i="2"/>
  <c r="I787" i="2"/>
  <c r="J787" i="2"/>
  <c r="K787" i="2"/>
  <c r="D787" i="2"/>
  <c r="E754" i="2"/>
  <c r="F754" i="2"/>
  <c r="G754" i="2"/>
  <c r="H754" i="2"/>
  <c r="I754" i="2"/>
  <c r="J754" i="2"/>
  <c r="K754" i="2"/>
  <c r="D754" i="2"/>
  <c r="E721" i="2"/>
  <c r="F721" i="2"/>
  <c r="G721" i="2"/>
  <c r="H721" i="2"/>
  <c r="I721" i="2"/>
  <c r="J721" i="2"/>
  <c r="K721" i="2"/>
  <c r="D721" i="2"/>
  <c r="E688" i="2"/>
  <c r="F688" i="2"/>
  <c r="G688" i="2"/>
  <c r="H688" i="2"/>
  <c r="I688" i="2"/>
  <c r="J688" i="2"/>
  <c r="K688" i="2"/>
  <c r="D688" i="2"/>
  <c r="E655" i="2"/>
  <c r="F655" i="2"/>
  <c r="G655" i="2"/>
  <c r="H655" i="2"/>
  <c r="I655" i="2"/>
  <c r="J655" i="2"/>
  <c r="K655" i="2"/>
  <c r="D655" i="2"/>
  <c r="E622" i="2"/>
  <c r="F622" i="2"/>
  <c r="G622" i="2"/>
  <c r="H622" i="2"/>
  <c r="I622" i="2"/>
  <c r="J622" i="2"/>
  <c r="K622" i="2"/>
  <c r="D622" i="2"/>
  <c r="E589" i="2"/>
  <c r="F589" i="2"/>
  <c r="G589" i="2"/>
  <c r="H589" i="2"/>
  <c r="I589" i="2"/>
  <c r="J589" i="2"/>
  <c r="K589" i="2"/>
  <c r="D589" i="2"/>
  <c r="E556" i="2"/>
  <c r="F556" i="2"/>
  <c r="G556" i="2"/>
  <c r="H556" i="2"/>
  <c r="I556" i="2"/>
  <c r="J556" i="2"/>
  <c r="K556" i="2"/>
  <c r="D556" i="2"/>
  <c r="E523" i="2"/>
  <c r="F523" i="2"/>
  <c r="G523" i="2"/>
  <c r="H523" i="2"/>
  <c r="I523" i="2"/>
  <c r="J523" i="2"/>
  <c r="K523" i="2"/>
  <c r="D523" i="2"/>
  <c r="E490" i="2"/>
  <c r="F490" i="2"/>
  <c r="G490" i="2"/>
  <c r="H490" i="2"/>
  <c r="I490" i="2"/>
  <c r="J490" i="2"/>
  <c r="K490" i="2"/>
  <c r="D490" i="2"/>
  <c r="E457" i="2"/>
  <c r="F457" i="2"/>
  <c r="G457" i="2"/>
  <c r="H457" i="2"/>
  <c r="I457" i="2"/>
  <c r="J457" i="2"/>
  <c r="K457" i="2"/>
  <c r="D457" i="2"/>
  <c r="E424" i="2"/>
  <c r="F424" i="2"/>
  <c r="G424" i="2"/>
  <c r="H424" i="2"/>
  <c r="I424" i="2"/>
  <c r="J424" i="2"/>
  <c r="K424" i="2"/>
  <c r="D424" i="2"/>
  <c r="E391" i="2"/>
  <c r="F391" i="2"/>
  <c r="G391" i="2"/>
  <c r="H391" i="2"/>
  <c r="I391" i="2"/>
  <c r="J391" i="2"/>
  <c r="K391" i="2"/>
  <c r="D391" i="2"/>
  <c r="E358" i="2"/>
  <c r="F358" i="2"/>
  <c r="G358" i="2"/>
  <c r="H358" i="2"/>
  <c r="I358" i="2"/>
  <c r="J358" i="2"/>
  <c r="K358" i="2"/>
  <c r="D358" i="2"/>
  <c r="E325" i="2"/>
  <c r="F325" i="2"/>
  <c r="G325" i="2"/>
  <c r="H325" i="2"/>
  <c r="I325" i="2"/>
  <c r="J325" i="2"/>
  <c r="K325" i="2"/>
  <c r="D325" i="2"/>
  <c r="E292" i="2"/>
  <c r="F292" i="2"/>
  <c r="G292" i="2"/>
  <c r="H292" i="2"/>
  <c r="I292" i="2"/>
  <c r="J292" i="2"/>
  <c r="K292" i="2"/>
  <c r="D292" i="2"/>
  <c r="E259" i="2"/>
  <c r="F259" i="2"/>
  <c r="G259" i="2"/>
  <c r="H259" i="2"/>
  <c r="I259" i="2"/>
  <c r="J259" i="2"/>
  <c r="K259" i="2"/>
  <c r="D259" i="2"/>
  <c r="Y259" i="2" l="1"/>
  <c r="Y292" i="2"/>
  <c r="Y358" i="2"/>
  <c r="Y457" i="2"/>
  <c r="Y556" i="2"/>
  <c r="Y655" i="2"/>
  <c r="Y688" i="2"/>
  <c r="Y754" i="2"/>
  <c r="Y853" i="2"/>
  <c r="Y919" i="2"/>
  <c r="Y325" i="2"/>
  <c r="Y391" i="2"/>
  <c r="Y424" i="2"/>
  <c r="Y490" i="2"/>
  <c r="Y523" i="2"/>
  <c r="Y589" i="2"/>
  <c r="Y622" i="2"/>
  <c r="Y721" i="2"/>
  <c r="Y787" i="2"/>
  <c r="Y820" i="2"/>
  <c r="Y886" i="2"/>
  <c r="K918" i="2"/>
  <c r="J918" i="2"/>
  <c r="I918" i="2"/>
  <c r="H918" i="2"/>
  <c r="G918" i="2"/>
  <c r="F918" i="2"/>
  <c r="E918" i="2"/>
  <c r="D918" i="2"/>
  <c r="K916" i="2"/>
  <c r="J916" i="2"/>
  <c r="I916" i="2"/>
  <c r="H916" i="2"/>
  <c r="G916" i="2"/>
  <c r="F916" i="2"/>
  <c r="E916" i="2"/>
  <c r="D916" i="2"/>
  <c r="K915" i="2"/>
  <c r="J915" i="2"/>
  <c r="I915" i="2"/>
  <c r="H915" i="2"/>
  <c r="G915" i="2"/>
  <c r="F915" i="2"/>
  <c r="E915" i="2"/>
  <c r="D915" i="2"/>
  <c r="K914" i="2"/>
  <c r="J914" i="2"/>
  <c r="I914" i="2"/>
  <c r="H914" i="2"/>
  <c r="G914" i="2"/>
  <c r="F914" i="2"/>
  <c r="E914" i="2"/>
  <c r="D914" i="2"/>
  <c r="K913" i="2"/>
  <c r="J913" i="2"/>
  <c r="I913" i="2"/>
  <c r="H913" i="2"/>
  <c r="G913" i="2"/>
  <c r="F913" i="2"/>
  <c r="E913" i="2"/>
  <c r="D913" i="2"/>
  <c r="K912" i="2"/>
  <c r="J912" i="2"/>
  <c r="I912" i="2"/>
  <c r="H912" i="2"/>
  <c r="G912" i="2"/>
  <c r="F912" i="2"/>
  <c r="E912" i="2"/>
  <c r="D912" i="2"/>
  <c r="K911" i="2"/>
  <c r="J911" i="2"/>
  <c r="I911" i="2"/>
  <c r="H911" i="2"/>
  <c r="G911" i="2"/>
  <c r="F911" i="2"/>
  <c r="E911" i="2"/>
  <c r="D911" i="2"/>
  <c r="K910" i="2"/>
  <c r="J910" i="2"/>
  <c r="I910" i="2"/>
  <c r="H910" i="2"/>
  <c r="G910" i="2"/>
  <c r="F910" i="2"/>
  <c r="E910" i="2"/>
  <c r="D910" i="2"/>
  <c r="K909" i="2"/>
  <c r="J909" i="2"/>
  <c r="I909" i="2"/>
  <c r="H909" i="2"/>
  <c r="G909" i="2"/>
  <c r="F909" i="2"/>
  <c r="E909" i="2"/>
  <c r="D909" i="2"/>
  <c r="K908" i="2"/>
  <c r="J908" i="2"/>
  <c r="I908" i="2"/>
  <c r="H908" i="2"/>
  <c r="G908" i="2"/>
  <c r="F908" i="2"/>
  <c r="E908" i="2"/>
  <c r="D908" i="2"/>
  <c r="K907" i="2"/>
  <c r="J907" i="2"/>
  <c r="I907" i="2"/>
  <c r="H907" i="2"/>
  <c r="G907" i="2"/>
  <c r="F907" i="2"/>
  <c r="E907" i="2"/>
  <c r="D907" i="2"/>
  <c r="K906" i="2"/>
  <c r="J906" i="2"/>
  <c r="I906" i="2"/>
  <c r="H906" i="2"/>
  <c r="G906" i="2"/>
  <c r="F906" i="2"/>
  <c r="E906" i="2"/>
  <c r="D906" i="2"/>
  <c r="K905" i="2"/>
  <c r="J905" i="2"/>
  <c r="I905" i="2"/>
  <c r="H905" i="2"/>
  <c r="G905" i="2"/>
  <c r="F905" i="2"/>
  <c r="E905" i="2"/>
  <c r="D905" i="2"/>
  <c r="K904" i="2"/>
  <c r="J904" i="2"/>
  <c r="I904" i="2"/>
  <c r="H904" i="2"/>
  <c r="G904" i="2"/>
  <c r="F904" i="2"/>
  <c r="E904" i="2"/>
  <c r="D904" i="2"/>
  <c r="K903" i="2"/>
  <c r="J903" i="2"/>
  <c r="I903" i="2"/>
  <c r="H903" i="2"/>
  <c r="G903" i="2"/>
  <c r="F903" i="2"/>
  <c r="E903" i="2"/>
  <c r="D903" i="2"/>
  <c r="K902" i="2"/>
  <c r="J902" i="2"/>
  <c r="I902" i="2"/>
  <c r="H902" i="2"/>
  <c r="G902" i="2"/>
  <c r="F902" i="2"/>
  <c r="E902" i="2"/>
  <c r="D902" i="2"/>
  <c r="K901" i="2"/>
  <c r="J901" i="2"/>
  <c r="I901" i="2"/>
  <c r="H901" i="2"/>
  <c r="G901" i="2"/>
  <c r="F901" i="2"/>
  <c r="E901" i="2"/>
  <c r="D901" i="2"/>
  <c r="K900" i="2"/>
  <c r="J900" i="2"/>
  <c r="I900" i="2"/>
  <c r="H900" i="2"/>
  <c r="G900" i="2"/>
  <c r="F900" i="2"/>
  <c r="E900" i="2"/>
  <c r="D900" i="2"/>
  <c r="K899" i="2"/>
  <c r="J899" i="2"/>
  <c r="I899" i="2"/>
  <c r="H899" i="2"/>
  <c r="G899" i="2"/>
  <c r="F899" i="2"/>
  <c r="E899" i="2"/>
  <c r="D899" i="2"/>
  <c r="K898" i="2"/>
  <c r="J898" i="2"/>
  <c r="I898" i="2"/>
  <c r="H898" i="2"/>
  <c r="G898" i="2"/>
  <c r="F898" i="2"/>
  <c r="E898" i="2"/>
  <c r="D898" i="2"/>
  <c r="K897" i="2"/>
  <c r="J897" i="2"/>
  <c r="I897" i="2"/>
  <c r="H897" i="2"/>
  <c r="G897" i="2"/>
  <c r="F897" i="2"/>
  <c r="E897" i="2"/>
  <c r="D897" i="2"/>
  <c r="K896" i="2"/>
  <c r="J896" i="2"/>
  <c r="I896" i="2"/>
  <c r="H896" i="2"/>
  <c r="G896" i="2"/>
  <c r="F896" i="2"/>
  <c r="E896" i="2"/>
  <c r="D896" i="2"/>
  <c r="K895" i="2"/>
  <c r="J895" i="2"/>
  <c r="I895" i="2"/>
  <c r="H895" i="2"/>
  <c r="G895" i="2"/>
  <c r="F895" i="2"/>
  <c r="E895" i="2"/>
  <c r="D895" i="2"/>
  <c r="K894" i="2"/>
  <c r="J894" i="2"/>
  <c r="I894" i="2"/>
  <c r="H894" i="2"/>
  <c r="G894" i="2"/>
  <c r="F894" i="2"/>
  <c r="E894" i="2"/>
  <c r="D894" i="2"/>
  <c r="K893" i="2"/>
  <c r="K922" i="2" s="1"/>
  <c r="J893" i="2"/>
  <c r="J922" i="2" s="1"/>
  <c r="I893" i="2"/>
  <c r="I922" i="2" s="1"/>
  <c r="H893" i="2"/>
  <c r="H922" i="2" s="1"/>
  <c r="G893" i="2"/>
  <c r="G922" i="2" s="1"/>
  <c r="F893" i="2"/>
  <c r="F922" i="2" s="1"/>
  <c r="E893" i="2"/>
  <c r="E922" i="2" s="1"/>
  <c r="D893" i="2"/>
  <c r="D922" i="2" s="1"/>
  <c r="K885" i="2"/>
  <c r="J885" i="2"/>
  <c r="I885" i="2"/>
  <c r="H885" i="2"/>
  <c r="G885" i="2"/>
  <c r="F885" i="2"/>
  <c r="E885" i="2"/>
  <c r="D885" i="2"/>
  <c r="K883" i="2"/>
  <c r="J883" i="2"/>
  <c r="I883" i="2"/>
  <c r="H883" i="2"/>
  <c r="G883" i="2"/>
  <c r="F883" i="2"/>
  <c r="E883" i="2"/>
  <c r="D883" i="2"/>
  <c r="K882" i="2"/>
  <c r="J882" i="2"/>
  <c r="I882" i="2"/>
  <c r="H882" i="2"/>
  <c r="G882" i="2"/>
  <c r="F882" i="2"/>
  <c r="E882" i="2"/>
  <c r="D882" i="2"/>
  <c r="K881" i="2"/>
  <c r="J881" i="2"/>
  <c r="I881" i="2"/>
  <c r="H881" i="2"/>
  <c r="G881" i="2"/>
  <c r="F881" i="2"/>
  <c r="E881" i="2"/>
  <c r="D881" i="2"/>
  <c r="K880" i="2"/>
  <c r="J880" i="2"/>
  <c r="I880" i="2"/>
  <c r="H880" i="2"/>
  <c r="G880" i="2"/>
  <c r="F880" i="2"/>
  <c r="E880" i="2"/>
  <c r="D880" i="2"/>
  <c r="K879" i="2"/>
  <c r="J879" i="2"/>
  <c r="I879" i="2"/>
  <c r="H879" i="2"/>
  <c r="G879" i="2"/>
  <c r="F879" i="2"/>
  <c r="E879" i="2"/>
  <c r="D879" i="2"/>
  <c r="K878" i="2"/>
  <c r="J878" i="2"/>
  <c r="I878" i="2"/>
  <c r="H878" i="2"/>
  <c r="G878" i="2"/>
  <c r="F878" i="2"/>
  <c r="E878" i="2"/>
  <c r="D878" i="2"/>
  <c r="K877" i="2"/>
  <c r="J877" i="2"/>
  <c r="I877" i="2"/>
  <c r="H877" i="2"/>
  <c r="G877" i="2"/>
  <c r="F877" i="2"/>
  <c r="E877" i="2"/>
  <c r="D877" i="2"/>
  <c r="K876" i="2"/>
  <c r="J876" i="2"/>
  <c r="I876" i="2"/>
  <c r="H876" i="2"/>
  <c r="G876" i="2"/>
  <c r="F876" i="2"/>
  <c r="E876" i="2"/>
  <c r="D876" i="2"/>
  <c r="K875" i="2"/>
  <c r="J875" i="2"/>
  <c r="I875" i="2"/>
  <c r="H875" i="2"/>
  <c r="G875" i="2"/>
  <c r="F875" i="2"/>
  <c r="E875" i="2"/>
  <c r="D875" i="2"/>
  <c r="K874" i="2"/>
  <c r="J874" i="2"/>
  <c r="I874" i="2"/>
  <c r="H874" i="2"/>
  <c r="G874" i="2"/>
  <c r="F874" i="2"/>
  <c r="E874" i="2"/>
  <c r="D874" i="2"/>
  <c r="K873" i="2"/>
  <c r="J873" i="2"/>
  <c r="I873" i="2"/>
  <c r="H873" i="2"/>
  <c r="G873" i="2"/>
  <c r="F873" i="2"/>
  <c r="E873" i="2"/>
  <c r="D873" i="2"/>
  <c r="K872" i="2"/>
  <c r="J872" i="2"/>
  <c r="I872" i="2"/>
  <c r="H872" i="2"/>
  <c r="G872" i="2"/>
  <c r="F872" i="2"/>
  <c r="E872" i="2"/>
  <c r="D872" i="2"/>
  <c r="K871" i="2"/>
  <c r="J871" i="2"/>
  <c r="I871" i="2"/>
  <c r="H871" i="2"/>
  <c r="G871" i="2"/>
  <c r="F871" i="2"/>
  <c r="E871" i="2"/>
  <c r="D871" i="2"/>
  <c r="K870" i="2"/>
  <c r="J870" i="2"/>
  <c r="I870" i="2"/>
  <c r="H870" i="2"/>
  <c r="G870" i="2"/>
  <c r="F870" i="2"/>
  <c r="E870" i="2"/>
  <c r="D870" i="2"/>
  <c r="K869" i="2"/>
  <c r="J869" i="2"/>
  <c r="I869" i="2"/>
  <c r="H869" i="2"/>
  <c r="G869" i="2"/>
  <c r="F869" i="2"/>
  <c r="E869" i="2"/>
  <c r="D869" i="2"/>
  <c r="K868" i="2"/>
  <c r="J868" i="2"/>
  <c r="I868" i="2"/>
  <c r="H868" i="2"/>
  <c r="G868" i="2"/>
  <c r="F868" i="2"/>
  <c r="E868" i="2"/>
  <c r="D868" i="2"/>
  <c r="K867" i="2"/>
  <c r="J867" i="2"/>
  <c r="I867" i="2"/>
  <c r="H867" i="2"/>
  <c r="G867" i="2"/>
  <c r="F867" i="2"/>
  <c r="E867" i="2"/>
  <c r="D867" i="2"/>
  <c r="K866" i="2"/>
  <c r="J866" i="2"/>
  <c r="I866" i="2"/>
  <c r="H866" i="2"/>
  <c r="G866" i="2"/>
  <c r="F866" i="2"/>
  <c r="E866" i="2"/>
  <c r="D866" i="2"/>
  <c r="K865" i="2"/>
  <c r="J865" i="2"/>
  <c r="I865" i="2"/>
  <c r="H865" i="2"/>
  <c r="G865" i="2"/>
  <c r="F865" i="2"/>
  <c r="E865" i="2"/>
  <c r="D865" i="2"/>
  <c r="K864" i="2"/>
  <c r="J864" i="2"/>
  <c r="I864" i="2"/>
  <c r="H864" i="2"/>
  <c r="G864" i="2"/>
  <c r="F864" i="2"/>
  <c r="E864" i="2"/>
  <c r="D864" i="2"/>
  <c r="K863" i="2"/>
  <c r="J863" i="2"/>
  <c r="I863" i="2"/>
  <c r="H863" i="2"/>
  <c r="G863" i="2"/>
  <c r="F863" i="2"/>
  <c r="E863" i="2"/>
  <c r="D863" i="2"/>
  <c r="K862" i="2"/>
  <c r="J862" i="2"/>
  <c r="I862" i="2"/>
  <c r="H862" i="2"/>
  <c r="G862" i="2"/>
  <c r="F862" i="2"/>
  <c r="E862" i="2"/>
  <c r="D862" i="2"/>
  <c r="K861" i="2"/>
  <c r="J861" i="2"/>
  <c r="I861" i="2"/>
  <c r="H861" i="2"/>
  <c r="G861" i="2"/>
  <c r="F861" i="2"/>
  <c r="E861" i="2"/>
  <c r="D861" i="2"/>
  <c r="K860" i="2"/>
  <c r="K889" i="2" s="1"/>
  <c r="J860" i="2"/>
  <c r="J889" i="2" s="1"/>
  <c r="I860" i="2"/>
  <c r="I889" i="2" s="1"/>
  <c r="H860" i="2"/>
  <c r="H889" i="2" s="1"/>
  <c r="G860" i="2"/>
  <c r="G889" i="2" s="1"/>
  <c r="F860" i="2"/>
  <c r="F889" i="2" s="1"/>
  <c r="E860" i="2"/>
  <c r="E889" i="2" s="1"/>
  <c r="D860" i="2"/>
  <c r="D889" i="2" s="1"/>
  <c r="K852" i="2"/>
  <c r="J852" i="2"/>
  <c r="I852" i="2"/>
  <c r="H852" i="2"/>
  <c r="G852" i="2"/>
  <c r="F852" i="2"/>
  <c r="E852" i="2"/>
  <c r="D852" i="2"/>
  <c r="K850" i="2"/>
  <c r="J850" i="2"/>
  <c r="I850" i="2"/>
  <c r="H850" i="2"/>
  <c r="G850" i="2"/>
  <c r="F850" i="2"/>
  <c r="E850" i="2"/>
  <c r="D850" i="2"/>
  <c r="K849" i="2"/>
  <c r="J849" i="2"/>
  <c r="I849" i="2"/>
  <c r="H849" i="2"/>
  <c r="G849" i="2"/>
  <c r="F849" i="2"/>
  <c r="E849" i="2"/>
  <c r="D849" i="2"/>
  <c r="K848" i="2"/>
  <c r="J848" i="2"/>
  <c r="I848" i="2"/>
  <c r="H848" i="2"/>
  <c r="G848" i="2"/>
  <c r="F848" i="2"/>
  <c r="E848" i="2"/>
  <c r="D848" i="2"/>
  <c r="K847" i="2"/>
  <c r="J847" i="2"/>
  <c r="I847" i="2"/>
  <c r="H847" i="2"/>
  <c r="G847" i="2"/>
  <c r="F847" i="2"/>
  <c r="E847" i="2"/>
  <c r="D847" i="2"/>
  <c r="K846" i="2"/>
  <c r="J846" i="2"/>
  <c r="I846" i="2"/>
  <c r="H846" i="2"/>
  <c r="G846" i="2"/>
  <c r="F846" i="2"/>
  <c r="E846" i="2"/>
  <c r="D846" i="2"/>
  <c r="K845" i="2"/>
  <c r="J845" i="2"/>
  <c r="I845" i="2"/>
  <c r="H845" i="2"/>
  <c r="G845" i="2"/>
  <c r="F845" i="2"/>
  <c r="E845" i="2"/>
  <c r="D845" i="2"/>
  <c r="K844" i="2"/>
  <c r="J844" i="2"/>
  <c r="I844" i="2"/>
  <c r="H844" i="2"/>
  <c r="G844" i="2"/>
  <c r="F844" i="2"/>
  <c r="E844" i="2"/>
  <c r="D844" i="2"/>
  <c r="K843" i="2"/>
  <c r="J843" i="2"/>
  <c r="I843" i="2"/>
  <c r="H843" i="2"/>
  <c r="G843" i="2"/>
  <c r="F843" i="2"/>
  <c r="E843" i="2"/>
  <c r="D843" i="2"/>
  <c r="K842" i="2"/>
  <c r="J842" i="2"/>
  <c r="I842" i="2"/>
  <c r="H842" i="2"/>
  <c r="G842" i="2"/>
  <c r="F842" i="2"/>
  <c r="E842" i="2"/>
  <c r="D842" i="2"/>
  <c r="K841" i="2"/>
  <c r="J841" i="2"/>
  <c r="I841" i="2"/>
  <c r="H841" i="2"/>
  <c r="G841" i="2"/>
  <c r="F841" i="2"/>
  <c r="E841" i="2"/>
  <c r="D841" i="2"/>
  <c r="K840" i="2"/>
  <c r="J840" i="2"/>
  <c r="I840" i="2"/>
  <c r="H840" i="2"/>
  <c r="G840" i="2"/>
  <c r="F840" i="2"/>
  <c r="E840" i="2"/>
  <c r="D840" i="2"/>
  <c r="K839" i="2"/>
  <c r="J839" i="2"/>
  <c r="I839" i="2"/>
  <c r="H839" i="2"/>
  <c r="G839" i="2"/>
  <c r="F839" i="2"/>
  <c r="E839" i="2"/>
  <c r="D839" i="2"/>
  <c r="K838" i="2"/>
  <c r="J838" i="2"/>
  <c r="I838" i="2"/>
  <c r="H838" i="2"/>
  <c r="G838" i="2"/>
  <c r="F838" i="2"/>
  <c r="E838" i="2"/>
  <c r="D838" i="2"/>
  <c r="K837" i="2"/>
  <c r="J837" i="2"/>
  <c r="I837" i="2"/>
  <c r="H837" i="2"/>
  <c r="G837" i="2"/>
  <c r="F837" i="2"/>
  <c r="E837" i="2"/>
  <c r="D837" i="2"/>
  <c r="K836" i="2"/>
  <c r="J836" i="2"/>
  <c r="I836" i="2"/>
  <c r="H836" i="2"/>
  <c r="G836" i="2"/>
  <c r="F836" i="2"/>
  <c r="E836" i="2"/>
  <c r="D836" i="2"/>
  <c r="K835" i="2"/>
  <c r="J835" i="2"/>
  <c r="I835" i="2"/>
  <c r="H835" i="2"/>
  <c r="G835" i="2"/>
  <c r="F835" i="2"/>
  <c r="E835" i="2"/>
  <c r="D835" i="2"/>
  <c r="K834" i="2"/>
  <c r="J834" i="2"/>
  <c r="I834" i="2"/>
  <c r="H834" i="2"/>
  <c r="G834" i="2"/>
  <c r="F834" i="2"/>
  <c r="E834" i="2"/>
  <c r="D834" i="2"/>
  <c r="K833" i="2"/>
  <c r="J833" i="2"/>
  <c r="I833" i="2"/>
  <c r="H833" i="2"/>
  <c r="G833" i="2"/>
  <c r="F833" i="2"/>
  <c r="E833" i="2"/>
  <c r="D833" i="2"/>
  <c r="K832" i="2"/>
  <c r="J832" i="2"/>
  <c r="I832" i="2"/>
  <c r="H832" i="2"/>
  <c r="G832" i="2"/>
  <c r="F832" i="2"/>
  <c r="E832" i="2"/>
  <c r="D832" i="2"/>
  <c r="K831" i="2"/>
  <c r="J831" i="2"/>
  <c r="I831" i="2"/>
  <c r="H831" i="2"/>
  <c r="G831" i="2"/>
  <c r="F831" i="2"/>
  <c r="E831" i="2"/>
  <c r="D831" i="2"/>
  <c r="K830" i="2"/>
  <c r="J830" i="2"/>
  <c r="I830" i="2"/>
  <c r="H830" i="2"/>
  <c r="G830" i="2"/>
  <c r="F830" i="2"/>
  <c r="E830" i="2"/>
  <c r="D830" i="2"/>
  <c r="K829" i="2"/>
  <c r="J829" i="2"/>
  <c r="I829" i="2"/>
  <c r="H829" i="2"/>
  <c r="G829" i="2"/>
  <c r="F829" i="2"/>
  <c r="E829" i="2"/>
  <c r="D829" i="2"/>
  <c r="K828" i="2"/>
  <c r="J828" i="2"/>
  <c r="I828" i="2"/>
  <c r="H828" i="2"/>
  <c r="G828" i="2"/>
  <c r="F828" i="2"/>
  <c r="E828" i="2"/>
  <c r="D828" i="2"/>
  <c r="K827" i="2"/>
  <c r="K856" i="2" s="1"/>
  <c r="J827" i="2"/>
  <c r="J856" i="2" s="1"/>
  <c r="I827" i="2"/>
  <c r="I856" i="2" s="1"/>
  <c r="H827" i="2"/>
  <c r="H856" i="2" s="1"/>
  <c r="G827" i="2"/>
  <c r="G856" i="2" s="1"/>
  <c r="F827" i="2"/>
  <c r="F856" i="2" s="1"/>
  <c r="E827" i="2"/>
  <c r="E856" i="2" s="1"/>
  <c r="D827" i="2"/>
  <c r="D856" i="2" s="1"/>
  <c r="K819" i="2"/>
  <c r="J819" i="2"/>
  <c r="I819" i="2"/>
  <c r="H819" i="2"/>
  <c r="G819" i="2"/>
  <c r="F819" i="2"/>
  <c r="E819" i="2"/>
  <c r="D819" i="2"/>
  <c r="K817" i="2"/>
  <c r="J817" i="2"/>
  <c r="I817" i="2"/>
  <c r="H817" i="2"/>
  <c r="G817" i="2"/>
  <c r="F817" i="2"/>
  <c r="E817" i="2"/>
  <c r="D817" i="2"/>
  <c r="K816" i="2"/>
  <c r="J816" i="2"/>
  <c r="I816" i="2"/>
  <c r="H816" i="2"/>
  <c r="G816" i="2"/>
  <c r="F816" i="2"/>
  <c r="E816" i="2"/>
  <c r="D816" i="2"/>
  <c r="K815" i="2"/>
  <c r="J815" i="2"/>
  <c r="I815" i="2"/>
  <c r="H815" i="2"/>
  <c r="G815" i="2"/>
  <c r="F815" i="2"/>
  <c r="E815" i="2"/>
  <c r="D815" i="2"/>
  <c r="K814" i="2"/>
  <c r="J814" i="2"/>
  <c r="I814" i="2"/>
  <c r="H814" i="2"/>
  <c r="G814" i="2"/>
  <c r="F814" i="2"/>
  <c r="E814" i="2"/>
  <c r="D814" i="2"/>
  <c r="K813" i="2"/>
  <c r="J813" i="2"/>
  <c r="I813" i="2"/>
  <c r="H813" i="2"/>
  <c r="G813" i="2"/>
  <c r="F813" i="2"/>
  <c r="E813" i="2"/>
  <c r="D813" i="2"/>
  <c r="K812" i="2"/>
  <c r="J812" i="2"/>
  <c r="I812" i="2"/>
  <c r="H812" i="2"/>
  <c r="G812" i="2"/>
  <c r="F812" i="2"/>
  <c r="E812" i="2"/>
  <c r="D812" i="2"/>
  <c r="K811" i="2"/>
  <c r="J811" i="2"/>
  <c r="I811" i="2"/>
  <c r="H811" i="2"/>
  <c r="G811" i="2"/>
  <c r="F811" i="2"/>
  <c r="E811" i="2"/>
  <c r="D811" i="2"/>
  <c r="K810" i="2"/>
  <c r="J810" i="2"/>
  <c r="I810" i="2"/>
  <c r="H810" i="2"/>
  <c r="G810" i="2"/>
  <c r="F810" i="2"/>
  <c r="E810" i="2"/>
  <c r="D810" i="2"/>
  <c r="K809" i="2"/>
  <c r="J809" i="2"/>
  <c r="I809" i="2"/>
  <c r="H809" i="2"/>
  <c r="G809" i="2"/>
  <c r="F809" i="2"/>
  <c r="E809" i="2"/>
  <c r="D809" i="2"/>
  <c r="K808" i="2"/>
  <c r="J808" i="2"/>
  <c r="I808" i="2"/>
  <c r="H808" i="2"/>
  <c r="G808" i="2"/>
  <c r="F808" i="2"/>
  <c r="E808" i="2"/>
  <c r="D808" i="2"/>
  <c r="K807" i="2"/>
  <c r="J807" i="2"/>
  <c r="I807" i="2"/>
  <c r="H807" i="2"/>
  <c r="G807" i="2"/>
  <c r="F807" i="2"/>
  <c r="E807" i="2"/>
  <c r="D807" i="2"/>
  <c r="K806" i="2"/>
  <c r="J806" i="2"/>
  <c r="I806" i="2"/>
  <c r="H806" i="2"/>
  <c r="G806" i="2"/>
  <c r="F806" i="2"/>
  <c r="E806" i="2"/>
  <c r="D806" i="2"/>
  <c r="K805" i="2"/>
  <c r="J805" i="2"/>
  <c r="I805" i="2"/>
  <c r="H805" i="2"/>
  <c r="G805" i="2"/>
  <c r="F805" i="2"/>
  <c r="E805" i="2"/>
  <c r="D805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K823" i="2" s="1"/>
  <c r="J794" i="2"/>
  <c r="J823" i="2" s="1"/>
  <c r="I794" i="2"/>
  <c r="I823" i="2" s="1"/>
  <c r="H794" i="2"/>
  <c r="H823" i="2" s="1"/>
  <c r="G794" i="2"/>
  <c r="G823" i="2" s="1"/>
  <c r="F794" i="2"/>
  <c r="F823" i="2" s="1"/>
  <c r="E794" i="2"/>
  <c r="E823" i="2" s="1"/>
  <c r="D794" i="2"/>
  <c r="D823" i="2" s="1"/>
  <c r="K786" i="2"/>
  <c r="J786" i="2"/>
  <c r="I786" i="2"/>
  <c r="H786" i="2"/>
  <c r="G786" i="2"/>
  <c r="F786" i="2"/>
  <c r="E786" i="2"/>
  <c r="D786" i="2"/>
  <c r="K784" i="2"/>
  <c r="J784" i="2"/>
  <c r="I784" i="2"/>
  <c r="H784" i="2"/>
  <c r="G784" i="2"/>
  <c r="F784" i="2"/>
  <c r="E784" i="2"/>
  <c r="D784" i="2"/>
  <c r="K783" i="2"/>
  <c r="J783" i="2"/>
  <c r="I783" i="2"/>
  <c r="H783" i="2"/>
  <c r="G783" i="2"/>
  <c r="F783" i="2"/>
  <c r="E783" i="2"/>
  <c r="D783" i="2"/>
  <c r="K782" i="2"/>
  <c r="J782" i="2"/>
  <c r="I782" i="2"/>
  <c r="H782" i="2"/>
  <c r="G782" i="2"/>
  <c r="F782" i="2"/>
  <c r="E782" i="2"/>
  <c r="D782" i="2"/>
  <c r="K781" i="2"/>
  <c r="J781" i="2"/>
  <c r="I781" i="2"/>
  <c r="H781" i="2"/>
  <c r="G781" i="2"/>
  <c r="F781" i="2"/>
  <c r="E781" i="2"/>
  <c r="D781" i="2"/>
  <c r="K780" i="2"/>
  <c r="J780" i="2"/>
  <c r="I780" i="2"/>
  <c r="H780" i="2"/>
  <c r="G780" i="2"/>
  <c r="F780" i="2"/>
  <c r="E780" i="2"/>
  <c r="D780" i="2"/>
  <c r="K779" i="2"/>
  <c r="J779" i="2"/>
  <c r="I779" i="2"/>
  <c r="H779" i="2"/>
  <c r="G779" i="2"/>
  <c r="F779" i="2"/>
  <c r="E779" i="2"/>
  <c r="D779" i="2"/>
  <c r="K778" i="2"/>
  <c r="J778" i="2"/>
  <c r="I778" i="2"/>
  <c r="H778" i="2"/>
  <c r="G778" i="2"/>
  <c r="F778" i="2"/>
  <c r="E778" i="2"/>
  <c r="D778" i="2"/>
  <c r="K777" i="2"/>
  <c r="J777" i="2"/>
  <c r="I777" i="2"/>
  <c r="H777" i="2"/>
  <c r="G777" i="2"/>
  <c r="F777" i="2"/>
  <c r="E777" i="2"/>
  <c r="D777" i="2"/>
  <c r="K776" i="2"/>
  <c r="J776" i="2"/>
  <c r="I776" i="2"/>
  <c r="H776" i="2"/>
  <c r="G776" i="2"/>
  <c r="F776" i="2"/>
  <c r="E776" i="2"/>
  <c r="D776" i="2"/>
  <c r="K775" i="2"/>
  <c r="J775" i="2"/>
  <c r="I775" i="2"/>
  <c r="H775" i="2"/>
  <c r="G775" i="2"/>
  <c r="F775" i="2"/>
  <c r="E775" i="2"/>
  <c r="D775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K790" i="2" s="1"/>
  <c r="J761" i="2"/>
  <c r="J790" i="2" s="1"/>
  <c r="I761" i="2"/>
  <c r="I790" i="2" s="1"/>
  <c r="H761" i="2"/>
  <c r="H790" i="2" s="1"/>
  <c r="G761" i="2"/>
  <c r="G790" i="2" s="1"/>
  <c r="F761" i="2"/>
  <c r="F790" i="2" s="1"/>
  <c r="E761" i="2"/>
  <c r="E790" i="2" s="1"/>
  <c r="D761" i="2"/>
  <c r="D790" i="2" s="1"/>
  <c r="K753" i="2"/>
  <c r="J753" i="2"/>
  <c r="I753" i="2"/>
  <c r="H753" i="2"/>
  <c r="G753" i="2"/>
  <c r="F753" i="2"/>
  <c r="E753" i="2"/>
  <c r="D753" i="2"/>
  <c r="K751" i="2"/>
  <c r="J751" i="2"/>
  <c r="I751" i="2"/>
  <c r="H751" i="2"/>
  <c r="G751" i="2"/>
  <c r="F751" i="2"/>
  <c r="E751" i="2"/>
  <c r="D751" i="2"/>
  <c r="K750" i="2"/>
  <c r="J750" i="2"/>
  <c r="I750" i="2"/>
  <c r="H750" i="2"/>
  <c r="G750" i="2"/>
  <c r="F750" i="2"/>
  <c r="E750" i="2"/>
  <c r="D750" i="2"/>
  <c r="K749" i="2"/>
  <c r="J749" i="2"/>
  <c r="I749" i="2"/>
  <c r="H749" i="2"/>
  <c r="G749" i="2"/>
  <c r="F749" i="2"/>
  <c r="E749" i="2"/>
  <c r="D749" i="2"/>
  <c r="K748" i="2"/>
  <c r="J748" i="2"/>
  <c r="I748" i="2"/>
  <c r="H748" i="2"/>
  <c r="G748" i="2"/>
  <c r="F748" i="2"/>
  <c r="E748" i="2"/>
  <c r="D748" i="2"/>
  <c r="K747" i="2"/>
  <c r="J747" i="2"/>
  <c r="I747" i="2"/>
  <c r="H747" i="2"/>
  <c r="G747" i="2"/>
  <c r="F747" i="2"/>
  <c r="E747" i="2"/>
  <c r="D747" i="2"/>
  <c r="K746" i="2"/>
  <c r="J746" i="2"/>
  <c r="I746" i="2"/>
  <c r="H746" i="2"/>
  <c r="G746" i="2"/>
  <c r="F746" i="2"/>
  <c r="E746" i="2"/>
  <c r="D746" i="2"/>
  <c r="K745" i="2"/>
  <c r="J745" i="2"/>
  <c r="I745" i="2"/>
  <c r="H745" i="2"/>
  <c r="G745" i="2"/>
  <c r="F745" i="2"/>
  <c r="E745" i="2"/>
  <c r="D745" i="2"/>
  <c r="K744" i="2"/>
  <c r="J744" i="2"/>
  <c r="I744" i="2"/>
  <c r="H744" i="2"/>
  <c r="G744" i="2"/>
  <c r="F744" i="2"/>
  <c r="E744" i="2"/>
  <c r="D744" i="2"/>
  <c r="K743" i="2"/>
  <c r="J743" i="2"/>
  <c r="I743" i="2"/>
  <c r="H743" i="2"/>
  <c r="G743" i="2"/>
  <c r="F743" i="2"/>
  <c r="E743" i="2"/>
  <c r="D743" i="2"/>
  <c r="K742" i="2"/>
  <c r="J742" i="2"/>
  <c r="I742" i="2"/>
  <c r="H742" i="2"/>
  <c r="G742" i="2"/>
  <c r="F742" i="2"/>
  <c r="E742" i="2"/>
  <c r="D742" i="2"/>
  <c r="K741" i="2"/>
  <c r="J741" i="2"/>
  <c r="I741" i="2"/>
  <c r="H741" i="2"/>
  <c r="G741" i="2"/>
  <c r="F741" i="2"/>
  <c r="E741" i="2"/>
  <c r="D741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K757" i="2" s="1"/>
  <c r="J728" i="2"/>
  <c r="J757" i="2" s="1"/>
  <c r="I728" i="2"/>
  <c r="I757" i="2" s="1"/>
  <c r="H728" i="2"/>
  <c r="H757" i="2" s="1"/>
  <c r="G728" i="2"/>
  <c r="G757" i="2" s="1"/>
  <c r="F728" i="2"/>
  <c r="F757" i="2" s="1"/>
  <c r="E728" i="2"/>
  <c r="E757" i="2" s="1"/>
  <c r="D728" i="2"/>
  <c r="D757" i="2" s="1"/>
  <c r="K720" i="2"/>
  <c r="J720" i="2"/>
  <c r="I720" i="2"/>
  <c r="H720" i="2"/>
  <c r="G720" i="2"/>
  <c r="F720" i="2"/>
  <c r="E720" i="2"/>
  <c r="D720" i="2"/>
  <c r="K718" i="2"/>
  <c r="J718" i="2"/>
  <c r="I718" i="2"/>
  <c r="H718" i="2"/>
  <c r="G718" i="2"/>
  <c r="F718" i="2"/>
  <c r="E718" i="2"/>
  <c r="D718" i="2"/>
  <c r="K717" i="2"/>
  <c r="J717" i="2"/>
  <c r="I717" i="2"/>
  <c r="H717" i="2"/>
  <c r="G717" i="2"/>
  <c r="F717" i="2"/>
  <c r="E717" i="2"/>
  <c r="D717" i="2"/>
  <c r="K716" i="2"/>
  <c r="J716" i="2"/>
  <c r="I716" i="2"/>
  <c r="H716" i="2"/>
  <c r="G716" i="2"/>
  <c r="F716" i="2"/>
  <c r="E716" i="2"/>
  <c r="D716" i="2"/>
  <c r="K715" i="2"/>
  <c r="J715" i="2"/>
  <c r="I715" i="2"/>
  <c r="H715" i="2"/>
  <c r="G715" i="2"/>
  <c r="F715" i="2"/>
  <c r="E715" i="2"/>
  <c r="D715" i="2"/>
  <c r="K714" i="2"/>
  <c r="J714" i="2"/>
  <c r="I714" i="2"/>
  <c r="H714" i="2"/>
  <c r="G714" i="2"/>
  <c r="F714" i="2"/>
  <c r="E714" i="2"/>
  <c r="D714" i="2"/>
  <c r="K713" i="2"/>
  <c r="J713" i="2"/>
  <c r="I713" i="2"/>
  <c r="H713" i="2"/>
  <c r="G713" i="2"/>
  <c r="F713" i="2"/>
  <c r="E713" i="2"/>
  <c r="D713" i="2"/>
  <c r="K712" i="2"/>
  <c r="J712" i="2"/>
  <c r="I712" i="2"/>
  <c r="H712" i="2"/>
  <c r="G712" i="2"/>
  <c r="F712" i="2"/>
  <c r="E712" i="2"/>
  <c r="D712" i="2"/>
  <c r="K711" i="2"/>
  <c r="J711" i="2"/>
  <c r="I711" i="2"/>
  <c r="H711" i="2"/>
  <c r="G711" i="2"/>
  <c r="F711" i="2"/>
  <c r="E711" i="2"/>
  <c r="D711" i="2"/>
  <c r="K710" i="2"/>
  <c r="J710" i="2"/>
  <c r="I710" i="2"/>
  <c r="H710" i="2"/>
  <c r="G710" i="2"/>
  <c r="F710" i="2"/>
  <c r="E710" i="2"/>
  <c r="D710" i="2"/>
  <c r="K709" i="2"/>
  <c r="J709" i="2"/>
  <c r="I709" i="2"/>
  <c r="H709" i="2"/>
  <c r="G709" i="2"/>
  <c r="F709" i="2"/>
  <c r="E709" i="2"/>
  <c r="D709" i="2"/>
  <c r="K708" i="2"/>
  <c r="J708" i="2"/>
  <c r="I708" i="2"/>
  <c r="H708" i="2"/>
  <c r="G708" i="2"/>
  <c r="F708" i="2"/>
  <c r="E708" i="2"/>
  <c r="D708" i="2"/>
  <c r="K707" i="2"/>
  <c r="J707" i="2"/>
  <c r="I707" i="2"/>
  <c r="H707" i="2"/>
  <c r="G707" i="2"/>
  <c r="F707" i="2"/>
  <c r="E707" i="2"/>
  <c r="D707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J698" i="2"/>
  <c r="I698" i="2"/>
  <c r="H698" i="2"/>
  <c r="G698" i="2"/>
  <c r="F698" i="2"/>
  <c r="E698" i="2"/>
  <c r="D698" i="2"/>
  <c r="K697" i="2"/>
  <c r="J697" i="2"/>
  <c r="I697" i="2"/>
  <c r="H697" i="2"/>
  <c r="G697" i="2"/>
  <c r="F697" i="2"/>
  <c r="E697" i="2"/>
  <c r="D697" i="2"/>
  <c r="K696" i="2"/>
  <c r="J696" i="2"/>
  <c r="I696" i="2"/>
  <c r="H696" i="2"/>
  <c r="G696" i="2"/>
  <c r="F696" i="2"/>
  <c r="E696" i="2"/>
  <c r="D696" i="2"/>
  <c r="K695" i="2"/>
  <c r="K724" i="2" s="1"/>
  <c r="J695" i="2"/>
  <c r="J724" i="2" s="1"/>
  <c r="I695" i="2"/>
  <c r="I724" i="2" s="1"/>
  <c r="H695" i="2"/>
  <c r="H724" i="2" s="1"/>
  <c r="G695" i="2"/>
  <c r="G724" i="2" s="1"/>
  <c r="F695" i="2"/>
  <c r="F724" i="2" s="1"/>
  <c r="E695" i="2"/>
  <c r="E724" i="2" s="1"/>
  <c r="D695" i="2"/>
  <c r="D724" i="2" s="1"/>
  <c r="K687" i="2"/>
  <c r="J687" i="2"/>
  <c r="I687" i="2"/>
  <c r="H687" i="2"/>
  <c r="G687" i="2"/>
  <c r="F687" i="2"/>
  <c r="E687" i="2"/>
  <c r="D687" i="2"/>
  <c r="K685" i="2"/>
  <c r="J685" i="2"/>
  <c r="I685" i="2"/>
  <c r="H685" i="2"/>
  <c r="G685" i="2"/>
  <c r="F685" i="2"/>
  <c r="E685" i="2"/>
  <c r="D685" i="2"/>
  <c r="K684" i="2"/>
  <c r="J684" i="2"/>
  <c r="I684" i="2"/>
  <c r="H684" i="2"/>
  <c r="G684" i="2"/>
  <c r="F684" i="2"/>
  <c r="E684" i="2"/>
  <c r="D684" i="2"/>
  <c r="K683" i="2"/>
  <c r="J683" i="2"/>
  <c r="I683" i="2"/>
  <c r="H683" i="2"/>
  <c r="G683" i="2"/>
  <c r="F683" i="2"/>
  <c r="E683" i="2"/>
  <c r="D683" i="2"/>
  <c r="K682" i="2"/>
  <c r="J682" i="2"/>
  <c r="I682" i="2"/>
  <c r="H682" i="2"/>
  <c r="G682" i="2"/>
  <c r="F682" i="2"/>
  <c r="E682" i="2"/>
  <c r="D682" i="2"/>
  <c r="K681" i="2"/>
  <c r="J681" i="2"/>
  <c r="I681" i="2"/>
  <c r="H681" i="2"/>
  <c r="G681" i="2"/>
  <c r="F681" i="2"/>
  <c r="E681" i="2"/>
  <c r="D681" i="2"/>
  <c r="K680" i="2"/>
  <c r="J680" i="2"/>
  <c r="I680" i="2"/>
  <c r="H680" i="2"/>
  <c r="G680" i="2"/>
  <c r="F680" i="2"/>
  <c r="E680" i="2"/>
  <c r="D680" i="2"/>
  <c r="K679" i="2"/>
  <c r="J679" i="2"/>
  <c r="I679" i="2"/>
  <c r="H679" i="2"/>
  <c r="G679" i="2"/>
  <c r="F679" i="2"/>
  <c r="E679" i="2"/>
  <c r="D679" i="2"/>
  <c r="K678" i="2"/>
  <c r="J678" i="2"/>
  <c r="I678" i="2"/>
  <c r="H678" i="2"/>
  <c r="G678" i="2"/>
  <c r="F678" i="2"/>
  <c r="E678" i="2"/>
  <c r="D678" i="2"/>
  <c r="K677" i="2"/>
  <c r="J677" i="2"/>
  <c r="I677" i="2"/>
  <c r="H677" i="2"/>
  <c r="G677" i="2"/>
  <c r="F677" i="2"/>
  <c r="E677" i="2"/>
  <c r="D677" i="2"/>
  <c r="K676" i="2"/>
  <c r="J676" i="2"/>
  <c r="I676" i="2"/>
  <c r="H676" i="2"/>
  <c r="G676" i="2"/>
  <c r="F676" i="2"/>
  <c r="E676" i="2"/>
  <c r="D676" i="2"/>
  <c r="K675" i="2"/>
  <c r="J675" i="2"/>
  <c r="I675" i="2"/>
  <c r="H675" i="2"/>
  <c r="G675" i="2"/>
  <c r="F675" i="2"/>
  <c r="E675" i="2"/>
  <c r="D675" i="2"/>
  <c r="K674" i="2"/>
  <c r="J674" i="2"/>
  <c r="I674" i="2"/>
  <c r="H674" i="2"/>
  <c r="G674" i="2"/>
  <c r="F674" i="2"/>
  <c r="E674" i="2"/>
  <c r="D674" i="2"/>
  <c r="K673" i="2"/>
  <c r="J673" i="2"/>
  <c r="I673" i="2"/>
  <c r="H673" i="2"/>
  <c r="G673" i="2"/>
  <c r="F673" i="2"/>
  <c r="E673" i="2"/>
  <c r="D673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J669" i="2"/>
  <c r="I669" i="2"/>
  <c r="H669" i="2"/>
  <c r="G669" i="2"/>
  <c r="F669" i="2"/>
  <c r="E669" i="2"/>
  <c r="D669" i="2"/>
  <c r="K668" i="2"/>
  <c r="J668" i="2"/>
  <c r="I668" i="2"/>
  <c r="H668" i="2"/>
  <c r="G668" i="2"/>
  <c r="F668" i="2"/>
  <c r="E668" i="2"/>
  <c r="D668" i="2"/>
  <c r="K667" i="2"/>
  <c r="J667" i="2"/>
  <c r="I667" i="2"/>
  <c r="H667" i="2"/>
  <c r="G667" i="2"/>
  <c r="F667" i="2"/>
  <c r="E667" i="2"/>
  <c r="D667" i="2"/>
  <c r="K666" i="2"/>
  <c r="J666" i="2"/>
  <c r="I666" i="2"/>
  <c r="H666" i="2"/>
  <c r="G666" i="2"/>
  <c r="F666" i="2"/>
  <c r="E666" i="2"/>
  <c r="D666" i="2"/>
  <c r="K665" i="2"/>
  <c r="J665" i="2"/>
  <c r="I665" i="2"/>
  <c r="H665" i="2"/>
  <c r="G665" i="2"/>
  <c r="F665" i="2"/>
  <c r="E665" i="2"/>
  <c r="D665" i="2"/>
  <c r="K664" i="2"/>
  <c r="J664" i="2"/>
  <c r="I664" i="2"/>
  <c r="H664" i="2"/>
  <c r="G664" i="2"/>
  <c r="F664" i="2"/>
  <c r="E664" i="2"/>
  <c r="D664" i="2"/>
  <c r="K663" i="2"/>
  <c r="J663" i="2"/>
  <c r="I663" i="2"/>
  <c r="H663" i="2"/>
  <c r="G663" i="2"/>
  <c r="F663" i="2"/>
  <c r="E663" i="2"/>
  <c r="D663" i="2"/>
  <c r="K662" i="2"/>
  <c r="K691" i="2" s="1"/>
  <c r="J662" i="2"/>
  <c r="J691" i="2" s="1"/>
  <c r="I662" i="2"/>
  <c r="I691" i="2" s="1"/>
  <c r="H662" i="2"/>
  <c r="H691" i="2" s="1"/>
  <c r="G662" i="2"/>
  <c r="G691" i="2" s="1"/>
  <c r="F662" i="2"/>
  <c r="F691" i="2" s="1"/>
  <c r="E662" i="2"/>
  <c r="E691" i="2" s="1"/>
  <c r="D662" i="2"/>
  <c r="D691" i="2" s="1"/>
  <c r="K654" i="2"/>
  <c r="J654" i="2"/>
  <c r="I654" i="2"/>
  <c r="H654" i="2"/>
  <c r="G654" i="2"/>
  <c r="F654" i="2"/>
  <c r="E654" i="2"/>
  <c r="D654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J650" i="2"/>
  <c r="I650" i="2"/>
  <c r="H650" i="2"/>
  <c r="G650" i="2"/>
  <c r="F650" i="2"/>
  <c r="E650" i="2"/>
  <c r="D650" i="2"/>
  <c r="K649" i="2"/>
  <c r="J649" i="2"/>
  <c r="I649" i="2"/>
  <c r="H649" i="2"/>
  <c r="G649" i="2"/>
  <c r="F649" i="2"/>
  <c r="E649" i="2"/>
  <c r="D649" i="2"/>
  <c r="K648" i="2"/>
  <c r="J648" i="2"/>
  <c r="I648" i="2"/>
  <c r="H648" i="2"/>
  <c r="G648" i="2"/>
  <c r="F648" i="2"/>
  <c r="E648" i="2"/>
  <c r="D648" i="2"/>
  <c r="K647" i="2"/>
  <c r="J647" i="2"/>
  <c r="I647" i="2"/>
  <c r="H647" i="2"/>
  <c r="G647" i="2"/>
  <c r="F647" i="2"/>
  <c r="E647" i="2"/>
  <c r="D647" i="2"/>
  <c r="K646" i="2"/>
  <c r="J646" i="2"/>
  <c r="I646" i="2"/>
  <c r="H646" i="2"/>
  <c r="G646" i="2"/>
  <c r="F646" i="2"/>
  <c r="E646" i="2"/>
  <c r="D646" i="2"/>
  <c r="K645" i="2"/>
  <c r="J645" i="2"/>
  <c r="I645" i="2"/>
  <c r="H645" i="2"/>
  <c r="G645" i="2"/>
  <c r="F645" i="2"/>
  <c r="E645" i="2"/>
  <c r="D645" i="2"/>
  <c r="K644" i="2"/>
  <c r="J644" i="2"/>
  <c r="I644" i="2"/>
  <c r="H644" i="2"/>
  <c r="G644" i="2"/>
  <c r="F644" i="2"/>
  <c r="E644" i="2"/>
  <c r="D644" i="2"/>
  <c r="K643" i="2"/>
  <c r="J643" i="2"/>
  <c r="I643" i="2"/>
  <c r="H643" i="2"/>
  <c r="G643" i="2"/>
  <c r="F643" i="2"/>
  <c r="E643" i="2"/>
  <c r="D643" i="2"/>
  <c r="K642" i="2"/>
  <c r="J642" i="2"/>
  <c r="I642" i="2"/>
  <c r="H642" i="2"/>
  <c r="G642" i="2"/>
  <c r="F642" i="2"/>
  <c r="E642" i="2"/>
  <c r="D642" i="2"/>
  <c r="K641" i="2"/>
  <c r="J641" i="2"/>
  <c r="I641" i="2"/>
  <c r="H641" i="2"/>
  <c r="G641" i="2"/>
  <c r="F641" i="2"/>
  <c r="E641" i="2"/>
  <c r="D641" i="2"/>
  <c r="K640" i="2"/>
  <c r="J640" i="2"/>
  <c r="I640" i="2"/>
  <c r="H640" i="2"/>
  <c r="G640" i="2"/>
  <c r="F640" i="2"/>
  <c r="E640" i="2"/>
  <c r="D640" i="2"/>
  <c r="K639" i="2"/>
  <c r="J639" i="2"/>
  <c r="I639" i="2"/>
  <c r="H639" i="2"/>
  <c r="G639" i="2"/>
  <c r="F639" i="2"/>
  <c r="E639" i="2"/>
  <c r="D639" i="2"/>
  <c r="K638" i="2"/>
  <c r="J638" i="2"/>
  <c r="I638" i="2"/>
  <c r="H638" i="2"/>
  <c r="G638" i="2"/>
  <c r="F638" i="2"/>
  <c r="E638" i="2"/>
  <c r="D638" i="2"/>
  <c r="K637" i="2"/>
  <c r="J637" i="2"/>
  <c r="I637" i="2"/>
  <c r="H637" i="2"/>
  <c r="G637" i="2"/>
  <c r="F637" i="2"/>
  <c r="E637" i="2"/>
  <c r="D637" i="2"/>
  <c r="K636" i="2"/>
  <c r="J636" i="2"/>
  <c r="I636" i="2"/>
  <c r="H636" i="2"/>
  <c r="G636" i="2"/>
  <c r="F636" i="2"/>
  <c r="E636" i="2"/>
  <c r="D636" i="2"/>
  <c r="K635" i="2"/>
  <c r="J635" i="2"/>
  <c r="I635" i="2"/>
  <c r="H635" i="2"/>
  <c r="G635" i="2"/>
  <c r="F635" i="2"/>
  <c r="E635" i="2"/>
  <c r="D635" i="2"/>
  <c r="K634" i="2"/>
  <c r="J634" i="2"/>
  <c r="I634" i="2"/>
  <c r="H634" i="2"/>
  <c r="G634" i="2"/>
  <c r="F634" i="2"/>
  <c r="E634" i="2"/>
  <c r="D634" i="2"/>
  <c r="K633" i="2"/>
  <c r="J633" i="2"/>
  <c r="I633" i="2"/>
  <c r="H633" i="2"/>
  <c r="G633" i="2"/>
  <c r="F633" i="2"/>
  <c r="E633" i="2"/>
  <c r="D633" i="2"/>
  <c r="K632" i="2"/>
  <c r="J632" i="2"/>
  <c r="I632" i="2"/>
  <c r="H632" i="2"/>
  <c r="G632" i="2"/>
  <c r="F632" i="2"/>
  <c r="E632" i="2"/>
  <c r="D632" i="2"/>
  <c r="K631" i="2"/>
  <c r="J631" i="2"/>
  <c r="I631" i="2"/>
  <c r="H631" i="2"/>
  <c r="G631" i="2"/>
  <c r="F631" i="2"/>
  <c r="E631" i="2"/>
  <c r="D631" i="2"/>
  <c r="K630" i="2"/>
  <c r="J630" i="2"/>
  <c r="I630" i="2"/>
  <c r="H630" i="2"/>
  <c r="G630" i="2"/>
  <c r="F630" i="2"/>
  <c r="E630" i="2"/>
  <c r="D630" i="2"/>
  <c r="K629" i="2"/>
  <c r="K658" i="2" s="1"/>
  <c r="J629" i="2"/>
  <c r="J658" i="2" s="1"/>
  <c r="I629" i="2"/>
  <c r="I658" i="2" s="1"/>
  <c r="H629" i="2"/>
  <c r="H658" i="2" s="1"/>
  <c r="G629" i="2"/>
  <c r="G658" i="2" s="1"/>
  <c r="F629" i="2"/>
  <c r="F658" i="2" s="1"/>
  <c r="E629" i="2"/>
  <c r="E658" i="2" s="1"/>
  <c r="D629" i="2"/>
  <c r="D658" i="2" s="1"/>
  <c r="K621" i="2"/>
  <c r="J621" i="2"/>
  <c r="I621" i="2"/>
  <c r="H621" i="2"/>
  <c r="G621" i="2"/>
  <c r="F621" i="2"/>
  <c r="E621" i="2"/>
  <c r="D621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J614" i="2"/>
  <c r="I614" i="2"/>
  <c r="H614" i="2"/>
  <c r="G614" i="2"/>
  <c r="F614" i="2"/>
  <c r="E614" i="2"/>
  <c r="D614" i="2"/>
  <c r="K613" i="2"/>
  <c r="J613" i="2"/>
  <c r="I613" i="2"/>
  <c r="H613" i="2"/>
  <c r="G613" i="2"/>
  <c r="F613" i="2"/>
  <c r="E613" i="2"/>
  <c r="D613" i="2"/>
  <c r="K612" i="2"/>
  <c r="J612" i="2"/>
  <c r="I612" i="2"/>
  <c r="H612" i="2"/>
  <c r="G612" i="2"/>
  <c r="F612" i="2"/>
  <c r="E612" i="2"/>
  <c r="D612" i="2"/>
  <c r="K611" i="2"/>
  <c r="J611" i="2"/>
  <c r="I611" i="2"/>
  <c r="H611" i="2"/>
  <c r="G611" i="2"/>
  <c r="F611" i="2"/>
  <c r="E611" i="2"/>
  <c r="D611" i="2"/>
  <c r="K610" i="2"/>
  <c r="J610" i="2"/>
  <c r="I610" i="2"/>
  <c r="H610" i="2"/>
  <c r="G610" i="2"/>
  <c r="F610" i="2"/>
  <c r="E610" i="2"/>
  <c r="D610" i="2"/>
  <c r="K609" i="2"/>
  <c r="J609" i="2"/>
  <c r="I609" i="2"/>
  <c r="H609" i="2"/>
  <c r="G609" i="2"/>
  <c r="F609" i="2"/>
  <c r="E609" i="2"/>
  <c r="D609" i="2"/>
  <c r="K608" i="2"/>
  <c r="J608" i="2"/>
  <c r="I608" i="2"/>
  <c r="H608" i="2"/>
  <c r="G608" i="2"/>
  <c r="F608" i="2"/>
  <c r="E608" i="2"/>
  <c r="D608" i="2"/>
  <c r="K607" i="2"/>
  <c r="J607" i="2"/>
  <c r="I607" i="2"/>
  <c r="H607" i="2"/>
  <c r="G607" i="2"/>
  <c r="F607" i="2"/>
  <c r="E607" i="2"/>
  <c r="D607" i="2"/>
  <c r="K606" i="2"/>
  <c r="J606" i="2"/>
  <c r="I606" i="2"/>
  <c r="H606" i="2"/>
  <c r="G606" i="2"/>
  <c r="F606" i="2"/>
  <c r="E606" i="2"/>
  <c r="D606" i="2"/>
  <c r="K605" i="2"/>
  <c r="J605" i="2"/>
  <c r="I605" i="2"/>
  <c r="H605" i="2"/>
  <c r="G605" i="2"/>
  <c r="F605" i="2"/>
  <c r="E605" i="2"/>
  <c r="D605" i="2"/>
  <c r="K604" i="2"/>
  <c r="J604" i="2"/>
  <c r="I604" i="2"/>
  <c r="H604" i="2"/>
  <c r="G604" i="2"/>
  <c r="F604" i="2"/>
  <c r="E604" i="2"/>
  <c r="D604" i="2"/>
  <c r="K603" i="2"/>
  <c r="J603" i="2"/>
  <c r="I603" i="2"/>
  <c r="H603" i="2"/>
  <c r="G603" i="2"/>
  <c r="F603" i="2"/>
  <c r="E603" i="2"/>
  <c r="D603" i="2"/>
  <c r="K602" i="2"/>
  <c r="J602" i="2"/>
  <c r="I602" i="2"/>
  <c r="H602" i="2"/>
  <c r="G602" i="2"/>
  <c r="F602" i="2"/>
  <c r="E602" i="2"/>
  <c r="D602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K625" i="2" s="1"/>
  <c r="J596" i="2"/>
  <c r="J625" i="2" s="1"/>
  <c r="I596" i="2"/>
  <c r="I625" i="2" s="1"/>
  <c r="H596" i="2"/>
  <c r="H625" i="2" s="1"/>
  <c r="G596" i="2"/>
  <c r="G625" i="2" s="1"/>
  <c r="F596" i="2"/>
  <c r="F625" i="2" s="1"/>
  <c r="E596" i="2"/>
  <c r="E625" i="2" s="1"/>
  <c r="D596" i="2"/>
  <c r="D625" i="2" s="1"/>
  <c r="K588" i="2"/>
  <c r="J588" i="2"/>
  <c r="I588" i="2"/>
  <c r="H588" i="2"/>
  <c r="G588" i="2"/>
  <c r="F588" i="2"/>
  <c r="E588" i="2"/>
  <c r="D588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J582" i="2"/>
  <c r="I582" i="2"/>
  <c r="H582" i="2"/>
  <c r="G582" i="2"/>
  <c r="F582" i="2"/>
  <c r="E582" i="2"/>
  <c r="D582" i="2"/>
  <c r="K581" i="2"/>
  <c r="J581" i="2"/>
  <c r="I581" i="2"/>
  <c r="H581" i="2"/>
  <c r="G581" i="2"/>
  <c r="F581" i="2"/>
  <c r="E581" i="2"/>
  <c r="D581" i="2"/>
  <c r="K580" i="2"/>
  <c r="J580" i="2"/>
  <c r="I580" i="2"/>
  <c r="H580" i="2"/>
  <c r="G580" i="2"/>
  <c r="F580" i="2"/>
  <c r="E580" i="2"/>
  <c r="D580" i="2"/>
  <c r="K579" i="2"/>
  <c r="J579" i="2"/>
  <c r="I579" i="2"/>
  <c r="H579" i="2"/>
  <c r="G579" i="2"/>
  <c r="F579" i="2"/>
  <c r="E579" i="2"/>
  <c r="D579" i="2"/>
  <c r="K578" i="2"/>
  <c r="J578" i="2"/>
  <c r="I578" i="2"/>
  <c r="H578" i="2"/>
  <c r="G578" i="2"/>
  <c r="F578" i="2"/>
  <c r="E578" i="2"/>
  <c r="D578" i="2"/>
  <c r="K577" i="2"/>
  <c r="J577" i="2"/>
  <c r="I577" i="2"/>
  <c r="H577" i="2"/>
  <c r="G577" i="2"/>
  <c r="F577" i="2"/>
  <c r="E577" i="2"/>
  <c r="D577" i="2"/>
  <c r="K576" i="2"/>
  <c r="J576" i="2"/>
  <c r="I576" i="2"/>
  <c r="H576" i="2"/>
  <c r="G576" i="2"/>
  <c r="F576" i="2"/>
  <c r="E576" i="2"/>
  <c r="D576" i="2"/>
  <c r="K575" i="2"/>
  <c r="J575" i="2"/>
  <c r="I575" i="2"/>
  <c r="H575" i="2"/>
  <c r="G575" i="2"/>
  <c r="F575" i="2"/>
  <c r="E575" i="2"/>
  <c r="D575" i="2"/>
  <c r="K574" i="2"/>
  <c r="J574" i="2"/>
  <c r="I574" i="2"/>
  <c r="H574" i="2"/>
  <c r="G574" i="2"/>
  <c r="F574" i="2"/>
  <c r="E574" i="2"/>
  <c r="D574" i="2"/>
  <c r="K573" i="2"/>
  <c r="J573" i="2"/>
  <c r="I573" i="2"/>
  <c r="H573" i="2"/>
  <c r="G573" i="2"/>
  <c r="F573" i="2"/>
  <c r="E573" i="2"/>
  <c r="D573" i="2"/>
  <c r="K572" i="2"/>
  <c r="J572" i="2"/>
  <c r="I572" i="2"/>
  <c r="H572" i="2"/>
  <c r="G572" i="2"/>
  <c r="F572" i="2"/>
  <c r="E572" i="2"/>
  <c r="D572" i="2"/>
  <c r="K571" i="2"/>
  <c r="J571" i="2"/>
  <c r="I571" i="2"/>
  <c r="H571" i="2"/>
  <c r="G571" i="2"/>
  <c r="F571" i="2"/>
  <c r="E571" i="2"/>
  <c r="D571" i="2"/>
  <c r="K570" i="2"/>
  <c r="J570" i="2"/>
  <c r="I570" i="2"/>
  <c r="H570" i="2"/>
  <c r="G570" i="2"/>
  <c r="F570" i="2"/>
  <c r="E570" i="2"/>
  <c r="D570" i="2"/>
  <c r="K569" i="2"/>
  <c r="J569" i="2"/>
  <c r="I569" i="2"/>
  <c r="H569" i="2"/>
  <c r="G569" i="2"/>
  <c r="F569" i="2"/>
  <c r="E569" i="2"/>
  <c r="D569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G567" i="2"/>
  <c r="F567" i="2"/>
  <c r="E567" i="2"/>
  <c r="D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K592" i="2" s="1"/>
  <c r="J563" i="2"/>
  <c r="J592" i="2" s="1"/>
  <c r="I563" i="2"/>
  <c r="I592" i="2" s="1"/>
  <c r="H563" i="2"/>
  <c r="H592" i="2" s="1"/>
  <c r="G563" i="2"/>
  <c r="G592" i="2" s="1"/>
  <c r="F563" i="2"/>
  <c r="F592" i="2" s="1"/>
  <c r="E563" i="2"/>
  <c r="E592" i="2" s="1"/>
  <c r="D563" i="2"/>
  <c r="D592" i="2" s="1"/>
  <c r="K555" i="2"/>
  <c r="J555" i="2"/>
  <c r="I555" i="2"/>
  <c r="H555" i="2"/>
  <c r="G555" i="2"/>
  <c r="F555" i="2"/>
  <c r="E555" i="2"/>
  <c r="D555" i="2"/>
  <c r="K553" i="2"/>
  <c r="J553" i="2"/>
  <c r="I553" i="2"/>
  <c r="H553" i="2"/>
  <c r="G553" i="2"/>
  <c r="F553" i="2"/>
  <c r="E553" i="2"/>
  <c r="D553" i="2"/>
  <c r="K552" i="2"/>
  <c r="J552" i="2"/>
  <c r="I552" i="2"/>
  <c r="H552" i="2"/>
  <c r="K551" i="2"/>
  <c r="J551" i="2"/>
  <c r="I551" i="2"/>
  <c r="H551" i="2"/>
  <c r="G551" i="2"/>
  <c r="F551" i="2"/>
  <c r="E551" i="2"/>
  <c r="D551" i="2"/>
  <c r="K550" i="2"/>
  <c r="J550" i="2"/>
  <c r="I550" i="2"/>
  <c r="H550" i="2"/>
  <c r="G550" i="2"/>
  <c r="F550" i="2"/>
  <c r="E550" i="2"/>
  <c r="D550" i="2"/>
  <c r="K549" i="2"/>
  <c r="J549" i="2"/>
  <c r="I549" i="2"/>
  <c r="H549" i="2"/>
  <c r="G549" i="2"/>
  <c r="F549" i="2"/>
  <c r="E549" i="2"/>
  <c r="D549" i="2"/>
  <c r="K548" i="2"/>
  <c r="J548" i="2"/>
  <c r="I548" i="2"/>
  <c r="H548" i="2"/>
  <c r="G548" i="2"/>
  <c r="F548" i="2"/>
  <c r="E548" i="2"/>
  <c r="D548" i="2"/>
  <c r="K547" i="2"/>
  <c r="J547" i="2"/>
  <c r="I547" i="2"/>
  <c r="H547" i="2"/>
  <c r="G547" i="2"/>
  <c r="F547" i="2"/>
  <c r="E547" i="2"/>
  <c r="D547" i="2"/>
  <c r="K546" i="2"/>
  <c r="J546" i="2"/>
  <c r="I546" i="2"/>
  <c r="H546" i="2"/>
  <c r="G546" i="2"/>
  <c r="F546" i="2"/>
  <c r="E546" i="2"/>
  <c r="D546" i="2"/>
  <c r="K545" i="2"/>
  <c r="J545" i="2"/>
  <c r="I545" i="2"/>
  <c r="H545" i="2"/>
  <c r="G545" i="2"/>
  <c r="F545" i="2"/>
  <c r="E545" i="2"/>
  <c r="D545" i="2"/>
  <c r="K544" i="2"/>
  <c r="J544" i="2"/>
  <c r="I544" i="2"/>
  <c r="H544" i="2"/>
  <c r="G544" i="2"/>
  <c r="F544" i="2"/>
  <c r="E544" i="2"/>
  <c r="D544" i="2"/>
  <c r="K543" i="2"/>
  <c r="J543" i="2"/>
  <c r="I543" i="2"/>
  <c r="H543" i="2"/>
  <c r="G543" i="2"/>
  <c r="F543" i="2"/>
  <c r="E543" i="2"/>
  <c r="D543" i="2"/>
  <c r="K542" i="2"/>
  <c r="J542" i="2"/>
  <c r="I542" i="2"/>
  <c r="H542" i="2"/>
  <c r="G542" i="2"/>
  <c r="F542" i="2"/>
  <c r="E542" i="2"/>
  <c r="D542" i="2"/>
  <c r="K541" i="2"/>
  <c r="J541" i="2"/>
  <c r="I541" i="2"/>
  <c r="H541" i="2"/>
  <c r="G541" i="2"/>
  <c r="F541" i="2"/>
  <c r="E541" i="2"/>
  <c r="D541" i="2"/>
  <c r="K540" i="2"/>
  <c r="J540" i="2"/>
  <c r="I540" i="2"/>
  <c r="H540" i="2"/>
  <c r="G540" i="2"/>
  <c r="F540" i="2"/>
  <c r="E540" i="2"/>
  <c r="D540" i="2"/>
  <c r="K539" i="2"/>
  <c r="J539" i="2"/>
  <c r="I539" i="2"/>
  <c r="H539" i="2"/>
  <c r="G539" i="2"/>
  <c r="F539" i="2"/>
  <c r="E539" i="2"/>
  <c r="D539" i="2"/>
  <c r="K538" i="2"/>
  <c r="J538" i="2"/>
  <c r="I538" i="2"/>
  <c r="H538" i="2"/>
  <c r="G538" i="2"/>
  <c r="F538" i="2"/>
  <c r="E538" i="2"/>
  <c r="D538" i="2"/>
  <c r="K537" i="2"/>
  <c r="J537" i="2"/>
  <c r="I537" i="2"/>
  <c r="H537" i="2"/>
  <c r="G537" i="2"/>
  <c r="F537" i="2"/>
  <c r="E537" i="2"/>
  <c r="D537" i="2"/>
  <c r="K536" i="2"/>
  <c r="J536" i="2"/>
  <c r="I536" i="2"/>
  <c r="H536" i="2"/>
  <c r="G536" i="2"/>
  <c r="F536" i="2"/>
  <c r="E536" i="2"/>
  <c r="D536" i="2"/>
  <c r="K535" i="2"/>
  <c r="J535" i="2"/>
  <c r="I535" i="2"/>
  <c r="H535" i="2"/>
  <c r="G535" i="2"/>
  <c r="F535" i="2"/>
  <c r="E535" i="2"/>
  <c r="D535" i="2"/>
  <c r="K534" i="2"/>
  <c r="J534" i="2"/>
  <c r="I534" i="2"/>
  <c r="H534" i="2"/>
  <c r="G534" i="2"/>
  <c r="F534" i="2"/>
  <c r="E534" i="2"/>
  <c r="D534" i="2"/>
  <c r="K533" i="2"/>
  <c r="J533" i="2"/>
  <c r="I533" i="2"/>
  <c r="H533" i="2"/>
  <c r="G533" i="2"/>
  <c r="F533" i="2"/>
  <c r="E533" i="2"/>
  <c r="D533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G531" i="2"/>
  <c r="F531" i="2"/>
  <c r="E531" i="2"/>
  <c r="D531" i="2"/>
  <c r="K530" i="2"/>
  <c r="J530" i="2"/>
  <c r="I530" i="2"/>
  <c r="H530" i="2"/>
  <c r="G530" i="2"/>
  <c r="F530" i="2"/>
  <c r="E530" i="2"/>
  <c r="D530" i="2"/>
  <c r="K522" i="2"/>
  <c r="J522" i="2"/>
  <c r="I522" i="2"/>
  <c r="H522" i="2"/>
  <c r="G522" i="2"/>
  <c r="F522" i="2"/>
  <c r="E522" i="2"/>
  <c r="D522" i="2"/>
  <c r="K520" i="2"/>
  <c r="J520" i="2"/>
  <c r="I520" i="2"/>
  <c r="H520" i="2"/>
  <c r="G520" i="2"/>
  <c r="F520" i="2"/>
  <c r="E520" i="2"/>
  <c r="D520" i="2"/>
  <c r="K519" i="2"/>
  <c r="J519" i="2"/>
  <c r="I519" i="2"/>
  <c r="H519" i="2"/>
  <c r="K518" i="2"/>
  <c r="J518" i="2"/>
  <c r="I518" i="2"/>
  <c r="H518" i="2"/>
  <c r="G518" i="2"/>
  <c r="F518" i="2"/>
  <c r="E518" i="2"/>
  <c r="D518" i="2"/>
  <c r="K517" i="2"/>
  <c r="J517" i="2"/>
  <c r="I517" i="2"/>
  <c r="H517" i="2"/>
  <c r="G517" i="2"/>
  <c r="F517" i="2"/>
  <c r="E517" i="2"/>
  <c r="D517" i="2"/>
  <c r="K516" i="2"/>
  <c r="J516" i="2"/>
  <c r="I516" i="2"/>
  <c r="H516" i="2"/>
  <c r="G516" i="2"/>
  <c r="F516" i="2"/>
  <c r="E516" i="2"/>
  <c r="D516" i="2"/>
  <c r="K515" i="2"/>
  <c r="J515" i="2"/>
  <c r="I515" i="2"/>
  <c r="H515" i="2"/>
  <c r="G515" i="2"/>
  <c r="F515" i="2"/>
  <c r="E515" i="2"/>
  <c r="D515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G513" i="2"/>
  <c r="F513" i="2"/>
  <c r="E513" i="2"/>
  <c r="D513" i="2"/>
  <c r="K512" i="2"/>
  <c r="J512" i="2"/>
  <c r="I512" i="2"/>
  <c r="H512" i="2"/>
  <c r="G512" i="2"/>
  <c r="F512" i="2"/>
  <c r="E512" i="2"/>
  <c r="D512" i="2"/>
  <c r="K511" i="2"/>
  <c r="J511" i="2"/>
  <c r="I511" i="2"/>
  <c r="H511" i="2"/>
  <c r="G511" i="2"/>
  <c r="F511" i="2"/>
  <c r="E511" i="2"/>
  <c r="D511" i="2"/>
  <c r="K510" i="2"/>
  <c r="J510" i="2"/>
  <c r="I510" i="2"/>
  <c r="H510" i="2"/>
  <c r="G510" i="2"/>
  <c r="F510" i="2"/>
  <c r="E510" i="2"/>
  <c r="D510" i="2"/>
  <c r="K509" i="2"/>
  <c r="J509" i="2"/>
  <c r="I509" i="2"/>
  <c r="H509" i="2"/>
  <c r="G509" i="2"/>
  <c r="F509" i="2"/>
  <c r="E509" i="2"/>
  <c r="D509" i="2"/>
  <c r="K508" i="2"/>
  <c r="J508" i="2"/>
  <c r="I508" i="2"/>
  <c r="H508" i="2"/>
  <c r="G508" i="2"/>
  <c r="F508" i="2"/>
  <c r="E508" i="2"/>
  <c r="D508" i="2"/>
  <c r="K507" i="2"/>
  <c r="J507" i="2"/>
  <c r="I507" i="2"/>
  <c r="H507" i="2"/>
  <c r="G507" i="2"/>
  <c r="F507" i="2"/>
  <c r="E507" i="2"/>
  <c r="D507" i="2"/>
  <c r="K506" i="2"/>
  <c r="J506" i="2"/>
  <c r="I506" i="2"/>
  <c r="H506" i="2"/>
  <c r="G506" i="2"/>
  <c r="F506" i="2"/>
  <c r="E506" i="2"/>
  <c r="D506" i="2"/>
  <c r="K505" i="2"/>
  <c r="J505" i="2"/>
  <c r="I505" i="2"/>
  <c r="H505" i="2"/>
  <c r="G505" i="2"/>
  <c r="F505" i="2"/>
  <c r="E505" i="2"/>
  <c r="D505" i="2"/>
  <c r="K504" i="2"/>
  <c r="J504" i="2"/>
  <c r="I504" i="2"/>
  <c r="H504" i="2"/>
  <c r="G504" i="2"/>
  <c r="F504" i="2"/>
  <c r="E504" i="2"/>
  <c r="D504" i="2"/>
  <c r="K503" i="2"/>
  <c r="J503" i="2"/>
  <c r="I503" i="2"/>
  <c r="H503" i="2"/>
  <c r="G503" i="2"/>
  <c r="F503" i="2"/>
  <c r="E503" i="2"/>
  <c r="D503" i="2"/>
  <c r="K502" i="2"/>
  <c r="J502" i="2"/>
  <c r="I502" i="2"/>
  <c r="H502" i="2"/>
  <c r="G502" i="2"/>
  <c r="F502" i="2"/>
  <c r="E502" i="2"/>
  <c r="D502" i="2"/>
  <c r="K501" i="2"/>
  <c r="J501" i="2"/>
  <c r="I501" i="2"/>
  <c r="H501" i="2"/>
  <c r="G501" i="2"/>
  <c r="F501" i="2"/>
  <c r="E501" i="2"/>
  <c r="D501" i="2"/>
  <c r="K500" i="2"/>
  <c r="J500" i="2"/>
  <c r="I500" i="2"/>
  <c r="H500" i="2"/>
  <c r="G500" i="2"/>
  <c r="F500" i="2"/>
  <c r="E500" i="2"/>
  <c r="D500" i="2"/>
  <c r="K499" i="2"/>
  <c r="J499" i="2"/>
  <c r="I499" i="2"/>
  <c r="H499" i="2"/>
  <c r="G499" i="2"/>
  <c r="F499" i="2"/>
  <c r="E499" i="2"/>
  <c r="D499" i="2"/>
  <c r="K498" i="2"/>
  <c r="J498" i="2"/>
  <c r="I498" i="2"/>
  <c r="H498" i="2"/>
  <c r="G498" i="2"/>
  <c r="F498" i="2"/>
  <c r="E498" i="2"/>
  <c r="D498" i="2"/>
  <c r="K497" i="2"/>
  <c r="K526" i="2" s="1"/>
  <c r="J497" i="2"/>
  <c r="J526" i="2" s="1"/>
  <c r="I497" i="2"/>
  <c r="I526" i="2" s="1"/>
  <c r="H497" i="2"/>
  <c r="H526" i="2" s="1"/>
  <c r="G497" i="2"/>
  <c r="G526" i="2" s="1"/>
  <c r="F497" i="2"/>
  <c r="F526" i="2" s="1"/>
  <c r="E497" i="2"/>
  <c r="E526" i="2" s="1"/>
  <c r="D497" i="2"/>
  <c r="D526" i="2" s="1"/>
  <c r="K489" i="2"/>
  <c r="J489" i="2"/>
  <c r="I489" i="2"/>
  <c r="H489" i="2"/>
  <c r="G489" i="2"/>
  <c r="F489" i="2"/>
  <c r="E489" i="2"/>
  <c r="D489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J478" i="2"/>
  <c r="I478" i="2"/>
  <c r="H478" i="2"/>
  <c r="G478" i="2"/>
  <c r="F478" i="2"/>
  <c r="E478" i="2"/>
  <c r="D478" i="2"/>
  <c r="K477" i="2"/>
  <c r="J477" i="2"/>
  <c r="I477" i="2"/>
  <c r="H477" i="2"/>
  <c r="G477" i="2"/>
  <c r="F477" i="2"/>
  <c r="E477" i="2"/>
  <c r="D477" i="2"/>
  <c r="K476" i="2"/>
  <c r="J476" i="2"/>
  <c r="I476" i="2"/>
  <c r="H476" i="2"/>
  <c r="G476" i="2"/>
  <c r="F476" i="2"/>
  <c r="E476" i="2"/>
  <c r="D476" i="2"/>
  <c r="K475" i="2"/>
  <c r="J475" i="2"/>
  <c r="I475" i="2"/>
  <c r="H475" i="2"/>
  <c r="G475" i="2"/>
  <c r="F475" i="2"/>
  <c r="E475" i="2"/>
  <c r="D475" i="2"/>
  <c r="K474" i="2"/>
  <c r="J474" i="2"/>
  <c r="I474" i="2"/>
  <c r="H474" i="2"/>
  <c r="G474" i="2"/>
  <c r="F474" i="2"/>
  <c r="E474" i="2"/>
  <c r="D474" i="2"/>
  <c r="K473" i="2"/>
  <c r="J473" i="2"/>
  <c r="I473" i="2"/>
  <c r="H473" i="2"/>
  <c r="G473" i="2"/>
  <c r="F473" i="2"/>
  <c r="E473" i="2"/>
  <c r="D473" i="2"/>
  <c r="K472" i="2"/>
  <c r="J472" i="2"/>
  <c r="I472" i="2"/>
  <c r="H472" i="2"/>
  <c r="G472" i="2"/>
  <c r="F472" i="2"/>
  <c r="E472" i="2"/>
  <c r="D472" i="2"/>
  <c r="K471" i="2"/>
  <c r="J471" i="2"/>
  <c r="I471" i="2"/>
  <c r="H471" i="2"/>
  <c r="G471" i="2"/>
  <c r="F471" i="2"/>
  <c r="E471" i="2"/>
  <c r="D471" i="2"/>
  <c r="K470" i="2"/>
  <c r="J470" i="2"/>
  <c r="I470" i="2"/>
  <c r="H470" i="2"/>
  <c r="G470" i="2"/>
  <c r="F470" i="2"/>
  <c r="E470" i="2"/>
  <c r="D470" i="2"/>
  <c r="K469" i="2"/>
  <c r="J469" i="2"/>
  <c r="I469" i="2"/>
  <c r="H469" i="2"/>
  <c r="G469" i="2"/>
  <c r="F469" i="2"/>
  <c r="E469" i="2"/>
  <c r="D469" i="2"/>
  <c r="K468" i="2"/>
  <c r="J468" i="2"/>
  <c r="I468" i="2"/>
  <c r="H468" i="2"/>
  <c r="G468" i="2"/>
  <c r="F468" i="2"/>
  <c r="E468" i="2"/>
  <c r="D468" i="2"/>
  <c r="K467" i="2"/>
  <c r="J467" i="2"/>
  <c r="I467" i="2"/>
  <c r="H467" i="2"/>
  <c r="G467" i="2"/>
  <c r="F467" i="2"/>
  <c r="E467" i="2"/>
  <c r="D467" i="2"/>
  <c r="K466" i="2"/>
  <c r="J466" i="2"/>
  <c r="I466" i="2"/>
  <c r="H466" i="2"/>
  <c r="G466" i="2"/>
  <c r="F466" i="2"/>
  <c r="E466" i="2"/>
  <c r="D466" i="2"/>
  <c r="K465" i="2"/>
  <c r="J465" i="2"/>
  <c r="I465" i="2"/>
  <c r="H465" i="2"/>
  <c r="G465" i="2"/>
  <c r="F465" i="2"/>
  <c r="E465" i="2"/>
  <c r="D465" i="2"/>
  <c r="K464" i="2"/>
  <c r="K493" i="2" s="1"/>
  <c r="J464" i="2"/>
  <c r="J493" i="2" s="1"/>
  <c r="I464" i="2"/>
  <c r="I493" i="2" s="1"/>
  <c r="H464" i="2"/>
  <c r="H493" i="2" s="1"/>
  <c r="G464" i="2"/>
  <c r="G493" i="2" s="1"/>
  <c r="F464" i="2"/>
  <c r="F493" i="2" s="1"/>
  <c r="E464" i="2"/>
  <c r="E493" i="2" s="1"/>
  <c r="D464" i="2"/>
  <c r="D493" i="2" s="1"/>
  <c r="K456" i="2"/>
  <c r="J456" i="2"/>
  <c r="I456" i="2"/>
  <c r="H456" i="2"/>
  <c r="G456" i="2"/>
  <c r="F456" i="2"/>
  <c r="E456" i="2"/>
  <c r="D456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K439" i="2"/>
  <c r="J439" i="2"/>
  <c r="I439" i="2"/>
  <c r="H439" i="2"/>
  <c r="G439" i="2"/>
  <c r="F439" i="2"/>
  <c r="E439" i="2"/>
  <c r="D439" i="2"/>
  <c r="K438" i="2"/>
  <c r="J438" i="2"/>
  <c r="I438" i="2"/>
  <c r="H438" i="2"/>
  <c r="G438" i="2"/>
  <c r="F438" i="2"/>
  <c r="E438" i="2"/>
  <c r="D438" i="2"/>
  <c r="K437" i="2"/>
  <c r="J437" i="2"/>
  <c r="I437" i="2"/>
  <c r="H437" i="2"/>
  <c r="G437" i="2"/>
  <c r="F437" i="2"/>
  <c r="E437" i="2"/>
  <c r="D437" i="2"/>
  <c r="K436" i="2"/>
  <c r="J436" i="2"/>
  <c r="I436" i="2"/>
  <c r="H436" i="2"/>
  <c r="G436" i="2"/>
  <c r="F436" i="2"/>
  <c r="E436" i="2"/>
  <c r="D436" i="2"/>
  <c r="K435" i="2"/>
  <c r="J435" i="2"/>
  <c r="I435" i="2"/>
  <c r="H435" i="2"/>
  <c r="G435" i="2"/>
  <c r="F435" i="2"/>
  <c r="E435" i="2"/>
  <c r="D435" i="2"/>
  <c r="K434" i="2"/>
  <c r="J434" i="2"/>
  <c r="I434" i="2"/>
  <c r="H434" i="2"/>
  <c r="G434" i="2"/>
  <c r="F434" i="2"/>
  <c r="E434" i="2"/>
  <c r="D434" i="2"/>
  <c r="K433" i="2"/>
  <c r="J433" i="2"/>
  <c r="I433" i="2"/>
  <c r="H433" i="2"/>
  <c r="G433" i="2"/>
  <c r="F433" i="2"/>
  <c r="E433" i="2"/>
  <c r="D433" i="2"/>
  <c r="K432" i="2"/>
  <c r="J432" i="2"/>
  <c r="I432" i="2"/>
  <c r="H432" i="2"/>
  <c r="G432" i="2"/>
  <c r="F432" i="2"/>
  <c r="E432" i="2"/>
  <c r="D432" i="2"/>
  <c r="K431" i="2"/>
  <c r="K460" i="2" s="1"/>
  <c r="J431" i="2"/>
  <c r="J460" i="2" s="1"/>
  <c r="I431" i="2"/>
  <c r="I460" i="2" s="1"/>
  <c r="H431" i="2"/>
  <c r="H460" i="2" s="1"/>
  <c r="G431" i="2"/>
  <c r="G460" i="2" s="1"/>
  <c r="F431" i="2"/>
  <c r="F460" i="2" s="1"/>
  <c r="E431" i="2"/>
  <c r="E460" i="2" s="1"/>
  <c r="D431" i="2"/>
  <c r="D460" i="2" s="1"/>
  <c r="K423" i="2"/>
  <c r="J423" i="2"/>
  <c r="I423" i="2"/>
  <c r="H423" i="2"/>
  <c r="G423" i="2"/>
  <c r="F423" i="2"/>
  <c r="E423" i="2"/>
  <c r="D423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J408" i="2"/>
  <c r="I408" i="2"/>
  <c r="H408" i="2"/>
  <c r="G408" i="2"/>
  <c r="F408" i="2"/>
  <c r="E408" i="2"/>
  <c r="D408" i="2"/>
  <c r="K407" i="2"/>
  <c r="J407" i="2"/>
  <c r="I407" i="2"/>
  <c r="H407" i="2"/>
  <c r="G407" i="2"/>
  <c r="F407" i="2"/>
  <c r="E407" i="2"/>
  <c r="D407" i="2"/>
  <c r="K406" i="2"/>
  <c r="J406" i="2"/>
  <c r="I406" i="2"/>
  <c r="H406" i="2"/>
  <c r="G406" i="2"/>
  <c r="F406" i="2"/>
  <c r="E406" i="2"/>
  <c r="D406" i="2"/>
  <c r="K405" i="2"/>
  <c r="J405" i="2"/>
  <c r="I405" i="2"/>
  <c r="H405" i="2"/>
  <c r="G405" i="2"/>
  <c r="F405" i="2"/>
  <c r="E405" i="2"/>
  <c r="D405" i="2"/>
  <c r="K404" i="2"/>
  <c r="J404" i="2"/>
  <c r="I404" i="2"/>
  <c r="H404" i="2"/>
  <c r="G404" i="2"/>
  <c r="F404" i="2"/>
  <c r="E404" i="2"/>
  <c r="D404" i="2"/>
  <c r="K403" i="2"/>
  <c r="J403" i="2"/>
  <c r="I403" i="2"/>
  <c r="H403" i="2"/>
  <c r="G403" i="2"/>
  <c r="F403" i="2"/>
  <c r="E403" i="2"/>
  <c r="D403" i="2"/>
  <c r="K402" i="2"/>
  <c r="J402" i="2"/>
  <c r="I402" i="2"/>
  <c r="H402" i="2"/>
  <c r="G402" i="2"/>
  <c r="F402" i="2"/>
  <c r="E402" i="2"/>
  <c r="D402" i="2"/>
  <c r="K401" i="2"/>
  <c r="J401" i="2"/>
  <c r="I401" i="2"/>
  <c r="H401" i="2"/>
  <c r="G401" i="2"/>
  <c r="F401" i="2"/>
  <c r="E401" i="2"/>
  <c r="D401" i="2"/>
  <c r="K400" i="2"/>
  <c r="J400" i="2"/>
  <c r="I400" i="2"/>
  <c r="H400" i="2"/>
  <c r="G400" i="2"/>
  <c r="F400" i="2"/>
  <c r="E400" i="2"/>
  <c r="D400" i="2"/>
  <c r="K399" i="2"/>
  <c r="J399" i="2"/>
  <c r="I399" i="2"/>
  <c r="H399" i="2"/>
  <c r="G399" i="2"/>
  <c r="F399" i="2"/>
  <c r="E399" i="2"/>
  <c r="D399" i="2"/>
  <c r="K398" i="2"/>
  <c r="K427" i="2" s="1"/>
  <c r="J398" i="2"/>
  <c r="J427" i="2" s="1"/>
  <c r="I398" i="2"/>
  <c r="I427" i="2" s="1"/>
  <c r="H398" i="2"/>
  <c r="H427" i="2" s="1"/>
  <c r="G398" i="2"/>
  <c r="G427" i="2" s="1"/>
  <c r="F398" i="2"/>
  <c r="F427" i="2" s="1"/>
  <c r="E398" i="2"/>
  <c r="E427" i="2" s="1"/>
  <c r="D398" i="2"/>
  <c r="D427" i="2" s="1"/>
  <c r="K390" i="2"/>
  <c r="J390" i="2"/>
  <c r="I390" i="2"/>
  <c r="H390" i="2"/>
  <c r="G390" i="2"/>
  <c r="F390" i="2"/>
  <c r="E390" i="2"/>
  <c r="D390" i="2"/>
  <c r="K388" i="2"/>
  <c r="J388" i="2"/>
  <c r="I388" i="2"/>
  <c r="H388" i="2"/>
  <c r="G388" i="2"/>
  <c r="F388" i="2"/>
  <c r="E388" i="2"/>
  <c r="D388" i="2"/>
  <c r="K387" i="2"/>
  <c r="J387" i="2"/>
  <c r="I387" i="2"/>
  <c r="H387" i="2"/>
  <c r="G387" i="2"/>
  <c r="F387" i="2"/>
  <c r="E387" i="2"/>
  <c r="D387" i="2"/>
  <c r="K386" i="2"/>
  <c r="J386" i="2"/>
  <c r="I386" i="2"/>
  <c r="H386" i="2"/>
  <c r="G386" i="2"/>
  <c r="F386" i="2"/>
  <c r="E386" i="2"/>
  <c r="D386" i="2"/>
  <c r="K385" i="2"/>
  <c r="J385" i="2"/>
  <c r="I385" i="2"/>
  <c r="H385" i="2"/>
  <c r="G385" i="2"/>
  <c r="F385" i="2"/>
  <c r="E385" i="2"/>
  <c r="D385" i="2"/>
  <c r="K384" i="2"/>
  <c r="J384" i="2"/>
  <c r="I384" i="2"/>
  <c r="H384" i="2"/>
  <c r="G384" i="2"/>
  <c r="F384" i="2"/>
  <c r="E384" i="2"/>
  <c r="D384" i="2"/>
  <c r="K383" i="2"/>
  <c r="J383" i="2"/>
  <c r="I383" i="2"/>
  <c r="H383" i="2"/>
  <c r="G383" i="2"/>
  <c r="F383" i="2"/>
  <c r="E383" i="2"/>
  <c r="D383" i="2"/>
  <c r="K382" i="2"/>
  <c r="J382" i="2"/>
  <c r="I382" i="2"/>
  <c r="H382" i="2"/>
  <c r="G382" i="2"/>
  <c r="F382" i="2"/>
  <c r="E382" i="2"/>
  <c r="D382" i="2"/>
  <c r="K381" i="2"/>
  <c r="J381" i="2"/>
  <c r="I381" i="2"/>
  <c r="H381" i="2"/>
  <c r="G381" i="2"/>
  <c r="F381" i="2"/>
  <c r="E381" i="2"/>
  <c r="D381" i="2"/>
  <c r="K380" i="2"/>
  <c r="J380" i="2"/>
  <c r="I380" i="2"/>
  <c r="H380" i="2"/>
  <c r="G380" i="2"/>
  <c r="F380" i="2"/>
  <c r="E380" i="2"/>
  <c r="D380" i="2"/>
  <c r="K379" i="2"/>
  <c r="J379" i="2"/>
  <c r="I379" i="2"/>
  <c r="H379" i="2"/>
  <c r="G379" i="2"/>
  <c r="F379" i="2"/>
  <c r="E379" i="2"/>
  <c r="D379" i="2"/>
  <c r="K378" i="2"/>
  <c r="J378" i="2"/>
  <c r="I378" i="2"/>
  <c r="H378" i="2"/>
  <c r="G378" i="2"/>
  <c r="F378" i="2"/>
  <c r="E378" i="2"/>
  <c r="D378" i="2"/>
  <c r="K377" i="2"/>
  <c r="J377" i="2"/>
  <c r="I377" i="2"/>
  <c r="H377" i="2"/>
  <c r="G377" i="2"/>
  <c r="F377" i="2"/>
  <c r="E377" i="2"/>
  <c r="D377" i="2"/>
  <c r="K376" i="2"/>
  <c r="J376" i="2"/>
  <c r="I376" i="2"/>
  <c r="H376" i="2"/>
  <c r="G376" i="2"/>
  <c r="F376" i="2"/>
  <c r="E376" i="2"/>
  <c r="D376" i="2"/>
  <c r="K375" i="2"/>
  <c r="J375" i="2"/>
  <c r="I375" i="2"/>
  <c r="H375" i="2"/>
  <c r="G375" i="2"/>
  <c r="F375" i="2"/>
  <c r="E375" i="2"/>
  <c r="D375" i="2"/>
  <c r="K374" i="2"/>
  <c r="J374" i="2"/>
  <c r="I374" i="2"/>
  <c r="H374" i="2"/>
  <c r="G374" i="2"/>
  <c r="F374" i="2"/>
  <c r="E374" i="2"/>
  <c r="D374" i="2"/>
  <c r="K373" i="2"/>
  <c r="J373" i="2"/>
  <c r="I373" i="2"/>
  <c r="H373" i="2"/>
  <c r="G373" i="2"/>
  <c r="F373" i="2"/>
  <c r="E373" i="2"/>
  <c r="D373" i="2"/>
  <c r="K372" i="2"/>
  <c r="J372" i="2"/>
  <c r="I372" i="2"/>
  <c r="H372" i="2"/>
  <c r="G372" i="2"/>
  <c r="F372" i="2"/>
  <c r="E372" i="2"/>
  <c r="D372" i="2"/>
  <c r="K371" i="2"/>
  <c r="J371" i="2"/>
  <c r="I371" i="2"/>
  <c r="H371" i="2"/>
  <c r="G371" i="2"/>
  <c r="F371" i="2"/>
  <c r="E371" i="2"/>
  <c r="D371" i="2"/>
  <c r="K370" i="2"/>
  <c r="J370" i="2"/>
  <c r="I370" i="2"/>
  <c r="H370" i="2"/>
  <c r="G370" i="2"/>
  <c r="F370" i="2"/>
  <c r="E370" i="2"/>
  <c r="D370" i="2"/>
  <c r="K369" i="2"/>
  <c r="J369" i="2"/>
  <c r="I369" i="2"/>
  <c r="H369" i="2"/>
  <c r="G369" i="2"/>
  <c r="F369" i="2"/>
  <c r="E369" i="2"/>
  <c r="D369" i="2"/>
  <c r="K368" i="2"/>
  <c r="J368" i="2"/>
  <c r="I368" i="2"/>
  <c r="H368" i="2"/>
  <c r="G368" i="2"/>
  <c r="F368" i="2"/>
  <c r="E368" i="2"/>
  <c r="D368" i="2"/>
  <c r="K367" i="2"/>
  <c r="J367" i="2"/>
  <c r="I367" i="2"/>
  <c r="H367" i="2"/>
  <c r="G367" i="2"/>
  <c r="F367" i="2"/>
  <c r="E367" i="2"/>
  <c r="D367" i="2"/>
  <c r="K366" i="2"/>
  <c r="J366" i="2"/>
  <c r="I366" i="2"/>
  <c r="H366" i="2"/>
  <c r="G366" i="2"/>
  <c r="F366" i="2"/>
  <c r="E366" i="2"/>
  <c r="D366" i="2"/>
  <c r="K365" i="2"/>
  <c r="K394" i="2" s="1"/>
  <c r="J365" i="2"/>
  <c r="J394" i="2" s="1"/>
  <c r="I365" i="2"/>
  <c r="I394" i="2" s="1"/>
  <c r="H365" i="2"/>
  <c r="H394" i="2" s="1"/>
  <c r="G365" i="2"/>
  <c r="G394" i="2" s="1"/>
  <c r="F365" i="2"/>
  <c r="F394" i="2" s="1"/>
  <c r="E365" i="2"/>
  <c r="E394" i="2" s="1"/>
  <c r="D365" i="2"/>
  <c r="D394" i="2" s="1"/>
  <c r="K357" i="2"/>
  <c r="J357" i="2"/>
  <c r="I357" i="2"/>
  <c r="H357" i="2"/>
  <c r="G357" i="2"/>
  <c r="F357" i="2"/>
  <c r="E357" i="2"/>
  <c r="D357" i="2"/>
  <c r="K355" i="2"/>
  <c r="J355" i="2"/>
  <c r="I355" i="2"/>
  <c r="H355" i="2"/>
  <c r="G355" i="2"/>
  <c r="F355" i="2"/>
  <c r="E355" i="2"/>
  <c r="D355" i="2"/>
  <c r="K354" i="2"/>
  <c r="J354" i="2"/>
  <c r="I354" i="2"/>
  <c r="H354" i="2"/>
  <c r="G354" i="2"/>
  <c r="F354" i="2"/>
  <c r="E354" i="2"/>
  <c r="D354" i="2"/>
  <c r="K353" i="2"/>
  <c r="J353" i="2"/>
  <c r="I353" i="2"/>
  <c r="H353" i="2"/>
  <c r="G353" i="2"/>
  <c r="F353" i="2"/>
  <c r="E353" i="2"/>
  <c r="D353" i="2"/>
  <c r="K352" i="2"/>
  <c r="J352" i="2"/>
  <c r="I352" i="2"/>
  <c r="H352" i="2"/>
  <c r="G352" i="2"/>
  <c r="F352" i="2"/>
  <c r="E352" i="2"/>
  <c r="D352" i="2"/>
  <c r="K351" i="2"/>
  <c r="J351" i="2"/>
  <c r="I351" i="2"/>
  <c r="H351" i="2"/>
  <c r="G351" i="2"/>
  <c r="F351" i="2"/>
  <c r="E351" i="2"/>
  <c r="D351" i="2"/>
  <c r="K350" i="2"/>
  <c r="J350" i="2"/>
  <c r="I350" i="2"/>
  <c r="H350" i="2"/>
  <c r="G350" i="2"/>
  <c r="F350" i="2"/>
  <c r="E350" i="2"/>
  <c r="D350" i="2"/>
  <c r="K349" i="2"/>
  <c r="J349" i="2"/>
  <c r="I349" i="2"/>
  <c r="H349" i="2"/>
  <c r="G349" i="2"/>
  <c r="F349" i="2"/>
  <c r="E349" i="2"/>
  <c r="D349" i="2"/>
  <c r="K348" i="2"/>
  <c r="J348" i="2"/>
  <c r="I348" i="2"/>
  <c r="H348" i="2"/>
  <c r="G348" i="2"/>
  <c r="F348" i="2"/>
  <c r="E348" i="2"/>
  <c r="D348" i="2"/>
  <c r="K347" i="2"/>
  <c r="J347" i="2"/>
  <c r="I347" i="2"/>
  <c r="H347" i="2"/>
  <c r="G347" i="2"/>
  <c r="F347" i="2"/>
  <c r="E347" i="2"/>
  <c r="D347" i="2"/>
  <c r="K346" i="2"/>
  <c r="J346" i="2"/>
  <c r="I346" i="2"/>
  <c r="H346" i="2"/>
  <c r="G346" i="2"/>
  <c r="F346" i="2"/>
  <c r="E346" i="2"/>
  <c r="D346" i="2"/>
  <c r="K345" i="2"/>
  <c r="J345" i="2"/>
  <c r="I345" i="2"/>
  <c r="H345" i="2"/>
  <c r="G345" i="2"/>
  <c r="F345" i="2"/>
  <c r="E345" i="2"/>
  <c r="D345" i="2"/>
  <c r="K344" i="2"/>
  <c r="J344" i="2"/>
  <c r="I344" i="2"/>
  <c r="H344" i="2"/>
  <c r="G344" i="2"/>
  <c r="F344" i="2"/>
  <c r="E344" i="2"/>
  <c r="D344" i="2"/>
  <c r="K343" i="2"/>
  <c r="J343" i="2"/>
  <c r="I343" i="2"/>
  <c r="H343" i="2"/>
  <c r="G343" i="2"/>
  <c r="F343" i="2"/>
  <c r="E343" i="2"/>
  <c r="D343" i="2"/>
  <c r="K342" i="2"/>
  <c r="J342" i="2"/>
  <c r="I342" i="2"/>
  <c r="H342" i="2"/>
  <c r="G342" i="2"/>
  <c r="F342" i="2"/>
  <c r="E342" i="2"/>
  <c r="D342" i="2"/>
  <c r="K341" i="2"/>
  <c r="J341" i="2"/>
  <c r="I341" i="2"/>
  <c r="H341" i="2"/>
  <c r="G341" i="2"/>
  <c r="F341" i="2"/>
  <c r="E341" i="2"/>
  <c r="D341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K337" i="2"/>
  <c r="J337" i="2"/>
  <c r="I337" i="2"/>
  <c r="H337" i="2"/>
  <c r="G337" i="2"/>
  <c r="F337" i="2"/>
  <c r="E337" i="2"/>
  <c r="D337" i="2"/>
  <c r="K336" i="2"/>
  <c r="J336" i="2"/>
  <c r="I336" i="2"/>
  <c r="H336" i="2"/>
  <c r="G336" i="2"/>
  <c r="F336" i="2"/>
  <c r="E336" i="2"/>
  <c r="D336" i="2"/>
  <c r="K335" i="2"/>
  <c r="J335" i="2"/>
  <c r="I335" i="2"/>
  <c r="H335" i="2"/>
  <c r="G335" i="2"/>
  <c r="F335" i="2"/>
  <c r="E335" i="2"/>
  <c r="D335" i="2"/>
  <c r="K334" i="2"/>
  <c r="J334" i="2"/>
  <c r="I334" i="2"/>
  <c r="H334" i="2"/>
  <c r="G334" i="2"/>
  <c r="F334" i="2"/>
  <c r="E334" i="2"/>
  <c r="D334" i="2"/>
  <c r="K333" i="2"/>
  <c r="J333" i="2"/>
  <c r="I333" i="2"/>
  <c r="H333" i="2"/>
  <c r="G333" i="2"/>
  <c r="F333" i="2"/>
  <c r="E333" i="2"/>
  <c r="D333" i="2"/>
  <c r="K332" i="2"/>
  <c r="K361" i="2" s="1"/>
  <c r="J332" i="2"/>
  <c r="J361" i="2" s="1"/>
  <c r="I332" i="2"/>
  <c r="I361" i="2" s="1"/>
  <c r="H332" i="2"/>
  <c r="H361" i="2" s="1"/>
  <c r="G332" i="2"/>
  <c r="G361" i="2" s="1"/>
  <c r="F332" i="2"/>
  <c r="F361" i="2" s="1"/>
  <c r="E332" i="2"/>
  <c r="E361" i="2" s="1"/>
  <c r="D332" i="2"/>
  <c r="D361" i="2" s="1"/>
  <c r="K324" i="2"/>
  <c r="J324" i="2"/>
  <c r="I324" i="2"/>
  <c r="H324" i="2"/>
  <c r="G324" i="2"/>
  <c r="F324" i="2"/>
  <c r="E324" i="2"/>
  <c r="D324" i="2"/>
  <c r="K322" i="2"/>
  <c r="J322" i="2"/>
  <c r="I322" i="2"/>
  <c r="H322" i="2"/>
  <c r="G322" i="2"/>
  <c r="F322" i="2"/>
  <c r="E322" i="2"/>
  <c r="D322" i="2"/>
  <c r="K321" i="2"/>
  <c r="J321" i="2"/>
  <c r="I321" i="2"/>
  <c r="H321" i="2"/>
  <c r="G321" i="2"/>
  <c r="F321" i="2"/>
  <c r="E321" i="2"/>
  <c r="D321" i="2"/>
  <c r="K320" i="2"/>
  <c r="J320" i="2"/>
  <c r="I320" i="2"/>
  <c r="H320" i="2"/>
  <c r="G320" i="2"/>
  <c r="F320" i="2"/>
  <c r="E320" i="2"/>
  <c r="D320" i="2"/>
  <c r="K319" i="2"/>
  <c r="J319" i="2"/>
  <c r="I319" i="2"/>
  <c r="H319" i="2"/>
  <c r="G319" i="2"/>
  <c r="F319" i="2"/>
  <c r="E319" i="2"/>
  <c r="D319" i="2"/>
  <c r="K318" i="2"/>
  <c r="J318" i="2"/>
  <c r="I318" i="2"/>
  <c r="H318" i="2"/>
  <c r="G318" i="2"/>
  <c r="F318" i="2"/>
  <c r="E318" i="2"/>
  <c r="D318" i="2"/>
  <c r="K317" i="2"/>
  <c r="J317" i="2"/>
  <c r="I317" i="2"/>
  <c r="H317" i="2"/>
  <c r="G317" i="2"/>
  <c r="F317" i="2"/>
  <c r="E317" i="2"/>
  <c r="D317" i="2"/>
  <c r="K316" i="2"/>
  <c r="J316" i="2"/>
  <c r="I316" i="2"/>
  <c r="H316" i="2"/>
  <c r="G316" i="2"/>
  <c r="F316" i="2"/>
  <c r="E316" i="2"/>
  <c r="D316" i="2"/>
  <c r="K315" i="2"/>
  <c r="J315" i="2"/>
  <c r="I315" i="2"/>
  <c r="H315" i="2"/>
  <c r="G315" i="2"/>
  <c r="F315" i="2"/>
  <c r="E315" i="2"/>
  <c r="D315" i="2"/>
  <c r="K314" i="2"/>
  <c r="J314" i="2"/>
  <c r="I314" i="2"/>
  <c r="H314" i="2"/>
  <c r="G314" i="2"/>
  <c r="F314" i="2"/>
  <c r="E314" i="2"/>
  <c r="D314" i="2"/>
  <c r="K313" i="2"/>
  <c r="J313" i="2"/>
  <c r="I313" i="2"/>
  <c r="H313" i="2"/>
  <c r="G313" i="2"/>
  <c r="F313" i="2"/>
  <c r="E313" i="2"/>
  <c r="D313" i="2"/>
  <c r="K312" i="2"/>
  <c r="J312" i="2"/>
  <c r="I312" i="2"/>
  <c r="H312" i="2"/>
  <c r="G312" i="2"/>
  <c r="F312" i="2"/>
  <c r="E312" i="2"/>
  <c r="D312" i="2"/>
  <c r="K311" i="2"/>
  <c r="J311" i="2"/>
  <c r="I311" i="2"/>
  <c r="H311" i="2"/>
  <c r="G311" i="2"/>
  <c r="F311" i="2"/>
  <c r="E311" i="2"/>
  <c r="D311" i="2"/>
  <c r="K310" i="2"/>
  <c r="J310" i="2"/>
  <c r="I310" i="2"/>
  <c r="H310" i="2"/>
  <c r="G310" i="2"/>
  <c r="F310" i="2"/>
  <c r="E310" i="2"/>
  <c r="D310" i="2"/>
  <c r="K309" i="2"/>
  <c r="J309" i="2"/>
  <c r="I309" i="2"/>
  <c r="H309" i="2"/>
  <c r="G309" i="2"/>
  <c r="F309" i="2"/>
  <c r="E309" i="2"/>
  <c r="D309" i="2"/>
  <c r="K308" i="2"/>
  <c r="J308" i="2"/>
  <c r="I308" i="2"/>
  <c r="H308" i="2"/>
  <c r="G308" i="2"/>
  <c r="F308" i="2"/>
  <c r="E308" i="2"/>
  <c r="D308" i="2"/>
  <c r="K307" i="2"/>
  <c r="J307" i="2"/>
  <c r="I307" i="2"/>
  <c r="H307" i="2"/>
  <c r="G307" i="2"/>
  <c r="F307" i="2"/>
  <c r="E307" i="2"/>
  <c r="D307" i="2"/>
  <c r="K306" i="2"/>
  <c r="J306" i="2"/>
  <c r="I306" i="2"/>
  <c r="H306" i="2"/>
  <c r="G306" i="2"/>
  <c r="F306" i="2"/>
  <c r="E306" i="2"/>
  <c r="D306" i="2"/>
  <c r="K305" i="2"/>
  <c r="J305" i="2"/>
  <c r="I305" i="2"/>
  <c r="H305" i="2"/>
  <c r="G305" i="2"/>
  <c r="F305" i="2"/>
  <c r="E305" i="2"/>
  <c r="D305" i="2"/>
  <c r="K304" i="2"/>
  <c r="J304" i="2"/>
  <c r="I304" i="2"/>
  <c r="H304" i="2"/>
  <c r="G304" i="2"/>
  <c r="F304" i="2"/>
  <c r="E304" i="2"/>
  <c r="D304" i="2"/>
  <c r="K303" i="2"/>
  <c r="J303" i="2"/>
  <c r="I303" i="2"/>
  <c r="H303" i="2"/>
  <c r="G303" i="2"/>
  <c r="F303" i="2"/>
  <c r="E303" i="2"/>
  <c r="D303" i="2"/>
  <c r="K302" i="2"/>
  <c r="J302" i="2"/>
  <c r="I302" i="2"/>
  <c r="H302" i="2"/>
  <c r="G302" i="2"/>
  <c r="F302" i="2"/>
  <c r="E302" i="2"/>
  <c r="D302" i="2"/>
  <c r="K301" i="2"/>
  <c r="J301" i="2"/>
  <c r="I301" i="2"/>
  <c r="H301" i="2"/>
  <c r="G301" i="2"/>
  <c r="F301" i="2"/>
  <c r="E301" i="2"/>
  <c r="D301" i="2"/>
  <c r="K300" i="2"/>
  <c r="J300" i="2"/>
  <c r="I300" i="2"/>
  <c r="H300" i="2"/>
  <c r="G300" i="2"/>
  <c r="F300" i="2"/>
  <c r="E300" i="2"/>
  <c r="D300" i="2"/>
  <c r="K299" i="2"/>
  <c r="K328" i="2" s="1"/>
  <c r="J299" i="2"/>
  <c r="J328" i="2" s="1"/>
  <c r="I299" i="2"/>
  <c r="I328" i="2" s="1"/>
  <c r="H299" i="2"/>
  <c r="H328" i="2" s="1"/>
  <c r="G299" i="2"/>
  <c r="G328" i="2" s="1"/>
  <c r="F299" i="2"/>
  <c r="F328" i="2" s="1"/>
  <c r="E299" i="2"/>
  <c r="E328" i="2" s="1"/>
  <c r="D299" i="2"/>
  <c r="D328" i="2" s="1"/>
  <c r="K291" i="2"/>
  <c r="J291" i="2"/>
  <c r="I291" i="2"/>
  <c r="H291" i="2"/>
  <c r="G291" i="2"/>
  <c r="F291" i="2"/>
  <c r="E291" i="2"/>
  <c r="D291" i="2"/>
  <c r="K289" i="2"/>
  <c r="J289" i="2"/>
  <c r="I289" i="2"/>
  <c r="H289" i="2"/>
  <c r="G289" i="2"/>
  <c r="F289" i="2"/>
  <c r="E289" i="2"/>
  <c r="D289" i="2"/>
  <c r="K288" i="2"/>
  <c r="J288" i="2"/>
  <c r="I288" i="2"/>
  <c r="H288" i="2"/>
  <c r="G288" i="2"/>
  <c r="F288" i="2"/>
  <c r="E288" i="2"/>
  <c r="D288" i="2"/>
  <c r="K287" i="2"/>
  <c r="J287" i="2"/>
  <c r="I287" i="2"/>
  <c r="H287" i="2"/>
  <c r="G287" i="2"/>
  <c r="F287" i="2"/>
  <c r="E287" i="2"/>
  <c r="D287" i="2"/>
  <c r="K286" i="2"/>
  <c r="J286" i="2"/>
  <c r="I286" i="2"/>
  <c r="H286" i="2"/>
  <c r="G286" i="2"/>
  <c r="F286" i="2"/>
  <c r="E286" i="2"/>
  <c r="D286" i="2"/>
  <c r="K285" i="2"/>
  <c r="J285" i="2"/>
  <c r="I285" i="2"/>
  <c r="H285" i="2"/>
  <c r="G285" i="2"/>
  <c r="F285" i="2"/>
  <c r="E285" i="2"/>
  <c r="D285" i="2"/>
  <c r="K284" i="2"/>
  <c r="J284" i="2"/>
  <c r="I284" i="2"/>
  <c r="H284" i="2"/>
  <c r="G284" i="2"/>
  <c r="F284" i="2"/>
  <c r="E284" i="2"/>
  <c r="D284" i="2"/>
  <c r="K283" i="2"/>
  <c r="J283" i="2"/>
  <c r="I283" i="2"/>
  <c r="H283" i="2"/>
  <c r="G283" i="2"/>
  <c r="F283" i="2"/>
  <c r="E283" i="2"/>
  <c r="D283" i="2"/>
  <c r="K282" i="2"/>
  <c r="J282" i="2"/>
  <c r="I282" i="2"/>
  <c r="H282" i="2"/>
  <c r="G282" i="2"/>
  <c r="F282" i="2"/>
  <c r="E282" i="2"/>
  <c r="D282" i="2"/>
  <c r="K281" i="2"/>
  <c r="J281" i="2"/>
  <c r="I281" i="2"/>
  <c r="H281" i="2"/>
  <c r="G281" i="2"/>
  <c r="F281" i="2"/>
  <c r="E281" i="2"/>
  <c r="D281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G279" i="2"/>
  <c r="F279" i="2"/>
  <c r="E279" i="2"/>
  <c r="D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K271" i="2"/>
  <c r="J271" i="2"/>
  <c r="I271" i="2"/>
  <c r="H271" i="2"/>
  <c r="G271" i="2"/>
  <c r="F271" i="2"/>
  <c r="E271" i="2"/>
  <c r="D271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F268" i="2"/>
  <c r="E268" i="2"/>
  <c r="D268" i="2"/>
  <c r="K267" i="2"/>
  <c r="J267" i="2"/>
  <c r="I267" i="2"/>
  <c r="H267" i="2"/>
  <c r="G267" i="2"/>
  <c r="F267" i="2"/>
  <c r="E267" i="2"/>
  <c r="D267" i="2"/>
  <c r="K266" i="2"/>
  <c r="K295" i="2" s="1"/>
  <c r="J266" i="2"/>
  <c r="J295" i="2" s="1"/>
  <c r="I266" i="2"/>
  <c r="I295" i="2" s="1"/>
  <c r="H266" i="2"/>
  <c r="H295" i="2" s="1"/>
  <c r="G266" i="2"/>
  <c r="G295" i="2" s="1"/>
  <c r="F266" i="2"/>
  <c r="F295" i="2" s="1"/>
  <c r="E266" i="2"/>
  <c r="E295" i="2" s="1"/>
  <c r="D266" i="2"/>
  <c r="D295" i="2" s="1"/>
  <c r="K258" i="2"/>
  <c r="J258" i="2"/>
  <c r="I258" i="2"/>
  <c r="H258" i="2"/>
  <c r="G258" i="2"/>
  <c r="F258" i="2"/>
  <c r="E258" i="2"/>
  <c r="D258" i="2"/>
  <c r="K256" i="2"/>
  <c r="J256" i="2"/>
  <c r="I256" i="2"/>
  <c r="H256" i="2"/>
  <c r="G256" i="2"/>
  <c r="F256" i="2"/>
  <c r="E256" i="2"/>
  <c r="D256" i="2"/>
  <c r="K255" i="2"/>
  <c r="J255" i="2"/>
  <c r="I255" i="2"/>
  <c r="H255" i="2"/>
  <c r="K254" i="2"/>
  <c r="J254" i="2"/>
  <c r="I254" i="2"/>
  <c r="H254" i="2"/>
  <c r="G254" i="2"/>
  <c r="F254" i="2"/>
  <c r="E254" i="2"/>
  <c r="D254" i="2"/>
  <c r="K253" i="2"/>
  <c r="J253" i="2"/>
  <c r="I253" i="2"/>
  <c r="H253" i="2"/>
  <c r="G253" i="2"/>
  <c r="F253" i="2"/>
  <c r="E253" i="2"/>
  <c r="D253" i="2"/>
  <c r="K252" i="2"/>
  <c r="J252" i="2"/>
  <c r="I252" i="2"/>
  <c r="H252" i="2"/>
  <c r="G252" i="2"/>
  <c r="F252" i="2"/>
  <c r="E252" i="2"/>
  <c r="D252" i="2"/>
  <c r="K251" i="2"/>
  <c r="J251" i="2"/>
  <c r="I251" i="2"/>
  <c r="H251" i="2"/>
  <c r="G251" i="2"/>
  <c r="F251" i="2"/>
  <c r="E251" i="2"/>
  <c r="D251" i="2"/>
  <c r="K250" i="2"/>
  <c r="J250" i="2"/>
  <c r="I250" i="2"/>
  <c r="H250" i="2"/>
  <c r="G250" i="2"/>
  <c r="F250" i="2"/>
  <c r="E250" i="2"/>
  <c r="D250" i="2"/>
  <c r="K249" i="2"/>
  <c r="J249" i="2"/>
  <c r="I249" i="2"/>
  <c r="H249" i="2"/>
  <c r="G249" i="2"/>
  <c r="F249" i="2"/>
  <c r="E249" i="2"/>
  <c r="D249" i="2"/>
  <c r="K248" i="2"/>
  <c r="J248" i="2"/>
  <c r="I248" i="2"/>
  <c r="H248" i="2"/>
  <c r="G248" i="2"/>
  <c r="F248" i="2"/>
  <c r="E248" i="2"/>
  <c r="D248" i="2"/>
  <c r="K247" i="2"/>
  <c r="J247" i="2"/>
  <c r="I247" i="2"/>
  <c r="H247" i="2"/>
  <c r="G247" i="2"/>
  <c r="F247" i="2"/>
  <c r="E247" i="2"/>
  <c r="D247" i="2"/>
  <c r="K246" i="2"/>
  <c r="J246" i="2"/>
  <c r="I246" i="2"/>
  <c r="H246" i="2"/>
  <c r="G246" i="2"/>
  <c r="F246" i="2"/>
  <c r="E246" i="2"/>
  <c r="D246" i="2"/>
  <c r="K245" i="2"/>
  <c r="J245" i="2"/>
  <c r="I245" i="2"/>
  <c r="H245" i="2"/>
  <c r="G245" i="2"/>
  <c r="F245" i="2"/>
  <c r="E245" i="2"/>
  <c r="D245" i="2"/>
  <c r="K244" i="2"/>
  <c r="J244" i="2"/>
  <c r="I244" i="2"/>
  <c r="H244" i="2"/>
  <c r="G244" i="2"/>
  <c r="F244" i="2"/>
  <c r="E244" i="2"/>
  <c r="D244" i="2"/>
  <c r="K243" i="2"/>
  <c r="J243" i="2"/>
  <c r="I243" i="2"/>
  <c r="H243" i="2"/>
  <c r="G243" i="2"/>
  <c r="F243" i="2"/>
  <c r="E243" i="2"/>
  <c r="D243" i="2"/>
  <c r="K242" i="2"/>
  <c r="J242" i="2"/>
  <c r="I242" i="2"/>
  <c r="H242" i="2"/>
  <c r="G242" i="2"/>
  <c r="F242" i="2"/>
  <c r="E242" i="2"/>
  <c r="D242" i="2"/>
  <c r="K241" i="2"/>
  <c r="J241" i="2"/>
  <c r="I241" i="2"/>
  <c r="H241" i="2"/>
  <c r="G241" i="2"/>
  <c r="F241" i="2"/>
  <c r="E241" i="2"/>
  <c r="D241" i="2"/>
  <c r="K240" i="2"/>
  <c r="J240" i="2"/>
  <c r="I240" i="2"/>
  <c r="H240" i="2"/>
  <c r="G240" i="2"/>
  <c r="F240" i="2"/>
  <c r="E240" i="2"/>
  <c r="D240" i="2"/>
  <c r="K239" i="2"/>
  <c r="J239" i="2"/>
  <c r="I239" i="2"/>
  <c r="H239" i="2"/>
  <c r="G239" i="2"/>
  <c r="F239" i="2"/>
  <c r="E239" i="2"/>
  <c r="D239" i="2"/>
  <c r="K238" i="2"/>
  <c r="J238" i="2"/>
  <c r="I238" i="2"/>
  <c r="H238" i="2"/>
  <c r="G238" i="2"/>
  <c r="F238" i="2"/>
  <c r="E238" i="2"/>
  <c r="D238" i="2"/>
  <c r="K237" i="2"/>
  <c r="J237" i="2"/>
  <c r="I237" i="2"/>
  <c r="H237" i="2"/>
  <c r="G237" i="2"/>
  <c r="F237" i="2"/>
  <c r="E237" i="2"/>
  <c r="D237" i="2"/>
  <c r="K236" i="2"/>
  <c r="J236" i="2"/>
  <c r="I236" i="2"/>
  <c r="H236" i="2"/>
  <c r="G236" i="2"/>
  <c r="F236" i="2"/>
  <c r="E236" i="2"/>
  <c r="D236" i="2"/>
  <c r="K235" i="2"/>
  <c r="J235" i="2"/>
  <c r="I235" i="2"/>
  <c r="H235" i="2"/>
  <c r="G235" i="2"/>
  <c r="F235" i="2"/>
  <c r="E235" i="2"/>
  <c r="D235" i="2"/>
  <c r="K234" i="2"/>
  <c r="J234" i="2"/>
  <c r="I234" i="2"/>
  <c r="H234" i="2"/>
  <c r="G234" i="2"/>
  <c r="F234" i="2"/>
  <c r="E234" i="2"/>
  <c r="D234" i="2"/>
  <c r="K233" i="2"/>
  <c r="K262" i="2" s="1"/>
  <c r="J233" i="2"/>
  <c r="J262" i="2" s="1"/>
  <c r="I233" i="2"/>
  <c r="I262" i="2" s="1"/>
  <c r="H233" i="2"/>
  <c r="H262" i="2" s="1"/>
  <c r="G233" i="2"/>
  <c r="F233" i="2"/>
  <c r="E233" i="2"/>
  <c r="D233" i="2"/>
  <c r="Y860" i="2" l="1"/>
  <c r="Y861" i="2"/>
  <c r="Y863" i="2"/>
  <c r="Y864" i="2"/>
  <c r="Y865" i="2"/>
  <c r="Y866" i="2"/>
  <c r="Y867" i="2"/>
  <c r="Y868" i="2"/>
  <c r="Y869" i="2"/>
  <c r="Y870" i="2"/>
  <c r="Y872" i="2"/>
  <c r="Y873" i="2"/>
  <c r="Y874" i="2"/>
  <c r="Y876" i="2"/>
  <c r="Y877" i="2"/>
  <c r="Y878" i="2"/>
  <c r="Y880" i="2"/>
  <c r="Y882" i="2"/>
  <c r="Y883" i="2"/>
  <c r="Y885" i="2"/>
  <c r="Y871" i="2"/>
  <c r="Y881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4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6" i="2"/>
  <c r="Y517" i="2"/>
  <c r="Y518" i="2"/>
  <c r="Y519" i="2"/>
  <c r="Y520" i="2"/>
  <c r="Y522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879" i="2"/>
  <c r="F255" i="2"/>
  <c r="F262" i="2" s="1"/>
  <c r="Y614" i="2"/>
  <c r="Y615" i="2"/>
  <c r="Y616" i="2"/>
  <c r="Y617" i="2"/>
  <c r="Y618" i="2"/>
  <c r="Y619" i="2"/>
  <c r="Y621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20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3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6" i="2"/>
  <c r="Y515" i="2"/>
  <c r="Y862" i="2"/>
  <c r="Y875" i="2"/>
  <c r="Y267" i="2"/>
  <c r="Y270" i="2"/>
  <c r="Y272" i="2"/>
  <c r="Y274" i="2"/>
  <c r="Y276" i="2"/>
  <c r="Y279" i="2"/>
  <c r="Y280" i="2"/>
  <c r="Y284" i="2"/>
  <c r="Y287" i="2"/>
  <c r="Y291" i="2"/>
  <c r="Y367" i="2"/>
  <c r="Y370" i="2"/>
  <c r="Y371" i="2"/>
  <c r="Y373" i="2"/>
  <c r="Y375" i="2"/>
  <c r="Y377" i="2"/>
  <c r="Y379" i="2"/>
  <c r="Y381" i="2"/>
  <c r="Y383" i="2"/>
  <c r="Y386" i="2"/>
  <c r="Y387" i="2"/>
  <c r="Y390" i="2"/>
  <c r="Y563" i="2"/>
  <c r="Y564" i="2"/>
  <c r="Y566" i="2"/>
  <c r="Y569" i="2"/>
  <c r="Y571" i="2"/>
  <c r="Y572" i="2"/>
  <c r="Y574" i="2"/>
  <c r="Y575" i="2"/>
  <c r="Y577" i="2"/>
  <c r="Y579" i="2"/>
  <c r="Y581" i="2"/>
  <c r="Y582" i="2"/>
  <c r="Y585" i="2"/>
  <c r="Y588" i="2"/>
  <c r="Y662" i="2"/>
  <c r="Y664" i="2"/>
  <c r="Y666" i="2"/>
  <c r="Y668" i="2"/>
  <c r="Y671" i="2"/>
  <c r="Y672" i="2"/>
  <c r="Y674" i="2"/>
  <c r="Y676" i="2"/>
  <c r="Y678" i="2"/>
  <c r="Y680" i="2"/>
  <c r="Y682" i="2"/>
  <c r="Y683" i="2"/>
  <c r="Y685" i="2"/>
  <c r="Y687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6" i="2"/>
  <c r="Y258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3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4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2" i="2"/>
  <c r="Y266" i="2"/>
  <c r="Y268" i="2"/>
  <c r="Y269" i="2"/>
  <c r="Y271" i="2"/>
  <c r="Y273" i="2"/>
  <c r="Y275" i="2"/>
  <c r="Y277" i="2"/>
  <c r="Y278" i="2"/>
  <c r="Y281" i="2"/>
  <c r="Y282" i="2"/>
  <c r="Y283" i="2"/>
  <c r="Y285" i="2"/>
  <c r="Y286" i="2"/>
  <c r="Y288" i="2"/>
  <c r="Y289" i="2"/>
  <c r="Y365" i="2"/>
  <c r="Y366" i="2"/>
  <c r="Y368" i="2"/>
  <c r="Y369" i="2"/>
  <c r="Y372" i="2"/>
  <c r="Y374" i="2"/>
  <c r="Y376" i="2"/>
  <c r="Y378" i="2"/>
  <c r="Y380" i="2"/>
  <c r="Y382" i="2"/>
  <c r="Y384" i="2"/>
  <c r="Y385" i="2"/>
  <c r="Y388" i="2"/>
  <c r="Y565" i="2"/>
  <c r="Y567" i="2"/>
  <c r="Y568" i="2"/>
  <c r="Y570" i="2"/>
  <c r="Y573" i="2"/>
  <c r="Y576" i="2"/>
  <c r="Y578" i="2"/>
  <c r="Y580" i="2"/>
  <c r="Y583" i="2"/>
  <c r="Y584" i="2"/>
  <c r="Y586" i="2"/>
  <c r="Y663" i="2"/>
  <c r="Y665" i="2"/>
  <c r="Y667" i="2"/>
  <c r="Y669" i="2"/>
  <c r="Y670" i="2"/>
  <c r="Y673" i="2"/>
  <c r="Y675" i="2"/>
  <c r="Y677" i="2"/>
  <c r="Y679" i="2"/>
  <c r="Y681" i="2"/>
  <c r="Y684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7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6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5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9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8" i="2"/>
  <c r="G255" i="2"/>
  <c r="G262" i="2" s="1"/>
  <c r="E255" i="2"/>
  <c r="E262" i="2" s="1"/>
  <c r="D255" i="2"/>
  <c r="D262" i="2" s="1"/>
  <c r="Z869" i="2" l="1"/>
  <c r="Z885" i="2"/>
  <c r="Z862" i="2"/>
  <c r="Z878" i="2"/>
  <c r="Z883" i="2"/>
  <c r="Z875" i="2"/>
  <c r="Z864" i="2"/>
  <c r="Z873" i="2"/>
  <c r="Z868" i="2"/>
  <c r="Z866" i="2"/>
  <c r="Z882" i="2"/>
  <c r="Z863" i="2"/>
  <c r="Z879" i="2"/>
  <c r="Z880" i="2"/>
  <c r="Z877" i="2"/>
  <c r="Z870" i="2"/>
  <c r="Z867" i="2"/>
  <c r="Z881" i="2"/>
  <c r="Z874" i="2"/>
  <c r="Z871" i="2"/>
  <c r="Z876" i="2"/>
  <c r="Z860" i="2"/>
  <c r="Z887" i="2"/>
  <c r="Z861" i="2"/>
  <c r="Z886" i="2"/>
  <c r="Z865" i="2"/>
  <c r="Z872" i="2"/>
  <c r="Z613" i="2"/>
  <c r="Z610" i="2"/>
  <c r="Z612" i="2"/>
  <c r="Z611" i="2"/>
  <c r="Z616" i="2"/>
  <c r="Z609" i="2"/>
  <c r="Z605" i="2"/>
  <c r="Z614" i="2"/>
  <c r="Z603" i="2"/>
  <c r="Z604" i="2"/>
  <c r="Z621" i="2"/>
  <c r="Z618" i="2"/>
  <c r="Z607" i="2"/>
  <c r="Z596" i="2"/>
  <c r="Z619" i="2"/>
  <c r="Z615" i="2"/>
  <c r="Z598" i="2"/>
  <c r="Z600" i="2"/>
  <c r="Z601" i="2"/>
  <c r="Z599" i="2"/>
  <c r="Z602" i="2"/>
  <c r="Z606" i="2"/>
  <c r="Z597" i="2"/>
  <c r="Z617" i="2"/>
  <c r="Z608" i="2"/>
  <c r="Z622" i="2"/>
  <c r="Z623" i="2"/>
  <c r="Z271" i="2"/>
  <c r="Z287" i="2"/>
  <c r="Z276" i="2"/>
  <c r="Z292" i="2"/>
  <c r="Z281" i="2"/>
  <c r="Z270" i="2"/>
  <c r="Z278" i="2"/>
  <c r="Z269" i="2"/>
  <c r="Z286" i="2"/>
  <c r="Z275" i="2"/>
  <c r="Z291" i="2"/>
  <c r="Z280" i="2"/>
  <c r="Z285" i="2"/>
  <c r="Z266" i="2"/>
  <c r="Z279" i="2"/>
  <c r="Z284" i="2"/>
  <c r="Z282" i="2"/>
  <c r="Z268" i="2"/>
  <c r="Z274" i="2"/>
  <c r="Z267" i="2"/>
  <c r="Z277" i="2"/>
  <c r="Z283" i="2"/>
  <c r="Z288" i="2"/>
  <c r="Z293" i="2"/>
  <c r="Z273" i="2"/>
  <c r="Z272" i="2"/>
  <c r="Z289" i="2"/>
  <c r="Z564" i="2"/>
  <c r="Z580" i="2"/>
  <c r="Z586" i="2"/>
  <c r="Z577" i="2"/>
  <c r="Z575" i="2"/>
  <c r="Z574" i="2"/>
  <c r="Z590" i="2"/>
  <c r="Z568" i="2"/>
  <c r="Z584" i="2"/>
  <c r="Z565" i="2"/>
  <c r="Z581" i="2"/>
  <c r="Z579" i="2"/>
  <c r="Z578" i="2"/>
  <c r="Z567" i="2"/>
  <c r="Z588" i="2"/>
  <c r="Z585" i="2"/>
  <c r="Z582" i="2"/>
  <c r="Z571" i="2"/>
  <c r="Z589" i="2"/>
  <c r="Z572" i="2"/>
  <c r="Z566" i="2"/>
  <c r="Z583" i="2"/>
  <c r="Z563" i="2"/>
  <c r="Z576" i="2"/>
  <c r="Z570" i="2"/>
  <c r="Z569" i="2"/>
  <c r="Z573" i="2"/>
  <c r="Z832" i="2"/>
  <c r="Z848" i="2"/>
  <c r="Z833" i="2"/>
  <c r="Z849" i="2"/>
  <c r="Z827" i="2"/>
  <c r="Z842" i="2"/>
  <c r="Z843" i="2"/>
  <c r="Z836" i="2"/>
  <c r="Z852" i="2"/>
  <c r="Z837" i="2"/>
  <c r="Z853" i="2"/>
  <c r="Z830" i="2"/>
  <c r="Z846" i="2"/>
  <c r="Z850" i="2"/>
  <c r="Z847" i="2"/>
  <c r="Z835" i="2"/>
  <c r="Z828" i="2"/>
  <c r="Z829" i="2"/>
  <c r="Z839" i="2"/>
  <c r="Z831" i="2"/>
  <c r="Z840" i="2"/>
  <c r="Z834" i="2"/>
  <c r="Z844" i="2"/>
  <c r="Z838" i="2"/>
  <c r="Z841" i="2"/>
  <c r="Z845" i="2"/>
  <c r="Z854" i="2"/>
  <c r="Z539" i="2"/>
  <c r="Z555" i="2"/>
  <c r="Z532" i="2"/>
  <c r="Z548" i="2"/>
  <c r="Z550" i="2"/>
  <c r="Z545" i="2"/>
  <c r="Z542" i="2"/>
  <c r="Z543" i="2"/>
  <c r="Z538" i="2"/>
  <c r="Z536" i="2"/>
  <c r="Z552" i="2"/>
  <c r="Z533" i="2"/>
  <c r="Z549" i="2"/>
  <c r="Z553" i="2"/>
  <c r="Z531" i="2"/>
  <c r="Z546" i="2"/>
  <c r="Z556" i="2"/>
  <c r="Z535" i="2"/>
  <c r="Z530" i="2"/>
  <c r="Z534" i="2"/>
  <c r="Z557" i="2"/>
  <c r="Z540" i="2"/>
  <c r="Z537" i="2"/>
  <c r="Z541" i="2"/>
  <c r="Z544" i="2"/>
  <c r="Z547" i="2"/>
  <c r="Z551" i="2"/>
  <c r="Z807" i="2"/>
  <c r="Z802" i="2"/>
  <c r="Z800" i="2"/>
  <c r="Z816" i="2"/>
  <c r="Z795" i="2"/>
  <c r="Z811" i="2"/>
  <c r="Z810" i="2"/>
  <c r="Z804" i="2"/>
  <c r="Z820" i="2"/>
  <c r="Z801" i="2"/>
  <c r="Z815" i="2"/>
  <c r="Z808" i="2"/>
  <c r="Z797" i="2"/>
  <c r="Z821" i="2"/>
  <c r="Z819" i="2"/>
  <c r="Z812" i="2"/>
  <c r="Z805" i="2"/>
  <c r="Z806" i="2"/>
  <c r="Z799" i="2"/>
  <c r="Z798" i="2"/>
  <c r="Z817" i="2"/>
  <c r="Z803" i="2"/>
  <c r="Z814" i="2"/>
  <c r="Z809" i="2"/>
  <c r="Z794" i="2"/>
  <c r="Z813" i="2"/>
  <c r="Z796" i="2"/>
  <c r="Z473" i="2"/>
  <c r="Z489" i="2"/>
  <c r="Z474" i="2"/>
  <c r="Z490" i="2"/>
  <c r="Z475" i="2"/>
  <c r="Z491" i="2"/>
  <c r="Z487" i="2"/>
  <c r="Z477" i="2"/>
  <c r="Z472" i="2"/>
  <c r="Z478" i="2"/>
  <c r="Z476" i="2"/>
  <c r="Z479" i="2"/>
  <c r="Z468" i="2"/>
  <c r="Z464" i="2"/>
  <c r="Z481" i="2"/>
  <c r="Z482" i="2"/>
  <c r="Z483" i="2"/>
  <c r="Z485" i="2"/>
  <c r="Z486" i="2"/>
  <c r="Z465" i="2"/>
  <c r="Z467" i="2"/>
  <c r="Z466" i="2"/>
  <c r="Z470" i="2"/>
  <c r="Z469" i="2"/>
  <c r="Z471" i="2"/>
  <c r="Z480" i="2"/>
  <c r="Z484" i="2"/>
  <c r="Z741" i="2"/>
  <c r="Z736" i="2"/>
  <c r="Z738" i="2"/>
  <c r="Z754" i="2"/>
  <c r="Z735" i="2"/>
  <c r="Z729" i="2"/>
  <c r="Z745" i="2"/>
  <c r="Z748" i="2"/>
  <c r="Z742" i="2"/>
  <c r="Z740" i="2"/>
  <c r="Z739" i="2"/>
  <c r="Z732" i="2"/>
  <c r="Z733" i="2"/>
  <c r="Z730" i="2"/>
  <c r="Z751" i="2"/>
  <c r="Z744" i="2"/>
  <c r="Z737" i="2"/>
  <c r="Z734" i="2"/>
  <c r="Z731" i="2"/>
  <c r="Z728" i="2"/>
  <c r="Z746" i="2"/>
  <c r="Z743" i="2"/>
  <c r="Z750" i="2"/>
  <c r="Z749" i="2"/>
  <c r="Z753" i="2"/>
  <c r="Z747" i="2"/>
  <c r="Z755" i="2"/>
  <c r="Z337" i="2"/>
  <c r="Z353" i="2"/>
  <c r="Z342" i="2"/>
  <c r="Z358" i="2"/>
  <c r="Z347" i="2"/>
  <c r="Z344" i="2"/>
  <c r="Z352" i="2"/>
  <c r="Z341" i="2"/>
  <c r="Z357" i="2"/>
  <c r="Z346" i="2"/>
  <c r="Z335" i="2"/>
  <c r="Z351" i="2"/>
  <c r="Z332" i="2"/>
  <c r="Z340" i="2"/>
  <c r="Z334" i="2"/>
  <c r="Z339" i="2"/>
  <c r="Z348" i="2"/>
  <c r="Z349" i="2"/>
  <c r="Z359" i="2"/>
  <c r="Z333" i="2"/>
  <c r="Z338" i="2"/>
  <c r="Z343" i="2"/>
  <c r="Z336" i="2"/>
  <c r="Z345" i="2"/>
  <c r="Z350" i="2"/>
  <c r="Z355" i="2"/>
  <c r="Z354" i="2"/>
  <c r="Z432" i="2"/>
  <c r="Z448" i="2"/>
  <c r="Z437" i="2"/>
  <c r="Z453" i="2"/>
  <c r="Z442" i="2"/>
  <c r="Z458" i="2"/>
  <c r="Z454" i="2"/>
  <c r="Z436" i="2"/>
  <c r="Z452" i="2"/>
  <c r="Z441" i="2"/>
  <c r="Z457" i="2"/>
  <c r="Z456" i="2"/>
  <c r="Z434" i="2"/>
  <c r="Z443" i="2"/>
  <c r="Z433" i="2"/>
  <c r="Z438" i="2"/>
  <c r="Z435" i="2"/>
  <c r="Z431" i="2"/>
  <c r="Z445" i="2"/>
  <c r="Z451" i="2"/>
  <c r="Z440" i="2"/>
  <c r="Z447" i="2"/>
  <c r="Z444" i="2"/>
  <c r="Z449" i="2"/>
  <c r="Z439" i="2"/>
  <c r="Z446" i="2"/>
  <c r="Z450" i="2"/>
  <c r="Z700" i="2"/>
  <c r="Z716" i="2"/>
  <c r="Z697" i="2"/>
  <c r="Z713" i="2"/>
  <c r="Z718" i="2"/>
  <c r="Z710" i="2"/>
  <c r="Z703" i="2"/>
  <c r="Z704" i="2"/>
  <c r="Z720" i="2"/>
  <c r="Z701" i="2"/>
  <c r="Z717" i="2"/>
  <c r="Z698" i="2"/>
  <c r="Z714" i="2"/>
  <c r="Z711" i="2"/>
  <c r="Z707" i="2"/>
  <c r="Z721" i="2"/>
  <c r="Z696" i="2"/>
  <c r="Z715" i="2"/>
  <c r="Z699" i="2"/>
  <c r="Z722" i="2"/>
  <c r="Z705" i="2"/>
  <c r="Z695" i="2"/>
  <c r="Z702" i="2"/>
  <c r="Z709" i="2"/>
  <c r="Z708" i="2"/>
  <c r="Z712" i="2"/>
  <c r="Z706" i="2"/>
  <c r="Z246" i="2"/>
  <c r="Z235" i="2"/>
  <c r="Z251" i="2"/>
  <c r="Z240" i="2"/>
  <c r="Z245" i="2"/>
  <c r="Z253" i="2"/>
  <c r="Z234" i="2"/>
  <c r="Z239" i="2"/>
  <c r="Z244" i="2"/>
  <c r="Z233" i="2"/>
  <c r="Z250" i="2"/>
  <c r="Z255" i="2"/>
  <c r="Z260" i="2"/>
  <c r="Z254" i="2"/>
  <c r="Z259" i="2"/>
  <c r="Z241" i="2"/>
  <c r="Z243" i="2"/>
  <c r="Z249" i="2"/>
  <c r="Z242" i="2"/>
  <c r="Z252" i="2"/>
  <c r="Z258" i="2"/>
  <c r="Z236" i="2"/>
  <c r="Z256" i="2"/>
  <c r="Z238" i="2"/>
  <c r="Z248" i="2"/>
  <c r="Z247" i="2"/>
  <c r="Z237" i="2"/>
  <c r="Z663" i="2"/>
  <c r="Z679" i="2"/>
  <c r="Z678" i="2"/>
  <c r="Z672" i="2"/>
  <c r="Z688" i="2"/>
  <c r="Z669" i="2"/>
  <c r="Z667" i="2"/>
  <c r="Z687" i="2"/>
  <c r="Z668" i="2"/>
  <c r="Z670" i="2"/>
  <c r="Z677" i="2"/>
  <c r="Z671" i="2"/>
  <c r="Z666" i="2"/>
  <c r="Z676" i="2"/>
  <c r="Z682" i="2"/>
  <c r="Z681" i="2"/>
  <c r="Z675" i="2"/>
  <c r="Z680" i="2"/>
  <c r="Z674" i="2"/>
  <c r="Z665" i="2"/>
  <c r="Z683" i="2"/>
  <c r="Z684" i="2"/>
  <c r="Z685" i="2"/>
  <c r="Z662" i="2"/>
  <c r="Z664" i="2"/>
  <c r="Z673" i="2"/>
  <c r="Z689" i="2"/>
  <c r="Z407" i="2"/>
  <c r="Z423" i="2"/>
  <c r="Z412" i="2"/>
  <c r="Z401" i="2"/>
  <c r="Z417" i="2"/>
  <c r="Z418" i="2"/>
  <c r="Z398" i="2"/>
  <c r="Z403" i="2"/>
  <c r="Z400" i="2"/>
  <c r="Z420" i="2"/>
  <c r="Z413" i="2"/>
  <c r="Z406" i="2"/>
  <c r="Z411" i="2"/>
  <c r="Z404" i="2"/>
  <c r="Z424" i="2"/>
  <c r="Z421" i="2"/>
  <c r="Z415" i="2"/>
  <c r="Z405" i="2"/>
  <c r="Z410" i="2"/>
  <c r="Z408" i="2"/>
  <c r="Z399" i="2"/>
  <c r="Z402" i="2"/>
  <c r="Z419" i="2"/>
  <c r="Z409" i="2"/>
  <c r="Z414" i="2"/>
  <c r="Z425" i="2"/>
  <c r="Z416" i="2"/>
  <c r="Y255" i="2"/>
  <c r="Z498" i="2"/>
  <c r="Z514" i="2"/>
  <c r="Z520" i="2"/>
  <c r="Z511" i="2"/>
  <c r="Z501" i="2"/>
  <c r="Z504" i="2"/>
  <c r="Z502" i="2"/>
  <c r="Z518" i="2"/>
  <c r="Z499" i="2"/>
  <c r="Z515" i="2"/>
  <c r="Z513" i="2"/>
  <c r="Z508" i="2"/>
  <c r="Z524" i="2"/>
  <c r="Z506" i="2"/>
  <c r="Z503" i="2"/>
  <c r="Z497" i="2"/>
  <c r="Z505" i="2"/>
  <c r="Z510" i="2"/>
  <c r="Z507" i="2"/>
  <c r="Z500" i="2"/>
  <c r="Z517" i="2"/>
  <c r="Z522" i="2"/>
  <c r="Z512" i="2"/>
  <c r="Z509" i="2"/>
  <c r="Z516" i="2"/>
  <c r="Z519" i="2"/>
  <c r="Z523" i="2"/>
  <c r="Z894" i="2"/>
  <c r="Z910" i="2"/>
  <c r="Z913" i="2"/>
  <c r="Z907" i="2"/>
  <c r="Z901" i="2"/>
  <c r="Z904" i="2"/>
  <c r="Z920" i="2"/>
  <c r="Z898" i="2"/>
  <c r="Z914" i="2"/>
  <c r="Z895" i="2"/>
  <c r="Z911" i="2"/>
  <c r="Z916" i="2"/>
  <c r="Z908" i="2"/>
  <c r="Z897" i="2"/>
  <c r="Z918" i="2"/>
  <c r="Z915" i="2"/>
  <c r="Z912" i="2"/>
  <c r="Z905" i="2"/>
  <c r="Z919" i="2"/>
  <c r="Z899" i="2"/>
  <c r="Z909" i="2"/>
  <c r="Z903" i="2"/>
  <c r="Z893" i="2"/>
  <c r="Z896" i="2"/>
  <c r="Z900" i="2"/>
  <c r="Z902" i="2"/>
  <c r="Z906" i="2"/>
  <c r="Z770" i="2"/>
  <c r="Z786" i="2"/>
  <c r="Z767" i="2"/>
  <c r="Z783" i="2"/>
  <c r="Z784" i="2"/>
  <c r="Z776" i="2"/>
  <c r="Z781" i="2"/>
  <c r="Z774" i="2"/>
  <c r="Z761" i="2"/>
  <c r="Z779" i="2"/>
  <c r="Z764" i="2"/>
  <c r="Z778" i="2"/>
  <c r="Z763" i="2"/>
  <c r="Z787" i="2"/>
  <c r="Z768" i="2"/>
  <c r="Z769" i="2"/>
  <c r="Z782" i="2"/>
  <c r="Z765" i="2"/>
  <c r="Z777" i="2"/>
  <c r="Z773" i="2"/>
  <c r="Z771" i="2"/>
  <c r="Z772" i="2"/>
  <c r="Z775" i="2"/>
  <c r="Z762" i="2"/>
  <c r="Z766" i="2"/>
  <c r="Z780" i="2"/>
  <c r="Z788" i="2"/>
  <c r="Z642" i="2"/>
  <c r="Z641" i="2"/>
  <c r="Z639" i="2"/>
  <c r="Z655" i="2"/>
  <c r="Z632" i="2"/>
  <c r="Z648" i="2"/>
  <c r="Z634" i="2"/>
  <c r="Z654" i="2"/>
  <c r="Z643" i="2"/>
  <c r="Z645" i="2"/>
  <c r="Z644" i="2"/>
  <c r="Z638" i="2"/>
  <c r="Z629" i="2"/>
  <c r="Z647" i="2"/>
  <c r="Z649" i="2"/>
  <c r="Z646" i="2"/>
  <c r="Z651" i="2"/>
  <c r="Z637" i="2"/>
  <c r="Z650" i="2"/>
  <c r="Z633" i="2"/>
  <c r="Z652" i="2"/>
  <c r="Z636" i="2"/>
  <c r="Z630" i="2"/>
  <c r="Z640" i="2"/>
  <c r="Z631" i="2"/>
  <c r="Z635" i="2"/>
  <c r="Z656" i="2"/>
  <c r="Z366" i="2"/>
  <c r="Z382" i="2"/>
  <c r="Z371" i="2"/>
  <c r="Z370" i="2"/>
  <c r="Z390" i="2"/>
  <c r="Z383" i="2"/>
  <c r="Z372" i="2"/>
  <c r="Z377" i="2"/>
  <c r="Z385" i="2"/>
  <c r="Z374" i="2"/>
  <c r="Z367" i="2"/>
  <c r="Z387" i="2"/>
  <c r="Z376" i="2"/>
  <c r="Z392" i="2"/>
  <c r="Z365" i="2"/>
  <c r="Z378" i="2"/>
  <c r="Z391" i="2"/>
  <c r="Z373" i="2"/>
  <c r="Z384" i="2"/>
  <c r="Z386" i="2"/>
  <c r="Z368" i="2"/>
  <c r="Z388" i="2"/>
  <c r="Z375" i="2"/>
  <c r="Z380" i="2"/>
  <c r="Z381" i="2"/>
  <c r="Z379" i="2"/>
  <c r="Z369" i="2"/>
  <c r="Z312" i="2"/>
  <c r="Z301" i="2"/>
  <c r="Z317" i="2"/>
  <c r="Z306" i="2"/>
  <c r="Z303" i="2"/>
  <c r="Z322" i="2"/>
  <c r="Z300" i="2"/>
  <c r="Z316" i="2"/>
  <c r="Z305" i="2"/>
  <c r="Z321" i="2"/>
  <c r="Z310" i="2"/>
  <c r="Z326" i="2"/>
  <c r="Z319" i="2"/>
  <c r="Z304" i="2"/>
  <c r="Z309" i="2"/>
  <c r="Z314" i="2"/>
  <c r="Z311" i="2"/>
  <c r="Z325" i="2"/>
  <c r="Z302" i="2"/>
  <c r="Z308" i="2"/>
  <c r="Z313" i="2"/>
  <c r="Z318" i="2"/>
  <c r="Z307" i="2"/>
  <c r="Z320" i="2"/>
  <c r="Z315" i="2"/>
  <c r="Z324" i="2"/>
  <c r="Z299" i="2"/>
</calcChain>
</file>

<file path=xl/sharedStrings.xml><?xml version="1.0" encoding="utf-8"?>
<sst xmlns="http://schemas.openxmlformats.org/spreadsheetml/2006/main" count="1814" uniqueCount="719">
  <si>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</si>
  <si>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</si>
  <si>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</si>
  <si>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</si>
  <si>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</si>
  <si>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</si>
  <si>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</si>
  <si>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</si>
  <si>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</si>
  <si>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</si>
  <si>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</si>
  <si>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</si>
  <si>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</si>
  <si>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</si>
  <si>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</si>
  <si>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</si>
  <si>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</si>
  <si>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</si>
  <si>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</si>
  <si>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</si>
  <si>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</si>
  <si>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</si>
  <si>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</si>
  <si>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</si>
  <si>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</si>
  <si>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</si>
  <si>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</si>
  <si>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</si>
  <si>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</si>
  <si>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</si>
  <si>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</si>
  <si>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</si>
  <si>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</si>
  <si>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</si>
  <si>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</si>
  <si>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</si>
  <si>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</si>
  <si>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</si>
  <si>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</si>
  <si>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</si>
  <si>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</si>
  <si>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</si>
  <si>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</si>
  <si>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</si>
  <si>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</si>
  <si>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</si>
  <si>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</si>
  <si>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</si>
  <si>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</si>
  <si>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</si>
  <si>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</si>
  <si>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</si>
  <si>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</si>
  <si>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</si>
  <si>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</si>
  <si>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</si>
  <si>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</si>
  <si>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</si>
  <si>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</si>
  <si>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</si>
  <si>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</si>
  <si>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</si>
  <si>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</si>
  <si>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</si>
  <si>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</si>
  <si>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</si>
  <si>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</si>
  <si>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</si>
  <si>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</si>
  <si>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</si>
  <si>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</si>
  <si>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</si>
  <si>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</si>
  <si>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</si>
  <si>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</si>
  <si>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</si>
  <si>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</si>
  <si>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</si>
  <si>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</si>
  <si>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</si>
  <si>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</si>
  <si>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</si>
  <si>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</si>
  <si>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</si>
  <si>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</si>
  <si>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</si>
  <si>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</si>
  <si>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</si>
  <si>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</si>
  <si>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</si>
  <si>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</si>
  <si>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</si>
  <si>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</si>
  <si>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</si>
  <si>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</si>
  <si>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</si>
  <si>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</si>
  <si>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</si>
  <si>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</si>
  <si>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</si>
  <si>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</si>
  <si>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</si>
  <si>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</si>
  <si>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</si>
  <si>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</si>
  <si>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</si>
  <si>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</si>
  <si>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</si>
  <si>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</si>
  <si>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</si>
  <si>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</si>
  <si>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</si>
  <si>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</si>
  <si>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</si>
  <si>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</si>
  <si>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</si>
  <si>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</si>
  <si>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</si>
  <si>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</si>
  <si>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</si>
  <si>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</si>
  <si>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</si>
  <si>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</si>
  <si>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</si>
  <si>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</si>
  <si>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</si>
  <si>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</si>
  <si>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</si>
  <si>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</si>
  <si>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</si>
  <si>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</si>
  <si>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</si>
  <si>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</si>
  <si>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</si>
  <si>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</si>
  <si>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</si>
  <si>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</si>
  <si>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</si>
  <si>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</si>
  <si>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</si>
  <si>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</si>
  <si>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</si>
  <si>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</si>
  <si>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</si>
  <si>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</si>
  <si>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</si>
  <si>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</si>
  <si>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</si>
  <si>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</si>
  <si>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</si>
  <si>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</si>
  <si>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</si>
  <si>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</si>
  <si>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</si>
  <si>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</si>
  <si>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</si>
  <si>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</si>
  <si>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</si>
  <si>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</si>
  <si>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</si>
  <si>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</si>
  <si>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</si>
  <si>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</si>
  <si>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</si>
  <si>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</si>
  <si>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</si>
  <si>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</si>
  <si>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</si>
  <si>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</si>
  <si>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</si>
  <si>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</si>
  <si>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</si>
  <si>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</si>
  <si>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</si>
  <si>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</si>
  <si>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</si>
  <si>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</si>
  <si>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</si>
  <si>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</si>
  <si>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</si>
  <si>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</si>
  <si>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</si>
  <si>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</si>
  <si>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</si>
  <si>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</si>
  <si>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</si>
  <si>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</si>
  <si>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</si>
  <si>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</si>
  <si>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</si>
  <si>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</si>
  <si>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</si>
  <si>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</si>
  <si>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</si>
  <si>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</si>
  <si>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</si>
  <si>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</si>
  <si>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</si>
  <si>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</si>
  <si>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</si>
  <si>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</si>
  <si>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</si>
  <si>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</si>
  <si>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</si>
  <si>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</si>
  <si>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</si>
  <si>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</si>
  <si>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</si>
  <si>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</si>
  <si>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</si>
  <si>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</si>
  <si>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</si>
  <si>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</si>
  <si>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</si>
  <si>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</si>
  <si>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</si>
  <si>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</si>
  <si>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</si>
  <si>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</si>
  <si>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</si>
  <si>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</si>
  <si>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</si>
  <si>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</si>
  <si>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</si>
  <si>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</si>
  <si>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</si>
  <si>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</si>
  <si>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</si>
  <si>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</si>
  <si>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</si>
  <si>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</si>
  <si>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</si>
  <si>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</si>
  <si>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</si>
  <si>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</si>
  <si>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</si>
  <si>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</si>
  <si>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</si>
  <si>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</si>
  <si>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</si>
  <si>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</si>
  <si>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</si>
  <si>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</si>
  <si>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</si>
  <si>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</si>
  <si>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</si>
  <si>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</si>
  <si>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</si>
  <si>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</si>
  <si>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</si>
  <si>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</si>
  <si>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</si>
  <si>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</si>
  <si>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</si>
  <si>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</si>
  <si>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</si>
  <si>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</si>
  <si>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</si>
  <si>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</si>
  <si>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</si>
  <si>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</si>
  <si>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</si>
  <si>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</si>
  <si>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</si>
  <si>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</si>
  <si>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</si>
  <si>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</si>
  <si>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</si>
  <si>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</si>
  <si>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</si>
  <si>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</si>
  <si>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</si>
  <si>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</si>
  <si>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</si>
  <si>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</si>
  <si>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</si>
  <si>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</si>
  <si>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</si>
  <si>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</si>
  <si>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</si>
  <si>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</si>
  <si>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</si>
  <si>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</si>
  <si>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</si>
  <si>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</si>
  <si>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</si>
  <si>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</si>
  <si>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</si>
  <si>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</si>
  <si>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</si>
  <si>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</si>
  <si>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</si>
  <si>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</si>
  <si>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</si>
  <si>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</si>
  <si>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</si>
  <si>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</si>
  <si>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</si>
  <si>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</si>
  <si>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</si>
  <si>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</si>
  <si>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</si>
  <si>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</si>
  <si>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</si>
  <si>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</si>
  <si>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</si>
  <si>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</si>
  <si>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</si>
  <si>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O-P</t>
  </si>
  <si>
    <t>PRED</t>
  </si>
  <si>
    <t>ERROR</t>
  </si>
  <si>
    <t>2013-14</t>
  </si>
  <si>
    <t>2014-15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</si>
  <si>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</si>
  <si>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</si>
  <si>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</si>
  <si>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</si>
  <si>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</si>
  <si>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</si>
  <si>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</si>
  <si>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</si>
  <si>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</si>
  <si>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</si>
  <si>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</si>
  <si>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</si>
  <si>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</si>
  <si>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</si>
  <si>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</si>
  <si>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</si>
  <si>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</si>
  <si>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</si>
  <si>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</si>
  <si>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</si>
  <si>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</si>
  <si>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</si>
  <si>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</si>
  <si>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</si>
  <si>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</si>
  <si>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</si>
  <si>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</si>
  <si>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</si>
  <si>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</si>
  <si>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</si>
  <si>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</si>
  <si>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</si>
  <si>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</si>
  <si>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</si>
  <si>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</si>
  <si>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</si>
  <si>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</si>
  <si>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</si>
  <si>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</si>
  <si>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</si>
  <si>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</si>
  <si>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</si>
  <si>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</si>
  <si>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</si>
  <si>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</si>
  <si>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</si>
  <si>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</si>
  <si>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</si>
  <si>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</si>
  <si>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</si>
  <si>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</si>
  <si>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</si>
  <si>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</si>
  <si>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</si>
  <si>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</si>
  <si>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</si>
  <si>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</si>
  <si>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</si>
  <si>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</si>
  <si>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</si>
  <si>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</si>
  <si>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</si>
  <si>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</si>
  <si>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</si>
  <si>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</si>
  <si>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</si>
  <si>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</si>
  <si>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</si>
  <si>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</si>
  <si>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</si>
  <si>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</si>
  <si>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</si>
  <si>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</si>
  <si>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</si>
  <si>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</si>
  <si>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</si>
  <si>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</si>
  <si>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</si>
  <si>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</si>
  <si>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</si>
  <si>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</si>
  <si>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</si>
  <si>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</si>
  <si>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</si>
  <si>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</si>
  <si>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</si>
  <si>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</si>
  <si>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</si>
  <si>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</si>
  <si>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</si>
  <si>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</si>
  <si>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</si>
  <si>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</si>
  <si>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</si>
  <si>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</si>
  <si>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</si>
  <si>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</si>
  <si>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</si>
  <si>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</si>
  <si>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</si>
  <si>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</si>
  <si>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</si>
  <si>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</si>
  <si>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</si>
  <si>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</si>
  <si>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</si>
  <si>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</si>
  <si>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</si>
  <si>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</si>
  <si>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</si>
  <si>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</si>
  <si>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</si>
  <si>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</si>
  <si>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</si>
  <si>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</si>
  <si>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</si>
  <si>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</si>
  <si>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</si>
  <si>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</si>
  <si>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</si>
  <si>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</si>
  <si>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</si>
  <si>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</si>
  <si>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</si>
  <si>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</si>
  <si>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</si>
  <si>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</si>
  <si>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</si>
  <si>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</si>
  <si>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</si>
  <si>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</si>
  <si>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</si>
  <si>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</si>
  <si>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</si>
  <si>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</si>
  <si>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</si>
  <si>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YEAR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</si>
  <si>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</si>
  <si>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</si>
  <si>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</si>
  <si>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</si>
  <si>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</si>
  <si>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</si>
  <si>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</si>
  <si>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</si>
  <si>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</si>
  <si>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</si>
  <si>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</si>
  <si>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</si>
  <si>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</si>
  <si>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</si>
  <si>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</si>
  <si>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</si>
  <si>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</si>
  <si>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</si>
  <si>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</si>
  <si>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</si>
  <si>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</si>
  <si>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</si>
  <si>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</si>
  <si>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</si>
  <si>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</si>
  <si>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</si>
  <si>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</si>
  <si>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</si>
  <si>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</si>
  <si>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</si>
  <si>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</si>
  <si>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</si>
  <si>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</si>
  <si>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</si>
  <si>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</si>
  <si>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</si>
  <si>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</si>
  <si>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</si>
  <si>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</si>
  <si>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</si>
  <si>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</si>
  <si>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</si>
  <si>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</si>
  <si>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</si>
  <si>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</si>
  <si>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</si>
  <si>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</si>
  <si>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</si>
  <si>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</si>
  <si>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</si>
  <si>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</si>
  <si>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</si>
  <si>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</si>
  <si>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</si>
  <si>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</si>
  <si>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</si>
  <si>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</si>
  <si>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</si>
  <si>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</si>
  <si>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</si>
  <si>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</si>
  <si>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</si>
  <si>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</si>
  <si>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</si>
  <si>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</si>
  <si>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</si>
  <si>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</si>
  <si>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</si>
  <si>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</si>
  <si>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</si>
  <si>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</si>
  <si>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</si>
  <si>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</si>
  <si>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</si>
  <si>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</si>
  <si>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</si>
  <si>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</si>
  <si>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</si>
  <si>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</si>
  <si>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</si>
  <si>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</si>
  <si>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</si>
  <si>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</si>
  <si>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</si>
  <si>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</si>
  <si>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</si>
  <si>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</si>
  <si>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</si>
  <si>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</si>
  <si>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</si>
  <si>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</si>
  <si>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</si>
  <si>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</si>
  <si>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</si>
  <si>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</si>
  <si>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</si>
  <si>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</si>
  <si>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</si>
  <si>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</si>
  <si>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</si>
  <si>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</si>
  <si>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</si>
  <si>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</si>
  <si>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</si>
  <si>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</si>
  <si>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</si>
  <si>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</si>
  <si>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</si>
  <si>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</si>
  <si>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</si>
  <si>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</si>
  <si>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</si>
  <si>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</si>
  <si>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</si>
  <si>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</si>
  <si>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</si>
  <si>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</si>
  <si>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</si>
  <si>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</si>
  <si>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</si>
  <si>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</si>
  <si>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</si>
  <si>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</si>
  <si>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</si>
  <si>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</si>
  <si>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</si>
  <si>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</si>
  <si>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</si>
  <si>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</si>
  <si>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</si>
  <si>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</si>
  <si>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</si>
  <si>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</si>
  <si>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</si>
  <si>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</si>
  <si>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</si>
  <si>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</si>
  <si>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</si>
  <si>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</si>
  <si>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</si>
  <si>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</si>
  <si>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</si>
  <si>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</si>
  <si>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</si>
  <si>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</si>
  <si>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</si>
  <si>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</si>
  <si>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</si>
  <si>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</si>
  <si>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</si>
  <si>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</si>
  <si>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</si>
  <si>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</si>
  <si>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</si>
  <si>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</si>
  <si>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</si>
  <si>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</si>
  <si>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</si>
  <si>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</si>
  <si>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</si>
  <si>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</si>
  <si>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</si>
  <si>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</si>
  <si>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</si>
  <si>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</si>
  <si>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</si>
  <si>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</si>
  <si>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</si>
  <si>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</si>
  <si>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</si>
  <si>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</si>
  <si>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</si>
  <si>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</si>
  <si>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</si>
  <si>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</si>
  <si>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</si>
  <si>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</si>
  <si>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</si>
  <si>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</si>
  <si>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</si>
  <si>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</si>
  <si>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</si>
  <si>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</si>
  <si>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</si>
  <si>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</si>
  <si>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</si>
  <si>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</si>
  <si>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</si>
  <si>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</si>
  <si>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</si>
  <si>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</si>
  <si>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</si>
  <si>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</si>
  <si>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</si>
  <si>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</si>
  <si>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</si>
  <si>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</si>
  <si>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</si>
  <si>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</si>
  <si>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</si>
  <si>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</si>
  <si>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</si>
  <si>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</si>
  <si>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</si>
  <si>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</si>
  <si>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</si>
  <si>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</si>
  <si>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</si>
  <si>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</si>
  <si>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</si>
  <si>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</si>
  <si>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</si>
  <si>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</si>
  <si>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</si>
  <si>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</si>
  <si>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</si>
  <si>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</si>
  <si>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</si>
  <si>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</si>
  <si>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</si>
  <si>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</si>
  <si>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</si>
  <si>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</si>
  <si>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</si>
  <si>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</si>
  <si>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</si>
  <si>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</si>
  <si>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</si>
  <si>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</si>
  <si>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</si>
  <si>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</si>
  <si>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.775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</si>
  <si>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.859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</si>
  <si>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.915</t>
    </r>
    <r>
      <rPr>
        <vertAlign val="superscript"/>
        <sz val="9"/>
        <color indexed="8"/>
        <rFont val="Arial"/>
      </rPr>
      <t>c</t>
    </r>
  </si>
  <si>
    <r>
      <rPr>
        <sz val="9"/>
        <color indexed="8"/>
        <rFont val="Arial"/>
      </rPr>
      <t>.932</t>
    </r>
    <r>
      <rPr>
        <vertAlign val="superscript"/>
        <sz val="9"/>
        <color indexed="8"/>
        <rFont val="Arial"/>
      </rPr>
      <t>d</t>
    </r>
  </si>
  <si>
    <r>
      <rPr>
        <sz val="9"/>
        <color indexed="8"/>
        <rFont val="Arial"/>
      </rPr>
      <t>.948</t>
    </r>
    <r>
      <rPr>
        <vertAlign val="superscript"/>
        <sz val="9"/>
        <color indexed="8"/>
        <rFont val="Arial"/>
      </rPr>
      <t>e</t>
    </r>
  </si>
  <si>
    <r>
      <rPr>
        <sz val="9"/>
        <color indexed="8"/>
        <rFont val="Arial"/>
      </rPr>
      <t>.967</t>
    </r>
    <r>
      <rPr>
        <vertAlign val="superscript"/>
        <sz val="9"/>
        <color indexed="8"/>
        <rFont val="Arial"/>
      </rPr>
      <t>f</t>
    </r>
  </si>
  <si>
    <r>
      <rPr>
        <sz val="9"/>
        <color indexed="8"/>
        <rFont val="Arial"/>
      </rPr>
      <t>.975</t>
    </r>
    <r>
      <rPr>
        <vertAlign val="superscript"/>
        <sz val="9"/>
        <color indexed="8"/>
        <rFont val="Arial"/>
      </rPr>
      <t>g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</si>
  <si>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h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</si>
  <si>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</si>
  <si>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</si>
  <si>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</si>
  <si>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</si>
  <si>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</si>
  <si>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</si>
  <si>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</si>
  <si>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</si>
  <si>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</si>
  <si>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</si>
  <si>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c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</si>
  <si>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d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</si>
  <si>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e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</si>
  <si>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f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</si>
  <si>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g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</si>
  <si>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</si>
  <si>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</si>
  <si>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</si>
  <si>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</si>
  <si>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</si>
  <si>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</si>
  <si>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</si>
  <si>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</si>
  <si>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Z351</t>
    </r>
  </si>
  <si>
    <r>
      <rPr>
        <sz val="9"/>
        <color indexed="8"/>
        <rFont val="Arial"/>
      </rPr>
      <t>Z121</t>
    </r>
  </si>
  <si>
    <r>
      <rPr>
        <sz val="9"/>
        <color indexed="8"/>
        <rFont val="Arial"/>
      </rPr>
      <t>Z141</t>
    </r>
  </si>
  <si>
    <r>
      <rPr>
        <sz val="9"/>
        <color indexed="8"/>
        <rFont val="Arial"/>
      </rPr>
      <t>Z160</t>
    </r>
  </si>
  <si>
    <r>
      <rPr>
        <sz val="9"/>
        <color indexed="8"/>
        <rFont val="Arial"/>
      </rPr>
      <t>Z240</t>
    </r>
  </si>
  <si>
    <r>
      <rPr>
        <sz val="9"/>
        <color indexed="8"/>
        <rFont val="Arial"/>
      </rPr>
      <t>Z150</t>
    </r>
  </si>
  <si>
    <r>
      <rPr>
        <sz val="9"/>
        <color indexed="8"/>
        <rFont val="Arial"/>
      </rPr>
      <t>Z151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</si>
</sst>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.000"/>
    <numFmt numFmtId="165" formatCode="0.0"/>
    <numFmt numFmtId="166" formatCode="####.0000000"/>
    <numFmt numFmtId="167" formatCode="###0"/>
  </numFmts>
  <fonts count="21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sz val="10"/>
      <name val="Arial"/>
      <family val="2"/>
    </font>
    <font>
      <b/>
      <sz val="7"/>
      <color indexed="8"/>
      <name val="Arial Bold"/>
    </font>
    <font>
      <sz val="7"/>
      <color indexed="8"/>
      <name val="Arial"/>
      <family val="2"/>
    </font>
    <font>
      <vertAlign val="superscript"/>
      <sz val="7"/>
      <color indexed="8"/>
      <name val="Arial"/>
      <family val="2"/>
    </font>
    <font>
      <b/>
      <vertAlign val="superscript"/>
      <sz val="7"/>
      <color indexed="8"/>
      <name val="Arial Bold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name val="Arial Bold"/>
    </font>
    <font>
      <sz val="11"/>
      <color theme="1"/>
      <name val="Calibri"/>
      <family val="2"/>
    </font>
    <font>
      <i/>
      <sz val="11"/>
      <color rgb="FF000000"/>
      <name val="Calibri"/>
      <family val="2"/>
    </font>
    <font>
      <sz val="11"/>
      <name val="Arial Bold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3" fillId="0" borderId="0"/>
    <xf numFmtId="0" fontId="14" fillId="0" borderId="0"/>
  </cellStyleXfs>
  <cellXfs count="115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165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1" applyBorder="1"/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left" vertical="top" wrapText="1"/>
    </xf>
    <xf numFmtId="164" fontId="6" fillId="0" borderId="0" xfId="1" applyNumberFormat="1" applyFont="1" applyBorder="1" applyAlignment="1">
      <alignment horizontal="right" vertical="top"/>
    </xf>
    <xf numFmtId="0" fontId="4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/>
    <xf numFmtId="165" fontId="8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165" fontId="9" fillId="0" borderId="0" xfId="0" applyNumberFormat="1" applyFont="1"/>
    <xf numFmtId="0" fontId="8" fillId="0" borderId="0" xfId="0" applyFont="1"/>
    <xf numFmtId="1" fontId="8" fillId="0" borderId="0" xfId="0" applyNumberFormat="1" applyFont="1"/>
    <xf numFmtId="165" fontId="8" fillId="0" borderId="0" xfId="0" applyNumberFormat="1" applyFont="1"/>
    <xf numFmtId="1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 applyBorder="1"/>
    <xf numFmtId="0" fontId="10" fillId="0" borderId="0" xfId="1" applyFont="1" applyBorder="1" applyAlignment="1">
      <alignment vertical="center"/>
    </xf>
    <xf numFmtId="0" fontId="11" fillId="0" borderId="0" xfId="0" applyFont="1" applyFill="1" applyBorder="1"/>
    <xf numFmtId="1" fontId="11" fillId="0" borderId="0" xfId="0" applyNumberFormat="1" applyFont="1" applyFill="1" applyBorder="1"/>
    <xf numFmtId="0" fontId="12" fillId="0" borderId="2" xfId="0" applyFont="1" applyFill="1" applyBorder="1" applyAlignment="1">
      <alignment horizontal="centerContinuous"/>
    </xf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0" fontId="12" fillId="0" borderId="2" xfId="0" applyFont="1" applyFill="1" applyBorder="1" applyAlignment="1">
      <alignment horizontal="center"/>
    </xf>
    <xf numFmtId="1" fontId="3" fillId="0" borderId="0" xfId="0" applyNumberFormat="1" applyFont="1" applyFill="1" applyBorder="1"/>
    <xf numFmtId="1" fontId="11" fillId="0" borderId="0" xfId="0" applyNumberFormat="1" applyFont="1" applyFill="1" applyBorder="1" applyAlignment="1">
      <alignment horizontal="right"/>
    </xf>
    <xf numFmtId="1" fontId="11" fillId="0" borderId="0" xfId="0" applyNumberFormat="1" applyFont="1" applyFill="1" applyBorder="1" applyAlignment="1"/>
    <xf numFmtId="0" fontId="13" fillId="0" borderId="0" xfId="1" applyFont="1" applyBorder="1" applyAlignment="1">
      <alignment vertical="center" wrapText="1"/>
    </xf>
    <xf numFmtId="0" fontId="14" fillId="0" borderId="0" xfId="2"/>
    <xf numFmtId="0" fontId="16" fillId="0" borderId="3" xfId="2" applyFont="1" applyBorder="1" applyAlignment="1">
      <alignment horizontal="left" wrapText="1"/>
    </xf>
    <xf numFmtId="0" fontId="16" fillId="0" borderId="4" xfId="2" applyFont="1" applyBorder="1" applyAlignment="1">
      <alignment horizontal="center" wrapText="1"/>
    </xf>
    <xf numFmtId="0" fontId="16" fillId="0" borderId="5" xfId="2" applyFont="1" applyBorder="1" applyAlignment="1">
      <alignment horizontal="center" wrapText="1"/>
    </xf>
    <xf numFmtId="0" fontId="16" fillId="0" borderId="6" xfId="2" applyFont="1" applyBorder="1" applyAlignment="1">
      <alignment horizontal="center" wrapText="1"/>
    </xf>
    <xf numFmtId="0" fontId="16" fillId="0" borderId="7" xfId="2" applyFont="1" applyBorder="1" applyAlignment="1">
      <alignment horizontal="left" vertical="top" wrapText="1"/>
    </xf>
    <xf numFmtId="164" fontId="17" fillId="0" borderId="8" xfId="2" applyNumberFormat="1" applyFont="1" applyBorder="1" applyAlignment="1">
      <alignment horizontal="right" vertical="top"/>
    </xf>
    <xf numFmtId="164" fontId="16" fillId="0" borderId="9" xfId="2" applyNumberFormat="1" applyFont="1" applyBorder="1" applyAlignment="1">
      <alignment horizontal="right" vertical="top"/>
    </xf>
    <xf numFmtId="166" fontId="16" fillId="0" borderId="10" xfId="2" applyNumberFormat="1" applyFont="1" applyBorder="1" applyAlignment="1">
      <alignment horizontal="right" vertical="top"/>
    </xf>
    <xf numFmtId="0" fontId="16" fillId="0" borderId="11" xfId="2" applyFont="1" applyBorder="1" applyAlignment="1">
      <alignment horizontal="left" vertical="top" wrapText="1"/>
    </xf>
    <xf numFmtId="164" fontId="17" fillId="0" borderId="12" xfId="2" applyNumberFormat="1" applyFont="1" applyBorder="1" applyAlignment="1">
      <alignment horizontal="right" vertical="top"/>
    </xf>
    <xf numFmtId="164" fontId="16" fillId="0" borderId="13" xfId="2" applyNumberFormat="1" applyFont="1" applyBorder="1" applyAlignment="1">
      <alignment horizontal="right" vertical="top"/>
    </xf>
    <xf numFmtId="166" fontId="16" fillId="0" borderId="14" xfId="2" applyNumberFormat="1" applyFont="1" applyBorder="1" applyAlignment="1">
      <alignment horizontal="right" vertical="top"/>
    </xf>
    <xf numFmtId="0" fontId="16" fillId="0" borderId="15" xfId="2" applyFont="1" applyBorder="1" applyAlignment="1">
      <alignment horizontal="left" vertical="top" wrapText="1"/>
    </xf>
    <xf numFmtId="164" fontId="17" fillId="0" borderId="16" xfId="2" applyNumberFormat="1" applyFont="1" applyBorder="1" applyAlignment="1">
      <alignment horizontal="right" vertical="top"/>
    </xf>
    <xf numFmtId="164" fontId="16" fillId="0" borderId="17" xfId="2" applyNumberFormat="1" applyFont="1" applyBorder="1" applyAlignment="1">
      <alignment horizontal="right" vertical="top"/>
    </xf>
    <xf numFmtId="166" fontId="16" fillId="0" borderId="18" xfId="2" applyNumberFormat="1" applyFont="1" applyBorder="1" applyAlignment="1">
      <alignment horizontal="right" vertical="top"/>
    </xf>
    <xf numFmtId="0" fontId="16" fillId="0" borderId="3" xfId="2" applyFont="1" applyBorder="1" applyAlignment="1">
      <alignment horizontal="left" wrapText="1"/>
    </xf>
    <xf numFmtId="0" fontId="16" fillId="0" borderId="21" xfId="2" applyFont="1" applyBorder="1" applyAlignment="1">
      <alignment horizontal="left" vertical="top" wrapText="1"/>
    </xf>
    <xf numFmtId="164" fontId="16" fillId="0" borderId="8" xfId="2" applyNumberFormat="1" applyFont="1" applyBorder="1" applyAlignment="1">
      <alignment horizontal="right" vertical="top"/>
    </xf>
    <xf numFmtId="167" fontId="16" fillId="0" borderId="9" xfId="2" applyNumberFormat="1" applyFont="1" applyBorder="1" applyAlignment="1">
      <alignment horizontal="right" vertical="top"/>
    </xf>
    <xf numFmtId="164" fontId="17" fillId="0" borderId="10" xfId="2" applyNumberFormat="1" applyFont="1" applyBorder="1" applyAlignment="1">
      <alignment horizontal="right" vertical="top"/>
    </xf>
    <xf numFmtId="0" fontId="16" fillId="0" borderId="23" xfId="2" applyFont="1" applyBorder="1" applyAlignment="1">
      <alignment horizontal="left" vertical="top" wrapText="1"/>
    </xf>
    <xf numFmtId="164" fontId="16" fillId="0" borderId="12" xfId="2" applyNumberFormat="1" applyFont="1" applyBorder="1" applyAlignment="1">
      <alignment horizontal="right" vertical="top"/>
    </xf>
    <xf numFmtId="167" fontId="16" fillId="0" borderId="13" xfId="2" applyNumberFormat="1" applyFont="1" applyBorder="1" applyAlignment="1">
      <alignment horizontal="right" vertical="top"/>
    </xf>
    <xf numFmtId="0" fontId="14" fillId="0" borderId="13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/>
    </xf>
    <xf numFmtId="0" fontId="16" fillId="0" borderId="25" xfId="2" applyFont="1" applyBorder="1" applyAlignment="1">
      <alignment horizontal="left" vertical="top" wrapText="1"/>
    </xf>
    <xf numFmtId="164" fontId="16" fillId="0" borderId="26" xfId="2" applyNumberFormat="1" applyFont="1" applyBorder="1" applyAlignment="1">
      <alignment horizontal="right" vertical="top"/>
    </xf>
    <xf numFmtId="167" fontId="16" fillId="0" borderId="27" xfId="2" applyNumberFormat="1" applyFont="1" applyBorder="1" applyAlignment="1">
      <alignment horizontal="right" vertical="top"/>
    </xf>
    <xf numFmtId="0" fontId="14" fillId="0" borderId="27" xfId="2" applyFont="1" applyBorder="1" applyAlignment="1">
      <alignment horizontal="center" vertical="center"/>
    </xf>
    <xf numFmtId="0" fontId="14" fillId="0" borderId="28" xfId="2" applyFont="1" applyBorder="1" applyAlignment="1">
      <alignment horizontal="center" vertical="center"/>
    </xf>
    <xf numFmtId="0" fontId="16" fillId="0" borderId="30" xfId="2" applyFont="1" applyBorder="1" applyAlignment="1">
      <alignment horizontal="left" vertical="top" wrapText="1"/>
    </xf>
    <xf numFmtId="164" fontId="16" fillId="0" borderId="31" xfId="2" applyNumberFormat="1" applyFont="1" applyBorder="1" applyAlignment="1">
      <alignment horizontal="right" vertical="top"/>
    </xf>
    <xf numFmtId="167" fontId="16" fillId="0" borderId="32" xfId="2" applyNumberFormat="1" applyFont="1" applyBorder="1" applyAlignment="1">
      <alignment horizontal="right" vertical="top"/>
    </xf>
    <xf numFmtId="164" fontId="16" fillId="0" borderId="32" xfId="2" applyNumberFormat="1" applyFont="1" applyBorder="1" applyAlignment="1">
      <alignment horizontal="right" vertical="top"/>
    </xf>
    <xf numFmtId="164" fontId="17" fillId="0" borderId="33" xfId="2" applyNumberFormat="1" applyFont="1" applyBorder="1" applyAlignment="1">
      <alignment horizontal="right" vertical="top"/>
    </xf>
    <xf numFmtId="0" fontId="16" fillId="0" borderId="36" xfId="2" applyFont="1" applyBorder="1" applyAlignment="1">
      <alignment horizontal="left" vertical="top" wrapText="1"/>
    </xf>
    <xf numFmtId="164" fontId="16" fillId="0" borderId="16" xfId="2" applyNumberFormat="1" applyFont="1" applyBorder="1" applyAlignment="1">
      <alignment horizontal="right" vertical="top"/>
    </xf>
    <xf numFmtId="167" fontId="16" fillId="0" borderId="17" xfId="2" applyNumberFormat="1" applyFont="1" applyBorder="1" applyAlignment="1">
      <alignment horizontal="right" vertical="top"/>
    </xf>
    <xf numFmtId="0" fontId="14" fillId="0" borderId="17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16" fillId="0" borderId="39" xfId="2" applyFont="1" applyBorder="1" applyAlignment="1">
      <alignment horizontal="center" wrapText="1"/>
    </xf>
    <xf numFmtId="0" fontId="16" fillId="0" borderId="5" xfId="2" applyFont="1" applyBorder="1" applyAlignment="1">
      <alignment horizontal="center" wrapText="1"/>
    </xf>
    <xf numFmtId="0" fontId="16" fillId="0" borderId="6" xfId="2" applyFont="1" applyBorder="1" applyAlignment="1">
      <alignment horizontal="center" wrapText="1"/>
    </xf>
    <xf numFmtId="0" fontId="16" fillId="0" borderId="40" xfId="2" applyFont="1" applyBorder="1" applyAlignment="1">
      <alignment horizontal="center" wrapText="1"/>
    </xf>
    <xf numFmtId="0" fontId="16" fillId="0" borderId="41" xfId="2" applyFont="1" applyBorder="1" applyAlignment="1">
      <alignment horizontal="center" wrapText="1"/>
    </xf>
    <xf numFmtId="0" fontId="14" fillId="0" borderId="9" xfId="2" applyFont="1" applyBorder="1" applyAlignment="1">
      <alignment horizontal="center" vertical="center"/>
    </xf>
    <xf numFmtId="164" fontId="16" fillId="0" borderId="10" xfId="2" applyNumberFormat="1" applyFont="1" applyBorder="1" applyAlignment="1">
      <alignment horizontal="right" vertical="top"/>
    </xf>
    <xf numFmtId="164" fontId="16" fillId="0" borderId="27" xfId="2" applyNumberFormat="1" applyFont="1" applyBorder="1" applyAlignment="1">
      <alignment horizontal="right" vertical="top"/>
    </xf>
    <xf numFmtId="164" fontId="16" fillId="0" borderId="28" xfId="2" applyNumberFormat="1" applyFont="1" applyBorder="1" applyAlignment="1">
      <alignment horizontal="right" vertical="top"/>
    </xf>
    <xf numFmtId="0" fontId="14" fillId="0" borderId="32" xfId="2" applyFont="1" applyBorder="1" applyAlignment="1">
      <alignment horizontal="center" vertical="center"/>
    </xf>
    <xf numFmtId="164" fontId="16" fillId="0" borderId="33" xfId="2" applyNumberFormat="1" applyFont="1" applyBorder="1" applyAlignment="1">
      <alignment horizontal="right" vertical="top"/>
    </xf>
    <xf numFmtId="164" fontId="16" fillId="0" borderId="14" xfId="2" applyNumberFormat="1" applyFont="1" applyBorder="1" applyAlignment="1">
      <alignment horizontal="right" vertical="top"/>
    </xf>
    <xf numFmtId="164" fontId="16" fillId="0" borderId="18" xfId="2" applyNumberFormat="1" applyFont="1" applyBorder="1" applyAlignment="1">
      <alignment horizontal="right" vertical="top"/>
    </xf>
    <xf numFmtId="1" fontId="19" fillId="0" borderId="0" xfId="1" applyNumberFormat="1" applyFont="1" applyBorder="1" applyAlignment="1">
      <alignment horizontal="center" vertical="center"/>
    </xf>
    <xf numFmtId="0" fontId="16" fillId="0" borderId="3" xfId="2" applyFont="1" applyBorder="1" applyAlignment="1">
      <alignment horizontal="left" wrapText="1"/>
    </xf>
    <xf numFmtId="0" fontId="18" fillId="0" borderId="21" xfId="2" applyFont="1" applyBorder="1" applyAlignment="1">
      <alignment horizontal="center" vertical="center"/>
    </xf>
    <xf numFmtId="0" fontId="18" fillId="0" borderId="35" xfId="2" applyFont="1" applyBorder="1" applyAlignment="1">
      <alignment horizontal="center" vertical="center"/>
    </xf>
    <xf numFmtId="0" fontId="18" fillId="0" borderId="36" xfId="2" applyFont="1" applyBorder="1" applyAlignment="1">
      <alignment horizontal="center" vertical="center"/>
    </xf>
    <xf numFmtId="0" fontId="16" fillId="0" borderId="37" xfId="2" applyFont="1" applyBorder="1" applyAlignment="1">
      <alignment horizontal="center" wrapText="1"/>
    </xf>
    <xf numFmtId="0" fontId="18" fillId="0" borderId="38" xfId="2" applyFont="1" applyBorder="1" applyAlignment="1">
      <alignment horizontal="center" vertical="center"/>
    </xf>
    <xf numFmtId="0" fontId="16" fillId="0" borderId="5" xfId="2" applyFont="1" applyBorder="1" applyAlignment="1">
      <alignment horizontal="center" wrapText="1"/>
    </xf>
    <xf numFmtId="0" fontId="18" fillId="0" borderId="17" xfId="2" applyFont="1" applyBorder="1" applyAlignment="1">
      <alignment horizontal="center" vertical="center"/>
    </xf>
    <xf numFmtId="0" fontId="16" fillId="0" borderId="6" xfId="2" applyFont="1" applyBorder="1" applyAlignment="1">
      <alignment horizontal="center" wrapText="1"/>
    </xf>
    <xf numFmtId="0" fontId="18" fillId="0" borderId="18" xfId="2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/>
    </xf>
    <xf numFmtId="0" fontId="16" fillId="0" borderId="20" xfId="2" applyFont="1" applyBorder="1" applyAlignment="1">
      <alignment horizontal="left" vertical="top" wrapText="1"/>
    </xf>
    <xf numFmtId="0" fontId="18" fillId="0" borderId="22" xfId="2" applyFont="1" applyBorder="1" applyAlignment="1">
      <alignment horizontal="center" vertical="center"/>
    </xf>
    <xf numFmtId="0" fontId="18" fillId="0" borderId="24" xfId="2" applyFont="1" applyBorder="1" applyAlignment="1">
      <alignment horizontal="center" vertical="center"/>
    </xf>
    <xf numFmtId="0" fontId="16" fillId="0" borderId="29" xfId="2" applyFont="1" applyBorder="1" applyAlignment="1">
      <alignment horizontal="left" vertical="top" wrapText="1"/>
    </xf>
    <xf numFmtId="0" fontId="16" fillId="0" borderId="34" xfId="2" applyFont="1" applyBorder="1" applyAlignment="1">
      <alignment horizontal="left" vertical="top" wrapText="1"/>
    </xf>
    <xf numFmtId="1" fontId="20" fillId="0" borderId="0" xfId="1" applyNumberFormat="1" applyFont="1" applyBorder="1" applyAlignment="1">
      <alignment horizontal="center" vertical="center"/>
    </xf>
  </cellXfs>
  <cellStyles count="3">
    <cellStyle name="Normal" xfId="0" builtinId="0"/>
    <cellStyle name="Normal_Sheet1" xfId="2"/>
    <cellStyle name="Normal_VALIDATION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22"/>
  <sheetViews>
    <sheetView zoomScale="70" zoomScaleNormal="70" workbookViewId="0">
      <selection activeCell="Y1" sqref="Y1:Z1048576"/>
    </sheetView>
  </sheetViews>
  <sheetFormatPr defaultRowHeight="15" x14ac:dyDescent="0.25"/>
  <sheetData>
    <row r="1" spans="1:26" x14ac:dyDescent="0.25">
      <c r="B1" t="s">
        <v>307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337</v>
      </c>
      <c r="M1" t="s">
        <v>365</v>
      </c>
      <c r="N1" t="s">
        <v>366</v>
      </c>
      <c r="O1" t="s">
        <v>367</v>
      </c>
      <c r="P1" t="s">
        <v>450</v>
      </c>
      <c r="Q1" t="s">
        <v>451</v>
      </c>
      <c r="R1" t="s">
        <v>452</v>
      </c>
      <c r="S1" t="s">
        <v>453</v>
      </c>
      <c r="T1" t="s">
        <v>562</v>
      </c>
      <c r="U1" t="s">
        <v>563</v>
      </c>
      <c r="V1" t="s">
        <v>564</v>
      </c>
      <c r="W1" t="s">
        <v>565</v>
      </c>
      <c r="Y1" t="s">
        <v>41</v>
      </c>
      <c r="Z1" t="s">
        <v>42</v>
      </c>
    </row>
    <row r="2" spans="1:26" x14ac:dyDescent="0.25">
      <c r="A2" t="s">
        <v>43</v>
      </c>
      <c r="B2" s="15">
        <v>2315</v>
      </c>
      <c r="C2">
        <v>1</v>
      </c>
      <c r="D2" s="14">
        <v>10.071428571428571</v>
      </c>
      <c r="E2" s="14">
        <v>10.314285714285715</v>
      </c>
      <c r="F2" s="14">
        <v>10.199999999999999</v>
      </c>
      <c r="G2" s="14">
        <v>9.4571428571428573</v>
      </c>
      <c r="H2" s="14">
        <v>9.7428571428571438</v>
      </c>
      <c r="I2" s="14">
        <v>10.071428571428571</v>
      </c>
      <c r="J2" s="14">
        <v>8.1428571428571423</v>
      </c>
      <c r="K2" s="14">
        <v>9.0857142857142854</v>
      </c>
      <c r="L2" s="14">
        <v>8.6333333333333329</v>
      </c>
      <c r="M2" s="14">
        <v>8.831428571428571</v>
      </c>
      <c r="N2" s="14">
        <v>8.2314285714285713</v>
      </c>
      <c r="O2" s="14">
        <v>9.331428571428571</v>
      </c>
      <c r="P2" s="14">
        <v>9.0257142857142849</v>
      </c>
      <c r="Q2" s="14">
        <v>8.9714285714285715</v>
      </c>
      <c r="R2" s="14">
        <v>9.7714285714285722</v>
      </c>
      <c r="S2" s="14">
        <v>3.7714285714285714</v>
      </c>
      <c r="T2" s="14">
        <v>10.457142857142857</v>
      </c>
      <c r="U2" s="14">
        <v>10.12857142857143</v>
      </c>
      <c r="V2" s="14">
        <v>8.1142857142857139</v>
      </c>
      <c r="W2" s="14">
        <v>9.3857142857142861</v>
      </c>
      <c r="Y2" s="14">
        <f>SUM(D2:W2)</f>
        <v>181.73904761904765</v>
      </c>
      <c r="Z2">
        <f t="shared" ref="Z2:Z25" si="0">SUMPRODUCT($D$31:$W$31,D2:W2)</f>
        <v>4.8689146378666859</v>
      </c>
    </row>
    <row r="3" spans="1:26" x14ac:dyDescent="0.25">
      <c r="A3" t="s">
        <v>44</v>
      </c>
      <c r="B3" s="15">
        <v>1474</v>
      </c>
      <c r="C3">
        <v>2</v>
      </c>
      <c r="D3" s="14">
        <v>9.6999999999999993</v>
      </c>
      <c r="E3" s="14">
        <v>9.1857142857142851</v>
      </c>
      <c r="F3" s="14">
        <v>9.9428571428571413</v>
      </c>
      <c r="G3" s="14">
        <v>9.7285714285714295</v>
      </c>
      <c r="H3" s="14">
        <v>9.6142857142857139</v>
      </c>
      <c r="I3" s="14">
        <v>9.6428571428571441</v>
      </c>
      <c r="J3" s="14">
        <v>9.2428571428571438</v>
      </c>
      <c r="K3" s="14">
        <v>9</v>
      </c>
      <c r="L3" s="14">
        <v>8.1333333333333329</v>
      </c>
      <c r="M3" s="14">
        <v>9.8142857142857132</v>
      </c>
      <c r="N3" s="14">
        <v>9.9571428571428573</v>
      </c>
      <c r="O3" s="14">
        <v>10.271428571428572</v>
      </c>
      <c r="P3" s="14">
        <v>10.314285714285715</v>
      </c>
      <c r="Q3" s="14">
        <v>9.6714285714285726</v>
      </c>
      <c r="R3" s="14">
        <v>9.7285714285714295</v>
      </c>
      <c r="S3" s="14">
        <v>9.8428571428571434</v>
      </c>
      <c r="T3" s="14">
        <v>10.12857142857143</v>
      </c>
      <c r="U3" s="14">
        <v>10.242857142857144</v>
      </c>
      <c r="V3" s="14">
        <v>10.285714285714288</v>
      </c>
      <c r="W3" s="14">
        <v>10.442857142857141</v>
      </c>
      <c r="Y3" s="14">
        <f t="shared" ref="Y3:Y29" si="1">SUM(D3:W3)</f>
        <v>194.89047619047622</v>
      </c>
      <c r="Z3">
        <f t="shared" si="0"/>
        <v>3.5986568276928144</v>
      </c>
    </row>
    <row r="4" spans="1:26" x14ac:dyDescent="0.25">
      <c r="A4" t="s">
        <v>45</v>
      </c>
      <c r="B4" s="15">
        <v>1951</v>
      </c>
      <c r="C4">
        <v>3</v>
      </c>
      <c r="D4" s="14">
        <v>9.4285714285714288</v>
      </c>
      <c r="E4" s="14">
        <v>10.071428571428571</v>
      </c>
      <c r="F4" s="14">
        <v>9.8571428571428577</v>
      </c>
      <c r="G4" s="14">
        <v>7.1428571428571441</v>
      </c>
      <c r="H4" s="14">
        <v>7.3142857142857149</v>
      </c>
      <c r="I4" s="14">
        <v>8.0857142857142854</v>
      </c>
      <c r="J4" s="14">
        <v>9.2999999999999989</v>
      </c>
      <c r="K4" s="14">
        <v>9.2000000000000011</v>
      </c>
      <c r="L4" s="14">
        <v>8.1555555555555568</v>
      </c>
      <c r="M4" s="14">
        <v>8.7734693877551031</v>
      </c>
      <c r="N4" s="14">
        <v>7.7244897959183669</v>
      </c>
      <c r="O4" s="14">
        <v>9.1428571428571423</v>
      </c>
      <c r="P4" s="14">
        <v>8.7530612244897945</v>
      </c>
      <c r="Q4" s="14">
        <v>8.6999999999999993</v>
      </c>
      <c r="R4" s="14">
        <v>9.6612244897959183</v>
      </c>
      <c r="S4" s="14">
        <v>9.4387755102040813</v>
      </c>
      <c r="T4" s="14">
        <v>9.5693877551020403</v>
      </c>
      <c r="U4" s="14">
        <v>9.7653061224489779</v>
      </c>
      <c r="V4" s="14">
        <v>9.5244897959183685</v>
      </c>
      <c r="W4" s="14">
        <v>9.3734693877551045</v>
      </c>
      <c r="Y4" s="14">
        <f t="shared" si="1"/>
        <v>178.98208616780045</v>
      </c>
      <c r="Z4">
        <f t="shared" si="0"/>
        <v>2.7802958434121203</v>
      </c>
    </row>
    <row r="5" spans="1:26" x14ac:dyDescent="0.25">
      <c r="A5" t="s">
        <v>46</v>
      </c>
      <c r="B5" s="15">
        <v>1850</v>
      </c>
      <c r="C5">
        <v>4</v>
      </c>
      <c r="D5" s="14">
        <v>8.3310204081632655</v>
      </c>
      <c r="E5" s="14">
        <v>9.2281632653061223</v>
      </c>
      <c r="F5" s="14">
        <v>9.0910204081632653</v>
      </c>
      <c r="G5" s="14">
        <v>8.9012244897959185</v>
      </c>
      <c r="H5" s="14">
        <v>8.7506122448979582</v>
      </c>
      <c r="I5" s="14">
        <v>8.7416326530612221</v>
      </c>
      <c r="J5" s="14">
        <v>8.4885714285714275</v>
      </c>
      <c r="K5" s="14">
        <v>8.9710204081632661</v>
      </c>
      <c r="L5" s="14">
        <v>7.5580952380952384</v>
      </c>
      <c r="M5" s="14">
        <v>8.7714285714285705</v>
      </c>
      <c r="N5" s="14">
        <v>8.7142857142857153</v>
      </c>
      <c r="O5" s="14">
        <v>9.2142857142857135</v>
      </c>
      <c r="P5" s="14">
        <v>8.9857142857142858</v>
      </c>
      <c r="Q5" s="14">
        <v>7.1857142857142859</v>
      </c>
      <c r="R5" s="14">
        <v>9.8857142857142861</v>
      </c>
      <c r="S5" s="14">
        <v>9.5857142857142854</v>
      </c>
      <c r="T5" s="14">
        <v>9.9428571428571413</v>
      </c>
      <c r="U5" s="14">
        <v>9.5428571428571445</v>
      </c>
      <c r="V5" s="14">
        <v>9.7142857142857117</v>
      </c>
      <c r="W5" s="14">
        <v>9.6428571428571423</v>
      </c>
      <c r="Y5" s="14">
        <f t="shared" si="1"/>
        <v>179.24707482993199</v>
      </c>
      <c r="Z5">
        <f t="shared" si="0"/>
        <v>3.417498345657318</v>
      </c>
    </row>
    <row r="6" spans="1:26" x14ac:dyDescent="0.25">
      <c r="A6" t="s">
        <v>47</v>
      </c>
      <c r="B6" s="15">
        <v>2014</v>
      </c>
      <c r="C6">
        <v>5</v>
      </c>
      <c r="D6" s="14">
        <v>9.7999999999999989</v>
      </c>
      <c r="E6" s="14">
        <v>9.6571428571428566</v>
      </c>
      <c r="F6" s="14">
        <v>9.9999999999999982</v>
      </c>
      <c r="G6" s="14">
        <v>9.9142857142857146</v>
      </c>
      <c r="H6" s="14">
        <v>9.7714285714285722</v>
      </c>
      <c r="I6" s="14">
        <v>9.4857142857142858</v>
      </c>
      <c r="J6" s="14">
        <v>8.6171428571428557</v>
      </c>
      <c r="K6" s="14">
        <v>9.1428571428571441</v>
      </c>
      <c r="L6" s="14">
        <v>8.6666666666666679</v>
      </c>
      <c r="M6" s="14">
        <v>9.3571428571428577</v>
      </c>
      <c r="N6" s="14">
        <v>7.8714285714285719</v>
      </c>
      <c r="O6" s="14">
        <v>10.028571428571428</v>
      </c>
      <c r="P6" s="14">
        <v>9.9</v>
      </c>
      <c r="Q6" s="14">
        <v>9.9714285714285733</v>
      </c>
      <c r="R6" s="14">
        <v>10.028571428571428</v>
      </c>
      <c r="S6" s="14">
        <v>9.9142857142857146</v>
      </c>
      <c r="T6" s="14">
        <v>8.7714285714285705</v>
      </c>
      <c r="U6" s="14">
        <v>10.028571428571428</v>
      </c>
      <c r="V6" s="14">
        <v>9.6</v>
      </c>
      <c r="W6" s="14">
        <v>9.5571428571428587</v>
      </c>
      <c r="Y6" s="14">
        <f t="shared" si="1"/>
        <v>190.08380952380952</v>
      </c>
      <c r="Z6">
        <f t="shared" si="0"/>
        <v>3.7516316195730495</v>
      </c>
    </row>
    <row r="7" spans="1:26" x14ac:dyDescent="0.25">
      <c r="A7" t="s">
        <v>48</v>
      </c>
      <c r="B7" s="15">
        <v>1867</v>
      </c>
      <c r="C7">
        <v>6</v>
      </c>
      <c r="D7" s="14">
        <v>8.8714285714285719</v>
      </c>
      <c r="E7" s="14">
        <v>8.7857142857142865</v>
      </c>
      <c r="F7" s="14">
        <v>8.3142857142857149</v>
      </c>
      <c r="G7" s="14">
        <v>7.6428571428571432</v>
      </c>
      <c r="H7" s="14">
        <v>8.4428571428571413</v>
      </c>
      <c r="I7" s="14">
        <v>8.9</v>
      </c>
      <c r="J7" s="14">
        <v>9.0857142857142854</v>
      </c>
      <c r="K7" s="14">
        <v>9.1714285714285726</v>
      </c>
      <c r="L7" s="14">
        <v>6.5222222222222221</v>
      </c>
      <c r="M7" s="14">
        <v>9.0428571428571427</v>
      </c>
      <c r="N7" s="14">
        <v>6.7142857142857144</v>
      </c>
      <c r="O7" s="14">
        <v>9.257142857142858</v>
      </c>
      <c r="P7" s="14">
        <v>7.9142857142857128</v>
      </c>
      <c r="Q7" s="14">
        <v>8.5571428571428569</v>
      </c>
      <c r="R7" s="14">
        <v>9.9142857142857128</v>
      </c>
      <c r="S7" s="14">
        <v>10.185714285714285</v>
      </c>
      <c r="T7" s="14">
        <v>10.200000000000001</v>
      </c>
      <c r="U7" s="14">
        <v>9.9714285714285733</v>
      </c>
      <c r="V7" s="14">
        <v>9.757142857142858</v>
      </c>
      <c r="W7" s="14">
        <v>9.7428571428571438</v>
      </c>
      <c r="Y7" s="14">
        <f t="shared" si="1"/>
        <v>176.99365079365077</v>
      </c>
      <c r="Z7">
        <f t="shared" si="0"/>
        <v>2.9673467203619772</v>
      </c>
    </row>
    <row r="8" spans="1:26" x14ac:dyDescent="0.25">
      <c r="A8" t="s">
        <v>49</v>
      </c>
      <c r="B8" s="15">
        <v>2259</v>
      </c>
      <c r="C8">
        <v>7</v>
      </c>
      <c r="D8" s="14">
        <v>5.0857142857142863</v>
      </c>
      <c r="E8" s="14">
        <v>8.571428571428573</v>
      </c>
      <c r="F8" s="14">
        <v>8.8571428571428577</v>
      </c>
      <c r="G8" s="14">
        <v>8.9285714285714288</v>
      </c>
      <c r="H8" s="14">
        <v>9.1285714285714281</v>
      </c>
      <c r="I8" s="14">
        <v>8.7714285714285705</v>
      </c>
      <c r="J8" s="14">
        <v>8.9428571428571431</v>
      </c>
      <c r="K8" s="14">
        <v>9.3428571428571434</v>
      </c>
      <c r="L8" s="14">
        <v>7.9666666666666668</v>
      </c>
      <c r="M8" s="14">
        <v>9.5571428571428552</v>
      </c>
      <c r="N8" s="14">
        <v>9.6571428571428566</v>
      </c>
      <c r="O8" s="14">
        <v>10.285714285714286</v>
      </c>
      <c r="P8" s="14">
        <v>10.014285714285714</v>
      </c>
      <c r="Q8" s="14">
        <v>9.7714285714285722</v>
      </c>
      <c r="R8" s="14">
        <v>9.6</v>
      </c>
      <c r="S8" s="14">
        <v>10.042857142857143</v>
      </c>
      <c r="T8" s="14">
        <v>10.214285714285714</v>
      </c>
      <c r="U8" s="14">
        <v>10.27142857142857</v>
      </c>
      <c r="V8" s="14">
        <v>9.8857142857142861</v>
      </c>
      <c r="W8" s="14">
        <v>9.6142857142857139</v>
      </c>
      <c r="Y8" s="14">
        <f t="shared" si="1"/>
        <v>184.50952380952384</v>
      </c>
      <c r="Z8">
        <f t="shared" si="0"/>
        <v>5.4712291139538163</v>
      </c>
    </row>
    <row r="9" spans="1:26" x14ac:dyDescent="0.25">
      <c r="A9" t="s">
        <v>50</v>
      </c>
      <c r="B9" s="15">
        <v>1845</v>
      </c>
      <c r="C9">
        <v>8</v>
      </c>
      <c r="D9" s="14">
        <v>9.485714285714284</v>
      </c>
      <c r="E9" s="14">
        <v>9.3857142857142861</v>
      </c>
      <c r="F9" s="14">
        <v>9.3714285714285701</v>
      </c>
      <c r="G9" s="14">
        <v>8.6285714285714281</v>
      </c>
      <c r="H9" s="14">
        <v>8.4571428571428573</v>
      </c>
      <c r="I9" s="14">
        <v>9.0285714285714285</v>
      </c>
      <c r="J9" s="14">
        <v>8.742857142857142</v>
      </c>
      <c r="K9" s="14">
        <v>8.9714285714285715</v>
      </c>
      <c r="L9" s="14">
        <v>6.7888888888888879</v>
      </c>
      <c r="M9" s="14">
        <v>7.4285714285714288</v>
      </c>
      <c r="N9" s="14">
        <v>8.1999999999999993</v>
      </c>
      <c r="O9" s="14">
        <v>7.8714285714285719</v>
      </c>
      <c r="P9" s="14">
        <v>8.3142857142857149</v>
      </c>
      <c r="Q9" s="14">
        <v>9.3714285714285701</v>
      </c>
      <c r="R9" s="14">
        <v>9.428571428571427</v>
      </c>
      <c r="S9" s="14">
        <v>8.2714285714285705</v>
      </c>
      <c r="T9" s="14">
        <v>8.9</v>
      </c>
      <c r="U9" s="14">
        <v>9.5285714285714285</v>
      </c>
      <c r="V9" s="14">
        <v>8.4428571428571448</v>
      </c>
      <c r="W9" s="14">
        <v>8.5428571428571427</v>
      </c>
      <c r="Y9" s="14">
        <f t="shared" si="1"/>
        <v>173.16031746031746</v>
      </c>
      <c r="Z9">
        <f t="shared" si="0"/>
        <v>3.2453635418666211</v>
      </c>
    </row>
    <row r="10" spans="1:26" x14ac:dyDescent="0.25">
      <c r="A10" t="s">
        <v>51</v>
      </c>
      <c r="B10" s="15">
        <v>2603</v>
      </c>
      <c r="C10">
        <v>9</v>
      </c>
      <c r="D10" s="14">
        <v>9.274285714285714</v>
      </c>
      <c r="E10" s="14">
        <v>9.4685714285714262</v>
      </c>
      <c r="F10" s="14">
        <v>9.4371428571428559</v>
      </c>
      <c r="G10" s="14">
        <v>9.4228571428571435</v>
      </c>
      <c r="H10" s="14">
        <v>9.3685714285714283</v>
      </c>
      <c r="I10" s="14">
        <v>9.1342857142857135</v>
      </c>
      <c r="J10" s="14">
        <v>8.86</v>
      </c>
      <c r="K10" s="14">
        <v>9.44</v>
      </c>
      <c r="L10" s="14">
        <v>8.4288888888888884</v>
      </c>
      <c r="M10" s="14">
        <v>8.9857142857142858</v>
      </c>
      <c r="N10" s="14">
        <v>6.0571428571428569</v>
      </c>
      <c r="O10" s="14">
        <v>8.1714285714285708</v>
      </c>
      <c r="P10" s="14">
        <v>9.4</v>
      </c>
      <c r="Q10" s="14">
        <v>8.6857142857142868</v>
      </c>
      <c r="R10" s="14">
        <v>9.7285714285714278</v>
      </c>
      <c r="S10" s="14">
        <v>9.8714285714285701</v>
      </c>
      <c r="T10" s="14">
        <v>10.028571428571428</v>
      </c>
      <c r="U10" s="14">
        <v>9.9142857142857146</v>
      </c>
      <c r="V10" s="14">
        <v>9.8571428571428594</v>
      </c>
      <c r="W10" s="14">
        <v>9.0142857142857142</v>
      </c>
      <c r="Y10" s="14">
        <f t="shared" si="1"/>
        <v>182.54888888888888</v>
      </c>
      <c r="Z10">
        <f t="shared" si="0"/>
        <v>3.5025988427748875</v>
      </c>
    </row>
    <row r="11" spans="1:26" x14ac:dyDescent="0.25">
      <c r="A11" t="s">
        <v>52</v>
      </c>
      <c r="B11" s="15">
        <v>2048</v>
      </c>
      <c r="C11">
        <v>10</v>
      </c>
      <c r="D11" s="14">
        <v>7.9428571428571431</v>
      </c>
      <c r="E11" s="14">
        <v>9.257142857142858</v>
      </c>
      <c r="F11" s="14">
        <v>8.8714285714285701</v>
      </c>
      <c r="G11" s="14">
        <v>9.1142857142857139</v>
      </c>
      <c r="H11" s="14">
        <v>6.7999999999999989</v>
      </c>
      <c r="I11" s="14">
        <v>6.5857142857142845</v>
      </c>
      <c r="J11" s="14">
        <v>8.7000000000000011</v>
      </c>
      <c r="K11" s="14">
        <v>7.8142857142857149</v>
      </c>
      <c r="L11" s="14">
        <v>6.5444444444444443</v>
      </c>
      <c r="M11" s="14">
        <v>8.2714285714285705</v>
      </c>
      <c r="N11" s="14">
        <v>6.8571428571428568</v>
      </c>
      <c r="O11" s="14">
        <v>9.1714285714285726</v>
      </c>
      <c r="P11" s="14">
        <v>6.7428571428571429</v>
      </c>
      <c r="Q11" s="14">
        <v>7.3571428571428568</v>
      </c>
      <c r="R11" s="14">
        <v>9.0428571428571409</v>
      </c>
      <c r="S11" s="14">
        <v>8.1999999999999993</v>
      </c>
      <c r="T11" s="14">
        <v>8.9285714285714288</v>
      </c>
      <c r="U11" s="14">
        <v>9.1</v>
      </c>
      <c r="V11" s="14">
        <v>9.4142857142857146</v>
      </c>
      <c r="W11" s="14">
        <v>9.5</v>
      </c>
      <c r="Y11" s="14">
        <f t="shared" si="1"/>
        <v>164.215873015873</v>
      </c>
      <c r="Z11">
        <f t="shared" si="0"/>
        <v>2.9318905586908186</v>
      </c>
    </row>
    <row r="12" spans="1:26" x14ac:dyDescent="0.25">
      <c r="A12" t="s">
        <v>53</v>
      </c>
      <c r="B12" s="15">
        <v>2323</v>
      </c>
      <c r="C12">
        <v>11</v>
      </c>
      <c r="D12" s="14">
        <v>7.8571428571428568</v>
      </c>
      <c r="E12" s="14">
        <v>9.4714285714285715</v>
      </c>
      <c r="F12" s="14">
        <v>8.7857142857142865</v>
      </c>
      <c r="G12" s="14">
        <v>8.6571428571428584</v>
      </c>
      <c r="H12" s="14">
        <v>9.2857142857142865</v>
      </c>
      <c r="I12" s="14">
        <v>9.2857142857142865</v>
      </c>
      <c r="J12" s="14">
        <v>6.4714285714285706</v>
      </c>
      <c r="K12" s="14">
        <v>8.9142857142857146</v>
      </c>
      <c r="L12" s="14">
        <v>7.9888888888888898</v>
      </c>
      <c r="M12" s="14">
        <v>8.1714285714285726</v>
      </c>
      <c r="N12" s="14">
        <v>9.5</v>
      </c>
      <c r="O12" s="14">
        <v>9.2000000000000011</v>
      </c>
      <c r="P12" s="14">
        <v>9.5</v>
      </c>
      <c r="Q12" s="14">
        <v>9.7000000000000011</v>
      </c>
      <c r="R12" s="14">
        <v>9.0428571428571427</v>
      </c>
      <c r="S12" s="14">
        <v>9.1</v>
      </c>
      <c r="T12" s="14">
        <v>8.757142857142858</v>
      </c>
      <c r="U12" s="14">
        <v>9.6571428571428566</v>
      </c>
      <c r="V12" s="14">
        <v>9.0714285714285712</v>
      </c>
      <c r="W12" s="14">
        <v>9.2285714285714278</v>
      </c>
      <c r="Y12" s="14">
        <f t="shared" si="1"/>
        <v>177.64603174603175</v>
      </c>
      <c r="Z12">
        <f t="shared" si="0"/>
        <v>4.3012360619263008</v>
      </c>
    </row>
    <row r="13" spans="1:26" x14ac:dyDescent="0.25">
      <c r="A13" t="s">
        <v>54</v>
      </c>
      <c r="B13" s="15">
        <v>1736</v>
      </c>
      <c r="C13">
        <v>12</v>
      </c>
      <c r="D13" s="14">
        <v>10.028571428571427</v>
      </c>
      <c r="E13" s="14">
        <v>9.8285714285714274</v>
      </c>
      <c r="F13" s="14">
        <v>9.7428571428571438</v>
      </c>
      <c r="G13" s="14">
        <v>9.5428571428571445</v>
      </c>
      <c r="H13" s="14">
        <v>9.5</v>
      </c>
      <c r="I13" s="14">
        <v>8.8285714285714274</v>
      </c>
      <c r="J13" s="14">
        <v>9.1</v>
      </c>
      <c r="K13" s="14">
        <v>9.4428571428571413</v>
      </c>
      <c r="L13" s="14">
        <v>8.1111111111111107</v>
      </c>
      <c r="M13" s="14">
        <v>9.3571428571428577</v>
      </c>
      <c r="N13" s="14">
        <v>9.4285714285714288</v>
      </c>
      <c r="O13" s="14">
        <v>8.9</v>
      </c>
      <c r="P13" s="14">
        <v>8.8428571428571434</v>
      </c>
      <c r="Q13" s="14">
        <v>9.4428571428571413</v>
      </c>
      <c r="R13" s="14">
        <v>9.6999999999999993</v>
      </c>
      <c r="S13" s="14">
        <v>10</v>
      </c>
      <c r="T13" s="14">
        <v>8.6428571428571441</v>
      </c>
      <c r="U13" s="14">
        <v>9.9285714285714288</v>
      </c>
      <c r="V13" s="14">
        <v>8.8285714285714274</v>
      </c>
      <c r="W13" s="14">
        <v>8.9571428571428573</v>
      </c>
      <c r="Y13" s="14">
        <f t="shared" si="1"/>
        <v>186.15396825396823</v>
      </c>
      <c r="Z13">
        <f t="shared" si="0"/>
        <v>3.2872754733698812</v>
      </c>
    </row>
    <row r="14" spans="1:26" x14ac:dyDescent="0.25">
      <c r="A14" t="s">
        <v>55</v>
      </c>
      <c r="B14" s="15">
        <v>1877</v>
      </c>
      <c r="C14">
        <v>13</v>
      </c>
      <c r="D14" s="14">
        <v>9.6571428571428566</v>
      </c>
      <c r="E14" s="14">
        <v>9.3571428571428559</v>
      </c>
      <c r="F14" s="14">
        <v>9.2999999999999989</v>
      </c>
      <c r="G14" s="14">
        <v>9.2714285714285705</v>
      </c>
      <c r="H14" s="14">
        <v>9.3142857142857149</v>
      </c>
      <c r="I14" s="14">
        <v>9.1285714285714299</v>
      </c>
      <c r="J14" s="14">
        <v>9.6714285714285726</v>
      </c>
      <c r="K14" s="14">
        <v>9.4714285714285715</v>
      </c>
      <c r="L14" s="14">
        <v>9.5777777777777757</v>
      </c>
      <c r="M14" s="14">
        <v>8.9142857142857146</v>
      </c>
      <c r="N14" s="14">
        <v>9.5</v>
      </c>
      <c r="O14" s="14">
        <v>9.4285714285714288</v>
      </c>
      <c r="P14" s="14">
        <v>9.6571428571428566</v>
      </c>
      <c r="Q14" s="14">
        <v>8.6285714285714281</v>
      </c>
      <c r="R14" s="14">
        <v>9.9428571428571413</v>
      </c>
      <c r="S14" s="14">
        <v>9.3857142857142861</v>
      </c>
      <c r="T14" s="14">
        <v>9.0714285714285712</v>
      </c>
      <c r="U14" s="14">
        <v>8.8571428571428577</v>
      </c>
      <c r="V14" s="14">
        <v>9.4571428571428573</v>
      </c>
      <c r="W14" s="14">
        <v>8.8714285714285701</v>
      </c>
      <c r="Y14" s="14">
        <f t="shared" si="1"/>
        <v>186.46349206349208</v>
      </c>
      <c r="Z14">
        <f t="shared" si="0"/>
        <v>2.9040717801117633</v>
      </c>
    </row>
    <row r="15" spans="1:26" x14ac:dyDescent="0.25">
      <c r="A15" t="s">
        <v>56</v>
      </c>
      <c r="B15" s="15">
        <v>1833</v>
      </c>
      <c r="C15">
        <v>14</v>
      </c>
      <c r="D15" s="14">
        <v>9.6</v>
      </c>
      <c r="E15" s="14">
        <v>9.5714285714285712</v>
      </c>
      <c r="F15" s="14">
        <v>9.4714285714285715</v>
      </c>
      <c r="G15" s="14">
        <v>9.6142857142857139</v>
      </c>
      <c r="H15" s="14">
        <v>9.4714285714285715</v>
      </c>
      <c r="I15" s="14">
        <v>9.4857142857142858</v>
      </c>
      <c r="J15" s="14">
        <v>9.1999999999999993</v>
      </c>
      <c r="K15" s="14">
        <v>9.4285714285714288</v>
      </c>
      <c r="L15" s="14">
        <v>7.9999999999999982</v>
      </c>
      <c r="M15" s="14">
        <v>8.4571428571428573</v>
      </c>
      <c r="N15" s="14">
        <v>8.9142857142857146</v>
      </c>
      <c r="O15" s="14">
        <v>8.3571428571428577</v>
      </c>
      <c r="P15" s="14">
        <v>8.5142857142857142</v>
      </c>
      <c r="Q15" s="14">
        <v>9.1142857142857121</v>
      </c>
      <c r="R15" s="14">
        <v>9.7999999999999989</v>
      </c>
      <c r="S15" s="14">
        <v>5.9142857142857137</v>
      </c>
      <c r="T15" s="14">
        <v>8.5714285714285712</v>
      </c>
      <c r="U15" s="14">
        <v>9.1999999999999993</v>
      </c>
      <c r="V15" s="14">
        <v>9.7999999999999989</v>
      </c>
      <c r="W15" s="14">
        <v>5.9142857142857137</v>
      </c>
      <c r="Y15" s="14">
        <f t="shared" si="1"/>
        <v>176.4</v>
      </c>
      <c r="Z15">
        <f t="shared" si="0"/>
        <v>3.7308074764197245</v>
      </c>
    </row>
    <row r="16" spans="1:26" x14ac:dyDescent="0.25">
      <c r="A16" t="s">
        <v>57</v>
      </c>
      <c r="B16" s="15">
        <v>1704</v>
      </c>
      <c r="C16">
        <v>15</v>
      </c>
      <c r="D16" s="14">
        <v>9.2285714285714278</v>
      </c>
      <c r="E16" s="14">
        <v>9.1142857142857157</v>
      </c>
      <c r="F16" s="14">
        <v>9.8857142857142861</v>
      </c>
      <c r="G16" s="14">
        <v>10.028571428571428</v>
      </c>
      <c r="H16" s="14">
        <v>9.2714285714285722</v>
      </c>
      <c r="I16" s="14">
        <v>8.9428571428571413</v>
      </c>
      <c r="J16" s="14">
        <v>9.8571428571428577</v>
      </c>
      <c r="K16" s="14">
        <v>9.9428571428571413</v>
      </c>
      <c r="L16" s="14">
        <v>8.4666666666666668</v>
      </c>
      <c r="M16" s="14">
        <v>8.0857142857142854</v>
      </c>
      <c r="N16" s="14">
        <v>8.9285714285714288</v>
      </c>
      <c r="O16" s="14">
        <v>9.9571428571428573</v>
      </c>
      <c r="P16" s="14">
        <v>9.9000000000000021</v>
      </c>
      <c r="Q16" s="14">
        <v>9.6285714285714281</v>
      </c>
      <c r="R16" s="14">
        <v>9.9857142857142858</v>
      </c>
      <c r="S16" s="14">
        <v>8.7142857142857135</v>
      </c>
      <c r="T16" s="14">
        <v>8.9142857142857146</v>
      </c>
      <c r="U16" s="14">
        <v>7.4857142857142858</v>
      </c>
      <c r="V16" s="14">
        <v>9.3285714285714274</v>
      </c>
      <c r="W16" s="14">
        <v>9.2857142857142865</v>
      </c>
      <c r="Y16" s="14">
        <f t="shared" si="1"/>
        <v>184.95238095238096</v>
      </c>
      <c r="Z16">
        <f t="shared" si="0"/>
        <v>3.7414216754174081</v>
      </c>
    </row>
    <row r="17" spans="1:27" x14ac:dyDescent="0.25">
      <c r="A17" t="s">
        <v>58</v>
      </c>
      <c r="B17" s="15">
        <v>2025</v>
      </c>
      <c r="C17">
        <v>16</v>
      </c>
      <c r="D17" s="14">
        <v>9.3857142857142861</v>
      </c>
      <c r="E17" s="14">
        <v>8.9285714285714288</v>
      </c>
      <c r="F17" s="14">
        <v>9.0714285714285712</v>
      </c>
      <c r="G17" s="14">
        <v>8.4285714285714288</v>
      </c>
      <c r="H17" s="14">
        <v>8.8571428571428577</v>
      </c>
      <c r="I17" s="14">
        <v>8.7857142857142865</v>
      </c>
      <c r="J17" s="14">
        <v>8.5714285714285712</v>
      </c>
      <c r="K17" s="14">
        <v>8.7142857142857135</v>
      </c>
      <c r="L17" s="14">
        <v>7.6555555555555559</v>
      </c>
      <c r="M17" s="14">
        <v>8.6</v>
      </c>
      <c r="N17" s="14">
        <v>8.8000000000000007</v>
      </c>
      <c r="O17" s="14">
        <v>9.0142857142857142</v>
      </c>
      <c r="P17" s="14">
        <v>9.1714285714285726</v>
      </c>
      <c r="Q17" s="14">
        <v>9.5428571428571427</v>
      </c>
      <c r="R17" s="14">
        <v>9.5571428571428587</v>
      </c>
      <c r="S17" s="14">
        <v>9.6285714285714299</v>
      </c>
      <c r="T17" s="14">
        <v>9.5714285714285712</v>
      </c>
      <c r="U17" s="14">
        <v>10</v>
      </c>
      <c r="V17" s="14">
        <v>9.7142857142857135</v>
      </c>
      <c r="W17" s="14">
        <v>10</v>
      </c>
      <c r="Y17" s="14">
        <f t="shared" si="1"/>
        <v>181.99841269841272</v>
      </c>
      <c r="Z17">
        <f t="shared" si="0"/>
        <v>2.9835948065443061</v>
      </c>
    </row>
    <row r="18" spans="1:27" x14ac:dyDescent="0.25">
      <c r="A18" t="s">
        <v>59</v>
      </c>
      <c r="B18" s="19">
        <v>1965</v>
      </c>
      <c r="C18">
        <v>17</v>
      </c>
      <c r="D18" s="14">
        <v>9.0714285714285712</v>
      </c>
      <c r="E18" s="14">
        <v>8.8571428571428577</v>
      </c>
      <c r="F18" s="14">
        <v>8.7857142857142865</v>
      </c>
      <c r="G18" s="14">
        <v>8.8571428571428577</v>
      </c>
      <c r="H18" s="14">
        <v>9.3571428571428577</v>
      </c>
      <c r="I18" s="14">
        <v>8.8571428571428577</v>
      </c>
      <c r="J18" s="14">
        <v>8.2857142857142865</v>
      </c>
      <c r="K18" s="14">
        <v>7.7857142857142856</v>
      </c>
      <c r="L18" s="14">
        <v>5.7777777777777777</v>
      </c>
      <c r="M18" s="14">
        <v>8.3571428571428577</v>
      </c>
      <c r="N18" s="14">
        <v>8.7857142857142865</v>
      </c>
      <c r="O18" s="14">
        <v>8.4285714285714288</v>
      </c>
      <c r="P18" s="14">
        <v>7.8571428571428568</v>
      </c>
      <c r="Q18" s="14">
        <v>9.2142857142857135</v>
      </c>
      <c r="R18" s="14">
        <v>8.7142857142857135</v>
      </c>
      <c r="S18" s="14">
        <v>9.8571428571428577</v>
      </c>
      <c r="T18" s="14">
        <v>9.5714285714285712</v>
      </c>
      <c r="U18" s="14">
        <v>9.3571428571428577</v>
      </c>
      <c r="V18" s="14">
        <v>8</v>
      </c>
      <c r="W18" s="14">
        <v>9.6428571428571423</v>
      </c>
      <c r="Y18" s="14">
        <f t="shared" si="1"/>
        <v>173.42063492063494</v>
      </c>
      <c r="Z18">
        <f t="shared" si="0"/>
        <v>3.2926597088072258</v>
      </c>
    </row>
    <row r="19" spans="1:27" x14ac:dyDescent="0.25">
      <c r="A19" t="s">
        <v>60</v>
      </c>
      <c r="B19" s="15">
        <v>2095.9595959595958</v>
      </c>
      <c r="C19">
        <v>18</v>
      </c>
      <c r="D19" s="14">
        <v>9.7142857142857135</v>
      </c>
      <c r="E19" s="14">
        <v>9.6428571428571423</v>
      </c>
      <c r="F19" s="14">
        <v>9.8571428571428577</v>
      </c>
      <c r="G19" s="14">
        <v>9.8571428571428577</v>
      </c>
      <c r="H19" s="14">
        <v>6.2142857142857144</v>
      </c>
      <c r="I19" s="14">
        <v>9.0448979591836736</v>
      </c>
      <c r="J19" s="14">
        <v>8.7367346938775494</v>
      </c>
      <c r="K19" s="14">
        <v>9.1</v>
      </c>
      <c r="L19" s="14">
        <v>-0.88888888888888884</v>
      </c>
      <c r="M19" s="14">
        <v>6.9285714285714288</v>
      </c>
      <c r="N19" s="14">
        <v>9.4285714285714288</v>
      </c>
      <c r="O19" s="14">
        <v>9.2857142857142865</v>
      </c>
      <c r="P19" s="14">
        <v>9.0714285714285712</v>
      </c>
      <c r="Q19" s="14">
        <v>9.1428571428571423</v>
      </c>
      <c r="R19" s="14">
        <v>10</v>
      </c>
      <c r="S19" s="14">
        <v>9.7857142857142865</v>
      </c>
      <c r="T19" s="14">
        <v>9.5</v>
      </c>
      <c r="U19" s="14">
        <v>9.1428571428571423</v>
      </c>
      <c r="V19" s="14">
        <v>6.7142857142857144</v>
      </c>
      <c r="W19" s="14">
        <v>9.2857142857142865</v>
      </c>
      <c r="Y19" s="14">
        <f t="shared" si="1"/>
        <v>169.56417233560092</v>
      </c>
      <c r="Z19">
        <f t="shared" si="0"/>
        <v>4.3963704622209612</v>
      </c>
    </row>
    <row r="20" spans="1:27" x14ac:dyDescent="0.25">
      <c r="A20" t="s">
        <v>61</v>
      </c>
      <c r="B20" s="15">
        <v>1415.0943396226414</v>
      </c>
      <c r="C20">
        <v>19</v>
      </c>
      <c r="D20" s="14">
        <v>9.5</v>
      </c>
      <c r="E20" s="14">
        <v>9.3142857142857149</v>
      </c>
      <c r="F20" s="14">
        <v>9.5571428571428587</v>
      </c>
      <c r="G20" s="14">
        <v>8.6714285714285726</v>
      </c>
      <c r="H20" s="14">
        <v>8.5857142857142854</v>
      </c>
      <c r="I20" s="14">
        <v>8.6571428571428566</v>
      </c>
      <c r="J20" s="14">
        <v>9.0285714285714285</v>
      </c>
      <c r="K20" s="14">
        <v>9.6</v>
      </c>
      <c r="L20" s="14">
        <v>8.4285714285714288</v>
      </c>
      <c r="M20" s="14">
        <v>8.8285714285714274</v>
      </c>
      <c r="N20" s="14">
        <v>8.6857142857142851</v>
      </c>
      <c r="O20" s="14">
        <v>9.6714285714285726</v>
      </c>
      <c r="P20" s="14">
        <v>9.4857142857142858</v>
      </c>
      <c r="Q20" s="14">
        <v>8.1428571428571423</v>
      </c>
      <c r="R20" s="14">
        <v>8.9714285714285715</v>
      </c>
      <c r="S20" s="14">
        <v>9.3428571428571434</v>
      </c>
      <c r="T20" s="14">
        <v>9.7000000000000011</v>
      </c>
      <c r="U20" s="14">
        <v>9.7857142857142865</v>
      </c>
      <c r="V20" s="14">
        <v>9.7857142857142865</v>
      </c>
      <c r="W20" s="14">
        <v>9.5</v>
      </c>
      <c r="Y20" s="14">
        <f t="shared" si="1"/>
        <v>183.2428571428571</v>
      </c>
      <c r="Z20">
        <f t="shared" si="0"/>
        <v>3.2793325041666326</v>
      </c>
      <c r="AA20" s="14"/>
    </row>
    <row r="21" spans="1:27" x14ac:dyDescent="0.25">
      <c r="A21" t="s">
        <v>62</v>
      </c>
      <c r="B21" s="15">
        <v>2038</v>
      </c>
      <c r="C21">
        <v>20</v>
      </c>
      <c r="D21" s="14">
        <v>8.6857142857142851</v>
      </c>
      <c r="E21" s="14">
        <v>8.8285714285714292</v>
      </c>
      <c r="F21" s="14">
        <v>8.7857142857142865</v>
      </c>
      <c r="G21" s="14">
        <v>9.0714285714285712</v>
      </c>
      <c r="H21" s="14">
        <v>8.4857142857142858</v>
      </c>
      <c r="I21" s="14">
        <v>7.9285714285714288</v>
      </c>
      <c r="J21" s="14">
        <v>8.1428571428571423</v>
      </c>
      <c r="K21" s="14">
        <v>8.7285714285714278</v>
      </c>
      <c r="L21" s="14">
        <v>8.7749999999999986</v>
      </c>
      <c r="M21" s="14">
        <v>8.7999999999999989</v>
      </c>
      <c r="N21" s="14">
        <v>9.0142857142857142</v>
      </c>
      <c r="O21" s="14">
        <v>8.4</v>
      </c>
      <c r="P21" s="14">
        <v>9.0857142857142854</v>
      </c>
      <c r="Q21" s="14">
        <v>8.5142857142857142</v>
      </c>
      <c r="R21" s="14">
        <v>9.9428571428571413</v>
      </c>
      <c r="S21" s="14">
        <v>10.385714285714286</v>
      </c>
      <c r="T21" s="14">
        <v>10.128571428571428</v>
      </c>
      <c r="U21" s="14">
        <v>10.362499999999999</v>
      </c>
      <c r="V21" s="14">
        <v>9.4714285714285733</v>
      </c>
      <c r="W21" s="14">
        <v>7.6714285714285717</v>
      </c>
      <c r="Y21" s="14">
        <f t="shared" si="1"/>
        <v>179.20892857142857</v>
      </c>
      <c r="Z21">
        <f t="shared" si="0"/>
        <v>3.0291760274298922</v>
      </c>
      <c r="AA21" s="14"/>
    </row>
    <row r="22" spans="1:27" x14ac:dyDescent="0.25">
      <c r="A22" t="s">
        <v>63</v>
      </c>
      <c r="B22" s="15">
        <v>1241</v>
      </c>
      <c r="C22">
        <v>21</v>
      </c>
      <c r="D22" s="14">
        <v>9.7714285714285722</v>
      </c>
      <c r="E22" s="14">
        <v>9.3428571428571434</v>
      </c>
      <c r="F22" s="14">
        <v>8.1142857142857139</v>
      </c>
      <c r="G22" s="14">
        <v>7.8999999999999995</v>
      </c>
      <c r="H22" s="14">
        <v>5.8285714285714292</v>
      </c>
      <c r="I22" s="14">
        <v>9.3428571428571416</v>
      </c>
      <c r="J22" s="14">
        <v>7.5857142857142863</v>
      </c>
      <c r="K22" s="14">
        <v>7.1285714285714281</v>
      </c>
      <c r="L22" s="14">
        <v>9.2125000000000004</v>
      </c>
      <c r="M22" s="14">
        <v>8.7857142857142865</v>
      </c>
      <c r="N22" s="14">
        <v>7.3</v>
      </c>
      <c r="O22" s="14">
        <v>6.9571428571428564</v>
      </c>
      <c r="P22" s="14">
        <v>7.9857142857142849</v>
      </c>
      <c r="Q22" s="14">
        <v>9.485714285714284</v>
      </c>
      <c r="R22" s="14">
        <v>9.6</v>
      </c>
      <c r="S22" s="14">
        <v>9.5571428571428552</v>
      </c>
      <c r="T22" s="14">
        <v>9.1571428571428584</v>
      </c>
      <c r="U22" s="14">
        <v>9.8857142857142861</v>
      </c>
      <c r="V22" s="14">
        <v>9.4</v>
      </c>
      <c r="W22" s="14">
        <v>9.1571428571428566</v>
      </c>
      <c r="Y22" s="14">
        <f t="shared" si="1"/>
        <v>171.49821428571428</v>
      </c>
      <c r="Z22">
        <f t="shared" si="0"/>
        <v>0.88491348331297326</v>
      </c>
      <c r="AA22" s="14"/>
    </row>
    <row r="23" spans="1:27" x14ac:dyDescent="0.25">
      <c r="A23" t="s">
        <v>64</v>
      </c>
      <c r="B23" s="18">
        <v>1575</v>
      </c>
      <c r="C23">
        <v>22</v>
      </c>
      <c r="D23" s="14">
        <v>8.8714285714285701</v>
      </c>
      <c r="E23" s="14">
        <v>7.6142857142857157</v>
      </c>
      <c r="F23" s="14">
        <v>3.8857142857142857</v>
      </c>
      <c r="G23" s="14">
        <v>9.257142857142858</v>
      </c>
      <c r="H23" s="14">
        <v>9.2000000000000011</v>
      </c>
      <c r="I23" s="14">
        <v>8.4714285714285715</v>
      </c>
      <c r="J23" s="14">
        <v>7.9428571428571431</v>
      </c>
      <c r="K23" s="14">
        <v>7.6857142857142851</v>
      </c>
      <c r="L23" s="14">
        <v>8.4714285714285698</v>
      </c>
      <c r="M23" s="14">
        <v>7.628571428571429</v>
      </c>
      <c r="N23" s="14">
        <v>8.4285714285714288</v>
      </c>
      <c r="O23" s="14">
        <v>9.2571428571428562</v>
      </c>
      <c r="P23" s="14">
        <v>9.0571428571428587</v>
      </c>
      <c r="Q23" s="14">
        <v>8.1857142857142851</v>
      </c>
      <c r="R23" s="14">
        <v>9.4642857142857153</v>
      </c>
      <c r="S23" s="14">
        <v>9.7595238095238095</v>
      </c>
      <c r="T23" s="14">
        <v>9.6047619047619044</v>
      </c>
      <c r="U23" s="14">
        <v>9.9571428571428573</v>
      </c>
      <c r="V23" s="14">
        <v>9.1142857142857139</v>
      </c>
      <c r="W23" s="14">
        <v>9.7142857142857135</v>
      </c>
      <c r="Y23" s="14">
        <f t="shared" si="1"/>
        <v>171.57142857142861</v>
      </c>
      <c r="Z23">
        <f t="shared" si="0"/>
        <v>1.7025998863255754</v>
      </c>
      <c r="AA23" s="14"/>
    </row>
    <row r="24" spans="1:27" x14ac:dyDescent="0.25">
      <c r="A24" t="s">
        <v>65</v>
      </c>
      <c r="B24" s="18">
        <v>2099</v>
      </c>
      <c r="C24">
        <v>23</v>
      </c>
      <c r="D24" s="14">
        <v>8.3310204081632655</v>
      </c>
      <c r="E24" s="14">
        <v>9.2281632653061223</v>
      </c>
      <c r="F24" s="14">
        <v>9.0910204081632653</v>
      </c>
      <c r="G24" s="14">
        <v>8.9012244897959185</v>
      </c>
      <c r="H24" s="14">
        <v>8.7506122448979582</v>
      </c>
      <c r="I24" s="14">
        <v>8.7416326530612221</v>
      </c>
      <c r="J24" s="14">
        <v>8.4885714285714275</v>
      </c>
      <c r="K24" s="14">
        <v>8.9710204081632661</v>
      </c>
      <c r="L24" s="14">
        <v>7.5580952380952384</v>
      </c>
      <c r="M24" s="14">
        <v>8.7714285714285705</v>
      </c>
      <c r="N24" s="14">
        <v>8.7142857142857153</v>
      </c>
      <c r="O24" s="14">
        <v>9.2142857142857135</v>
      </c>
      <c r="P24" s="14">
        <v>8.9857142857142858</v>
      </c>
      <c r="Q24" s="14">
        <v>8.9428571428571413</v>
      </c>
      <c r="R24" s="14">
        <v>8.9428571428571448</v>
      </c>
      <c r="S24" s="14">
        <v>9.2000000000000011</v>
      </c>
      <c r="T24" s="14">
        <v>10.042857142857143</v>
      </c>
      <c r="U24" s="14">
        <v>9.6</v>
      </c>
      <c r="V24" s="14">
        <v>8.7476190476190485</v>
      </c>
      <c r="W24" s="14">
        <v>9.1619047619047631</v>
      </c>
      <c r="Y24" s="14">
        <f>SUM(D24:W24)</f>
        <v>178.38517006802718</v>
      </c>
      <c r="Z24">
        <f t="shared" si="0"/>
        <v>3.9992206514700581</v>
      </c>
      <c r="AA24" s="14"/>
    </row>
    <row r="25" spans="1:27" x14ac:dyDescent="0.25">
      <c r="A25" t="s">
        <v>66</v>
      </c>
      <c r="B25" s="1">
        <v>2431</v>
      </c>
      <c r="C25">
        <v>24</v>
      </c>
      <c r="D25" s="14">
        <v>5.0857142857142863</v>
      </c>
      <c r="E25" s="14">
        <v>8.571428571428573</v>
      </c>
      <c r="F25" s="14">
        <v>8.8571428571428577</v>
      </c>
      <c r="G25" s="14">
        <v>8.9285714285714288</v>
      </c>
      <c r="H25" s="14">
        <v>9.1285714285714281</v>
      </c>
      <c r="I25" s="14">
        <v>8.7714285714285705</v>
      </c>
      <c r="J25" s="14">
        <v>8.9428571428571431</v>
      </c>
      <c r="K25" s="14">
        <v>9.3428571428571434</v>
      </c>
      <c r="L25" s="14">
        <v>7.9666666666666668</v>
      </c>
      <c r="M25" s="14">
        <v>9.5571428571428552</v>
      </c>
      <c r="N25" s="14">
        <v>9.6571428571428566</v>
      </c>
      <c r="O25" s="14">
        <v>10.285714285714286</v>
      </c>
      <c r="P25" s="14">
        <v>10.014285714285714</v>
      </c>
      <c r="Q25" s="14">
        <v>9.7000000000000011</v>
      </c>
      <c r="R25" s="14">
        <v>9.0428571428571427</v>
      </c>
      <c r="S25" s="14">
        <v>9.1</v>
      </c>
      <c r="T25" s="14">
        <v>8.757142857142858</v>
      </c>
      <c r="U25" s="14">
        <v>9.6571428571428566</v>
      </c>
      <c r="V25" s="14">
        <v>9.0714285714285712</v>
      </c>
      <c r="W25" s="14">
        <v>9.2285714285714278</v>
      </c>
      <c r="Y25" s="14">
        <f t="shared" si="1"/>
        <v>179.66666666666669</v>
      </c>
      <c r="Z25">
        <f t="shared" si="0"/>
        <v>5.6189676699521129</v>
      </c>
    </row>
    <row r="26" spans="1:27" x14ac:dyDescent="0.25">
      <c r="B26" s="1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Y26" s="14"/>
    </row>
    <row r="27" spans="1:27" x14ac:dyDescent="0.25">
      <c r="A27" t="s">
        <v>67</v>
      </c>
      <c r="B27" s="5"/>
      <c r="D27" s="14">
        <v>10.028571428571427</v>
      </c>
      <c r="E27" s="14">
        <v>9.8285714285714274</v>
      </c>
      <c r="F27" s="14">
        <v>9.7428571428571438</v>
      </c>
      <c r="G27" s="14">
        <v>9.5428571428571445</v>
      </c>
      <c r="H27" s="14">
        <v>9.5</v>
      </c>
      <c r="I27" s="14">
        <v>8.8285714285714274</v>
      </c>
      <c r="J27" s="14">
        <v>9.1</v>
      </c>
      <c r="K27" s="14">
        <v>9.4428571428571413</v>
      </c>
      <c r="L27" s="14">
        <v>8.1111111111111107</v>
      </c>
      <c r="M27" s="14">
        <v>8.3428571428571416</v>
      </c>
      <c r="N27" s="14">
        <v>8.7587301587301578</v>
      </c>
      <c r="O27" s="14">
        <v>8.9015873015873002</v>
      </c>
      <c r="P27" s="14">
        <v>8.9634920634920654</v>
      </c>
      <c r="Q27" s="14">
        <v>8.9777777777777761</v>
      </c>
      <c r="R27" s="14">
        <v>9.4642857142857153</v>
      </c>
      <c r="S27" s="14">
        <v>9.5812169312169324</v>
      </c>
      <c r="T27" s="14">
        <v>9.5767195767195759</v>
      </c>
      <c r="U27" s="14">
        <v>9.5085317460317444</v>
      </c>
      <c r="V27" s="14">
        <v>8.9195767195767193</v>
      </c>
      <c r="W27" s="14">
        <v>9.268783068783069</v>
      </c>
      <c r="Y27" s="14">
        <f t="shared" si="1"/>
        <v>184.38895502645505</v>
      </c>
      <c r="Z27">
        <f>SUMPRODUCT($D$31:$W$31,D27:W27)</f>
        <v>3.3623322467991983</v>
      </c>
    </row>
    <row r="28" spans="1:27" x14ac:dyDescent="0.25">
      <c r="A28" t="s">
        <v>311</v>
      </c>
      <c r="D28" s="14">
        <v>8.4</v>
      </c>
      <c r="E28" s="14">
        <v>7.6428571428571432</v>
      </c>
      <c r="F28" s="14">
        <v>8.1857142857142868</v>
      </c>
      <c r="G28" s="14">
        <v>9.571428571428573</v>
      </c>
      <c r="H28" s="14">
        <v>9.0285714285714285</v>
      </c>
      <c r="I28" s="14">
        <v>8.3714285714285701</v>
      </c>
      <c r="J28" s="14">
        <v>9.1428571428571423</v>
      </c>
      <c r="K28" s="14">
        <v>8.757142857142858</v>
      </c>
      <c r="L28" s="14">
        <v>3.9</v>
      </c>
      <c r="M28" s="14">
        <v>5.0571428571428569</v>
      </c>
      <c r="N28" s="14">
        <v>7.0285714285714294</v>
      </c>
      <c r="O28" s="14">
        <v>7.8714285714285728</v>
      </c>
      <c r="P28" s="14">
        <v>8.9</v>
      </c>
      <c r="Q28" s="14">
        <v>8.2100000000000009</v>
      </c>
      <c r="R28" s="14">
        <v>9.14</v>
      </c>
      <c r="S28" s="14">
        <v>9.8000000000000007</v>
      </c>
      <c r="T28" s="14">
        <v>9.8000000000000007</v>
      </c>
      <c r="U28" s="14">
        <v>9.1</v>
      </c>
      <c r="V28" s="14">
        <v>8.1</v>
      </c>
      <c r="W28" s="14">
        <v>9.1</v>
      </c>
      <c r="Y28" s="14">
        <f t="shared" si="1"/>
        <v>165.10714285714283</v>
      </c>
      <c r="Z28">
        <f>SUMPRODUCT($D$31:$W$31,D28:W28)</f>
        <v>3.6348845772666376</v>
      </c>
    </row>
    <row r="29" spans="1:27" x14ac:dyDescent="0.25">
      <c r="A29" t="s">
        <v>312</v>
      </c>
      <c r="D29" s="17">
        <v>9.2159591836734691</v>
      </c>
      <c r="E29" s="17">
        <v>9.0442448979591852</v>
      </c>
      <c r="F29" s="17">
        <v>8.6505306122448964</v>
      </c>
      <c r="G29" s="17">
        <v>9.058693877551022</v>
      </c>
      <c r="H29" s="17">
        <v>8.402204081632652</v>
      </c>
      <c r="I29" s="17">
        <v>8.825795918367346</v>
      </c>
      <c r="J29" s="17">
        <v>8.5839591836734694</v>
      </c>
      <c r="K29" s="17">
        <v>8.708530612244898</v>
      </c>
      <c r="L29" s="17">
        <v>7.1456706349206343</v>
      </c>
      <c r="M29" s="17">
        <v>8.3242857142857147</v>
      </c>
      <c r="N29" s="17">
        <v>8.6999999999999993</v>
      </c>
      <c r="O29" s="17">
        <v>8.8542857142857123</v>
      </c>
      <c r="P29" s="17">
        <v>8.9035714285714285</v>
      </c>
      <c r="Q29" s="17">
        <v>8.5821428571428573</v>
      </c>
      <c r="R29" s="17">
        <v>9.4946428571428569</v>
      </c>
      <c r="S29" s="17">
        <v>9.7613095238095227</v>
      </c>
      <c r="T29" s="17">
        <v>9.6476190476190489</v>
      </c>
      <c r="U29" s="17">
        <v>9.9977678571428577</v>
      </c>
      <c r="V29" s="17">
        <v>9.4428571428571431</v>
      </c>
      <c r="W29" s="17">
        <v>9.0107142857142861</v>
      </c>
      <c r="Y29" s="14">
        <f t="shared" si="1"/>
        <v>178.354785430839</v>
      </c>
      <c r="Z29">
        <f>SUMPRODUCT($D$31:$W$31,D29:W29)</f>
        <v>2.9507154524091019</v>
      </c>
    </row>
    <row r="30" spans="1:27" x14ac:dyDescent="0.25">
      <c r="A30" t="s">
        <v>674</v>
      </c>
      <c r="D30" s="14">
        <v>8.9285714285714288</v>
      </c>
      <c r="E30" s="14">
        <v>8.3000000000000007</v>
      </c>
      <c r="F30" s="14">
        <v>8.6857142857142851</v>
      </c>
      <c r="G30" s="14">
        <v>5.8571428571428568</v>
      </c>
      <c r="H30" s="14">
        <v>6.4142857142857137</v>
      </c>
      <c r="I30" s="14">
        <v>8.825795918367346</v>
      </c>
      <c r="J30" s="14">
        <v>8.5839591836734694</v>
      </c>
      <c r="K30" s="14">
        <v>8.708530612244898</v>
      </c>
      <c r="L30" s="14">
        <v>7.1456706349206343</v>
      </c>
      <c r="M30" s="14">
        <v>8.3242857142857147</v>
      </c>
      <c r="N30" s="14">
        <v>8.6999999999999993</v>
      </c>
      <c r="O30" s="14">
        <v>8.8542857142857123</v>
      </c>
      <c r="P30" s="14">
        <v>9.0938775510204088</v>
      </c>
      <c r="Q30" s="14">
        <v>9.0591836734693878</v>
      </c>
      <c r="R30" s="14">
        <v>9.5978571428571424</v>
      </c>
      <c r="S30" s="14">
        <v>9.2330952380952365</v>
      </c>
      <c r="T30" s="14">
        <v>9.2399267399267409</v>
      </c>
      <c r="U30" s="14">
        <v>9.439972527472527</v>
      </c>
      <c r="V30" s="14">
        <v>9.0846153846153861</v>
      </c>
      <c r="W30" s="14">
        <v>8.9791208791208792</v>
      </c>
      <c r="Y30" s="14">
        <f t="shared" ref="Y30" si="2">SUM(D30:W30)</f>
        <v>171.05589120006974</v>
      </c>
      <c r="Z30">
        <f>SUMPRODUCT($D$31:$W$31,D30:W30)</f>
        <v>2.2631810496137539</v>
      </c>
    </row>
    <row r="31" spans="1:27" x14ac:dyDescent="0.25">
      <c r="A31" s="2" t="s">
        <v>68</v>
      </c>
      <c r="D31" s="3">
        <f>CORREL($B$2:$B$25,D2:D25)</f>
        <v>-0.45876514239132155</v>
      </c>
      <c r="E31" s="3">
        <f t="shared" ref="E31:W31" si="3">CORREL($B$2:$B$25,E2:E25)</f>
        <v>0.12779311488923911</v>
      </c>
      <c r="F31" s="3">
        <f t="shared" si="3"/>
        <v>0.22667356165322119</v>
      </c>
      <c r="G31" s="3">
        <f t="shared" si="3"/>
        <v>0.11544865156852691</v>
      </c>
      <c r="H31" s="3">
        <f t="shared" si="3"/>
        <v>0.24452546604109068</v>
      </c>
      <c r="I31" s="3">
        <f t="shared" si="3"/>
        <v>-2.5515562907135841E-2</v>
      </c>
      <c r="J31" s="3">
        <f t="shared" si="3"/>
        <v>-0.13649091329445012</v>
      </c>
      <c r="K31" s="3">
        <f t="shared" si="3"/>
        <v>0.29027676638867095</v>
      </c>
      <c r="L31" s="3">
        <f t="shared" si="3"/>
        <v>-0.15724244081248476</v>
      </c>
      <c r="M31" s="3">
        <f t="shared" si="3"/>
        <v>6.2702467737819637E-2</v>
      </c>
      <c r="N31" s="3">
        <f t="shared" si="3"/>
        <v>-7.152668724372746E-2</v>
      </c>
      <c r="O31" s="3">
        <f t="shared" si="3"/>
        <v>0.18183824643287197</v>
      </c>
      <c r="P31" s="3">
        <f t="shared" si="3"/>
        <v>0.14669561015996296</v>
      </c>
      <c r="Q31" s="3">
        <f t="shared" si="3"/>
        <v>0.10508631010916014</v>
      </c>
      <c r="R31" s="3">
        <f t="shared" si="3"/>
        <v>-9.0584157973059701E-2</v>
      </c>
      <c r="S31" s="3">
        <f t="shared" si="3"/>
        <v>-0.1617146547667897</v>
      </c>
      <c r="T31" s="3">
        <f t="shared" si="3"/>
        <v>0.12229829902947582</v>
      </c>
      <c r="U31" s="3">
        <f t="shared" si="3"/>
        <v>0.10258592004850248</v>
      </c>
      <c r="V31" s="3">
        <f t="shared" si="3"/>
        <v>-0.20779088318041852</v>
      </c>
      <c r="W31" s="3">
        <f t="shared" si="3"/>
        <v>-6.3063770988057238E-2</v>
      </c>
    </row>
    <row r="34" spans="1:27" x14ac:dyDescent="0.25">
      <c r="D34" t="s">
        <v>69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 t="s">
        <v>76</v>
      </c>
      <c r="L34" t="s">
        <v>338</v>
      </c>
      <c r="M34" t="s">
        <v>368</v>
      </c>
      <c r="N34" t="s">
        <v>369</v>
      </c>
      <c r="O34" t="s">
        <v>370</v>
      </c>
      <c r="P34" t="s">
        <v>454</v>
      </c>
      <c r="Q34" t="s">
        <v>455</v>
      </c>
      <c r="R34" t="s">
        <v>456</v>
      </c>
      <c r="S34" t="s">
        <v>457</v>
      </c>
      <c r="T34" t="s">
        <v>566</v>
      </c>
      <c r="U34" t="s">
        <v>567</v>
      </c>
      <c r="V34" t="s">
        <v>568</v>
      </c>
      <c r="W34" t="s">
        <v>569</v>
      </c>
      <c r="Y34" t="s">
        <v>77</v>
      </c>
      <c r="Z34" t="s">
        <v>78</v>
      </c>
    </row>
    <row r="35" spans="1:27" x14ac:dyDescent="0.25">
      <c r="A35" t="s">
        <v>43</v>
      </c>
      <c r="D35" s="14">
        <v>34.528571428571425</v>
      </c>
      <c r="E35" s="14">
        <v>32.571428571428569</v>
      </c>
      <c r="F35" s="14">
        <v>32.98571428571428</v>
      </c>
      <c r="G35" s="14">
        <v>32.142857142857146</v>
      </c>
      <c r="H35" s="14">
        <v>29.871428571428574</v>
      </c>
      <c r="I35" s="14">
        <v>30.214285714285715</v>
      </c>
      <c r="J35" s="14">
        <v>31.114285714285717</v>
      </c>
      <c r="K35" s="14">
        <v>31.24285714285714</v>
      </c>
      <c r="L35" s="14">
        <v>24.522222222222222</v>
      </c>
      <c r="M35" s="14">
        <v>29.071428571428573</v>
      </c>
      <c r="N35" s="14">
        <v>25</v>
      </c>
      <c r="O35" s="14">
        <v>27.171428571428571</v>
      </c>
      <c r="P35" s="14">
        <v>28.785714285714285</v>
      </c>
      <c r="Q35" s="14">
        <v>32.371428571428574</v>
      </c>
      <c r="R35" s="14">
        <v>30.857142857142858</v>
      </c>
      <c r="S35" s="14">
        <v>30.642857142857142</v>
      </c>
      <c r="T35" s="14">
        <v>31.442857142857143</v>
      </c>
      <c r="U35" s="14">
        <v>34.214285714285715</v>
      </c>
      <c r="V35" s="14">
        <v>33.728571428571428</v>
      </c>
      <c r="W35" s="14">
        <v>34.542857142857144</v>
      </c>
      <c r="Y35" s="14">
        <f t="shared" ref="Y35:Y62" si="4">SUM(D35:W35)</f>
        <v>617.02222222222213</v>
      </c>
      <c r="Z35">
        <f t="shared" ref="Z35:Z58" si="5">SUMPRODUCT($D$64:$W$64,D35:W35)</f>
        <v>-87.925677126592589</v>
      </c>
    </row>
    <row r="36" spans="1:27" x14ac:dyDescent="0.25">
      <c r="A36" t="s">
        <v>44</v>
      </c>
      <c r="D36" s="14">
        <v>15.1</v>
      </c>
      <c r="E36" s="14">
        <v>33.027405247813412</v>
      </c>
      <c r="F36" s="14">
        <v>33.102623906705539</v>
      </c>
      <c r="G36" s="14">
        <v>32.286005830903797</v>
      </c>
      <c r="H36" s="14">
        <v>31.611078717201167</v>
      </c>
      <c r="I36" s="14">
        <v>31.639650145772595</v>
      </c>
      <c r="J36" s="14">
        <v>30.753935860058309</v>
      </c>
      <c r="K36" s="14">
        <v>30.557725947521867</v>
      </c>
      <c r="L36" s="14">
        <v>-0.88888888888888884</v>
      </c>
      <c r="M36" s="14">
        <v>31.5</v>
      </c>
      <c r="N36" s="14">
        <v>31.428571428571427</v>
      </c>
      <c r="O36" s="14">
        <v>33.857142857142854</v>
      </c>
      <c r="P36" s="14">
        <v>34.071428571428569</v>
      </c>
      <c r="Q36" s="14">
        <v>33.285714285714285</v>
      </c>
      <c r="R36" s="14">
        <v>35.285714285714285</v>
      </c>
      <c r="S36" s="14">
        <v>35.071428571428569</v>
      </c>
      <c r="T36" s="14">
        <v>35.357142857142854</v>
      </c>
      <c r="U36" s="14">
        <v>33.5</v>
      </c>
      <c r="V36" s="14">
        <v>32.785714285714285</v>
      </c>
      <c r="W36" s="14">
        <v>37.214285714285715</v>
      </c>
      <c r="Y36" s="14">
        <f t="shared" si="4"/>
        <v>610.54667962423059</v>
      </c>
      <c r="Z36">
        <f t="shared" si="5"/>
        <v>-104.56357820852546</v>
      </c>
    </row>
    <row r="37" spans="1:27" x14ac:dyDescent="0.25">
      <c r="A37" t="s">
        <v>45</v>
      </c>
      <c r="D37" s="14">
        <v>35.214285714285715</v>
      </c>
      <c r="E37" s="14">
        <v>33.714285714285715</v>
      </c>
      <c r="F37" s="14">
        <v>33.357142857142854</v>
      </c>
      <c r="G37" s="14">
        <v>33.714285714285715</v>
      </c>
      <c r="H37" s="14">
        <v>34.071428571428569</v>
      </c>
      <c r="I37" s="14">
        <v>34</v>
      </c>
      <c r="J37" s="14">
        <v>34.142857142857146</v>
      </c>
      <c r="K37" s="14">
        <v>33.5</v>
      </c>
      <c r="L37" s="14">
        <v>29</v>
      </c>
      <c r="M37" s="14">
        <v>29.157142857142855</v>
      </c>
      <c r="N37" s="14">
        <v>28.781632653061227</v>
      </c>
      <c r="O37" s="14">
        <v>27.842857142857145</v>
      </c>
      <c r="P37" s="14">
        <v>29.057142857142857</v>
      </c>
      <c r="Q37" s="14">
        <v>30.785714285714281</v>
      </c>
      <c r="R37" s="14">
        <v>31.255102040816325</v>
      </c>
      <c r="S37" s="14">
        <v>32.216326530612243</v>
      </c>
      <c r="T37" s="14">
        <v>32.51428571428572</v>
      </c>
      <c r="U37" s="14">
        <v>33.693877551020407</v>
      </c>
      <c r="V37" s="14">
        <v>34.340816326530607</v>
      </c>
      <c r="W37" s="14">
        <v>35.457142857142856</v>
      </c>
      <c r="Y37" s="14">
        <f t="shared" si="4"/>
        <v>645.81632653061206</v>
      </c>
      <c r="Z37">
        <f t="shared" si="5"/>
        <v>-91.399446080936954</v>
      </c>
    </row>
    <row r="38" spans="1:27" x14ac:dyDescent="0.25">
      <c r="A38" t="s">
        <v>46</v>
      </c>
      <c r="D38" s="14">
        <v>32.832653061224491</v>
      </c>
      <c r="E38" s="14">
        <v>32.93469387755102</v>
      </c>
      <c r="F38" s="14">
        <v>32.66122448979592</v>
      </c>
      <c r="G38" s="14">
        <v>31.816326530612248</v>
      </c>
      <c r="H38" s="14">
        <v>30.93469387755102</v>
      </c>
      <c r="I38" s="14">
        <v>31.006122448979589</v>
      </c>
      <c r="J38" s="14">
        <v>29.963265306122452</v>
      </c>
      <c r="K38" s="14">
        <v>29.961224489795917</v>
      </c>
      <c r="L38" s="14">
        <v>26.915873015873018</v>
      </c>
      <c r="M38" s="14">
        <v>27.771428571428572</v>
      </c>
      <c r="N38" s="14">
        <v>29.428571428571427</v>
      </c>
      <c r="O38" s="14">
        <v>29.642857142857142</v>
      </c>
      <c r="P38" s="14">
        <v>32.357142857142854</v>
      </c>
      <c r="Q38" s="14">
        <v>31.857142857142858</v>
      </c>
      <c r="R38" s="14">
        <v>32.5</v>
      </c>
      <c r="S38" s="14">
        <v>31.714285714285715</v>
      </c>
      <c r="T38" s="14">
        <v>33.5</v>
      </c>
      <c r="U38" s="14">
        <v>33.214285714285715</v>
      </c>
      <c r="V38" s="14">
        <v>34.071428571428569</v>
      </c>
      <c r="W38" s="14">
        <v>34.714285714285715</v>
      </c>
      <c r="Y38" s="14">
        <f t="shared" si="4"/>
        <v>629.79750566893415</v>
      </c>
      <c r="Z38">
        <f t="shared" si="5"/>
        <v>-92.765450024757641</v>
      </c>
    </row>
    <row r="39" spans="1:27" x14ac:dyDescent="0.25">
      <c r="A39" t="s">
        <v>47</v>
      </c>
      <c r="D39" s="14">
        <v>32.142857142857146</v>
      </c>
      <c r="E39" s="14">
        <v>32.785714285714285</v>
      </c>
      <c r="F39" s="14">
        <v>33.5</v>
      </c>
      <c r="G39" s="14">
        <v>33.142857142857146</v>
      </c>
      <c r="H39" s="14">
        <v>31.928571428571427</v>
      </c>
      <c r="I39" s="14">
        <v>31.857142857142858</v>
      </c>
      <c r="J39" s="14">
        <v>32.285714285714285</v>
      </c>
      <c r="K39" s="14">
        <v>31.5</v>
      </c>
      <c r="L39" s="14">
        <v>30.277777777777779</v>
      </c>
      <c r="M39" s="14">
        <v>32.571428571428569</v>
      </c>
      <c r="N39" s="14">
        <v>32</v>
      </c>
      <c r="O39" s="14">
        <v>31.214285714285715</v>
      </c>
      <c r="P39" s="14">
        <v>31.571428571428573</v>
      </c>
      <c r="Q39" s="14">
        <v>32.357142857142854</v>
      </c>
      <c r="R39" s="14">
        <v>31.857142857142858</v>
      </c>
      <c r="S39" s="14">
        <v>35</v>
      </c>
      <c r="T39" s="14">
        <v>35.5</v>
      </c>
      <c r="U39" s="14">
        <v>34.785714285714285</v>
      </c>
      <c r="V39" s="14">
        <v>33.857142857142854</v>
      </c>
      <c r="W39" s="14">
        <v>34.428571428571431</v>
      </c>
      <c r="Y39" s="14">
        <f t="shared" si="4"/>
        <v>654.56349206349205</v>
      </c>
      <c r="Z39">
        <f t="shared" si="5"/>
        <v>-95.778233256187477</v>
      </c>
      <c r="AA39" s="4"/>
    </row>
    <row r="40" spans="1:27" x14ac:dyDescent="0.25">
      <c r="A40" t="s">
        <v>48</v>
      </c>
      <c r="D40" s="14">
        <v>32.357142857142854</v>
      </c>
      <c r="E40" s="14">
        <v>32.714285714285715</v>
      </c>
      <c r="F40" s="14">
        <v>32.142857142857146</v>
      </c>
      <c r="G40" s="14">
        <v>31.142857142857142</v>
      </c>
      <c r="H40" s="14">
        <v>30.142857142857142</v>
      </c>
      <c r="I40" s="14">
        <v>32.071428571428569</v>
      </c>
      <c r="J40" s="14">
        <v>31.357142857142858</v>
      </c>
      <c r="K40" s="14">
        <v>30.214285714285715</v>
      </c>
      <c r="L40" s="14">
        <v>26.455555555555556</v>
      </c>
      <c r="M40" s="14">
        <v>31.5</v>
      </c>
      <c r="N40" s="14">
        <v>30.785714285714285</v>
      </c>
      <c r="O40" s="14">
        <v>28.857142857142858</v>
      </c>
      <c r="P40" s="14">
        <v>28.714285714285715</v>
      </c>
      <c r="Q40" s="14">
        <v>30.214285714285715</v>
      </c>
      <c r="R40" s="14">
        <v>31.071428571428573</v>
      </c>
      <c r="S40" s="14">
        <v>32.785714285714285</v>
      </c>
      <c r="T40" s="14">
        <v>32.857142857142854</v>
      </c>
      <c r="U40" s="14">
        <v>34.071428571428569</v>
      </c>
      <c r="V40" s="14">
        <v>36.142857142857146</v>
      </c>
      <c r="W40" s="14">
        <v>38.785714285714285</v>
      </c>
      <c r="Y40" s="14">
        <f t="shared" si="4"/>
        <v>634.38412698412696</v>
      </c>
      <c r="Z40">
        <f t="shared" si="5"/>
        <v>-91.59864158454117</v>
      </c>
      <c r="AA40" s="4"/>
    </row>
    <row r="41" spans="1:27" x14ac:dyDescent="0.25">
      <c r="A41" t="s">
        <v>49</v>
      </c>
      <c r="D41" s="14">
        <v>32.957142857142856</v>
      </c>
      <c r="E41" s="14">
        <v>33.285714285714285</v>
      </c>
      <c r="F41" s="14">
        <v>34.071428571428569</v>
      </c>
      <c r="G41" s="14">
        <v>31.214285714285715</v>
      </c>
      <c r="H41" s="14">
        <v>30.928571428571427</v>
      </c>
      <c r="I41" s="14">
        <v>31.214285714285715</v>
      </c>
      <c r="J41" s="14">
        <v>27.357142857142858</v>
      </c>
      <c r="K41" s="14">
        <v>28.071428571428573</v>
      </c>
      <c r="L41" s="14">
        <v>25.777777777777779</v>
      </c>
      <c r="M41" s="14">
        <v>26.357142857142858</v>
      </c>
      <c r="N41" s="14">
        <v>24.071428571428573</v>
      </c>
      <c r="O41" s="14">
        <v>26.142857142857142</v>
      </c>
      <c r="P41" s="14">
        <v>28.5</v>
      </c>
      <c r="Q41" s="14">
        <v>30.571428571428573</v>
      </c>
      <c r="R41" s="14">
        <v>31.071428571428573</v>
      </c>
      <c r="S41" s="14">
        <v>30.657142857142855</v>
      </c>
      <c r="T41" s="14">
        <v>29.428571428571427</v>
      </c>
      <c r="U41" s="14">
        <v>29</v>
      </c>
      <c r="V41" s="14">
        <v>31.357142857142858</v>
      </c>
      <c r="W41" s="14">
        <v>34.200000000000003</v>
      </c>
      <c r="Y41" s="14">
        <f t="shared" si="4"/>
        <v>596.23492063492063</v>
      </c>
      <c r="Z41">
        <f t="shared" si="5"/>
        <v>-84.862425899821943</v>
      </c>
      <c r="AA41" s="4"/>
    </row>
    <row r="42" spans="1:27" x14ac:dyDescent="0.25">
      <c r="A42" t="s">
        <v>50</v>
      </c>
      <c r="D42" s="14">
        <v>35.142857142857146</v>
      </c>
      <c r="E42" s="14">
        <v>33.857142857142854</v>
      </c>
      <c r="F42" s="14">
        <v>33.857142857142854</v>
      </c>
      <c r="G42" s="14">
        <v>33.571428571428569</v>
      </c>
      <c r="H42" s="14">
        <v>32.571428571428569</v>
      </c>
      <c r="I42" s="14">
        <v>31.428571428571427</v>
      </c>
      <c r="J42" s="14">
        <v>31.142857142857142</v>
      </c>
      <c r="K42" s="14">
        <v>30.928571428571427</v>
      </c>
      <c r="L42" s="14">
        <v>26.055555555555557</v>
      </c>
      <c r="M42" s="14">
        <v>27.571428571428573</v>
      </c>
      <c r="N42" s="14">
        <v>27.428571428571427</v>
      </c>
      <c r="O42" s="14">
        <v>23.071428571428573</v>
      </c>
      <c r="P42" s="14">
        <v>29.571428571428573</v>
      </c>
      <c r="Q42" s="14">
        <v>29.857142857142858</v>
      </c>
      <c r="R42" s="14">
        <v>31.571428571428573</v>
      </c>
      <c r="S42" s="14">
        <v>31.285714285714285</v>
      </c>
      <c r="T42" s="14">
        <v>32.31428571428571</v>
      </c>
      <c r="U42" s="14">
        <v>35.571428571428569</v>
      </c>
      <c r="V42" s="14">
        <v>35.928571428571431</v>
      </c>
      <c r="W42" s="14">
        <v>34.5</v>
      </c>
      <c r="Y42" s="14">
        <f t="shared" si="4"/>
        <v>627.22698412698401</v>
      </c>
      <c r="Z42">
        <f t="shared" si="5"/>
        <v>-87.546548267222107</v>
      </c>
      <c r="AA42" s="4"/>
    </row>
    <row r="43" spans="1:27" x14ac:dyDescent="0.25">
      <c r="A43" t="s">
        <v>51</v>
      </c>
      <c r="D43" s="14">
        <v>31.12857142857143</v>
      </c>
      <c r="E43" s="14">
        <v>31.900000000000002</v>
      </c>
      <c r="F43" s="14">
        <v>32.128571428571426</v>
      </c>
      <c r="G43" s="14">
        <v>31.400000000000002</v>
      </c>
      <c r="H43" s="14">
        <v>30.7</v>
      </c>
      <c r="I43" s="14">
        <v>29.900000000000002</v>
      </c>
      <c r="J43" s="14">
        <v>29.028571428571428</v>
      </c>
      <c r="K43" s="14">
        <v>29.728571428571428</v>
      </c>
      <c r="L43" s="14">
        <v>29.944444444444443</v>
      </c>
      <c r="M43" s="14">
        <v>28.971428571428572</v>
      </c>
      <c r="N43" s="14">
        <v>26.185714285714287</v>
      </c>
      <c r="O43" s="14">
        <v>26.971428571428572</v>
      </c>
      <c r="P43" s="14">
        <v>27.25714285714286</v>
      </c>
      <c r="Q43" s="14">
        <v>29.857142857142858</v>
      </c>
      <c r="R43" s="14">
        <v>29.285714285714285</v>
      </c>
      <c r="S43" s="14">
        <v>30.071428571428573</v>
      </c>
      <c r="T43" s="14">
        <v>30.571428571428573</v>
      </c>
      <c r="U43" s="14">
        <v>36.642857142857146</v>
      </c>
      <c r="V43" s="14">
        <v>35.528571428571425</v>
      </c>
      <c r="W43" s="14">
        <v>36.071428571428569</v>
      </c>
      <c r="Y43" s="14">
        <f t="shared" si="4"/>
        <v>613.27301587301588</v>
      </c>
      <c r="Z43">
        <f t="shared" si="5"/>
        <v>-85.06881257396256</v>
      </c>
      <c r="AA43" s="4"/>
    </row>
    <row r="44" spans="1:27" x14ac:dyDescent="0.25">
      <c r="A44" t="s">
        <v>52</v>
      </c>
      <c r="D44" s="14">
        <v>33.457142857142856</v>
      </c>
      <c r="E44" s="14">
        <v>33.928571428571431</v>
      </c>
      <c r="F44" s="14">
        <v>32.214285714285715</v>
      </c>
      <c r="G44" s="14">
        <v>31.528571428571432</v>
      </c>
      <c r="H44" s="14">
        <v>28.985714285714288</v>
      </c>
      <c r="I44" s="14">
        <v>29.428571428571427</v>
      </c>
      <c r="J44" s="14">
        <v>29.357142857142858</v>
      </c>
      <c r="K44" s="14">
        <v>28.928571428571427</v>
      </c>
      <c r="L44" s="14">
        <v>23.833333333333332</v>
      </c>
      <c r="M44" s="14">
        <v>29.357142857142858</v>
      </c>
      <c r="N44" s="14">
        <v>31.571428571428573</v>
      </c>
      <c r="O44" s="14">
        <v>29</v>
      </c>
      <c r="P44" s="14">
        <v>25.428571428571427</v>
      </c>
      <c r="Q44" s="14">
        <v>30.785714285714285</v>
      </c>
      <c r="R44" s="14">
        <v>31.428571428571427</v>
      </c>
      <c r="S44" s="14">
        <v>34</v>
      </c>
      <c r="T44" s="14">
        <v>33.428571428571431</v>
      </c>
      <c r="U44" s="14">
        <v>32.571428571428569</v>
      </c>
      <c r="V44" s="14">
        <v>33.5</v>
      </c>
      <c r="W44" s="14">
        <v>35.5</v>
      </c>
      <c r="Y44" s="14">
        <f t="shared" si="4"/>
        <v>618.23333333333323</v>
      </c>
      <c r="Z44">
        <f t="shared" si="5"/>
        <v>-90.015971246968391</v>
      </c>
      <c r="AA44" s="4"/>
    </row>
    <row r="45" spans="1:27" x14ac:dyDescent="0.25">
      <c r="A45" t="s">
        <v>53</v>
      </c>
      <c r="D45" s="14">
        <v>32.642857142857146</v>
      </c>
      <c r="E45" s="14">
        <v>32.071428571428569</v>
      </c>
      <c r="F45" s="14">
        <v>30.714285714285715</v>
      </c>
      <c r="G45" s="14">
        <v>30.714285714285715</v>
      </c>
      <c r="H45" s="14">
        <v>31.285714285714285</v>
      </c>
      <c r="I45" s="14">
        <v>31.142857142857142</v>
      </c>
      <c r="J45" s="14">
        <v>29.214285714285715</v>
      </c>
      <c r="K45" s="14">
        <v>30.357142857142858</v>
      </c>
      <c r="L45" s="14">
        <v>26.066666666666666</v>
      </c>
      <c r="M45" s="14">
        <v>30</v>
      </c>
      <c r="N45" s="14">
        <v>25.642857142857142</v>
      </c>
      <c r="O45" s="14">
        <v>29.285714285714285</v>
      </c>
      <c r="P45" s="14">
        <v>28.214285714285715</v>
      </c>
      <c r="Q45" s="14">
        <v>26.642857142857142</v>
      </c>
      <c r="R45" s="14">
        <v>28.571428571428573</v>
      </c>
      <c r="S45" s="14">
        <v>32.214285714285715</v>
      </c>
      <c r="T45" s="14">
        <v>33.985714285714288</v>
      </c>
      <c r="U45" s="14">
        <v>34.885714285714286</v>
      </c>
      <c r="V45" s="14">
        <v>35.585714285714282</v>
      </c>
      <c r="W45" s="14">
        <v>35.914285714285718</v>
      </c>
      <c r="Y45" s="14">
        <f t="shared" si="4"/>
        <v>615.15238095238101</v>
      </c>
      <c r="Z45">
        <f t="shared" si="5"/>
        <v>-87.954828640478382</v>
      </c>
      <c r="AA45" s="4"/>
    </row>
    <row r="46" spans="1:27" x14ac:dyDescent="0.25">
      <c r="A46" t="s">
        <v>54</v>
      </c>
      <c r="D46" s="14">
        <v>34.571428571428569</v>
      </c>
      <c r="E46" s="14">
        <v>32.428571428571431</v>
      </c>
      <c r="F46" s="14">
        <v>31.285714285714285</v>
      </c>
      <c r="G46" s="14">
        <v>30.714285714285715</v>
      </c>
      <c r="H46" s="14">
        <v>31.285714285714285</v>
      </c>
      <c r="I46" s="14">
        <v>30.8</v>
      </c>
      <c r="J46" s="14">
        <v>28.285714285714285</v>
      </c>
      <c r="K46" s="14">
        <v>29</v>
      </c>
      <c r="L46" s="14">
        <v>25.466666666666665</v>
      </c>
      <c r="M46" s="14">
        <v>30.671428571428571</v>
      </c>
      <c r="N46" s="14">
        <v>29.8</v>
      </c>
      <c r="O46" s="14">
        <v>28.74285714285714</v>
      </c>
      <c r="P46" s="14">
        <v>27.214285714285715</v>
      </c>
      <c r="Q46" s="14">
        <v>27.571428571428573</v>
      </c>
      <c r="R46" s="14">
        <v>27.057142857142857</v>
      </c>
      <c r="S46" s="14">
        <v>26.928571428571427</v>
      </c>
      <c r="T46" s="14">
        <v>31.357142857142858</v>
      </c>
      <c r="U46" s="14">
        <v>30.61428571428571</v>
      </c>
      <c r="V46" s="14">
        <v>31.7</v>
      </c>
      <c r="W46" s="14">
        <v>32.728571428571428</v>
      </c>
      <c r="Y46" s="14">
        <f t="shared" si="4"/>
        <v>598.22380952380956</v>
      </c>
      <c r="Z46">
        <f t="shared" si="5"/>
        <v>-86.8723024156034</v>
      </c>
      <c r="AA46" s="4"/>
    </row>
    <row r="47" spans="1:27" x14ac:dyDescent="0.25">
      <c r="A47" t="s">
        <v>55</v>
      </c>
      <c r="D47" s="14">
        <v>36</v>
      </c>
      <c r="E47" s="14">
        <v>35.728571428571428</v>
      </c>
      <c r="F47" s="14">
        <v>35.785714285714285</v>
      </c>
      <c r="G47" s="14">
        <v>34.671428571428571</v>
      </c>
      <c r="H47" s="14">
        <v>31.671428571428574</v>
      </c>
      <c r="I47" s="14">
        <v>31.12857142857143</v>
      </c>
      <c r="J47" s="14">
        <v>32.971428571428575</v>
      </c>
      <c r="K47" s="14">
        <v>32.971428571428575</v>
      </c>
      <c r="L47" s="14">
        <v>31.488888888888887</v>
      </c>
      <c r="M47" s="14">
        <v>26.3</v>
      </c>
      <c r="N47" s="14">
        <v>28.328571428571429</v>
      </c>
      <c r="O47" s="14">
        <v>31.328571428571429</v>
      </c>
      <c r="P47" s="14">
        <v>29.857142857142858</v>
      </c>
      <c r="Q47" s="14">
        <v>31.314285714285717</v>
      </c>
      <c r="R47" s="14">
        <v>31.357142857142858</v>
      </c>
      <c r="S47" s="14">
        <v>32.74285714285714</v>
      </c>
      <c r="T47" s="14">
        <v>34.571428571428569</v>
      </c>
      <c r="U47" s="14">
        <v>34.642857142857146</v>
      </c>
      <c r="V47" s="14">
        <v>35.428571428571431</v>
      </c>
      <c r="W47" s="14">
        <v>35.971428571428575</v>
      </c>
      <c r="Y47" s="14">
        <f t="shared" si="4"/>
        <v>654.26031746031742</v>
      </c>
      <c r="Z47">
        <f t="shared" si="5"/>
        <v>-93.288960815438713</v>
      </c>
      <c r="AA47" s="4"/>
    </row>
    <row r="48" spans="1:27" x14ac:dyDescent="0.25">
      <c r="A48" t="s">
        <v>56</v>
      </c>
      <c r="D48" s="14">
        <v>36.171428571428571</v>
      </c>
      <c r="E48" s="14">
        <v>33.842857142857142</v>
      </c>
      <c r="F48" s="14">
        <v>33.842857142857142</v>
      </c>
      <c r="G48" s="14">
        <v>34.299999999999997</v>
      </c>
      <c r="H48" s="14">
        <v>31.514285714285712</v>
      </c>
      <c r="I48" s="14">
        <v>32.471428571428575</v>
      </c>
      <c r="J48" s="14">
        <v>31.657142857142855</v>
      </c>
      <c r="K48" s="14">
        <v>31.657142857142855</v>
      </c>
      <c r="L48" s="14">
        <v>27.011111111111109</v>
      </c>
      <c r="M48" s="14">
        <v>29.428571428571427</v>
      </c>
      <c r="N48" s="14">
        <v>31</v>
      </c>
      <c r="O48" s="14">
        <v>27.571428571428573</v>
      </c>
      <c r="P48" s="14">
        <v>27</v>
      </c>
      <c r="Q48" s="14">
        <v>27.714285714285715</v>
      </c>
      <c r="R48" s="14">
        <v>34.714285714285715</v>
      </c>
      <c r="S48" s="14">
        <v>34.642857142857146</v>
      </c>
      <c r="T48" s="14">
        <v>38.68571428571429</v>
      </c>
      <c r="U48" s="14">
        <v>38.285714285714285</v>
      </c>
      <c r="V48" s="14">
        <v>34.714285714285715</v>
      </c>
      <c r="W48" s="14">
        <v>34.642857142857146</v>
      </c>
      <c r="Y48" s="14">
        <f t="shared" si="4"/>
        <v>650.86825396825395</v>
      </c>
      <c r="Z48">
        <f t="shared" si="5"/>
        <v>-93.347287608006866</v>
      </c>
      <c r="AA48" s="4"/>
    </row>
    <row r="49" spans="1:27" x14ac:dyDescent="0.25">
      <c r="A49" t="s">
        <v>57</v>
      </c>
      <c r="D49" s="14">
        <v>35.24285714285714</v>
      </c>
      <c r="E49" s="14">
        <v>34</v>
      </c>
      <c r="F49" s="14">
        <v>33.514285714285712</v>
      </c>
      <c r="G49" s="14">
        <v>34.142857142857146</v>
      </c>
      <c r="H49" s="14">
        <v>32.142857142857146</v>
      </c>
      <c r="I49" s="14">
        <v>32.214285714285715</v>
      </c>
      <c r="J49" s="14">
        <v>33.200000000000003</v>
      </c>
      <c r="K49" s="14">
        <v>32.5</v>
      </c>
      <c r="L49" s="14">
        <v>25.333333333333332</v>
      </c>
      <c r="M49" s="14">
        <v>27.285714285714285</v>
      </c>
      <c r="N49" s="14">
        <v>29.514285714285712</v>
      </c>
      <c r="O49" s="14">
        <v>30.357142857142858</v>
      </c>
      <c r="P49" s="14">
        <v>33.371428571428574</v>
      </c>
      <c r="Q49" s="14">
        <v>29.771428571428572</v>
      </c>
      <c r="R49" s="14">
        <v>31.314285714285713</v>
      </c>
      <c r="S49" s="14">
        <v>33.585714285714289</v>
      </c>
      <c r="T49" s="14">
        <v>30.971428571428572</v>
      </c>
      <c r="U49" s="14">
        <v>34.357142857142854</v>
      </c>
      <c r="V49" s="14">
        <v>34.728571428571435</v>
      </c>
      <c r="W49" s="14">
        <v>36.285714285714285</v>
      </c>
      <c r="Y49" s="14">
        <f t="shared" si="4"/>
        <v>643.83333333333326</v>
      </c>
      <c r="Z49">
        <f t="shared" si="5"/>
        <v>-93.438804543748191</v>
      </c>
      <c r="AA49" s="4"/>
    </row>
    <row r="50" spans="1:27" x14ac:dyDescent="0.25">
      <c r="A50" t="s">
        <v>58</v>
      </c>
      <c r="D50" s="14">
        <v>30.085714285714285</v>
      </c>
      <c r="E50" s="14">
        <v>32.714285714285715</v>
      </c>
      <c r="F50" s="14">
        <v>24.514285714285712</v>
      </c>
      <c r="G50" s="14">
        <v>27.642857142857142</v>
      </c>
      <c r="H50" s="14">
        <v>26.571428571428573</v>
      </c>
      <c r="I50" s="14">
        <v>26.342857142857145</v>
      </c>
      <c r="J50" s="14">
        <v>27.157142857142855</v>
      </c>
      <c r="K50" s="14">
        <v>21.842857142857145</v>
      </c>
      <c r="L50" s="14">
        <v>21.422222222222221</v>
      </c>
      <c r="M50" s="14">
        <v>24.828571428571429</v>
      </c>
      <c r="N50" s="14">
        <v>22.728571428571428</v>
      </c>
      <c r="O50" s="14">
        <v>26.071428571428573</v>
      </c>
      <c r="P50" s="14">
        <v>25.185714285714287</v>
      </c>
      <c r="Q50" s="14">
        <v>26.357142857142858</v>
      </c>
      <c r="R50" s="14">
        <v>28.514285714285712</v>
      </c>
      <c r="S50" s="14">
        <v>30.357142857142858</v>
      </c>
      <c r="T50" s="14">
        <v>30.857142857142858</v>
      </c>
      <c r="U50" s="14">
        <v>35.485714285714288</v>
      </c>
      <c r="V50" s="14">
        <v>36.328571428571429</v>
      </c>
      <c r="W50" s="14">
        <v>38.414285714285711</v>
      </c>
      <c r="Y50" s="14">
        <f t="shared" si="4"/>
        <v>563.42222222222222</v>
      </c>
      <c r="Z50">
        <f t="shared" si="5"/>
        <v>-80.308466574801997</v>
      </c>
      <c r="AA50" s="4"/>
    </row>
    <row r="51" spans="1:27" x14ac:dyDescent="0.25">
      <c r="A51" t="s">
        <v>59</v>
      </c>
      <c r="D51" s="14">
        <v>33.828571428571429</v>
      </c>
      <c r="E51" s="14">
        <v>31.428571428571427</v>
      </c>
      <c r="F51" s="14">
        <v>25</v>
      </c>
      <c r="G51" s="14">
        <v>27.057142857142857</v>
      </c>
      <c r="H51" s="14">
        <v>21.228571428571428</v>
      </c>
      <c r="I51" s="14">
        <v>16.657142857142855</v>
      </c>
      <c r="J51" s="14">
        <v>12.342857142857143</v>
      </c>
      <c r="K51" s="14">
        <v>14.285714285714286</v>
      </c>
      <c r="L51" s="14">
        <v>15.666666666666666</v>
      </c>
      <c r="M51" s="14">
        <v>26.304761904761907</v>
      </c>
      <c r="N51" s="14">
        <v>26.998809523809523</v>
      </c>
      <c r="O51" s="14">
        <v>28.508035714285715</v>
      </c>
      <c r="P51" s="14">
        <v>28.505059523809525</v>
      </c>
      <c r="Q51" s="14">
        <v>29.449107142857141</v>
      </c>
      <c r="R51" s="14">
        <v>29.968154761904763</v>
      </c>
      <c r="S51" s="14">
        <v>31.052916666666668</v>
      </c>
      <c r="T51" s="14">
        <v>33.194345238095238</v>
      </c>
      <c r="U51" s="14">
        <v>34.023139880952378</v>
      </c>
      <c r="V51" s="14">
        <v>33.638244047619047</v>
      </c>
      <c r="W51" s="14">
        <v>34.409449404761901</v>
      </c>
      <c r="Y51" s="14">
        <f t="shared" si="4"/>
        <v>533.54726190476185</v>
      </c>
      <c r="Z51">
        <f t="shared" si="5"/>
        <v>-80.836208303627288</v>
      </c>
      <c r="AA51" s="4"/>
    </row>
    <row r="52" spans="1:27" x14ac:dyDescent="0.25">
      <c r="A52" t="s">
        <v>60</v>
      </c>
      <c r="D52" s="14">
        <v>22.571428571428573</v>
      </c>
      <c r="E52" s="14">
        <v>19.2</v>
      </c>
      <c r="F52" s="14">
        <v>24.714285714285715</v>
      </c>
      <c r="G52" s="14">
        <v>30.142857142857142</v>
      </c>
      <c r="H52" s="14">
        <v>29.571428571428573</v>
      </c>
      <c r="I52" s="14">
        <v>30.428571428571427</v>
      </c>
      <c r="J52" s="14">
        <v>29.571428571428573</v>
      </c>
      <c r="K52" s="14">
        <v>22.285714285714285</v>
      </c>
      <c r="L52" s="14">
        <v>12.177777777777779</v>
      </c>
      <c r="M52" s="14">
        <v>20.857142857142858</v>
      </c>
      <c r="N52" s="14">
        <v>18.2</v>
      </c>
      <c r="O52" s="14">
        <v>26.428571428571427</v>
      </c>
      <c r="P52" s="14">
        <v>23.142857142857142</v>
      </c>
      <c r="Q52" s="14">
        <v>26.714285714285715</v>
      </c>
      <c r="R52" s="14">
        <v>31.714285714285715</v>
      </c>
      <c r="S52" s="14">
        <v>32.347142857142856</v>
      </c>
      <c r="T52" s="14">
        <v>35</v>
      </c>
      <c r="U52" s="14">
        <v>35.142857142857146</v>
      </c>
      <c r="V52" s="14">
        <v>28.2</v>
      </c>
      <c r="W52" s="14">
        <v>25.428571428571427</v>
      </c>
      <c r="Y52" s="14">
        <f t="shared" si="4"/>
        <v>523.83920634920639</v>
      </c>
      <c r="Z52">
        <f t="shared" si="5"/>
        <v>-80.14462952202021</v>
      </c>
      <c r="AA52" s="4"/>
    </row>
    <row r="53" spans="1:27" x14ac:dyDescent="0.25">
      <c r="A53" t="s">
        <v>61</v>
      </c>
      <c r="D53" s="14">
        <v>32.785714285714285</v>
      </c>
      <c r="E53" s="14">
        <v>32.285714285714285</v>
      </c>
      <c r="F53" s="14">
        <v>32.328571428571429</v>
      </c>
      <c r="G53" s="14">
        <v>31.157142857142855</v>
      </c>
      <c r="H53" s="14">
        <v>29.485714285714288</v>
      </c>
      <c r="I53" s="14">
        <v>30.428571428571427</v>
      </c>
      <c r="J53" s="14">
        <v>29.214285714285715</v>
      </c>
      <c r="K53" s="14">
        <v>28.24285714285714</v>
      </c>
      <c r="L53" s="14">
        <v>29.328571428571429</v>
      </c>
      <c r="M53" s="14">
        <v>27.514285714285716</v>
      </c>
      <c r="N53" s="14">
        <v>27.214285714285715</v>
      </c>
      <c r="O53" s="14">
        <v>27.757142857142856</v>
      </c>
      <c r="P53" s="14">
        <v>29.7</v>
      </c>
      <c r="Q53" s="14">
        <v>30.2</v>
      </c>
      <c r="R53" s="14">
        <v>30.171428571428571</v>
      </c>
      <c r="S53" s="14">
        <v>28.028571428571432</v>
      </c>
      <c r="T53" s="14">
        <v>33.942857142857143</v>
      </c>
      <c r="U53" s="14">
        <v>31.7</v>
      </c>
      <c r="V53" s="14">
        <v>32.585714285714282</v>
      </c>
      <c r="W53" s="14">
        <v>34.128571428571426</v>
      </c>
      <c r="Y53" s="14">
        <f t="shared" si="4"/>
        <v>608.19999999999993</v>
      </c>
      <c r="Z53">
        <f t="shared" si="5"/>
        <v>-88.422824655255766</v>
      </c>
      <c r="AA53" s="14"/>
    </row>
    <row r="54" spans="1:27" x14ac:dyDescent="0.25">
      <c r="A54" t="s">
        <v>62</v>
      </c>
      <c r="D54" s="14">
        <v>34.18571428571429</v>
      </c>
      <c r="E54" s="14">
        <v>34.628571428571426</v>
      </c>
      <c r="F54" s="14">
        <v>32.842857142857142</v>
      </c>
      <c r="G54" s="14">
        <v>31.385714285714283</v>
      </c>
      <c r="H54" s="14">
        <v>31.3</v>
      </c>
      <c r="I54" s="14">
        <v>29.685714285714287</v>
      </c>
      <c r="J54" s="14">
        <v>27.771428571428569</v>
      </c>
      <c r="K54" s="14">
        <v>29.714285714285715</v>
      </c>
      <c r="L54" s="14">
        <v>29.625</v>
      </c>
      <c r="M54" s="14">
        <v>27.485714285714288</v>
      </c>
      <c r="N54" s="14">
        <v>29.214285714285715</v>
      </c>
      <c r="O54" s="14">
        <v>29.342857142857145</v>
      </c>
      <c r="P54" s="14">
        <v>25.25714285714286</v>
      </c>
      <c r="Q54" s="14">
        <v>25.142857142857139</v>
      </c>
      <c r="R54" s="14">
        <v>22.242857142857144</v>
      </c>
      <c r="S54" s="14">
        <v>30.085714285714285</v>
      </c>
      <c r="T54" s="14">
        <v>32.471428571428575</v>
      </c>
      <c r="U54" s="14">
        <v>33.387499999999996</v>
      </c>
      <c r="V54" s="14">
        <v>35.714285714285708</v>
      </c>
      <c r="W54" s="14">
        <v>34.914285714285711</v>
      </c>
      <c r="Y54" s="14">
        <f t="shared" si="4"/>
        <v>606.39821428571429</v>
      </c>
      <c r="Z54">
        <f t="shared" si="5"/>
        <v>-84.678448722408987</v>
      </c>
      <c r="AA54" s="14"/>
    </row>
    <row r="55" spans="1:27" x14ac:dyDescent="0.25">
      <c r="A55" t="s">
        <v>63</v>
      </c>
      <c r="D55" s="14">
        <v>35.357142857142854</v>
      </c>
      <c r="E55" s="14">
        <v>33.942857142857143</v>
      </c>
      <c r="F55" s="14">
        <v>32.5</v>
      </c>
      <c r="G55" s="14">
        <v>31.557142857142853</v>
      </c>
      <c r="H55" s="14">
        <v>30.7</v>
      </c>
      <c r="I55" s="14">
        <v>33.199999999999996</v>
      </c>
      <c r="J55" s="14">
        <v>31.185714285714283</v>
      </c>
      <c r="K55" s="14">
        <v>30.971428571428572</v>
      </c>
      <c r="L55" s="14">
        <v>28.762499999999999</v>
      </c>
      <c r="M55" s="14">
        <v>28.357142857142858</v>
      </c>
      <c r="N55" s="14">
        <v>27.24285714285714</v>
      </c>
      <c r="O55" s="14">
        <v>31.6</v>
      </c>
      <c r="P55" s="14">
        <v>29.957142857142856</v>
      </c>
      <c r="Q55" s="14">
        <v>31.028571428571428</v>
      </c>
      <c r="R55" s="14">
        <v>30.3</v>
      </c>
      <c r="S55" s="14">
        <v>30.671428571428574</v>
      </c>
      <c r="T55" s="14">
        <v>34.842857142857142</v>
      </c>
      <c r="U55" s="14">
        <v>36.142857142857146</v>
      </c>
      <c r="V55" s="14">
        <v>34.942857142857136</v>
      </c>
      <c r="W55" s="14">
        <v>36.428571428571431</v>
      </c>
      <c r="Y55" s="14">
        <f t="shared" si="4"/>
        <v>639.69107142857138</v>
      </c>
      <c r="Z55">
        <f t="shared" si="5"/>
        <v>-92.547359088870721</v>
      </c>
      <c r="AA55" s="14"/>
    </row>
    <row r="56" spans="1:27" x14ac:dyDescent="0.25">
      <c r="A56" t="s">
        <v>64</v>
      </c>
      <c r="D56" s="14">
        <v>35.25714285714286</v>
      </c>
      <c r="E56" s="14">
        <v>33.771428571428565</v>
      </c>
      <c r="F56" s="14">
        <v>29.38571428571429</v>
      </c>
      <c r="G56" s="14">
        <v>29.9</v>
      </c>
      <c r="H56" s="14">
        <v>31.128571428571426</v>
      </c>
      <c r="I56" s="14">
        <v>30.285714285714288</v>
      </c>
      <c r="J56" s="14">
        <v>31.942857142857143</v>
      </c>
      <c r="K56" s="14">
        <v>30.099999999999998</v>
      </c>
      <c r="L56" s="14">
        <v>28.900000000000002</v>
      </c>
      <c r="M56" s="14">
        <v>27.814285714285713</v>
      </c>
      <c r="N56" s="14">
        <v>28.957142857142859</v>
      </c>
      <c r="O56" s="14">
        <v>29.371428571428574</v>
      </c>
      <c r="P56" s="14">
        <v>31.442857142857143</v>
      </c>
      <c r="Q56" s="14">
        <v>31.1</v>
      </c>
      <c r="R56" s="14">
        <v>31.599999999999998</v>
      </c>
      <c r="S56" s="14">
        <v>30.942857142857147</v>
      </c>
      <c r="T56" s="14">
        <v>33.157142857142858</v>
      </c>
      <c r="U56" s="14">
        <v>34.728571428571435</v>
      </c>
      <c r="V56" s="14">
        <v>34.4</v>
      </c>
      <c r="W56" s="14">
        <v>37.885714285714286</v>
      </c>
      <c r="Y56" s="14">
        <f t="shared" si="4"/>
        <v>632.07142857142844</v>
      </c>
      <c r="Z56">
        <f t="shared" si="5"/>
        <v>-91.547069056959756</v>
      </c>
      <c r="AA56" s="14"/>
    </row>
    <row r="57" spans="1:27" x14ac:dyDescent="0.25">
      <c r="A57" t="s">
        <v>65</v>
      </c>
      <c r="D57" s="14">
        <v>33.485714285714288</v>
      </c>
      <c r="E57" s="14">
        <v>33.4</v>
      </c>
      <c r="F57" s="14">
        <v>32.742857142857147</v>
      </c>
      <c r="G57" s="14">
        <v>27.885714285714283</v>
      </c>
      <c r="H57" s="14">
        <v>30.400000000000002</v>
      </c>
      <c r="I57" s="14">
        <v>28.971428571428568</v>
      </c>
      <c r="J57" s="14">
        <v>26.228571428571431</v>
      </c>
      <c r="K57" s="14">
        <v>27.057142857142857</v>
      </c>
      <c r="L57" s="14">
        <v>28.287500000000001</v>
      </c>
      <c r="M57" s="14">
        <v>25.8</v>
      </c>
      <c r="N57" s="14">
        <v>28.171428571428574</v>
      </c>
      <c r="O57" s="14">
        <v>28.371428571428574</v>
      </c>
      <c r="P57" s="14">
        <v>30.37142857142857</v>
      </c>
      <c r="Q57" s="14">
        <v>30.014285714285712</v>
      </c>
      <c r="R57" s="14">
        <v>31.442857142857147</v>
      </c>
      <c r="S57" s="14">
        <v>32.128571428571426</v>
      </c>
      <c r="T57" s="14">
        <v>31.428571428571427</v>
      </c>
      <c r="U57" s="14">
        <v>33.428571428571423</v>
      </c>
      <c r="V57" s="14">
        <v>34.396428571428572</v>
      </c>
      <c r="W57" s="14">
        <v>35.458928571428572</v>
      </c>
      <c r="Y57" s="14">
        <f>SUM(D57:W57)</f>
        <v>609.47142857142865</v>
      </c>
      <c r="Z57">
        <f t="shared" si="5"/>
        <v>-87.243416276925103</v>
      </c>
      <c r="AA57" s="14"/>
    </row>
    <row r="58" spans="1:27" x14ac:dyDescent="0.25">
      <c r="A58" t="s">
        <v>66</v>
      </c>
      <c r="D58" s="14">
        <v>34.008928571428569</v>
      </c>
      <c r="E58" s="14">
        <v>33.380357142857143</v>
      </c>
      <c r="F58" s="14">
        <v>32.987499999999997</v>
      </c>
      <c r="G58" s="14">
        <v>32.26428571428572</v>
      </c>
      <c r="H58" s="14">
        <v>31.11785714285714</v>
      </c>
      <c r="I58" s="14">
        <v>30.939285714285717</v>
      </c>
      <c r="J58" s="14">
        <v>29.87678571428571</v>
      </c>
      <c r="K58" s="14">
        <v>30.205357142857139</v>
      </c>
      <c r="L58" s="14">
        <v>26.955555555555556</v>
      </c>
      <c r="M58" s="14">
        <v>29.123809523809523</v>
      </c>
      <c r="N58" s="14">
        <v>28.316666666666666</v>
      </c>
      <c r="O58" s="14">
        <v>27.650000000000002</v>
      </c>
      <c r="P58" s="14">
        <v>29.661904761904765</v>
      </c>
      <c r="Q58" s="14">
        <v>30.785714285714281</v>
      </c>
      <c r="R58" s="14">
        <v>31.226190476190478</v>
      </c>
      <c r="S58" s="14">
        <v>31.919047619047618</v>
      </c>
      <c r="T58" s="14">
        <v>26.3619047619048</v>
      </c>
      <c r="U58" s="14">
        <v>33.880952380952401</v>
      </c>
      <c r="V58" s="14">
        <v>34.480952380952374</v>
      </c>
      <c r="W58" s="14">
        <v>35.450000000000003</v>
      </c>
      <c r="Y58" s="14">
        <f t="shared" si="4"/>
        <v>620.59305555555557</v>
      </c>
      <c r="Z58">
        <f t="shared" si="5"/>
        <v>-86.637960762111163</v>
      </c>
      <c r="AA58" s="4"/>
    </row>
    <row r="59" spans="1:27" x14ac:dyDescent="0.25"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Y59" s="14"/>
      <c r="AA59" s="4"/>
    </row>
    <row r="60" spans="1:27" x14ac:dyDescent="0.25">
      <c r="A60" t="s">
        <v>67</v>
      </c>
      <c r="D60" s="14">
        <v>32.864285714285714</v>
      </c>
      <c r="E60" s="14">
        <v>33.078571428571429</v>
      </c>
      <c r="F60" s="14">
        <v>32.985714285714288</v>
      </c>
      <c r="G60" s="14">
        <v>32</v>
      </c>
      <c r="H60" s="14">
        <v>30.876190476190477</v>
      </c>
      <c r="I60" s="14">
        <v>30.983333333333331</v>
      </c>
      <c r="J60" s="14">
        <v>30.088095238095239</v>
      </c>
      <c r="K60" s="14">
        <v>29.895238095238096</v>
      </c>
      <c r="L60" s="14">
        <v>27.05740740740741</v>
      </c>
      <c r="M60" s="14">
        <v>26.249735449735454</v>
      </c>
      <c r="N60" s="14">
        <v>28.673809523809528</v>
      </c>
      <c r="O60" s="14">
        <v>27.542857142857141</v>
      </c>
      <c r="P60" s="14">
        <v>28.507142857142856</v>
      </c>
      <c r="Q60" s="14">
        <v>30.607142857142858</v>
      </c>
      <c r="R60" s="14">
        <v>31.047619047619047</v>
      </c>
      <c r="S60" s="14">
        <v>32.300000000000004</v>
      </c>
      <c r="T60" s="14">
        <v>30.35</v>
      </c>
      <c r="U60" s="14">
        <v>33.773809523809526</v>
      </c>
      <c r="V60" s="14">
        <v>34.3857142857143</v>
      </c>
      <c r="W60" s="14">
        <v>35.580952380952375</v>
      </c>
      <c r="Y60" s="14">
        <f t="shared" si="4"/>
        <v>618.84761904761899</v>
      </c>
      <c r="Z60">
        <f>SUMPRODUCT($D$64:$W$64,D60:W60)</f>
        <v>-87.868501865681239</v>
      </c>
      <c r="AA60" s="4"/>
    </row>
    <row r="61" spans="1:27" x14ac:dyDescent="0.25">
      <c r="A61" t="s">
        <v>311</v>
      </c>
      <c r="D61" s="14">
        <v>34.4</v>
      </c>
      <c r="E61" s="14">
        <v>33.671428571428571</v>
      </c>
      <c r="F61" s="14">
        <v>30.471428571428572</v>
      </c>
      <c r="G61" s="14">
        <v>31.785714285714285</v>
      </c>
      <c r="H61" s="14">
        <v>31.957142857142856</v>
      </c>
      <c r="I61" s="14">
        <v>31.014285714285712</v>
      </c>
      <c r="J61" s="14">
        <v>30.099999999999998</v>
      </c>
      <c r="K61" s="14">
        <v>28.642857142857146</v>
      </c>
      <c r="L61" s="14">
        <v>23.462499999999999</v>
      </c>
      <c r="M61" s="14">
        <v>26.38571428571429</v>
      </c>
      <c r="N61" s="14">
        <v>26.157142857142862</v>
      </c>
      <c r="O61" s="14">
        <v>26.271428571428572</v>
      </c>
      <c r="P61" s="14">
        <v>29.957142857142856</v>
      </c>
      <c r="Q61" s="14">
        <v>31.028571428571428</v>
      </c>
      <c r="R61" s="14">
        <v>30.3</v>
      </c>
      <c r="S61" s="14">
        <v>30.671428571428574</v>
      </c>
      <c r="T61" s="14">
        <v>31.5</v>
      </c>
      <c r="U61" s="14">
        <v>31</v>
      </c>
      <c r="V61" s="14">
        <v>34.1</v>
      </c>
      <c r="W61" s="14">
        <v>36.1</v>
      </c>
      <c r="Y61" s="14">
        <f t="shared" si="4"/>
        <v>608.97678571428582</v>
      </c>
      <c r="Z61">
        <f>SUMPRODUCT($D$64:$W$64,D61:W61)</f>
        <v>-88.034438003593976</v>
      </c>
      <c r="AA61" s="4"/>
    </row>
    <row r="62" spans="1:27" x14ac:dyDescent="0.25">
      <c r="A62" t="s">
        <v>312</v>
      </c>
      <c r="D62" s="16">
        <v>32.19464285714286</v>
      </c>
      <c r="E62" s="16">
        <v>31.421428571428574</v>
      </c>
      <c r="F62" s="16">
        <v>29.253571428571426</v>
      </c>
      <c r="G62" s="16">
        <v>29.591071428571425</v>
      </c>
      <c r="H62" s="17">
        <v>28.798214285714288</v>
      </c>
      <c r="I62" s="17">
        <v>28.249999999999996</v>
      </c>
      <c r="J62" s="17">
        <v>26.926785714285714</v>
      </c>
      <c r="K62" s="17">
        <v>25.562499999999996</v>
      </c>
      <c r="L62" s="17">
        <v>24.271279761904761</v>
      </c>
      <c r="M62" s="13">
        <v>26.120238095238101</v>
      </c>
      <c r="N62" s="13">
        <v>26.090922619047621</v>
      </c>
      <c r="O62" s="13">
        <v>28.431361607142854</v>
      </c>
      <c r="P62" s="13">
        <v>27.9</v>
      </c>
      <c r="Q62" s="13">
        <v>28.837142857142858</v>
      </c>
      <c r="R62" s="13">
        <v>29.205714285714286</v>
      </c>
      <c r="S62" s="13">
        <v>30.415142857142861</v>
      </c>
      <c r="T62" s="13">
        <v>33.882857142857141</v>
      </c>
      <c r="U62" s="13">
        <v>34.220357142857139</v>
      </c>
      <c r="V62" s="13">
        <v>33.168571428571425</v>
      </c>
      <c r="W62" s="13">
        <v>33.757142857142853</v>
      </c>
      <c r="Y62" s="14">
        <f t="shared" si="4"/>
        <v>588.29894494047608</v>
      </c>
      <c r="Z62">
        <f>SUMPRODUCT($D$64:$W$64,D62:W62)</f>
        <v>-85.933040949082056</v>
      </c>
      <c r="AA62" s="4"/>
    </row>
    <row r="63" spans="1:27" x14ac:dyDescent="0.25">
      <c r="A63" t="s">
        <v>674</v>
      </c>
      <c r="D63" s="13">
        <v>33.157142857142858</v>
      </c>
      <c r="E63" s="13">
        <v>35.357142857142854</v>
      </c>
      <c r="F63" s="13">
        <v>35.114285714285714</v>
      </c>
      <c r="G63" s="13">
        <v>33.542857142857144</v>
      </c>
      <c r="H63" s="13">
        <v>32.028571428571425</v>
      </c>
      <c r="I63" s="13">
        <v>29.284285714285708</v>
      </c>
      <c r="J63" s="13">
        <v>28.701428571428572</v>
      </c>
      <c r="K63" s="13">
        <v>27.457142857142856</v>
      </c>
      <c r="L63" s="13">
        <v>24.971607142857142</v>
      </c>
      <c r="M63" s="13">
        <v>26.617619047619048</v>
      </c>
      <c r="N63" s="13">
        <v>26.939880952380953</v>
      </c>
      <c r="O63" s="13">
        <v>28.83366071428572</v>
      </c>
      <c r="P63" s="13">
        <v>27.753784013605443</v>
      </c>
      <c r="Q63" s="13">
        <v>28.413137755102042</v>
      </c>
      <c r="R63" s="13">
        <v>29.735386904761906</v>
      </c>
      <c r="S63" s="13">
        <v>31.04429166666667</v>
      </c>
      <c r="T63" s="14">
        <v>33.55013528138528</v>
      </c>
      <c r="U63" s="14">
        <v>34.410058170995676</v>
      </c>
      <c r="V63" s="14">
        <v>33.852827380952377</v>
      </c>
      <c r="W63" s="14">
        <v>34.658001893939392</v>
      </c>
      <c r="Y63" s="14">
        <f t="shared" ref="Y63" si="6">SUM(D63:W63)</f>
        <v>615.42324806740874</v>
      </c>
      <c r="Z63">
        <f>SUMPRODUCT($D$64:$W$64,D63:W63)</f>
        <v>-88.627971360009326</v>
      </c>
    </row>
    <row r="64" spans="1:27" x14ac:dyDescent="0.25">
      <c r="A64" s="2" t="s">
        <v>68</v>
      </c>
      <c r="D64" s="3">
        <f>CORREL($B$2:$B$25,D35:D58)</f>
        <v>7.2871915151853761E-2</v>
      </c>
      <c r="E64" s="3">
        <f t="shared" ref="E64:W64" si="7">CORREL($B$2:$B$25,E35:E58)</f>
        <v>-0.17284439920517641</v>
      </c>
      <c r="F64" s="3">
        <f t="shared" si="7"/>
        <v>-6.6077598336832577E-2</v>
      </c>
      <c r="G64" s="3">
        <f t="shared" si="7"/>
        <v>-0.11645809983843243</v>
      </c>
      <c r="H64" s="3">
        <f t="shared" si="7"/>
        <v>-7.3527540732969229E-2</v>
      </c>
      <c r="I64" s="3">
        <f t="shared" si="7"/>
        <v>-0.16765322840464511</v>
      </c>
      <c r="J64" s="3">
        <f t="shared" si="7"/>
        <v>-0.17082830603505589</v>
      </c>
      <c r="K64" s="3">
        <f t="shared" si="7"/>
        <v>-0.11966518891256002</v>
      </c>
      <c r="L64" s="3">
        <f t="shared" si="7"/>
        <v>0.15309280196813907</v>
      </c>
      <c r="M64" s="3">
        <f t="shared" si="7"/>
        <v>-9.0749000989653786E-2</v>
      </c>
      <c r="N64" s="3">
        <f t="shared" si="7"/>
        <v>-0.33553619995566331</v>
      </c>
      <c r="O64" s="3">
        <f t="shared" si="7"/>
        <v>-0.44803743943406071</v>
      </c>
      <c r="P64" s="3">
        <f t="shared" si="7"/>
        <v>-0.41236386636249028</v>
      </c>
      <c r="Q64" s="3">
        <f t="shared" si="7"/>
        <v>-0.20340215415380231</v>
      </c>
      <c r="R64" s="3">
        <f t="shared" si="7"/>
        <v>-0.21250706701341993</v>
      </c>
      <c r="S64" s="3">
        <f t="shared" si="7"/>
        <v>2.2467756368478701E-2</v>
      </c>
      <c r="T64" s="3">
        <f t="shared" si="7"/>
        <v>-0.49590029511480604</v>
      </c>
      <c r="U64" s="3">
        <f t="shared" si="7"/>
        <v>1.9107593836889643E-2</v>
      </c>
      <c r="V64" s="3">
        <f t="shared" si="7"/>
        <v>4.8319216191163528E-2</v>
      </c>
      <c r="W64" s="3">
        <f t="shared" si="7"/>
        <v>-0.159065812529532</v>
      </c>
    </row>
    <row r="67" spans="1:26" x14ac:dyDescent="0.25">
      <c r="D67" t="s">
        <v>79</v>
      </c>
      <c r="E67" t="s">
        <v>80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86</v>
      </c>
      <c r="L67" t="s">
        <v>339</v>
      </c>
      <c r="M67" t="s">
        <v>371</v>
      </c>
      <c r="N67" t="s">
        <v>372</v>
      </c>
      <c r="O67" t="s">
        <v>373</v>
      </c>
      <c r="P67" t="s">
        <v>458</v>
      </c>
      <c r="Q67" t="s">
        <v>459</v>
      </c>
      <c r="R67" t="s">
        <v>460</v>
      </c>
      <c r="S67" t="s">
        <v>461</v>
      </c>
      <c r="T67" t="s">
        <v>570</v>
      </c>
      <c r="U67" t="s">
        <v>571</v>
      </c>
      <c r="V67" t="s">
        <v>572</v>
      </c>
      <c r="W67" t="s">
        <v>573</v>
      </c>
      <c r="Y67" t="s">
        <v>87</v>
      </c>
      <c r="Z67" t="s">
        <v>88</v>
      </c>
    </row>
    <row r="68" spans="1:26" x14ac:dyDescent="0.25">
      <c r="A68" t="s">
        <v>43</v>
      </c>
      <c r="D68" s="14">
        <v>14.799999999999999</v>
      </c>
      <c r="E68" s="14">
        <v>11.771428571428572</v>
      </c>
      <c r="F68" s="14">
        <v>10.028571428571428</v>
      </c>
      <c r="G68" s="14">
        <v>11.957142857142857</v>
      </c>
      <c r="H68" s="14">
        <v>11.2</v>
      </c>
      <c r="I68" s="14">
        <v>9.5142857142857142</v>
      </c>
      <c r="J68" s="14">
        <v>11.142857142857142</v>
      </c>
      <c r="K68" s="14">
        <v>9.8714285714285701</v>
      </c>
      <c r="L68" s="14">
        <v>7.9888888888888898</v>
      </c>
      <c r="M68" s="14">
        <v>7.5285714285714294</v>
      </c>
      <c r="N68" s="14">
        <v>6.5428571428571427</v>
      </c>
      <c r="O68" s="14">
        <v>5.8571428571428568</v>
      </c>
      <c r="P68" s="14">
        <v>6.5714285714285712</v>
      </c>
      <c r="Q68" s="14">
        <v>10.714285714285714</v>
      </c>
      <c r="R68" s="14">
        <v>8.5</v>
      </c>
      <c r="S68" s="14">
        <v>10.5</v>
      </c>
      <c r="T68" s="14">
        <v>9.6714285714285726</v>
      </c>
      <c r="U68" s="14">
        <v>9.3285714285714274</v>
      </c>
      <c r="V68" s="14">
        <v>11.528571428571428</v>
      </c>
      <c r="W68" s="14">
        <v>15.285714285714286</v>
      </c>
      <c r="Y68" s="14">
        <f t="shared" ref="Y68:Y95" si="8">SUM(D68:W68)</f>
        <v>200.3031746031746</v>
      </c>
      <c r="Z68">
        <f t="shared" ref="Z68:Z91" si="9">SUMPRODUCT($D$97:$W$97,D68:W68)</f>
        <v>-48.235732335002773</v>
      </c>
    </row>
    <row r="69" spans="1:26" x14ac:dyDescent="0.25">
      <c r="A69" t="s">
        <v>44</v>
      </c>
      <c r="D69" s="14">
        <v>12.471428571428572</v>
      </c>
      <c r="E69" s="14">
        <v>12.957142857142857</v>
      </c>
      <c r="F69" s="14">
        <v>11.714285714285714</v>
      </c>
      <c r="G69" s="14">
        <v>11.142857142857142</v>
      </c>
      <c r="H69" s="14">
        <v>11.142857142857142</v>
      </c>
      <c r="I69" s="14">
        <v>9.7857142857142865</v>
      </c>
      <c r="J69" s="14">
        <v>9.0714285714285712</v>
      </c>
      <c r="K69" s="14">
        <v>8.6428571428571423</v>
      </c>
      <c r="L69" s="14">
        <v>5.5111111111111111</v>
      </c>
      <c r="M69" s="14">
        <v>7.0285714285714294</v>
      </c>
      <c r="N69" s="14">
        <v>9.8714285714285719</v>
      </c>
      <c r="O69" s="14">
        <v>7.8857142857142861</v>
      </c>
      <c r="P69" s="14">
        <v>8.6714285714285708</v>
      </c>
      <c r="Q69" s="14">
        <v>9.6571428571428566</v>
      </c>
      <c r="R69" s="14">
        <v>10.371428571428572</v>
      </c>
      <c r="S69" s="14">
        <v>10.865714285714287</v>
      </c>
      <c r="T69" s="14">
        <v>11.914285714285715</v>
      </c>
      <c r="U69" s="14">
        <v>12.102857142857143</v>
      </c>
      <c r="V69" s="14">
        <v>12.328571428571427</v>
      </c>
      <c r="W69" s="14">
        <v>15.071428571428569</v>
      </c>
      <c r="Y69" s="14">
        <f t="shared" si="8"/>
        <v>208.20825396825393</v>
      </c>
      <c r="Z69">
        <f t="shared" si="9"/>
        <v>-52.413923032077491</v>
      </c>
    </row>
    <row r="70" spans="1:26" x14ac:dyDescent="0.25">
      <c r="A70" t="s">
        <v>45</v>
      </c>
      <c r="D70" s="14">
        <v>17.928571428571427</v>
      </c>
      <c r="E70" s="14">
        <v>14.357142857142858</v>
      </c>
      <c r="F70" s="14">
        <v>11.357142857142858</v>
      </c>
      <c r="G70" s="14">
        <v>11.214285714285714</v>
      </c>
      <c r="H70" s="14">
        <v>11.285714285714286</v>
      </c>
      <c r="I70" s="14">
        <v>11.071428571428571</v>
      </c>
      <c r="J70" s="14">
        <v>10.071428571428571</v>
      </c>
      <c r="K70" s="14">
        <v>8.2857142857142865</v>
      </c>
      <c r="L70" s="14">
        <v>6.4444444444444446</v>
      </c>
      <c r="M70" s="14">
        <v>9.6530612244897949</v>
      </c>
      <c r="N70" s="14">
        <v>9.7755102040816304</v>
      </c>
      <c r="O70" s="14">
        <v>8.0612244897959187</v>
      </c>
      <c r="P70" s="14">
        <v>8.908163265306122</v>
      </c>
      <c r="Q70" s="14">
        <v>9.6734693877551017</v>
      </c>
      <c r="R70" s="14">
        <v>9.9693877551020424</v>
      </c>
      <c r="S70" s="14">
        <v>10.434693877551021</v>
      </c>
      <c r="T70" s="14">
        <v>11.27551020408163</v>
      </c>
      <c r="U70" s="14">
        <v>11.287755102040817</v>
      </c>
      <c r="V70" s="14">
        <v>12.173469387755102</v>
      </c>
      <c r="W70" s="14">
        <v>14.214285714285712</v>
      </c>
      <c r="Y70" s="14">
        <f t="shared" si="8"/>
        <v>217.44240362811789</v>
      </c>
      <c r="Z70">
        <f t="shared" si="9"/>
        <v>-51.846907963159694</v>
      </c>
    </row>
    <row r="71" spans="1:26" x14ac:dyDescent="0.25">
      <c r="A71" t="s">
        <v>46</v>
      </c>
      <c r="D71" s="14">
        <v>17.802040816326532</v>
      </c>
      <c r="E71" s="14">
        <v>15.504081632653063</v>
      </c>
      <c r="F71" s="14">
        <v>14.540816326530612</v>
      </c>
      <c r="G71" s="14">
        <v>13.653061224489795</v>
      </c>
      <c r="H71" s="14">
        <v>11.753061224489796</v>
      </c>
      <c r="I71" s="14">
        <v>10.834693877551022</v>
      </c>
      <c r="J71" s="14">
        <v>9.7102040816326536</v>
      </c>
      <c r="K71" s="14">
        <v>10.520408163265305</v>
      </c>
      <c r="L71" s="14">
        <v>9.038095238095238</v>
      </c>
      <c r="M71" s="14">
        <v>5.9285714285714288</v>
      </c>
      <c r="N71" s="14">
        <v>7.8571428571428568</v>
      </c>
      <c r="O71" s="14">
        <v>7.3571428571428568</v>
      </c>
      <c r="P71" s="14">
        <v>9</v>
      </c>
      <c r="Q71" s="14">
        <v>8.4285714285714288</v>
      </c>
      <c r="R71" s="14">
        <v>8.4285714285714288</v>
      </c>
      <c r="S71" s="14">
        <v>7.7857142857142856</v>
      </c>
      <c r="T71" s="14">
        <v>8.7857142857142865</v>
      </c>
      <c r="U71" s="14">
        <v>9.2857142857142865</v>
      </c>
      <c r="V71" s="14">
        <v>10.857142857142858</v>
      </c>
      <c r="W71" s="14">
        <v>10.642857142857142</v>
      </c>
      <c r="Y71" s="14">
        <f t="shared" si="8"/>
        <v>207.71360544217683</v>
      </c>
      <c r="Z71">
        <f t="shared" si="9"/>
        <v>-47.149146066356096</v>
      </c>
    </row>
    <row r="72" spans="1:26" x14ac:dyDescent="0.25">
      <c r="A72" t="s">
        <v>47</v>
      </c>
      <c r="D72" s="14">
        <v>15.928571428571429</v>
      </c>
      <c r="E72" s="14">
        <v>12</v>
      </c>
      <c r="F72" s="14">
        <v>10.071428571428571</v>
      </c>
      <c r="G72" s="14">
        <v>11</v>
      </c>
      <c r="H72" s="14">
        <v>9.7142857142857135</v>
      </c>
      <c r="I72" s="14">
        <v>10</v>
      </c>
      <c r="J72" s="14">
        <v>10.785714285714286</v>
      </c>
      <c r="K72" s="14">
        <v>9</v>
      </c>
      <c r="L72" s="14">
        <v>9.7222222222222214</v>
      </c>
      <c r="M72" s="14">
        <v>9</v>
      </c>
      <c r="N72" s="14">
        <v>7.7142857142857144</v>
      </c>
      <c r="O72" s="14">
        <v>7.7142857142857144</v>
      </c>
      <c r="P72" s="14">
        <v>8.3571428571428577</v>
      </c>
      <c r="Q72" s="14">
        <v>9.0714285714285712</v>
      </c>
      <c r="R72" s="14">
        <v>9.2857142857142865</v>
      </c>
      <c r="S72" s="14">
        <v>11.5</v>
      </c>
      <c r="T72" s="14">
        <v>11.785714285714286</v>
      </c>
      <c r="U72" s="14">
        <v>11.642857142857142</v>
      </c>
      <c r="V72" s="14">
        <v>11.571428571428571</v>
      </c>
      <c r="W72" s="14">
        <v>12.5</v>
      </c>
      <c r="Y72" s="14">
        <f t="shared" si="8"/>
        <v>208.36507936507937</v>
      </c>
      <c r="Z72">
        <f t="shared" si="9"/>
        <v>-51.691401017068841</v>
      </c>
    </row>
    <row r="73" spans="1:26" x14ac:dyDescent="0.25">
      <c r="A73" t="s">
        <v>48</v>
      </c>
      <c r="D73" s="14">
        <v>15.571428571428571</v>
      </c>
      <c r="E73" s="14">
        <v>14</v>
      </c>
      <c r="F73" s="14">
        <v>12.5</v>
      </c>
      <c r="G73" s="14">
        <v>11.571428571428571</v>
      </c>
      <c r="H73" s="14">
        <v>9.2142857142857135</v>
      </c>
      <c r="I73" s="14">
        <v>9.7142857142857135</v>
      </c>
      <c r="J73" s="14">
        <v>9.3571428571428577</v>
      </c>
      <c r="K73" s="14">
        <v>9.7142857142857135</v>
      </c>
      <c r="L73" s="14">
        <v>8.5</v>
      </c>
      <c r="M73" s="14">
        <v>10.428571428571429</v>
      </c>
      <c r="N73" s="14">
        <v>10.642857142857142</v>
      </c>
      <c r="O73" s="14">
        <v>9.5714285714285712</v>
      </c>
      <c r="P73" s="14">
        <v>8.8571428571428577</v>
      </c>
      <c r="Q73" s="14">
        <v>9.6428571428571423</v>
      </c>
      <c r="R73" s="14">
        <v>9.8571428571428577</v>
      </c>
      <c r="S73" s="14">
        <v>11.214285714285714</v>
      </c>
      <c r="T73" s="14">
        <v>10.214285714285714</v>
      </c>
      <c r="U73" s="14">
        <v>11.228571428571428</v>
      </c>
      <c r="V73" s="14">
        <v>12.714285714285714</v>
      </c>
      <c r="W73" s="14">
        <v>14.214285714285714</v>
      </c>
      <c r="Y73" s="14">
        <f t="shared" si="8"/>
        <v>218.72857142857146</v>
      </c>
      <c r="Z73">
        <f t="shared" si="9"/>
        <v>-54.127168301820667</v>
      </c>
    </row>
    <row r="74" spans="1:26" x14ac:dyDescent="0.25">
      <c r="A74" t="s">
        <v>49</v>
      </c>
      <c r="D74" s="14">
        <v>20.357142857142858</v>
      </c>
      <c r="E74" s="14">
        <v>16.714285714285715</v>
      </c>
      <c r="F74" s="14">
        <v>16.785714285714285</v>
      </c>
      <c r="G74" s="14">
        <v>13.571428571428571</v>
      </c>
      <c r="H74" s="14">
        <v>11.428571428571429</v>
      </c>
      <c r="I74" s="14">
        <v>11.928571428571429</v>
      </c>
      <c r="J74" s="14">
        <v>7.5</v>
      </c>
      <c r="K74" s="14">
        <v>9.3571428571428577</v>
      </c>
      <c r="L74" s="14">
        <v>7.5555555555555554</v>
      </c>
      <c r="M74" s="14">
        <v>8.4285714285714288</v>
      </c>
      <c r="N74" s="14">
        <v>7.8571428571428568</v>
      </c>
      <c r="O74" s="14">
        <v>7.7142857142857144</v>
      </c>
      <c r="P74" s="14">
        <v>9.1428571428571423</v>
      </c>
      <c r="Q74" s="14">
        <v>9.3571428571428577</v>
      </c>
      <c r="R74" s="14">
        <v>11.571428571428571</v>
      </c>
      <c r="S74" s="14">
        <v>11.928571428571429</v>
      </c>
      <c r="T74" s="14">
        <v>12.5</v>
      </c>
      <c r="U74" s="14">
        <v>12</v>
      </c>
      <c r="V74" s="14">
        <v>11.857142857142858</v>
      </c>
      <c r="W74" s="14">
        <v>16.928571428571427</v>
      </c>
      <c r="Y74" s="14">
        <f t="shared" si="8"/>
        <v>234.48412698412699</v>
      </c>
      <c r="Z74">
        <f t="shared" si="9"/>
        <v>-51.221969281255312</v>
      </c>
    </row>
    <row r="75" spans="1:26" x14ac:dyDescent="0.25">
      <c r="A75" t="s">
        <v>50</v>
      </c>
      <c r="D75" s="14">
        <v>17.857142857142858</v>
      </c>
      <c r="E75" s="14">
        <v>18.714285714285715</v>
      </c>
      <c r="F75" s="14">
        <v>17.285714285714285</v>
      </c>
      <c r="G75" s="14">
        <v>14</v>
      </c>
      <c r="H75" s="14">
        <v>13.428571428571429</v>
      </c>
      <c r="I75" s="14">
        <v>12.142857142857142</v>
      </c>
      <c r="J75" s="14">
        <v>11.214285714285714</v>
      </c>
      <c r="K75" s="14">
        <v>10.357142857142858</v>
      </c>
      <c r="L75" s="14">
        <v>10.111111111111111</v>
      </c>
      <c r="M75" s="14">
        <v>14.214285714285714</v>
      </c>
      <c r="N75" s="14">
        <v>11.785714285714286</v>
      </c>
      <c r="O75" s="14">
        <v>6.9285714285714288</v>
      </c>
      <c r="P75" s="14">
        <v>10.142857142857142</v>
      </c>
      <c r="Q75" s="14">
        <v>10.142857142857142</v>
      </c>
      <c r="R75" s="14">
        <v>11.785714285714286</v>
      </c>
      <c r="S75" s="14">
        <v>11.285714285714286</v>
      </c>
      <c r="T75" s="14">
        <v>15.357142857142858</v>
      </c>
      <c r="U75" s="14">
        <v>14.357142857142858</v>
      </c>
      <c r="V75" s="14">
        <v>13.357142857142858</v>
      </c>
      <c r="W75" s="14">
        <v>14.642857142857142</v>
      </c>
      <c r="Y75" s="14">
        <f t="shared" si="8"/>
        <v>259.11111111111109</v>
      </c>
      <c r="Z75">
        <f t="shared" si="9"/>
        <v>-61.998778402718614</v>
      </c>
    </row>
    <row r="76" spans="1:26" x14ac:dyDescent="0.25">
      <c r="A76" t="s">
        <v>51</v>
      </c>
      <c r="D76" s="14">
        <v>15.685714285714285</v>
      </c>
      <c r="E76" s="14">
        <v>14.242857142857144</v>
      </c>
      <c r="F76" s="14">
        <v>16.571428571428573</v>
      </c>
      <c r="G76" s="14">
        <v>17</v>
      </c>
      <c r="H76" s="14">
        <v>15.114285714285716</v>
      </c>
      <c r="I76" s="14">
        <v>8.9285714285714288</v>
      </c>
      <c r="J76" s="14">
        <v>8.3285714285714274</v>
      </c>
      <c r="K76" s="14">
        <v>13.142857142857142</v>
      </c>
      <c r="L76" s="14">
        <v>9.5666666666666664</v>
      </c>
      <c r="M76" s="14">
        <v>8.2142857142857135</v>
      </c>
      <c r="N76" s="14">
        <v>11.357142857142858</v>
      </c>
      <c r="O76" s="14">
        <v>7.5</v>
      </c>
      <c r="P76" s="14">
        <v>6.8571428571428568</v>
      </c>
      <c r="Q76" s="14">
        <v>10.071428571428571</v>
      </c>
      <c r="R76" s="14">
        <v>9.3571428571428577</v>
      </c>
      <c r="S76" s="14">
        <v>8.4</v>
      </c>
      <c r="T76" s="14">
        <v>9.7142857142857135</v>
      </c>
      <c r="U76" s="14">
        <v>11.285714285714286</v>
      </c>
      <c r="V76" s="14">
        <v>12.142857142857142</v>
      </c>
      <c r="W76" s="14">
        <v>17.071428571428573</v>
      </c>
      <c r="Y76" s="14">
        <f t="shared" si="8"/>
        <v>230.55238095238096</v>
      </c>
      <c r="Z76">
        <f t="shared" si="9"/>
        <v>-52.600663152536242</v>
      </c>
    </row>
    <row r="77" spans="1:26" x14ac:dyDescent="0.25">
      <c r="A77" t="s">
        <v>52</v>
      </c>
      <c r="D77" s="14">
        <v>20.071428571428573</v>
      </c>
      <c r="E77" s="14">
        <v>16.642857142857142</v>
      </c>
      <c r="F77" s="14">
        <v>14.214285714285714</v>
      </c>
      <c r="G77" s="14">
        <v>15.571428571428571</v>
      </c>
      <c r="H77" s="14">
        <v>13.72857142857143</v>
      </c>
      <c r="I77" s="14">
        <v>12.928571428571429</v>
      </c>
      <c r="J77" s="14">
        <v>9.6428571428571423</v>
      </c>
      <c r="K77" s="14">
        <v>12.357142857142858</v>
      </c>
      <c r="L77" s="14">
        <v>10.111111111111111</v>
      </c>
      <c r="M77" s="14">
        <v>11.357142857142858</v>
      </c>
      <c r="N77" s="14">
        <v>11.214285714285714</v>
      </c>
      <c r="O77" s="14">
        <v>9.6428571428571423</v>
      </c>
      <c r="P77" s="14">
        <v>10</v>
      </c>
      <c r="Q77" s="14">
        <v>11</v>
      </c>
      <c r="R77" s="14">
        <v>9.5</v>
      </c>
      <c r="S77" s="14">
        <v>10.928571428571429</v>
      </c>
      <c r="T77" s="14">
        <v>10.571428571428571</v>
      </c>
      <c r="U77" s="14">
        <v>9.2142857142857135</v>
      </c>
      <c r="V77" s="14">
        <v>12.714285714285714</v>
      </c>
      <c r="W77" s="14">
        <v>13.5</v>
      </c>
      <c r="Y77" s="14">
        <f t="shared" si="8"/>
        <v>244.91111111111113</v>
      </c>
      <c r="Z77">
        <f t="shared" si="9"/>
        <v>-56.876839850255628</v>
      </c>
    </row>
    <row r="78" spans="1:26" x14ac:dyDescent="0.25">
      <c r="A78" t="s">
        <v>53</v>
      </c>
      <c r="D78" s="14">
        <v>19.142857142857142</v>
      </c>
      <c r="E78" s="14">
        <v>16.214285714285715</v>
      </c>
      <c r="F78" s="14">
        <v>14.357142857142858</v>
      </c>
      <c r="G78" s="14">
        <v>12.857142857142858</v>
      </c>
      <c r="H78" s="14">
        <v>9.6428571428571423</v>
      </c>
      <c r="I78" s="14">
        <v>10.200000000000001</v>
      </c>
      <c r="J78" s="14">
        <v>11.142857142857142</v>
      </c>
      <c r="K78" s="14">
        <v>9.7142857142857135</v>
      </c>
      <c r="L78" s="14">
        <v>7.6999999999999993</v>
      </c>
      <c r="M78" s="14">
        <v>9.5</v>
      </c>
      <c r="N78" s="14">
        <v>8.5</v>
      </c>
      <c r="O78" s="14">
        <v>12.428571428571429</v>
      </c>
      <c r="P78" s="14">
        <v>11.428571428571429</v>
      </c>
      <c r="Q78" s="14">
        <v>10.428571428571429</v>
      </c>
      <c r="R78" s="14">
        <v>13.785714285714286</v>
      </c>
      <c r="S78" s="14">
        <v>16.142857142857142</v>
      </c>
      <c r="T78" s="14">
        <v>16.5</v>
      </c>
      <c r="U78" s="14">
        <v>17.285714285714285</v>
      </c>
      <c r="V78" s="14">
        <v>16.214285714285715</v>
      </c>
      <c r="W78" s="14">
        <v>15.700000000000001</v>
      </c>
      <c r="Y78" s="14">
        <f t="shared" si="8"/>
        <v>258.88571428571424</v>
      </c>
      <c r="Z78">
        <f t="shared" si="9"/>
        <v>-63.894123105737691</v>
      </c>
    </row>
    <row r="79" spans="1:26" x14ac:dyDescent="0.25">
      <c r="A79" t="s">
        <v>54</v>
      </c>
      <c r="D79" s="14">
        <v>17.857142857142858</v>
      </c>
      <c r="E79" s="14">
        <v>15.642857142857142</v>
      </c>
      <c r="F79" s="14">
        <v>15.071428571428571</v>
      </c>
      <c r="G79" s="14">
        <v>13.714285714285714</v>
      </c>
      <c r="H79" s="14">
        <v>10.571428571428571</v>
      </c>
      <c r="I79" s="14">
        <v>10.142857142857142</v>
      </c>
      <c r="J79" s="14">
        <v>9.7571428571428562</v>
      </c>
      <c r="K79" s="14">
        <v>12.071428571428571</v>
      </c>
      <c r="L79" s="14">
        <v>11.066666666666666</v>
      </c>
      <c r="M79" s="14">
        <v>11.000000000000002</v>
      </c>
      <c r="N79" s="14">
        <v>11.642857142857142</v>
      </c>
      <c r="O79" s="14">
        <v>11.457142857142857</v>
      </c>
      <c r="P79" s="14">
        <v>12.857142857142858</v>
      </c>
      <c r="Q79" s="14">
        <v>12.285714285714286</v>
      </c>
      <c r="R79" s="14">
        <v>11.357142857142858</v>
      </c>
      <c r="S79" s="14">
        <v>9.9142857142857146</v>
      </c>
      <c r="T79" s="14">
        <v>13.857142857142858</v>
      </c>
      <c r="U79" s="14">
        <v>13.928571428571429</v>
      </c>
      <c r="V79" s="14">
        <v>16</v>
      </c>
      <c r="W79" s="14">
        <v>19</v>
      </c>
      <c r="Y79" s="14">
        <f t="shared" si="8"/>
        <v>259.1952380952381</v>
      </c>
      <c r="Z79">
        <f t="shared" si="9"/>
        <v>-65.150079618754575</v>
      </c>
    </row>
    <row r="80" spans="1:26" x14ac:dyDescent="0.25">
      <c r="A80" t="s">
        <v>55</v>
      </c>
      <c r="D80" s="14">
        <v>16.642857142857142</v>
      </c>
      <c r="E80" s="14">
        <v>16.285714285714285</v>
      </c>
      <c r="F80" s="14">
        <v>16.714285714285715</v>
      </c>
      <c r="G80" s="14">
        <v>14</v>
      </c>
      <c r="H80" s="14">
        <v>11.957142857142856</v>
      </c>
      <c r="I80" s="14">
        <v>9.5571428571428587</v>
      </c>
      <c r="J80" s="14">
        <v>10.785714285714286</v>
      </c>
      <c r="K80" s="14">
        <v>10.642857142857142</v>
      </c>
      <c r="L80" s="14">
        <v>11.888888888888889</v>
      </c>
      <c r="M80" s="14">
        <v>10.714285714285714</v>
      </c>
      <c r="N80" s="14">
        <v>9.8571428571428577</v>
      </c>
      <c r="O80" s="14">
        <v>11.528571428571428</v>
      </c>
      <c r="P80" s="14">
        <v>9.2857142857142865</v>
      </c>
      <c r="Q80" s="14">
        <v>11.642857142857142</v>
      </c>
      <c r="R80" s="14">
        <v>8.5714285714285712</v>
      </c>
      <c r="S80" s="14">
        <v>12.171428571428573</v>
      </c>
      <c r="T80" s="14">
        <v>14.200000000000001</v>
      </c>
      <c r="U80" s="14">
        <v>13.5</v>
      </c>
      <c r="V80" s="14">
        <v>12.042857142857143</v>
      </c>
      <c r="W80" s="14">
        <v>19.428571428571427</v>
      </c>
      <c r="Y80" s="14">
        <f t="shared" si="8"/>
        <v>251.41746031746032</v>
      </c>
      <c r="Z80">
        <f t="shared" si="9"/>
        <v>-60.851154408924238</v>
      </c>
    </row>
    <row r="81" spans="1:27" x14ac:dyDescent="0.25">
      <c r="A81" t="s">
        <v>56</v>
      </c>
      <c r="D81" s="14">
        <v>18.228571428571428</v>
      </c>
      <c r="E81" s="14">
        <v>14.785714285714286</v>
      </c>
      <c r="F81" s="14">
        <v>14.1</v>
      </c>
      <c r="G81" s="14">
        <v>15</v>
      </c>
      <c r="H81" s="14">
        <v>13.62857142857143</v>
      </c>
      <c r="I81" s="14">
        <v>9.5714285714285712</v>
      </c>
      <c r="J81" s="14">
        <v>10.785714285714286</v>
      </c>
      <c r="K81" s="14">
        <v>10.700000000000001</v>
      </c>
      <c r="L81" s="14">
        <v>10.722222222222221</v>
      </c>
      <c r="M81" s="14">
        <v>14.200000000000001</v>
      </c>
      <c r="N81" s="14">
        <v>11.785714285714286</v>
      </c>
      <c r="O81" s="14">
        <v>10.357142857142858</v>
      </c>
      <c r="P81" s="14">
        <v>11</v>
      </c>
      <c r="Q81" s="14">
        <v>11.385714285714286</v>
      </c>
      <c r="R81" s="14">
        <v>17.285714285714285</v>
      </c>
      <c r="S81" s="14">
        <v>20.085714285714285</v>
      </c>
      <c r="T81" s="14">
        <v>21.142857142857142</v>
      </c>
      <c r="U81" s="14">
        <v>19.514285714285712</v>
      </c>
      <c r="V81" s="14">
        <v>17.285714285714285</v>
      </c>
      <c r="W81" s="14">
        <v>20.085714285714285</v>
      </c>
      <c r="Y81" s="14">
        <f t="shared" si="8"/>
        <v>291.65079365079362</v>
      </c>
      <c r="Z81">
        <f t="shared" si="9"/>
        <v>-72.701065004807489</v>
      </c>
    </row>
    <row r="82" spans="1:27" x14ac:dyDescent="0.25">
      <c r="A82" t="s">
        <v>57</v>
      </c>
      <c r="D82" s="14">
        <v>16.714285714285715</v>
      </c>
      <c r="E82" s="14">
        <v>18.142857142857142</v>
      </c>
      <c r="F82" s="14">
        <v>16.685714285714287</v>
      </c>
      <c r="G82" s="14">
        <v>16</v>
      </c>
      <c r="H82" s="14">
        <v>12.214285714285714</v>
      </c>
      <c r="I82" s="14">
        <v>15.571428571428571</v>
      </c>
      <c r="J82" s="14">
        <v>12.5</v>
      </c>
      <c r="K82" s="14">
        <v>13.071428571428571</v>
      </c>
      <c r="L82" s="14">
        <v>8.9111111111111114</v>
      </c>
      <c r="M82" s="14">
        <v>13.928571428571429</v>
      </c>
      <c r="N82" s="14">
        <v>15.5</v>
      </c>
      <c r="O82" s="14">
        <v>13.142857142857142</v>
      </c>
      <c r="P82" s="14">
        <v>13.742857142857144</v>
      </c>
      <c r="Q82" s="14">
        <v>15.200000000000001</v>
      </c>
      <c r="R82" s="14">
        <v>17.5</v>
      </c>
      <c r="S82" s="14">
        <v>16.228571428571428</v>
      </c>
      <c r="T82" s="14">
        <v>17.485714285714288</v>
      </c>
      <c r="U82" s="14">
        <v>20.285714285714285</v>
      </c>
      <c r="V82" s="14">
        <v>14.528571428571428</v>
      </c>
      <c r="W82" s="14">
        <v>16.985714285714284</v>
      </c>
      <c r="Y82" s="14">
        <f t="shared" si="8"/>
        <v>304.33968253968249</v>
      </c>
      <c r="Z82">
        <f t="shared" si="9"/>
        <v>-80.001708018805402</v>
      </c>
    </row>
    <row r="83" spans="1:27" x14ac:dyDescent="0.25">
      <c r="A83" t="s">
        <v>58</v>
      </c>
      <c r="D83" s="14">
        <v>17.385714285714286</v>
      </c>
      <c r="E83" s="14">
        <v>17.428571428571427</v>
      </c>
      <c r="F83" s="14">
        <v>16.214285714285715</v>
      </c>
      <c r="G83" s="14">
        <v>16.714285714285715</v>
      </c>
      <c r="H83" s="14">
        <v>15.785714285714286</v>
      </c>
      <c r="I83" s="14">
        <v>12.471428571428573</v>
      </c>
      <c r="J83" s="14">
        <v>10.714285714285714</v>
      </c>
      <c r="K83" s="14">
        <v>9.1428571428571423</v>
      </c>
      <c r="L83" s="14">
        <v>7.2777777777777777</v>
      </c>
      <c r="M83" s="14">
        <v>4.1285714285714281</v>
      </c>
      <c r="N83" s="14">
        <v>9.9979591836734691</v>
      </c>
      <c r="O83" s="14">
        <v>10.212244897959183</v>
      </c>
      <c r="P83" s="14">
        <v>10.332653061224489</v>
      </c>
      <c r="Q83" s="14">
        <v>10.732653061224491</v>
      </c>
      <c r="R83" s="14">
        <v>11.787755102040816</v>
      </c>
      <c r="S83" s="14">
        <v>12.055102040816326</v>
      </c>
      <c r="T83" s="14">
        <v>12.83061224489796</v>
      </c>
      <c r="U83" s="14">
        <v>14.785714285714286</v>
      </c>
      <c r="V83" s="14">
        <v>14.704081632653061</v>
      </c>
      <c r="W83" s="14">
        <v>16.113877551020408</v>
      </c>
      <c r="Y83" s="14">
        <f t="shared" si="8"/>
        <v>250.81614512471654</v>
      </c>
      <c r="Z83">
        <f t="shared" si="9"/>
        <v>-59.068375784311122</v>
      </c>
    </row>
    <row r="84" spans="1:27" x14ac:dyDescent="0.25">
      <c r="A84" t="s">
        <v>59</v>
      </c>
      <c r="D84" s="14">
        <v>15.585714285714287</v>
      </c>
      <c r="E84" s="14">
        <v>15.5</v>
      </c>
      <c r="F84" s="14">
        <v>15.471428571428573</v>
      </c>
      <c r="G84" s="14">
        <v>14.357142857142858</v>
      </c>
      <c r="H84" s="14">
        <v>13.714285714285714</v>
      </c>
      <c r="I84" s="14">
        <v>11.700000000000001</v>
      </c>
      <c r="J84" s="14">
        <v>8.1428571428571423</v>
      </c>
      <c r="K84" s="14">
        <v>9.3571428571428577</v>
      </c>
      <c r="L84" s="14">
        <v>12.333333333333334</v>
      </c>
      <c r="M84" s="14">
        <v>10.428571428571429</v>
      </c>
      <c r="N84" s="14">
        <v>7.7857142857142856</v>
      </c>
      <c r="O84" s="14">
        <v>6.2142857142857144</v>
      </c>
      <c r="P84" s="14">
        <v>8.2857142857142865</v>
      </c>
      <c r="Q84" s="14">
        <v>9.4285714285714288</v>
      </c>
      <c r="R84" s="14">
        <v>11.714285714285714</v>
      </c>
      <c r="S84" s="14">
        <v>12.5</v>
      </c>
      <c r="T84" s="14">
        <v>6.6428571428571432</v>
      </c>
      <c r="U84" s="14">
        <v>15.714285714285714</v>
      </c>
      <c r="V84" s="14">
        <v>14.028571428571428</v>
      </c>
      <c r="W84" s="14">
        <v>13.37142857142857</v>
      </c>
      <c r="Y84" s="14">
        <f t="shared" si="8"/>
        <v>232.27619047619049</v>
      </c>
      <c r="Z84">
        <f t="shared" si="9"/>
        <v>-54.241290532414148</v>
      </c>
    </row>
    <row r="85" spans="1:27" x14ac:dyDescent="0.25">
      <c r="A85" t="s">
        <v>60</v>
      </c>
      <c r="D85" s="14">
        <v>13.928571428571429</v>
      </c>
      <c r="E85" s="14">
        <v>14.428571428571429</v>
      </c>
      <c r="F85" s="14">
        <v>12.571428571428571</v>
      </c>
      <c r="G85" s="14">
        <v>11.285714285714286</v>
      </c>
      <c r="H85" s="14">
        <v>11.928571428571429</v>
      </c>
      <c r="I85" s="14">
        <v>12.857142857142858</v>
      </c>
      <c r="J85" s="14">
        <v>9</v>
      </c>
      <c r="K85" s="14">
        <v>7.2142857142857144</v>
      </c>
      <c r="L85" s="14">
        <v>6.333333333333333</v>
      </c>
      <c r="M85" s="14">
        <v>9.2857142857142865</v>
      </c>
      <c r="N85" s="14">
        <v>8.4285714285714288</v>
      </c>
      <c r="O85" s="14">
        <v>10.785714285714286</v>
      </c>
      <c r="P85" s="14">
        <v>7.8571428571428568</v>
      </c>
      <c r="Q85" s="14">
        <v>10.571428571428571</v>
      </c>
      <c r="R85" s="14">
        <v>10.428571428571429</v>
      </c>
      <c r="S85" s="14">
        <v>11.428571428571429</v>
      </c>
      <c r="T85" s="14">
        <v>14.214285714285714</v>
      </c>
      <c r="U85" s="14">
        <v>13.857142857142858</v>
      </c>
      <c r="V85" s="14">
        <v>13.642857142857142</v>
      </c>
      <c r="W85" s="14">
        <v>14.571428571428571</v>
      </c>
      <c r="Y85" s="14">
        <f t="shared" si="8"/>
        <v>224.61904761904762</v>
      </c>
      <c r="Z85">
        <f t="shared" si="9"/>
        <v>-56.396772628872782</v>
      </c>
    </row>
    <row r="86" spans="1:27" x14ac:dyDescent="0.25">
      <c r="A86" t="s">
        <v>61</v>
      </c>
      <c r="D86" s="14">
        <v>15.585714285714285</v>
      </c>
      <c r="E86" s="14">
        <v>15.428571428571429</v>
      </c>
      <c r="F86" s="14">
        <v>15.357142857142858</v>
      </c>
      <c r="G86" s="14">
        <v>14.828571428571427</v>
      </c>
      <c r="H86" s="14">
        <v>13.828571428571427</v>
      </c>
      <c r="I86" s="14">
        <v>14.557142857142855</v>
      </c>
      <c r="J86" s="14">
        <v>11.457142857142857</v>
      </c>
      <c r="K86" s="14">
        <v>10.114285714285714</v>
      </c>
      <c r="L86" s="14">
        <v>12.514285714285716</v>
      </c>
      <c r="M86" s="14">
        <v>10.028571428571428</v>
      </c>
      <c r="N86" s="14">
        <v>9.8285714285714274</v>
      </c>
      <c r="O86" s="14">
        <v>9.3000000000000007</v>
      </c>
      <c r="P86" s="14">
        <v>12.814285714285713</v>
      </c>
      <c r="Q86" s="14">
        <v>13.34285714285714</v>
      </c>
      <c r="R86" s="14">
        <v>13.800000000000002</v>
      </c>
      <c r="S86" s="14">
        <v>13.457142857142857</v>
      </c>
      <c r="T86" s="14">
        <v>15.299999999999999</v>
      </c>
      <c r="U86" s="14">
        <v>14.342857142857142</v>
      </c>
      <c r="V86" s="14">
        <v>12.714285714285714</v>
      </c>
      <c r="W86" s="14">
        <v>15.514285714285714</v>
      </c>
      <c r="Y86" s="14">
        <f t="shared" si="8"/>
        <v>264.11428571428576</v>
      </c>
      <c r="Z86">
        <f t="shared" si="9"/>
        <v>-67.161279528124055</v>
      </c>
      <c r="AA86" s="20"/>
    </row>
    <row r="87" spans="1:27" x14ac:dyDescent="0.25">
      <c r="A87" t="s">
        <v>62</v>
      </c>
      <c r="D87" s="14">
        <v>18.285714285714285</v>
      </c>
      <c r="E87" s="14">
        <v>18.057142857142857</v>
      </c>
      <c r="F87" s="14">
        <v>14.771428571428572</v>
      </c>
      <c r="G87" s="14">
        <v>11.157142857142858</v>
      </c>
      <c r="H87" s="14">
        <v>12.471428571428573</v>
      </c>
      <c r="I87" s="14">
        <v>13.828571428571427</v>
      </c>
      <c r="J87" s="14">
        <v>11.12857142857143</v>
      </c>
      <c r="K87" s="14">
        <v>12.214285714285714</v>
      </c>
      <c r="L87" s="14">
        <v>10.7875</v>
      </c>
      <c r="M87" s="14">
        <v>10.857142857142858</v>
      </c>
      <c r="N87" s="14">
        <v>10.628571428571428</v>
      </c>
      <c r="O87" s="14">
        <v>9.7285714285714278</v>
      </c>
      <c r="P87" s="14">
        <v>6.3</v>
      </c>
      <c r="Q87" s="14">
        <v>6.3714285714285719</v>
      </c>
      <c r="R87" s="14">
        <v>5.371428571428571</v>
      </c>
      <c r="S87" s="14">
        <v>9.8714285714285701</v>
      </c>
      <c r="T87" s="14">
        <v>10.385714285714284</v>
      </c>
      <c r="U87" s="14">
        <v>10.8</v>
      </c>
      <c r="V87" s="14">
        <v>14.585714285714285</v>
      </c>
      <c r="W87" s="14">
        <v>18.285714285714285</v>
      </c>
      <c r="Y87" s="14">
        <f t="shared" si="8"/>
        <v>235.88749999999999</v>
      </c>
      <c r="Z87">
        <f t="shared" si="9"/>
        <v>-55.892833291875768</v>
      </c>
      <c r="AA87" s="20"/>
    </row>
    <row r="88" spans="1:27" x14ac:dyDescent="0.25">
      <c r="A88" t="s">
        <v>63</v>
      </c>
      <c r="D88" s="14">
        <v>16.542857142857144</v>
      </c>
      <c r="E88" s="14">
        <v>14.542857142857143</v>
      </c>
      <c r="F88" s="14">
        <v>15.057142857142859</v>
      </c>
      <c r="G88" s="14">
        <v>15.128571428571428</v>
      </c>
      <c r="H88" s="14">
        <v>12.914285714285715</v>
      </c>
      <c r="I88" s="14">
        <v>16.685714285714287</v>
      </c>
      <c r="J88" s="14">
        <v>15.7</v>
      </c>
      <c r="K88" s="14">
        <v>16.785714285714285</v>
      </c>
      <c r="L88" s="14">
        <v>11.25</v>
      </c>
      <c r="M88" s="14">
        <v>10.071428571428571</v>
      </c>
      <c r="N88" s="14">
        <v>12.62857142857143</v>
      </c>
      <c r="O88" s="14">
        <v>15.685714285714285</v>
      </c>
      <c r="P88" s="14">
        <v>11.657142857142858</v>
      </c>
      <c r="Q88" s="14">
        <v>11.571428571428571</v>
      </c>
      <c r="R88" s="14">
        <v>10.8</v>
      </c>
      <c r="S88" s="14">
        <v>12.485714285714284</v>
      </c>
      <c r="T88" s="14">
        <v>16.285714285714285</v>
      </c>
      <c r="U88" s="14">
        <v>17.328571428571429</v>
      </c>
      <c r="V88" s="14">
        <v>17.385714285714283</v>
      </c>
      <c r="W88" s="14">
        <v>18.714285714285715</v>
      </c>
      <c r="Y88" s="14">
        <f t="shared" si="8"/>
        <v>289.22142857142865</v>
      </c>
      <c r="Z88">
        <f t="shared" si="9"/>
        <v>-78.511287960084374</v>
      </c>
      <c r="AA88" s="20"/>
    </row>
    <row r="89" spans="1:27" x14ac:dyDescent="0.25">
      <c r="A89" t="s">
        <v>64</v>
      </c>
      <c r="D89" s="14">
        <v>15.485714285714286</v>
      </c>
      <c r="E89" s="14">
        <v>17.185714285714287</v>
      </c>
      <c r="F89" s="14">
        <v>18.342857142857145</v>
      </c>
      <c r="G89" s="14">
        <v>12.942857142857141</v>
      </c>
      <c r="H89" s="14">
        <v>12.828571428571427</v>
      </c>
      <c r="I89" s="14">
        <v>11.885714285714286</v>
      </c>
      <c r="J89" s="14">
        <v>13.828571428571427</v>
      </c>
      <c r="K89" s="14">
        <v>15.7</v>
      </c>
      <c r="L89" s="14">
        <v>11.942857142857145</v>
      </c>
      <c r="M89" s="14">
        <v>10.114285714285716</v>
      </c>
      <c r="N89" s="14">
        <v>11.242857142857142</v>
      </c>
      <c r="O89" s="14">
        <v>10.9</v>
      </c>
      <c r="P89" s="14">
        <v>12.142857142857142</v>
      </c>
      <c r="Q89" s="14">
        <v>11.828571428571431</v>
      </c>
      <c r="R89" s="14">
        <v>15.299999999999999</v>
      </c>
      <c r="S89" s="14">
        <v>10.9</v>
      </c>
      <c r="T89" s="14">
        <v>12.614285714285714</v>
      </c>
      <c r="U89" s="14">
        <v>15.728571428571428</v>
      </c>
      <c r="V89" s="14">
        <v>17.314285714285713</v>
      </c>
      <c r="W89" s="14">
        <v>16.771428571428569</v>
      </c>
      <c r="Y89" s="14">
        <f t="shared" si="8"/>
        <v>275</v>
      </c>
      <c r="Z89">
        <f t="shared" si="9"/>
        <v>-71.785801557466911</v>
      </c>
      <c r="AA89" s="20"/>
    </row>
    <row r="90" spans="1:27" x14ac:dyDescent="0.25">
      <c r="A90" t="s">
        <v>65</v>
      </c>
      <c r="D90" s="14">
        <v>17.802040816326532</v>
      </c>
      <c r="E90" s="14">
        <v>15.504081632653063</v>
      </c>
      <c r="F90" s="14">
        <v>14.540816326530612</v>
      </c>
      <c r="G90" s="14">
        <v>13.653061224489795</v>
      </c>
      <c r="H90" s="14">
        <v>11.753061224489796</v>
      </c>
      <c r="I90" s="14">
        <v>10.834693877551022</v>
      </c>
      <c r="J90" s="14">
        <v>9.7102040816326536</v>
      </c>
      <c r="K90" s="14">
        <v>10.520408163265305</v>
      </c>
      <c r="L90" s="14">
        <v>9.038095238095238</v>
      </c>
      <c r="M90" s="14">
        <v>5.9285714285714288</v>
      </c>
      <c r="N90" s="14">
        <v>7.8571428571428568</v>
      </c>
      <c r="O90" s="14">
        <v>7.3571428571428568</v>
      </c>
      <c r="P90" s="14">
        <v>13.27142857142857</v>
      </c>
      <c r="Q90" s="14">
        <v>12.014285714285714</v>
      </c>
      <c r="R90" s="14">
        <v>15.099999999999998</v>
      </c>
      <c r="S90" s="14">
        <v>13.742857142857142</v>
      </c>
      <c r="T90" s="14">
        <v>14.37142857142857</v>
      </c>
      <c r="U90" s="14">
        <v>15.728571428571399</v>
      </c>
      <c r="V90" s="14">
        <v>13.257142857142858</v>
      </c>
      <c r="W90" s="14">
        <v>15.568571428571428</v>
      </c>
      <c r="Y90" s="14">
        <f t="shared" si="8"/>
        <v>247.55360544217683</v>
      </c>
      <c r="Z90">
        <f t="shared" si="9"/>
        <v>-59.882569599025395</v>
      </c>
      <c r="AA90" s="14"/>
    </row>
    <row r="91" spans="1:27" x14ac:dyDescent="0.25">
      <c r="A91" t="s">
        <v>66</v>
      </c>
      <c r="D91" s="14">
        <v>20.357142857142858</v>
      </c>
      <c r="E91" s="14">
        <v>16.714285714285715</v>
      </c>
      <c r="F91" s="14">
        <v>16.785714285714285</v>
      </c>
      <c r="G91" s="14">
        <v>13.571428571428571</v>
      </c>
      <c r="H91" s="14">
        <v>11.428571428571429</v>
      </c>
      <c r="I91" s="14">
        <v>11.928571428571429</v>
      </c>
      <c r="J91" s="14">
        <v>7.5</v>
      </c>
      <c r="K91" s="14">
        <v>9.3571428571428577</v>
      </c>
      <c r="L91" s="14">
        <v>7.5555555555555554</v>
      </c>
      <c r="M91" s="14">
        <v>8.4285714285714288</v>
      </c>
      <c r="N91" s="14">
        <v>7.8571428571428568</v>
      </c>
      <c r="O91" s="14">
        <v>7.7142857142857144</v>
      </c>
      <c r="P91" s="14">
        <v>8.7261904761904763</v>
      </c>
      <c r="Q91" s="14">
        <v>9.4523809523809508</v>
      </c>
      <c r="R91" s="14">
        <v>10.047619047619049</v>
      </c>
      <c r="S91" s="14">
        <v>10.352380952380953</v>
      </c>
      <c r="T91" s="14">
        <v>11.392857142857141</v>
      </c>
      <c r="U91" s="14">
        <v>11.633333333333335</v>
      </c>
      <c r="V91" s="14">
        <v>10.0833333333333</v>
      </c>
      <c r="W91" s="14">
        <v>14.33333333333333</v>
      </c>
      <c r="Y91" s="14">
        <f t="shared" si="8"/>
        <v>225.21984126984123</v>
      </c>
      <c r="Z91">
        <f t="shared" si="9"/>
        <v>-48.58300973115994</v>
      </c>
    </row>
    <row r="92" spans="1:27" x14ac:dyDescent="0.25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Y92" s="14"/>
    </row>
    <row r="93" spans="1:27" x14ac:dyDescent="0.25">
      <c r="A93" t="s">
        <v>67</v>
      </c>
      <c r="D93" s="14">
        <v>17.578571428571429</v>
      </c>
      <c r="E93" s="14">
        <v>15.385714285714286</v>
      </c>
      <c r="F93" s="14">
        <v>14.571428571428569</v>
      </c>
      <c r="G93" s="14">
        <v>13.785714285714285</v>
      </c>
      <c r="H93" s="14">
        <v>12.104761904761906</v>
      </c>
      <c r="I93" s="14">
        <v>10.940476190476192</v>
      </c>
      <c r="J93" s="14">
        <v>9.4714285714285733</v>
      </c>
      <c r="K93" s="14">
        <v>10.654761904761905</v>
      </c>
      <c r="L93" s="14">
        <v>9.2611111111111111</v>
      </c>
      <c r="M93" s="14">
        <v>9.6825396825396819</v>
      </c>
      <c r="N93" s="14">
        <v>10.609297052154195</v>
      </c>
      <c r="O93" s="14">
        <v>10.537868480725624</v>
      </c>
      <c r="P93" s="14">
        <v>10.711564625850338</v>
      </c>
      <c r="Q93" s="14">
        <v>11.229024943310659</v>
      </c>
      <c r="R93" s="14">
        <v>12.422448979591834</v>
      </c>
      <c r="S93" s="14">
        <v>12.518820861678003</v>
      </c>
      <c r="T93" s="14">
        <v>13.347845804988662</v>
      </c>
      <c r="U93" s="14">
        <v>12.396825396825401</v>
      </c>
      <c r="V93" s="14">
        <v>12.6845804988662</v>
      </c>
      <c r="W93" s="14">
        <v>16.210748299319729</v>
      </c>
      <c r="Y93" s="14">
        <f t="shared" si="8"/>
        <v>246.10553287981858</v>
      </c>
      <c r="Z93">
        <f>SUMPRODUCT($D$97:$W$97,D93:W93)</f>
        <v>-59.539115987198883</v>
      </c>
    </row>
    <row r="94" spans="1:27" x14ac:dyDescent="0.25">
      <c r="A94" t="s">
        <v>311</v>
      </c>
      <c r="D94" s="14">
        <v>17.94285714285714</v>
      </c>
      <c r="E94" s="14">
        <v>18.914285714285711</v>
      </c>
      <c r="F94" s="14">
        <v>16.014285714285712</v>
      </c>
      <c r="G94" s="14">
        <v>14.87142857142857</v>
      </c>
      <c r="H94" s="14">
        <v>16.714285714285715</v>
      </c>
      <c r="I94" s="14">
        <v>13.742857142857144</v>
      </c>
      <c r="J94" s="14">
        <v>11.085714285714287</v>
      </c>
      <c r="K94" s="14">
        <v>10.057142857142859</v>
      </c>
      <c r="L94" s="14">
        <v>12.4125</v>
      </c>
      <c r="M94" s="14">
        <v>13.057142857142859</v>
      </c>
      <c r="N94" s="14">
        <v>11.057142857142859</v>
      </c>
      <c r="O94" s="14">
        <v>11.2</v>
      </c>
      <c r="P94" s="14">
        <v>11.657142857142858</v>
      </c>
      <c r="Q94" s="14">
        <v>11.571428571428571</v>
      </c>
      <c r="R94" s="14">
        <v>10.8</v>
      </c>
      <c r="S94" s="14">
        <v>12.485714285714284</v>
      </c>
      <c r="T94" s="14">
        <v>14.1</v>
      </c>
      <c r="U94" s="14">
        <v>13.1</v>
      </c>
      <c r="V94" s="14">
        <v>13.4</v>
      </c>
      <c r="W94" s="14">
        <v>15.1</v>
      </c>
      <c r="Y94" s="14">
        <f t="shared" si="8"/>
        <v>269.28392857142859</v>
      </c>
      <c r="Z94">
        <f>SUMPRODUCT($D$97:$W$97,D94:W94)</f>
        <v>-65.290138156845231</v>
      </c>
    </row>
    <row r="95" spans="1:27" x14ac:dyDescent="0.25">
      <c r="A95" t="s">
        <v>312</v>
      </c>
      <c r="D95" s="17">
        <v>16.860596546310834</v>
      </c>
      <c r="E95" s="17">
        <v>16.088226059654627</v>
      </c>
      <c r="F95" s="17">
        <v>15.327315541601255</v>
      </c>
      <c r="G95" s="17">
        <v>13.97221350078493</v>
      </c>
      <c r="H95" s="17">
        <v>12.556828885400311</v>
      </c>
      <c r="I95" s="17">
        <v>12.29717425431711</v>
      </c>
      <c r="J95" s="17">
        <v>11.127158555729986</v>
      </c>
      <c r="K95" s="17">
        <v>11.326844583987439</v>
      </c>
      <c r="L95" s="17">
        <v>10.135851648351649</v>
      </c>
      <c r="M95" s="17">
        <v>10.014285714285714</v>
      </c>
      <c r="N95" s="17">
        <v>10.437205651491366</v>
      </c>
      <c r="O95" s="17">
        <v>10.699843014128728</v>
      </c>
      <c r="P95" s="17">
        <v>10.728571428571428</v>
      </c>
      <c r="Q95" s="17">
        <v>10.778571428571428</v>
      </c>
      <c r="R95" s="17">
        <v>11.317857142857143</v>
      </c>
      <c r="S95" s="17">
        <v>11.678571428571429</v>
      </c>
      <c r="T95" s="17">
        <v>13.64642857142857</v>
      </c>
      <c r="U95" s="17">
        <v>14.55</v>
      </c>
      <c r="V95" s="17">
        <v>15.5</v>
      </c>
      <c r="W95" s="17">
        <v>17.321428571428569</v>
      </c>
      <c r="Y95" s="14">
        <f t="shared" si="8"/>
        <v>256.3649725274725</v>
      </c>
      <c r="Z95">
        <f>SUMPRODUCT($D$97:$W$97,D95:W95)</f>
        <v>-63.910454530323108</v>
      </c>
    </row>
    <row r="96" spans="1:27" x14ac:dyDescent="0.25">
      <c r="A96" t="s">
        <v>674</v>
      </c>
      <c r="D96" s="14">
        <v>18.842857142857145</v>
      </c>
      <c r="E96" s="14">
        <v>18.242857142857144</v>
      </c>
      <c r="F96" s="14">
        <v>18</v>
      </c>
      <c r="G96" s="14">
        <v>20.528571428571428</v>
      </c>
      <c r="H96" s="14">
        <v>15.428571428571429</v>
      </c>
      <c r="I96" s="14">
        <v>12.868571428571428</v>
      </c>
      <c r="J96" s="14">
        <v>11.404285714285715</v>
      </c>
      <c r="K96" s="14">
        <v>11.494285714285713</v>
      </c>
      <c r="L96" s="14">
        <v>10.396130952380954</v>
      </c>
      <c r="M96" s="14">
        <v>10.375714285714285</v>
      </c>
      <c r="N96" s="14">
        <v>10.768367346938778</v>
      </c>
      <c r="O96" s="14">
        <v>10.785510204081632</v>
      </c>
      <c r="P96" s="14">
        <v>9.8887755102040789</v>
      </c>
      <c r="Q96" s="14">
        <v>10.941156462585035</v>
      </c>
      <c r="R96" s="14">
        <v>12.087755102040814</v>
      </c>
      <c r="S96" s="14">
        <v>12.365816326530611</v>
      </c>
      <c r="T96" s="14">
        <v>13.725127551020407</v>
      </c>
      <c r="U96" s="14">
        <v>14.620535714285714</v>
      </c>
      <c r="V96" s="14">
        <v>14.407397959183674</v>
      </c>
      <c r="W96" s="14">
        <v>16.667831632653062</v>
      </c>
      <c r="Y96" s="14">
        <f t="shared" ref="Y96" si="10">SUM(D96:W96)</f>
        <v>273.84011904761911</v>
      </c>
      <c r="Z96">
        <f>SUMPRODUCT($D$97:$W$97,D96:W96)</f>
        <v>-63.818520451407863</v>
      </c>
    </row>
    <row r="97" spans="1:26" x14ac:dyDescent="0.25">
      <c r="A97" s="2" t="s">
        <v>68</v>
      </c>
      <c r="D97" s="3">
        <f>CORREL($B$2:$B$25,D68:D91)</f>
        <v>0.36307590037810966</v>
      </c>
      <c r="E97" s="3">
        <f t="shared" ref="E97:W97" si="11">CORREL($B$2:$B$25,E68:E91)</f>
        <v>-3.1145491608675677E-2</v>
      </c>
      <c r="F97" s="3">
        <f t="shared" si="11"/>
        <v>-4.7441647089282411E-2</v>
      </c>
      <c r="G97" s="3">
        <f t="shared" si="11"/>
        <v>2.1657697684351026E-3</v>
      </c>
      <c r="H97" s="3">
        <f t="shared" si="11"/>
        <v>-4.7315284725133078E-2</v>
      </c>
      <c r="I97" s="3">
        <f t="shared" si="11"/>
        <v>-0.45983067490331331</v>
      </c>
      <c r="J97" s="3">
        <f t="shared" si="11"/>
        <v>-0.62698877410182519</v>
      </c>
      <c r="K97" s="3">
        <f t="shared" si="11"/>
        <v>-0.37324539088792535</v>
      </c>
      <c r="L97" s="3">
        <f t="shared" si="11"/>
        <v>-0.37107701574090185</v>
      </c>
      <c r="M97" s="3">
        <f t="shared" si="11"/>
        <v>-0.27261319347383428</v>
      </c>
      <c r="N97" s="3">
        <f t="shared" si="11"/>
        <v>-0.47830278046504537</v>
      </c>
      <c r="O97" s="3">
        <f t="shared" si="11"/>
        <v>-0.46871147785475159</v>
      </c>
      <c r="P97" s="3">
        <f t="shared" si="11"/>
        <v>-0.51823394120628363</v>
      </c>
      <c r="Q97" s="3">
        <f t="shared" si="11"/>
        <v>-0.38665762771139822</v>
      </c>
      <c r="R97" s="3">
        <f t="shared" si="11"/>
        <v>-0.27487627021831351</v>
      </c>
      <c r="S97" s="3">
        <f t="shared" si="11"/>
        <v>-0.17859281441044136</v>
      </c>
      <c r="T97" s="3">
        <f t="shared" si="11"/>
        <v>-0.34122057791256333</v>
      </c>
      <c r="U97" s="3">
        <f t="shared" si="11"/>
        <v>-0.37042772057845724</v>
      </c>
      <c r="V97" s="3">
        <f t="shared" si="11"/>
        <v>-0.4361400429167952</v>
      </c>
      <c r="W97" s="3">
        <f t="shared" si="11"/>
        <v>-0.18197371622617842</v>
      </c>
    </row>
    <row r="100" spans="1:26" x14ac:dyDescent="0.25"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340</v>
      </c>
      <c r="M100" t="s">
        <v>374</v>
      </c>
      <c r="N100" t="s">
        <v>375</v>
      </c>
      <c r="O100" t="s">
        <v>376</v>
      </c>
      <c r="P100" t="s">
        <v>462</v>
      </c>
      <c r="Q100" t="s">
        <v>463</v>
      </c>
      <c r="R100" t="s">
        <v>464</v>
      </c>
      <c r="S100" t="s">
        <v>465</v>
      </c>
      <c r="T100" t="s">
        <v>574</v>
      </c>
      <c r="U100" t="s">
        <v>575</v>
      </c>
      <c r="V100" t="s">
        <v>576</v>
      </c>
      <c r="W100" t="s">
        <v>577</v>
      </c>
      <c r="Y100" t="s">
        <v>89</v>
      </c>
      <c r="Z100" t="s">
        <v>90</v>
      </c>
    </row>
    <row r="101" spans="1:26" x14ac:dyDescent="0.25">
      <c r="A101" t="s">
        <v>43</v>
      </c>
      <c r="D101" s="14">
        <v>97.930059323630346</v>
      </c>
      <c r="E101" s="14">
        <v>69.392784829844715</v>
      </c>
      <c r="F101" s="14">
        <v>72.27661678419696</v>
      </c>
      <c r="G101" s="14">
        <v>71.176244756219162</v>
      </c>
      <c r="H101" s="14">
        <v>81.837002141544886</v>
      </c>
      <c r="I101" s="14">
        <v>64.569666137579432</v>
      </c>
      <c r="J101" s="14">
        <v>88.552738377659992</v>
      </c>
      <c r="K101" s="14">
        <v>74.467753363523443</v>
      </c>
      <c r="L101" s="14">
        <v>76.868547508883694</v>
      </c>
      <c r="M101" s="14">
        <v>84.050147818465717</v>
      </c>
      <c r="N101" s="14">
        <v>59.803818317385421</v>
      </c>
      <c r="O101" s="14">
        <v>75.5509919051906</v>
      </c>
      <c r="P101" s="14">
        <v>54.649305186392326</v>
      </c>
      <c r="Q101" s="14">
        <v>80.450802261399033</v>
      </c>
      <c r="R101" s="14">
        <v>69.672098188861156</v>
      </c>
      <c r="S101" s="14">
        <v>78.052653398241887</v>
      </c>
      <c r="T101" s="14">
        <v>57.111161996293802</v>
      </c>
      <c r="U101" s="14">
        <v>66.074183018381532</v>
      </c>
      <c r="V101" s="14">
        <v>72.609770357249275</v>
      </c>
      <c r="W101" s="14">
        <v>73.122494954748191</v>
      </c>
      <c r="Y101" s="14">
        <f t="shared" ref="Y101:Y128" si="12">SUM(D101:W101)</f>
        <v>1468.2188406256914</v>
      </c>
      <c r="Z101">
        <f t="shared" ref="Z101:Z124" si="13">SUMPRODUCT($D$130:$W$130,D101:W101)</f>
        <v>250.69778584384042</v>
      </c>
    </row>
    <row r="102" spans="1:26" x14ac:dyDescent="0.25">
      <c r="A102" t="s">
        <v>44</v>
      </c>
      <c r="D102" s="14">
        <v>86.882539143900587</v>
      </c>
      <c r="E102" s="14">
        <v>83.691986627801271</v>
      </c>
      <c r="F102" s="14">
        <v>71.759497838376234</v>
      </c>
      <c r="G102" s="14">
        <v>76.924683346289584</v>
      </c>
      <c r="H102" s="14">
        <v>76.8207808697329</v>
      </c>
      <c r="I102" s="14">
        <v>62.930138737451735</v>
      </c>
      <c r="J102" s="14">
        <v>73.715115242163932</v>
      </c>
      <c r="K102" s="14">
        <v>85.177421021629669</v>
      </c>
      <c r="L102" s="14">
        <v>73.476934459175439</v>
      </c>
      <c r="M102" s="14">
        <v>63.77647687013939</v>
      </c>
      <c r="N102" s="14">
        <v>73.865135002696647</v>
      </c>
      <c r="O102" s="14">
        <v>73.892533101325327</v>
      </c>
      <c r="P102" s="14">
        <v>87.721456248197313</v>
      </c>
      <c r="Q102" s="14">
        <v>77.257561016927625</v>
      </c>
      <c r="R102" s="14">
        <v>79.14904503888458</v>
      </c>
      <c r="S102" s="14">
        <v>81.825746059351715</v>
      </c>
      <c r="T102" s="14">
        <v>78.185636787207429</v>
      </c>
      <c r="U102" s="14">
        <v>78.542307889437964</v>
      </c>
      <c r="V102" s="14">
        <v>76.342016471270668</v>
      </c>
      <c r="W102" s="14">
        <v>81.05464387712712</v>
      </c>
      <c r="Y102" s="14">
        <f t="shared" si="12"/>
        <v>1542.9916556490873</v>
      </c>
      <c r="Z102">
        <f t="shared" si="13"/>
        <v>245.42564562792927</v>
      </c>
    </row>
    <row r="103" spans="1:26" x14ac:dyDescent="0.25">
      <c r="A103" t="s">
        <v>45</v>
      </c>
      <c r="D103" s="14">
        <v>81.009649435781895</v>
      </c>
      <c r="E103" s="14">
        <v>78.421607383587471</v>
      </c>
      <c r="F103" s="14">
        <v>85.67017154583921</v>
      </c>
      <c r="G103" s="14">
        <v>81.07531965686114</v>
      </c>
      <c r="H103" s="14">
        <v>86.213639390472764</v>
      </c>
      <c r="I103" s="14">
        <v>72.718765508281521</v>
      </c>
      <c r="J103" s="14">
        <v>71.573400630299602</v>
      </c>
      <c r="K103" s="14">
        <v>73.824691545284267</v>
      </c>
      <c r="L103" s="14">
        <v>68.622707243830206</v>
      </c>
      <c r="M103" s="14">
        <v>79.333461459814686</v>
      </c>
      <c r="N103" s="14">
        <v>80.542559799383653</v>
      </c>
      <c r="O103" s="14">
        <v>80.403994295065758</v>
      </c>
      <c r="P103" s="14">
        <v>80.470582546486625</v>
      </c>
      <c r="Q103" s="14">
        <v>80.862265117479836</v>
      </c>
      <c r="R103" s="14">
        <v>77.508349724936096</v>
      </c>
      <c r="S103" s="14">
        <v>79.081576688385255</v>
      </c>
      <c r="T103" s="14">
        <v>80.652100810194156</v>
      </c>
      <c r="U103" s="14">
        <v>79.277467123034768</v>
      </c>
      <c r="V103" s="14">
        <v>72.816751312055246</v>
      </c>
      <c r="W103" s="14">
        <v>74.63716112574464</v>
      </c>
      <c r="Y103" s="14">
        <f t="shared" si="12"/>
        <v>1564.7162223428188</v>
      </c>
      <c r="Z103">
        <f t="shared" si="13"/>
        <v>267.77409842203133</v>
      </c>
    </row>
    <row r="104" spans="1:26" x14ac:dyDescent="0.25">
      <c r="A104" t="s">
        <v>46</v>
      </c>
      <c r="D104" s="14">
        <v>73.615108964649167</v>
      </c>
      <c r="E104" s="14">
        <v>76.318300869430729</v>
      </c>
      <c r="F104" s="14">
        <v>77.894466046235422</v>
      </c>
      <c r="G104" s="14">
        <v>77.100956957094652</v>
      </c>
      <c r="H104" s="14">
        <v>78.761349527578773</v>
      </c>
      <c r="I104" s="14">
        <v>83.14486031421977</v>
      </c>
      <c r="J104" s="14">
        <v>82.809631475020794</v>
      </c>
      <c r="K104" s="14">
        <v>79.629127304213497</v>
      </c>
      <c r="L104" s="14">
        <v>73.486792259807387</v>
      </c>
      <c r="M104" s="14">
        <v>69.818683245486739</v>
      </c>
      <c r="N104" s="14">
        <v>77.984372174131565</v>
      </c>
      <c r="O104" s="14">
        <v>70.512093014729103</v>
      </c>
      <c r="P104" s="14">
        <v>61.673407371274507</v>
      </c>
      <c r="Q104" s="14">
        <v>67.125357265517408</v>
      </c>
      <c r="R104" s="14">
        <v>76.304085381518206</v>
      </c>
      <c r="S104" s="14">
        <v>72.908524513585775</v>
      </c>
      <c r="T104" s="14">
        <v>77.603658299572544</v>
      </c>
      <c r="U104" s="14">
        <v>82.201099518782371</v>
      </c>
      <c r="V104" s="14">
        <v>67.086982163477217</v>
      </c>
      <c r="W104" s="14">
        <v>69.134744060736026</v>
      </c>
      <c r="Y104" s="14">
        <f t="shared" si="12"/>
        <v>1495.1136007270613</v>
      </c>
      <c r="Z104">
        <f t="shared" si="13"/>
        <v>254.33980549554579</v>
      </c>
    </row>
    <row r="105" spans="1:26" x14ac:dyDescent="0.25">
      <c r="A105" t="s">
        <v>47</v>
      </c>
      <c r="D105" s="14">
        <v>75.738361141590559</v>
      </c>
      <c r="E105" s="14">
        <v>71.98859547930131</v>
      </c>
      <c r="F105" s="14">
        <v>73.24978161856815</v>
      </c>
      <c r="G105" s="14">
        <v>77.724328170902851</v>
      </c>
      <c r="H105" s="14">
        <v>63.309517892189398</v>
      </c>
      <c r="I105" s="14">
        <v>74.41373757318533</v>
      </c>
      <c r="J105" s="14">
        <v>80.150668481144734</v>
      </c>
      <c r="K105" s="14">
        <v>73.006484943790454</v>
      </c>
      <c r="L105" s="14">
        <v>71.746095191592829</v>
      </c>
      <c r="M105" s="14">
        <v>72.345148125793926</v>
      </c>
      <c r="N105" s="14">
        <v>74.749983001334613</v>
      </c>
      <c r="O105" s="14">
        <v>84.748086965831718</v>
      </c>
      <c r="P105" s="14">
        <v>78.875725561826627</v>
      </c>
      <c r="Q105" s="14">
        <v>72.725062331870404</v>
      </c>
      <c r="R105" s="14">
        <v>58.95600834124631</v>
      </c>
      <c r="S105" s="14">
        <v>69.869584837476538</v>
      </c>
      <c r="T105" s="14">
        <v>70.737208468034254</v>
      </c>
      <c r="U105" s="14">
        <v>81.50212181963515</v>
      </c>
      <c r="V105" s="14">
        <v>76.535936858002486</v>
      </c>
      <c r="W105" s="14">
        <v>77.260674677219413</v>
      </c>
      <c r="Y105" s="14">
        <f t="shared" si="12"/>
        <v>1479.6331114805373</v>
      </c>
      <c r="Z105">
        <f t="shared" si="13"/>
        <v>246.08751767239875</v>
      </c>
    </row>
    <row r="106" spans="1:26" x14ac:dyDescent="0.25">
      <c r="A106" t="s">
        <v>48</v>
      </c>
      <c r="D106" s="14">
        <v>82.848361248878646</v>
      </c>
      <c r="E106" s="14">
        <v>80.982424123139737</v>
      </c>
      <c r="F106" s="14">
        <v>79.47964232338181</v>
      </c>
      <c r="G106" s="14">
        <v>69.84898823467995</v>
      </c>
      <c r="H106" s="14">
        <v>73.249929739631327</v>
      </c>
      <c r="I106" s="14">
        <v>85.542159324072003</v>
      </c>
      <c r="J106" s="14">
        <v>82.832744934229922</v>
      </c>
      <c r="K106" s="14">
        <v>64.015008101264272</v>
      </c>
      <c r="L106" s="14">
        <v>74.162129063637963</v>
      </c>
      <c r="M106" s="14">
        <v>83.753684294620399</v>
      </c>
      <c r="N106" s="14">
        <v>83.034528654260427</v>
      </c>
      <c r="O106" s="14">
        <v>86.385878909107106</v>
      </c>
      <c r="P106" s="14">
        <v>87.146751122535619</v>
      </c>
      <c r="Q106" s="14">
        <v>86.886006290145033</v>
      </c>
      <c r="R106" s="14">
        <v>86.272932938525656</v>
      </c>
      <c r="S106" s="14">
        <v>83.198922173606817</v>
      </c>
      <c r="T106" s="14">
        <v>86.725988411183607</v>
      </c>
      <c r="U106" s="14">
        <v>81.050352917667055</v>
      </c>
      <c r="V106" s="14">
        <v>53.088048645549158</v>
      </c>
      <c r="W106" s="14">
        <v>61.997278030388166</v>
      </c>
      <c r="Y106" s="14">
        <f t="shared" si="12"/>
        <v>1572.5017594805045</v>
      </c>
      <c r="Z106">
        <f t="shared" si="13"/>
        <v>260.05256959106168</v>
      </c>
    </row>
    <row r="107" spans="1:26" x14ac:dyDescent="0.25">
      <c r="A107" t="s">
        <v>49</v>
      </c>
      <c r="D107" s="14">
        <v>36.344162734809807</v>
      </c>
      <c r="E107" s="14">
        <v>62.359005531898283</v>
      </c>
      <c r="F107" s="14">
        <v>70.85923632940478</v>
      </c>
      <c r="G107" s="14">
        <v>66.650681678941908</v>
      </c>
      <c r="H107" s="14">
        <v>88.013784283470869</v>
      </c>
      <c r="I107" s="14">
        <v>83.36110232538887</v>
      </c>
      <c r="J107" s="14">
        <v>75.696878340437266</v>
      </c>
      <c r="K107" s="14">
        <v>80.289448781046417</v>
      </c>
      <c r="L107" s="14">
        <v>70.440238083831602</v>
      </c>
      <c r="M107" s="14">
        <v>85.279201921191842</v>
      </c>
      <c r="N107" s="14">
        <v>73.206889529790729</v>
      </c>
      <c r="O107" s="14">
        <v>76.523550223291565</v>
      </c>
      <c r="P107" s="14">
        <v>79.052200013459668</v>
      </c>
      <c r="Q107" s="14">
        <v>78.302500122066931</v>
      </c>
      <c r="R107" s="14">
        <v>80.401175579828504</v>
      </c>
      <c r="S107" s="14">
        <v>79.838649072178796</v>
      </c>
      <c r="T107" s="14">
        <v>82.189029402048703</v>
      </c>
      <c r="U107" s="14">
        <v>66.288926357542593</v>
      </c>
      <c r="V107" s="14">
        <v>72.48868238208432</v>
      </c>
      <c r="W107" s="14">
        <v>69.060772338944787</v>
      </c>
      <c r="Y107" s="14">
        <f t="shared" si="12"/>
        <v>1476.6461150316582</v>
      </c>
      <c r="Z107">
        <f t="shared" si="13"/>
        <v>271.99578601591651</v>
      </c>
    </row>
    <row r="108" spans="1:26" x14ac:dyDescent="0.25">
      <c r="A108" t="s">
        <v>50</v>
      </c>
      <c r="D108" s="14">
        <v>58.272363674646954</v>
      </c>
      <c r="E108" s="14">
        <v>61.385933308294568</v>
      </c>
      <c r="F108" s="14">
        <v>62.383670832275094</v>
      </c>
      <c r="G108" s="14">
        <v>62.142710416956824</v>
      </c>
      <c r="H108" s="14">
        <v>71.158525667347249</v>
      </c>
      <c r="I108" s="14">
        <v>84.602757768545501</v>
      </c>
      <c r="J108" s="14">
        <v>88.742336774562901</v>
      </c>
      <c r="K108" s="14">
        <v>85.787801755723294</v>
      </c>
      <c r="L108" s="14">
        <v>76.3854003027066</v>
      </c>
      <c r="M108" s="14">
        <v>82.386284380127989</v>
      </c>
      <c r="N108" s="14">
        <v>82.835131764850232</v>
      </c>
      <c r="O108" s="14">
        <v>85.771839933813609</v>
      </c>
      <c r="P108" s="14">
        <v>90.041015762581296</v>
      </c>
      <c r="Q108" s="14">
        <v>85.779017109068704</v>
      </c>
      <c r="R108" s="14">
        <v>84.60195893775979</v>
      </c>
      <c r="S108" s="14">
        <v>88.924577267887372</v>
      </c>
      <c r="T108" s="14">
        <v>89.092866064339049</v>
      </c>
      <c r="U108" s="14">
        <v>84.256317453683693</v>
      </c>
      <c r="V108" s="14">
        <v>86.863793248993389</v>
      </c>
      <c r="W108" s="14">
        <v>84.173233768062531</v>
      </c>
      <c r="Y108" s="14">
        <f t="shared" si="12"/>
        <v>1595.5875361922265</v>
      </c>
      <c r="Z108">
        <f t="shared" si="13"/>
        <v>270.62103640472429</v>
      </c>
    </row>
    <row r="109" spans="1:26" x14ac:dyDescent="0.25">
      <c r="A109" t="s">
        <v>51</v>
      </c>
      <c r="D109" s="14">
        <v>89.408067799817175</v>
      </c>
      <c r="E109" s="14">
        <v>84.59202953255668</v>
      </c>
      <c r="F109" s="14">
        <v>89.35599248526033</v>
      </c>
      <c r="G109" s="14">
        <v>91.00664099391588</v>
      </c>
      <c r="H109" s="14">
        <v>86.992881824901374</v>
      </c>
      <c r="I109" s="14">
        <v>84.555083553858296</v>
      </c>
      <c r="J109" s="14">
        <v>83.696413322609075</v>
      </c>
      <c r="K109" s="14">
        <v>82.453118265347072</v>
      </c>
      <c r="L109" s="14">
        <v>75.595167581012987</v>
      </c>
      <c r="M109" s="14">
        <v>82.334979800486579</v>
      </c>
      <c r="N109" s="14">
        <v>89.539066905598176</v>
      </c>
      <c r="O109" s="14">
        <v>74.689594519984254</v>
      </c>
      <c r="P109" s="14">
        <v>85.165755119347949</v>
      </c>
      <c r="Q109" s="14">
        <v>86.962834459570104</v>
      </c>
      <c r="R109" s="14">
        <v>84.430062918715592</v>
      </c>
      <c r="S109" s="14">
        <v>85.144627967772593</v>
      </c>
      <c r="T109" s="14">
        <v>86.674571582739617</v>
      </c>
      <c r="U109" s="14">
        <v>80.417775570876373</v>
      </c>
      <c r="V109" s="14">
        <v>76.232747529246382</v>
      </c>
      <c r="W109" s="14">
        <v>83.532668694099698</v>
      </c>
      <c r="Y109" s="14">
        <f t="shared" si="12"/>
        <v>1682.7800804277158</v>
      </c>
      <c r="Z109">
        <f t="shared" si="13"/>
        <v>286.02462630761357</v>
      </c>
    </row>
    <row r="110" spans="1:26" x14ac:dyDescent="0.25">
      <c r="A110" t="s">
        <v>52</v>
      </c>
      <c r="D110" s="14">
        <v>88.300357134353106</v>
      </c>
      <c r="E110" s="14">
        <v>89.905061540720595</v>
      </c>
      <c r="F110" s="14">
        <v>86.735534901022632</v>
      </c>
      <c r="G110" s="14">
        <v>88.741853131359349</v>
      </c>
      <c r="H110" s="14">
        <v>88.738833571025665</v>
      </c>
      <c r="I110" s="14">
        <v>89.201911029199891</v>
      </c>
      <c r="J110" s="14">
        <v>90.075400348709834</v>
      </c>
      <c r="K110" s="14">
        <v>89.810949484956609</v>
      </c>
      <c r="L110" s="14">
        <v>71.28621476670429</v>
      </c>
      <c r="M110" s="14">
        <v>79.416248450995369</v>
      </c>
      <c r="N110" s="14">
        <v>82.447946565719803</v>
      </c>
      <c r="O110" s="14">
        <v>84.196916498702919</v>
      </c>
      <c r="P110" s="14">
        <v>81.339222874380653</v>
      </c>
      <c r="Q110" s="14">
        <v>88.255078244120185</v>
      </c>
      <c r="R110" s="14">
        <v>71.592223976958607</v>
      </c>
      <c r="S110" s="14">
        <v>73.686150986188949</v>
      </c>
      <c r="T110" s="14">
        <v>71.541383443441347</v>
      </c>
      <c r="U110" s="14">
        <v>79.225676223056126</v>
      </c>
      <c r="V110" s="14">
        <v>77.421068357033874</v>
      </c>
      <c r="W110" s="14">
        <v>77.300756310761841</v>
      </c>
      <c r="Y110" s="14">
        <f t="shared" si="12"/>
        <v>1649.2187878394118</v>
      </c>
      <c r="Z110">
        <f t="shared" si="13"/>
        <v>284.53353711356829</v>
      </c>
    </row>
    <row r="111" spans="1:26" x14ac:dyDescent="0.25">
      <c r="A111" t="s">
        <v>53</v>
      </c>
      <c r="D111" s="14">
        <v>84.394089018447985</v>
      </c>
      <c r="E111" s="14">
        <v>83.015056570103937</v>
      </c>
      <c r="F111" s="14">
        <v>83.197403833735208</v>
      </c>
      <c r="G111" s="14">
        <v>83.591496072905741</v>
      </c>
      <c r="H111" s="14">
        <v>79.86597371448552</v>
      </c>
      <c r="I111" s="14">
        <v>80.337270625288625</v>
      </c>
      <c r="J111" s="14">
        <v>78.472978123451838</v>
      </c>
      <c r="K111" s="14">
        <v>82.04107979736628</v>
      </c>
      <c r="L111" s="14">
        <v>74.792300829165384</v>
      </c>
      <c r="M111" s="14">
        <v>83.581714685282847</v>
      </c>
      <c r="N111" s="14">
        <v>87.559432704975535</v>
      </c>
      <c r="O111" s="14">
        <v>84.68029181808501</v>
      </c>
      <c r="P111" s="14">
        <v>85.014834764163069</v>
      </c>
      <c r="Q111" s="14">
        <v>81.713264844826</v>
      </c>
      <c r="R111" s="14">
        <v>85.14774913613924</v>
      </c>
      <c r="S111" s="14">
        <v>80.148288983511307</v>
      </c>
      <c r="T111" s="14">
        <v>85.018017598715787</v>
      </c>
      <c r="U111" s="14">
        <v>79.781178322850565</v>
      </c>
      <c r="V111" s="14">
        <v>75.441078714108386</v>
      </c>
      <c r="W111" s="14">
        <v>73.836021724881604</v>
      </c>
      <c r="Y111" s="14">
        <f t="shared" si="12"/>
        <v>1631.6295218824898</v>
      </c>
      <c r="Z111">
        <f t="shared" si="13"/>
        <v>275.19607346676725</v>
      </c>
    </row>
    <row r="112" spans="1:26" x14ac:dyDescent="0.25">
      <c r="A112" t="s">
        <v>54</v>
      </c>
      <c r="D112" s="14">
        <v>80.367873666087647</v>
      </c>
      <c r="E112" s="14">
        <v>78.590890377193901</v>
      </c>
      <c r="F112" s="14">
        <v>68.589132263032099</v>
      </c>
      <c r="G112" s="14">
        <v>68.228577401425056</v>
      </c>
      <c r="H112" s="14">
        <v>59.751099478072888</v>
      </c>
      <c r="I112" s="14">
        <v>73.067047386854526</v>
      </c>
      <c r="J112" s="14">
        <v>76.216638830158459</v>
      </c>
      <c r="K112" s="14">
        <v>70.430944489086301</v>
      </c>
      <c r="L112" s="14">
        <v>54.209688344115776</v>
      </c>
      <c r="M112" s="14">
        <v>61.088777078696531</v>
      </c>
      <c r="N112" s="14">
        <v>65.874942222173516</v>
      </c>
      <c r="O112" s="14">
        <v>69.51251610504336</v>
      </c>
      <c r="P112" s="14">
        <v>68.232035368931918</v>
      </c>
      <c r="Q112" s="14">
        <v>75.333296842876194</v>
      </c>
      <c r="R112" s="14">
        <v>64.599933905838029</v>
      </c>
      <c r="S112" s="14">
        <v>62.355314781766843</v>
      </c>
      <c r="T112" s="14">
        <v>66.017393512218561</v>
      </c>
      <c r="U112" s="14">
        <v>64.085809212485927</v>
      </c>
      <c r="V112" s="14">
        <v>62.622065483325521</v>
      </c>
      <c r="W112" s="14">
        <v>82.800183469534133</v>
      </c>
      <c r="Y112" s="14">
        <f t="shared" si="12"/>
        <v>1371.9741602189172</v>
      </c>
      <c r="Z112">
        <f t="shared" si="13"/>
        <v>225.07635173590043</v>
      </c>
    </row>
    <row r="113" spans="1:27" x14ac:dyDescent="0.25">
      <c r="A113" t="s">
        <v>55</v>
      </c>
      <c r="D113" s="14">
        <v>74.347582604497376</v>
      </c>
      <c r="E113" s="14">
        <v>67.565357305127705</v>
      </c>
      <c r="F113" s="14">
        <v>67.874478240983862</v>
      </c>
      <c r="G113" s="14">
        <v>64.6335719864109</v>
      </c>
      <c r="H113" s="14">
        <v>67.961245582433392</v>
      </c>
      <c r="I113" s="14">
        <v>57.017963279450342</v>
      </c>
      <c r="J113" s="14">
        <v>74.136715722081632</v>
      </c>
      <c r="K113" s="14">
        <v>69.964605093408963</v>
      </c>
      <c r="L113" s="14">
        <v>50.526216454101665</v>
      </c>
      <c r="M113" s="14">
        <v>72.670282988917663</v>
      </c>
      <c r="N113" s="14">
        <v>60.981739921461944</v>
      </c>
      <c r="O113" s="14">
        <v>65.886188938916305</v>
      </c>
      <c r="P113" s="14">
        <v>67.526137845563227</v>
      </c>
      <c r="Q113" s="14">
        <v>48.343671177057104</v>
      </c>
      <c r="R113" s="14">
        <v>68.040958576905567</v>
      </c>
      <c r="S113" s="14">
        <v>67.379543637168069</v>
      </c>
      <c r="T113" s="14">
        <v>67.013149405177614</v>
      </c>
      <c r="U113" s="14">
        <v>61.546261250401663</v>
      </c>
      <c r="V113" s="14">
        <v>45.034683711955111</v>
      </c>
      <c r="W113" s="14">
        <v>76.94854176530319</v>
      </c>
      <c r="Y113" s="14">
        <f t="shared" si="12"/>
        <v>1295.398895487323</v>
      </c>
      <c r="Z113">
        <f t="shared" si="13"/>
        <v>222.57643371351276</v>
      </c>
    </row>
    <row r="114" spans="1:27" x14ac:dyDescent="0.25">
      <c r="A114" t="s">
        <v>56</v>
      </c>
      <c r="D114" s="14">
        <v>81.607439413527786</v>
      </c>
      <c r="E114" s="14">
        <v>73.786069841619579</v>
      </c>
      <c r="F114" s="14">
        <v>66.399491404954887</v>
      </c>
      <c r="G114" s="14">
        <v>69.480632125178204</v>
      </c>
      <c r="H114" s="14">
        <v>63.953886384080775</v>
      </c>
      <c r="I114" s="14">
        <v>83.607010325256383</v>
      </c>
      <c r="J114" s="14">
        <v>79.700461840301926</v>
      </c>
      <c r="K114" s="14">
        <v>72.308910205832248</v>
      </c>
      <c r="L114" s="14">
        <v>58.848993817091213</v>
      </c>
      <c r="M114" s="14">
        <v>56.580532264984654</v>
      </c>
      <c r="N114" s="14">
        <v>71.27429045556724</v>
      </c>
      <c r="O114" s="14">
        <v>71.192961655920882</v>
      </c>
      <c r="P114" s="14">
        <v>74.348409925586637</v>
      </c>
      <c r="Q114" s="14">
        <v>63.996937077326798</v>
      </c>
      <c r="R114" s="14">
        <v>58.283142774239089</v>
      </c>
      <c r="S114" s="14">
        <v>66.745962433854672</v>
      </c>
      <c r="T114" s="14">
        <v>64.92255200302489</v>
      </c>
      <c r="U114" s="14">
        <v>65.364194933437261</v>
      </c>
      <c r="V114" s="14">
        <v>58.283142774239089</v>
      </c>
      <c r="W114" s="14">
        <v>66.745962433854672</v>
      </c>
      <c r="Y114" s="14">
        <f t="shared" si="12"/>
        <v>1367.4309840898791</v>
      </c>
      <c r="Z114">
        <f t="shared" si="13"/>
        <v>226.45621997432153</v>
      </c>
    </row>
    <row r="115" spans="1:27" x14ac:dyDescent="0.25">
      <c r="A115" t="s">
        <v>57</v>
      </c>
      <c r="D115" s="14">
        <v>83.965507487599922</v>
      </c>
      <c r="E115" s="14">
        <v>83.4685545583135</v>
      </c>
      <c r="F115" s="14">
        <v>73.132543833139707</v>
      </c>
      <c r="G115" s="14">
        <v>81.032588734787751</v>
      </c>
      <c r="H115" s="14">
        <v>82.615298724219215</v>
      </c>
      <c r="I115" s="14">
        <v>67.981624798972533</v>
      </c>
      <c r="J115" s="14">
        <v>73.652325136574206</v>
      </c>
      <c r="K115" s="14">
        <v>80.01753127308298</v>
      </c>
      <c r="L115" s="14">
        <v>72.896527600247921</v>
      </c>
      <c r="M115" s="14">
        <v>58.427599861186181</v>
      </c>
      <c r="N115" s="14">
        <v>46.536845026852909</v>
      </c>
      <c r="O115" s="14">
        <v>44.313988095205573</v>
      </c>
      <c r="P115" s="14">
        <v>55.032838587429282</v>
      </c>
      <c r="Q115" s="14">
        <v>78.171973132322051</v>
      </c>
      <c r="R115" s="14">
        <v>80.847951506123664</v>
      </c>
      <c r="S115" s="14">
        <v>83.794000287977042</v>
      </c>
      <c r="T115" s="14">
        <v>68.446863576688784</v>
      </c>
      <c r="U115" s="14">
        <v>73.097292988328761</v>
      </c>
      <c r="V115" s="14">
        <v>67.31276987560021</v>
      </c>
      <c r="W115" s="14">
        <v>61.488104337586989</v>
      </c>
      <c r="Y115" s="14">
        <f t="shared" si="12"/>
        <v>1416.2327294222393</v>
      </c>
      <c r="Z115">
        <f t="shared" si="13"/>
        <v>228.00904954462425</v>
      </c>
    </row>
    <row r="116" spans="1:27" x14ac:dyDescent="0.25">
      <c r="A116" t="s">
        <v>58</v>
      </c>
      <c r="D116" s="14">
        <v>75.226115070113636</v>
      </c>
      <c r="E116" s="14">
        <v>79.258901666712646</v>
      </c>
      <c r="F116" s="14">
        <v>65.589059381642357</v>
      </c>
      <c r="G116" s="14">
        <v>62.781775115536377</v>
      </c>
      <c r="H116" s="14">
        <v>76.9077373595035</v>
      </c>
      <c r="I116" s="14">
        <v>73.937432348873116</v>
      </c>
      <c r="J116" s="14">
        <v>82.35816034204899</v>
      </c>
      <c r="K116" s="14">
        <v>65.983616363004344</v>
      </c>
      <c r="L116" s="14">
        <v>58.660422545504339</v>
      </c>
      <c r="M116" s="14">
        <v>77.347361779817987</v>
      </c>
      <c r="N116" s="14">
        <v>71.898892673665941</v>
      </c>
      <c r="O116" s="14">
        <v>76.864732634011574</v>
      </c>
      <c r="P116" s="14">
        <v>76.538484482063112</v>
      </c>
      <c r="Q116" s="14">
        <v>62.764047650693136</v>
      </c>
      <c r="R116" s="14">
        <v>66.536513366126286</v>
      </c>
      <c r="S116" s="14">
        <v>63.421798116649484</v>
      </c>
      <c r="T116" s="14">
        <v>68.720729034130798</v>
      </c>
      <c r="U116" s="14">
        <v>64.441556940815985</v>
      </c>
      <c r="V116" s="14">
        <v>65.260137529896852</v>
      </c>
      <c r="W116" s="14">
        <v>68.590779750845158</v>
      </c>
      <c r="Y116" s="14">
        <f t="shared" si="12"/>
        <v>1403.0882541516555</v>
      </c>
      <c r="Z116">
        <f t="shared" si="13"/>
        <v>244.11716316666789</v>
      </c>
    </row>
    <row r="117" spans="1:27" x14ac:dyDescent="0.25">
      <c r="A117" t="s">
        <v>59</v>
      </c>
      <c r="D117" s="14">
        <v>75.644140313743378</v>
      </c>
      <c r="E117" s="14">
        <v>50.360554147384384</v>
      </c>
      <c r="F117" s="14">
        <v>75.124025933442795</v>
      </c>
      <c r="G117" s="14">
        <v>82.044177498232656</v>
      </c>
      <c r="H117" s="14">
        <v>71.713606451710888</v>
      </c>
      <c r="I117" s="14">
        <v>77.643010712347817</v>
      </c>
      <c r="J117" s="14">
        <v>78.492100810052676</v>
      </c>
      <c r="K117" s="14">
        <v>79.571822718650893</v>
      </c>
      <c r="L117" s="14">
        <v>66.116726064125842</v>
      </c>
      <c r="M117" s="14">
        <v>73.312617352289323</v>
      </c>
      <c r="N117" s="14">
        <v>62.998301594576091</v>
      </c>
      <c r="O117" s="14">
        <v>67.11338725973124</v>
      </c>
      <c r="P117" s="14">
        <v>78.320585077729746</v>
      </c>
      <c r="Q117" s="14">
        <v>71.21030469077013</v>
      </c>
      <c r="R117" s="14">
        <v>113.32547537488639</v>
      </c>
      <c r="S117" s="14">
        <v>62.138509109039411</v>
      </c>
      <c r="T117" s="14">
        <v>31.921641433339385</v>
      </c>
      <c r="U117" s="14">
        <v>59.24337688852939</v>
      </c>
      <c r="V117" s="14">
        <v>60.683802949490023</v>
      </c>
      <c r="W117" s="14">
        <v>70.003514953336762</v>
      </c>
      <c r="Y117" s="14">
        <f t="shared" si="12"/>
        <v>1406.9816813334091</v>
      </c>
      <c r="Z117">
        <f t="shared" si="13"/>
        <v>239.44439446878241</v>
      </c>
    </row>
    <row r="118" spans="1:27" x14ac:dyDescent="0.25">
      <c r="A118" t="s">
        <v>60</v>
      </c>
      <c r="D118" s="14">
        <v>66.257663589614268</v>
      </c>
      <c r="E118" s="14">
        <v>70.143949257833043</v>
      </c>
      <c r="F118" s="14">
        <v>77.888850042704775</v>
      </c>
      <c r="G118" s="14">
        <v>68.518252274863443</v>
      </c>
      <c r="H118" s="14">
        <v>67.016071074869885</v>
      </c>
      <c r="I118" s="14">
        <v>60.439334054013202</v>
      </c>
      <c r="J118" s="14">
        <v>65.398576371814471</v>
      </c>
      <c r="K118" s="14">
        <v>79.596221655299345</v>
      </c>
      <c r="L118" s="14">
        <v>61.540332398894343</v>
      </c>
      <c r="M118" s="14">
        <v>63.805715405437851</v>
      </c>
      <c r="N118" s="14">
        <v>69.339167723614381</v>
      </c>
      <c r="O118" s="14">
        <v>71.134159547325552</v>
      </c>
      <c r="P118" s="14">
        <v>55.556125999038841</v>
      </c>
      <c r="Q118" s="14">
        <v>53.292830337197231</v>
      </c>
      <c r="R118" s="14">
        <v>56.79430014102801</v>
      </c>
      <c r="S118" s="14">
        <v>62.374152547087832</v>
      </c>
      <c r="T118" s="14">
        <v>70.822611183427725</v>
      </c>
      <c r="U118" s="14">
        <v>65.100324138930873</v>
      </c>
      <c r="V118" s="14">
        <v>75.15266671266815</v>
      </c>
      <c r="W118" s="14">
        <v>70.496147053856774</v>
      </c>
      <c r="Y118" s="14">
        <f t="shared" si="12"/>
        <v>1330.6674515095197</v>
      </c>
      <c r="Z118">
        <f t="shared" si="13"/>
        <v>229.08725211867704</v>
      </c>
      <c r="AA118" s="14"/>
    </row>
    <row r="119" spans="1:27" x14ac:dyDescent="0.25">
      <c r="A119" t="s">
        <v>61</v>
      </c>
      <c r="D119" s="14">
        <v>76.516134440226821</v>
      </c>
      <c r="E119" s="14">
        <v>76.036489912277176</v>
      </c>
      <c r="F119" s="14">
        <v>64.705229813100544</v>
      </c>
      <c r="G119" s="14">
        <v>70.971495538761516</v>
      </c>
      <c r="H119" s="14">
        <v>72.603345677118114</v>
      </c>
      <c r="I119" s="14">
        <v>74.194223792683346</v>
      </c>
      <c r="J119" s="14">
        <v>64.001148657059446</v>
      </c>
      <c r="K119" s="14">
        <v>72.707030767802308</v>
      </c>
      <c r="L119" s="14">
        <v>76.292343105624738</v>
      </c>
      <c r="M119" s="14">
        <v>75.689783157616063</v>
      </c>
      <c r="N119" s="14">
        <v>71.544500349017184</v>
      </c>
      <c r="O119" s="14">
        <v>72.483049240771336</v>
      </c>
      <c r="P119" s="14">
        <v>69.88114849829563</v>
      </c>
      <c r="Q119" s="14">
        <v>74.763870104449708</v>
      </c>
      <c r="R119" s="14">
        <v>82.914728209989207</v>
      </c>
      <c r="S119" s="14">
        <v>79.925889808556207</v>
      </c>
      <c r="T119" s="14">
        <v>68.483832100827001</v>
      </c>
      <c r="U119" s="14">
        <v>73.630221754271631</v>
      </c>
      <c r="V119" s="14">
        <v>62.493882953702318</v>
      </c>
      <c r="W119" s="14">
        <v>70.297156296265598</v>
      </c>
      <c r="Y119" s="14">
        <f t="shared" si="12"/>
        <v>1450.1355041784154</v>
      </c>
      <c r="Z119">
        <f t="shared" si="13"/>
        <v>237.76010713495407</v>
      </c>
      <c r="AA119" s="14"/>
    </row>
    <row r="120" spans="1:27" x14ac:dyDescent="0.25">
      <c r="A120" t="s">
        <v>62</v>
      </c>
      <c r="D120" s="14">
        <v>76.112136201680372</v>
      </c>
      <c r="E120" s="14">
        <v>80.346734257792974</v>
      </c>
      <c r="F120" s="14">
        <v>82.822705640979862</v>
      </c>
      <c r="G120" s="14">
        <v>67.855736640957232</v>
      </c>
      <c r="H120" s="14">
        <v>81.882743507404683</v>
      </c>
      <c r="I120" s="14">
        <v>81.421247475139779</v>
      </c>
      <c r="J120" s="14">
        <v>78.983104885334185</v>
      </c>
      <c r="K120" s="14">
        <v>74.425003355097815</v>
      </c>
      <c r="L120" s="14">
        <v>85.013541583360308</v>
      </c>
      <c r="M120" s="14">
        <v>74.206258898905887</v>
      </c>
      <c r="N120" s="14">
        <v>84.509130096383245</v>
      </c>
      <c r="O120" s="14">
        <v>76.204730604195376</v>
      </c>
      <c r="P120" s="14">
        <v>61.48929013359075</v>
      </c>
      <c r="Q120" s="14">
        <v>75.766318925114959</v>
      </c>
      <c r="R120" s="14">
        <v>66.807744697453387</v>
      </c>
      <c r="S120" s="14">
        <v>61.435491055390308</v>
      </c>
      <c r="T120" s="14">
        <v>69.150679557595197</v>
      </c>
      <c r="U120" s="14">
        <v>64.259960419289754</v>
      </c>
      <c r="V120" s="14">
        <v>76.154981607671331</v>
      </c>
      <c r="W120" s="14">
        <v>67.783075854882412</v>
      </c>
      <c r="Y120" s="14">
        <f t="shared" si="12"/>
        <v>1486.6306153982196</v>
      </c>
      <c r="Z120">
        <f t="shared" si="13"/>
        <v>257.50510881960247</v>
      </c>
      <c r="AA120" s="14"/>
    </row>
    <row r="121" spans="1:27" x14ac:dyDescent="0.25">
      <c r="A121" t="s">
        <v>63</v>
      </c>
      <c r="D121" s="14">
        <v>69.698363836580498</v>
      </c>
      <c r="E121" s="14">
        <v>70.236827855343975</v>
      </c>
      <c r="F121" s="14">
        <v>75.273023055948329</v>
      </c>
      <c r="G121" s="14">
        <v>64.803021989304696</v>
      </c>
      <c r="H121" s="14">
        <v>57.12633327180874</v>
      </c>
      <c r="I121" s="14">
        <v>68.75836996574121</v>
      </c>
      <c r="J121" s="14">
        <v>81.011370813254402</v>
      </c>
      <c r="K121" s="14">
        <v>74.92836021052544</v>
      </c>
      <c r="L121" s="14">
        <v>81.151797141992574</v>
      </c>
      <c r="M121" s="14">
        <v>69.553975215040438</v>
      </c>
      <c r="N121" s="14">
        <v>78.186114349798416</v>
      </c>
      <c r="O121" s="14">
        <v>81.908377358388975</v>
      </c>
      <c r="P121" s="14">
        <v>79.611984705179637</v>
      </c>
      <c r="Q121" s="14">
        <v>82.770578758724355</v>
      </c>
      <c r="R121" s="14">
        <v>80.6924615607319</v>
      </c>
      <c r="S121" s="14">
        <v>74.418176521648306</v>
      </c>
      <c r="T121" s="14">
        <v>72.289284821695631</v>
      </c>
      <c r="U121" s="14">
        <v>78.574179444786409</v>
      </c>
      <c r="V121" s="14">
        <v>77.526453882298128</v>
      </c>
      <c r="W121" s="14">
        <v>70.322622078375545</v>
      </c>
      <c r="Y121" s="14">
        <f t="shared" si="12"/>
        <v>1488.8416768371678</v>
      </c>
      <c r="Z121">
        <f t="shared" si="13"/>
        <v>237.4461160005248</v>
      </c>
      <c r="AA121" s="14"/>
    </row>
    <row r="122" spans="1:27" x14ac:dyDescent="0.25">
      <c r="A122" t="s">
        <v>64</v>
      </c>
      <c r="D122" s="14">
        <v>60.208091340737212</v>
      </c>
      <c r="E122" s="14">
        <v>75.149622426794139</v>
      </c>
      <c r="F122" s="14">
        <v>92.211027829884756</v>
      </c>
      <c r="G122" s="14">
        <v>70.904831191913942</v>
      </c>
      <c r="H122" s="14">
        <v>68.77759891093406</v>
      </c>
      <c r="I122" s="14">
        <v>81.956030949643647</v>
      </c>
      <c r="J122" s="14">
        <v>80.111314931830648</v>
      </c>
      <c r="K122" s="14">
        <v>78.625791101849117</v>
      </c>
      <c r="L122" s="14">
        <v>84.328256826419505</v>
      </c>
      <c r="M122" s="14">
        <v>68.586745964858466</v>
      </c>
      <c r="N122" s="14">
        <v>68.302464812773991</v>
      </c>
      <c r="O122" s="14">
        <v>67.974767183082818</v>
      </c>
      <c r="P122" s="14">
        <v>70.870462874768961</v>
      </c>
      <c r="Q122" s="14">
        <v>68.234739447936946</v>
      </c>
      <c r="R122" s="14">
        <v>72.159529257924035</v>
      </c>
      <c r="S122" s="14">
        <v>70.572341274357186</v>
      </c>
      <c r="T122" s="14">
        <v>61.449534085656857</v>
      </c>
      <c r="U122" s="14">
        <v>78.047377132561778</v>
      </c>
      <c r="V122" s="14">
        <v>66.416812142684606</v>
      </c>
      <c r="W122" s="14">
        <v>73.914406910835041</v>
      </c>
      <c r="Y122" s="14">
        <f t="shared" si="12"/>
        <v>1458.8017465974474</v>
      </c>
      <c r="Z122">
        <f t="shared" si="13"/>
        <v>243.29140937813773</v>
      </c>
      <c r="AA122" s="14"/>
    </row>
    <row r="123" spans="1:27" x14ac:dyDescent="0.25">
      <c r="A123" t="s">
        <v>65</v>
      </c>
      <c r="D123" s="14">
        <v>73.615108964649167</v>
      </c>
      <c r="E123" s="14">
        <v>76.318300869430729</v>
      </c>
      <c r="F123" s="14">
        <v>77.894466046235422</v>
      </c>
      <c r="G123" s="14">
        <v>77.100956957094652</v>
      </c>
      <c r="H123" s="14">
        <v>78.761349527578773</v>
      </c>
      <c r="I123" s="14">
        <v>83.14486031421977</v>
      </c>
      <c r="J123" s="14">
        <v>82.809631475020794</v>
      </c>
      <c r="K123" s="14">
        <v>79.629127304213497</v>
      </c>
      <c r="L123" s="14">
        <v>73.486792259807387</v>
      </c>
      <c r="M123" s="14">
        <v>69.818683245486739</v>
      </c>
      <c r="N123" s="14">
        <v>77.984372174131565</v>
      </c>
      <c r="O123" s="14">
        <v>70.512093014729103</v>
      </c>
      <c r="P123" s="14">
        <v>68.304733524474173</v>
      </c>
      <c r="Q123" s="14">
        <v>69.540297747789225</v>
      </c>
      <c r="R123" s="14">
        <v>80.720057476784078</v>
      </c>
      <c r="S123" s="14">
        <v>63.762840522598523</v>
      </c>
      <c r="T123" s="14">
        <v>71.320303416317543</v>
      </c>
      <c r="U123" s="14">
        <v>70.22543687265383</v>
      </c>
      <c r="V123" s="14">
        <v>72.022497765762992</v>
      </c>
      <c r="W123" s="14">
        <v>76.100130619524677</v>
      </c>
      <c r="Y123" s="14">
        <f t="shared" si="12"/>
        <v>1493.0720400985026</v>
      </c>
      <c r="Z123">
        <f t="shared" si="13"/>
        <v>256.0213787395935</v>
      </c>
    </row>
    <row r="124" spans="1:27" x14ac:dyDescent="0.25">
      <c r="A124" t="s">
        <v>66</v>
      </c>
      <c r="D124" s="14">
        <v>36.344162734809807</v>
      </c>
      <c r="E124" s="14">
        <v>62.359005531898283</v>
      </c>
      <c r="F124" s="14">
        <v>70.85923632940478</v>
      </c>
      <c r="G124" s="14">
        <v>66.650681678941908</v>
      </c>
      <c r="H124" s="14">
        <v>88.013784283470869</v>
      </c>
      <c r="I124" s="14">
        <v>83.36110232538887</v>
      </c>
      <c r="J124" s="14">
        <v>75.696878340437266</v>
      </c>
      <c r="K124" s="14">
        <v>80.289448781046417</v>
      </c>
      <c r="L124" s="14">
        <v>70.440238083831602</v>
      </c>
      <c r="M124" s="14">
        <v>85.279201921191842</v>
      </c>
      <c r="N124" s="14">
        <v>73.206889529790729</v>
      </c>
      <c r="O124" s="14">
        <v>76.523550223291565</v>
      </c>
      <c r="P124" s="14">
        <v>80.325809158504285</v>
      </c>
      <c r="Q124" s="14">
        <v>79.630129596373095</v>
      </c>
      <c r="R124" s="14">
        <v>78.494370682932342</v>
      </c>
      <c r="S124" s="14">
        <v>79.980814305417979</v>
      </c>
      <c r="T124" s="14">
        <v>82.17055370465296</v>
      </c>
      <c r="U124" s="14">
        <v>79.286098939697879</v>
      </c>
      <c r="V124" s="14">
        <v>72.049365137892153</v>
      </c>
      <c r="W124" s="14">
        <v>74.193228594908405</v>
      </c>
      <c r="Y124" s="14">
        <f t="shared" si="12"/>
        <v>1495.154549883883</v>
      </c>
      <c r="Z124">
        <f t="shared" si="13"/>
        <v>271.996180591376</v>
      </c>
    </row>
    <row r="125" spans="1:27" x14ac:dyDescent="0.25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Y125" s="14"/>
    </row>
    <row r="126" spans="1:27" x14ac:dyDescent="0.25">
      <c r="A126" t="s">
        <v>67</v>
      </c>
      <c r="D126" s="14">
        <v>71.818612289016031</v>
      </c>
      <c r="E126" s="14">
        <v>75.202174919318523</v>
      </c>
      <c r="F126" s="14">
        <v>77.010643081652134</v>
      </c>
      <c r="G126" s="14">
        <v>76.01920043779279</v>
      </c>
      <c r="H126" s="14">
        <v>78.577245496427636</v>
      </c>
      <c r="I126" s="14">
        <v>83.612791929041649</v>
      </c>
      <c r="J126" s="14">
        <v>83.532407033615627</v>
      </c>
      <c r="K126" s="14">
        <v>79.22713522202136</v>
      </c>
      <c r="L126" s="14">
        <v>73.26920749824771</v>
      </c>
      <c r="M126" s="14">
        <v>68.463069415862819</v>
      </c>
      <c r="N126" s="14">
        <v>69.194600577674521</v>
      </c>
      <c r="O126" s="14">
        <v>69.735784432615986</v>
      </c>
      <c r="P126" s="14">
        <v>68.400628209174457</v>
      </c>
      <c r="Q126" s="14">
        <v>70.723884532777518</v>
      </c>
      <c r="R126" s="14">
        <v>77.866529065671898</v>
      </c>
      <c r="S126" s="14">
        <v>69.093688804811578</v>
      </c>
      <c r="T126" s="14">
        <v>64.733942134408778</v>
      </c>
      <c r="U126" s="14">
        <v>69.624414064463167</v>
      </c>
      <c r="V126" s="14">
        <v>69.224889491086074</v>
      </c>
      <c r="W126" s="14">
        <v>69.888437539500984</v>
      </c>
      <c r="Y126" s="14">
        <f t="shared" si="12"/>
        <v>1465.2192861751812</v>
      </c>
      <c r="Z126">
        <f>SUMPRODUCT($D$130:$W$130,D126:W126)</f>
        <v>250.34678177316638</v>
      </c>
    </row>
    <row r="127" spans="1:27" x14ac:dyDescent="0.25">
      <c r="A127" t="s">
        <v>311</v>
      </c>
      <c r="D127" s="14">
        <v>93.857142857142861</v>
      </c>
      <c r="E127" s="14">
        <v>88.142857142857139</v>
      </c>
      <c r="F127" s="14">
        <v>76.857142857142861</v>
      </c>
      <c r="G127" s="14">
        <v>82.714285714285708</v>
      </c>
      <c r="H127" s="14">
        <v>78.714285714285708</v>
      </c>
      <c r="I127" s="14">
        <v>92.142857142857139</v>
      </c>
      <c r="J127" s="14">
        <v>94.571428571428569</v>
      </c>
      <c r="K127" s="14">
        <v>95.142857142857139</v>
      </c>
      <c r="L127" s="14">
        <v>75.625</v>
      </c>
      <c r="M127" s="14">
        <v>94.571428571428569</v>
      </c>
      <c r="N127" s="14">
        <v>91.428571428571431</v>
      </c>
      <c r="O127" s="14">
        <v>93.142857142857139</v>
      </c>
      <c r="P127" s="14">
        <v>76.538484482063112</v>
      </c>
      <c r="Q127" s="14">
        <v>62.764047650693136</v>
      </c>
      <c r="R127" s="14">
        <v>66.536513366126286</v>
      </c>
      <c r="S127" s="14">
        <v>63.421798116649484</v>
      </c>
      <c r="T127" s="14">
        <v>65</v>
      </c>
      <c r="U127" s="14">
        <v>68.099999999999994</v>
      </c>
      <c r="V127" s="14">
        <v>70.099999999999994</v>
      </c>
      <c r="W127" s="14">
        <v>71.2</v>
      </c>
      <c r="Y127" s="14">
        <f t="shared" si="12"/>
        <v>1600.571557901246</v>
      </c>
      <c r="Z127">
        <f>SUMPRODUCT($D$130:$W$130,D127:W127)</f>
        <v>282.65163775370883</v>
      </c>
    </row>
    <row r="128" spans="1:27" x14ac:dyDescent="0.25">
      <c r="A128" t="s">
        <v>312</v>
      </c>
      <c r="D128" s="17">
        <v>71.150234098175957</v>
      </c>
      <c r="E128" s="17">
        <v>71.227496960979494</v>
      </c>
      <c r="F128" s="17">
        <v>77.988475480328063</v>
      </c>
      <c r="G128" s="17">
        <v>71.742638870161159</v>
      </c>
      <c r="H128" s="17">
        <v>71.125864060203597</v>
      </c>
      <c r="I128" s="17">
        <v>75.365296751969822</v>
      </c>
      <c r="J128" s="17">
        <v>75.82960684919523</v>
      </c>
      <c r="K128" s="17">
        <v>77.069051016205478</v>
      </c>
      <c r="L128" s="17">
        <v>75.418541340032107</v>
      </c>
      <c r="M128" s="17">
        <v>70.710539891376399</v>
      </c>
      <c r="N128" s="17">
        <v>73.266293014327829</v>
      </c>
      <c r="O128" s="17">
        <v>72.47579488688919</v>
      </c>
      <c r="P128" s="17">
        <v>70.463221552958743</v>
      </c>
      <c r="Q128" s="17">
        <v>75.383876809056488</v>
      </c>
      <c r="R128" s="17">
        <v>75.643615931524621</v>
      </c>
      <c r="S128" s="17">
        <v>71.58797466498801</v>
      </c>
      <c r="T128" s="17">
        <v>67.843332641443666</v>
      </c>
      <c r="U128" s="17">
        <v>73.627934687727389</v>
      </c>
      <c r="V128" s="17">
        <v>70.648032646589087</v>
      </c>
      <c r="W128" s="17">
        <v>70.579315285089649</v>
      </c>
      <c r="Y128" s="14">
        <f t="shared" si="12"/>
        <v>1459.1471374392222</v>
      </c>
      <c r="Z128">
        <f>SUMPRODUCT($D$130:$W$130,D128:W128)</f>
        <v>244.32613905580359</v>
      </c>
    </row>
    <row r="129" spans="1:26" x14ac:dyDescent="0.25">
      <c r="A129" t="s">
        <v>674</v>
      </c>
      <c r="D129" s="14">
        <v>67.883762831818473</v>
      </c>
      <c r="E129" s="14">
        <v>68.429742739268306</v>
      </c>
      <c r="F129" s="14">
        <v>60.192981548672847</v>
      </c>
      <c r="G129" s="14">
        <v>47.362700741283085</v>
      </c>
      <c r="H129" s="14">
        <v>49.848359298798037</v>
      </c>
      <c r="I129" s="14">
        <v>73.967203816151738</v>
      </c>
      <c r="J129" s="14">
        <v>76.874915156736833</v>
      </c>
      <c r="K129" s="14">
        <v>75.982172951176125</v>
      </c>
      <c r="L129" s="14">
        <v>67.611258720910698</v>
      </c>
      <c r="M129" s="14">
        <v>70.473405594930881</v>
      </c>
      <c r="N129" s="14">
        <v>71.09594197365054</v>
      </c>
      <c r="O129" s="14">
        <v>72.124274979691506</v>
      </c>
      <c r="P129" s="14">
        <v>66.136412129691223</v>
      </c>
      <c r="Q129" s="14">
        <v>69.328224140091194</v>
      </c>
      <c r="R129" s="14">
        <v>78.274167836619853</v>
      </c>
      <c r="S129" s="14">
        <v>69.644002492335503</v>
      </c>
      <c r="T129" s="14">
        <v>66.936998226589793</v>
      </c>
      <c r="U129" s="14">
        <v>69.758774751600001</v>
      </c>
      <c r="V129" s="14">
        <v>67.273288890031182</v>
      </c>
      <c r="W129" s="14">
        <v>71.901957397131739</v>
      </c>
      <c r="Y129" s="14">
        <f t="shared" ref="Y129" si="14">SUM(D129:W129)</f>
        <v>1361.1005462171795</v>
      </c>
      <c r="Z129">
        <f>SUMPRODUCT($D$130:$W$130,D129:W129)</f>
        <v>218.63107012242838</v>
      </c>
    </row>
    <row r="130" spans="1:26" x14ac:dyDescent="0.25">
      <c r="A130" s="2" t="s">
        <v>68</v>
      </c>
      <c r="D130" s="3">
        <f>CORREL($B$2:$B$25,D101:D124)</f>
        <v>-8.584230316050917E-2</v>
      </c>
      <c r="E130" s="3">
        <f t="shared" ref="E130:W130" si="15">CORREL($B$2:$B$25,E101:E124)</f>
        <v>-6.6358425039742291E-2</v>
      </c>
      <c r="F130" s="3">
        <f t="shared" si="15"/>
        <v>0.24270738412547083</v>
      </c>
      <c r="G130" s="3">
        <f t="shared" si="15"/>
        <v>0.29419116461702527</v>
      </c>
      <c r="H130" s="3">
        <f t="shared" si="15"/>
        <v>0.60624630343439001</v>
      </c>
      <c r="I130" s="3">
        <f t="shared" si="15"/>
        <v>0.30315393279497532</v>
      </c>
      <c r="J130" s="3">
        <f t="shared" si="15"/>
        <v>0.26597164348230712</v>
      </c>
      <c r="K130" s="3">
        <f t="shared" si="15"/>
        <v>0.18933113561892478</v>
      </c>
      <c r="L130" s="3">
        <f t="shared" si="15"/>
        <v>-9.0166165251958488E-2</v>
      </c>
      <c r="M130" s="3">
        <f t="shared" si="15"/>
        <v>0.56432947520378918</v>
      </c>
      <c r="N130" s="3">
        <f t="shared" si="15"/>
        <v>0.25822317096448782</v>
      </c>
      <c r="O130" s="3">
        <f t="shared" si="15"/>
        <v>0.19456700734814092</v>
      </c>
      <c r="P130" s="3">
        <f t="shared" si="15"/>
        <v>4.1032972744659349E-2</v>
      </c>
      <c r="Q130" s="3">
        <f t="shared" si="15"/>
        <v>0.11671851657612085</v>
      </c>
      <c r="R130" s="3">
        <f t="shared" si="15"/>
        <v>-4.2757155861628529E-3</v>
      </c>
      <c r="S130" s="3">
        <f t="shared" si="15"/>
        <v>5.3162134709652191E-2</v>
      </c>
      <c r="T130" s="3">
        <f t="shared" si="15"/>
        <v>0.20096418294875609</v>
      </c>
      <c r="U130" s="3">
        <f t="shared" si="15"/>
        <v>-7.1304733197904605E-2</v>
      </c>
      <c r="V130" s="3">
        <f t="shared" si="15"/>
        <v>0.19537037206213151</v>
      </c>
      <c r="W130" s="3">
        <f t="shared" si="15"/>
        <v>0.1546564278808791</v>
      </c>
    </row>
    <row r="133" spans="1:26" x14ac:dyDescent="0.25">
      <c r="D133" t="s">
        <v>24</v>
      </c>
      <c r="E133" t="s">
        <v>25</v>
      </c>
      <c r="F133" t="s">
        <v>26</v>
      </c>
      <c r="G133" t="s">
        <v>27</v>
      </c>
      <c r="H133" t="s">
        <v>28</v>
      </c>
      <c r="I133" t="s">
        <v>29</v>
      </c>
      <c r="J133" t="s">
        <v>30</v>
      </c>
      <c r="K133" t="s">
        <v>31</v>
      </c>
      <c r="L133" t="s">
        <v>341</v>
      </c>
      <c r="M133" t="s">
        <v>377</v>
      </c>
      <c r="N133" t="s">
        <v>378</v>
      </c>
      <c r="O133" t="s">
        <v>379</v>
      </c>
      <c r="P133" t="s">
        <v>466</v>
      </c>
      <c r="Q133" t="s">
        <v>467</v>
      </c>
      <c r="R133" t="s">
        <v>468</v>
      </c>
      <c r="S133" t="s">
        <v>469</v>
      </c>
      <c r="T133" t="s">
        <v>578</v>
      </c>
      <c r="U133" t="s">
        <v>579</v>
      </c>
      <c r="V133" t="s">
        <v>580</v>
      </c>
      <c r="W133" t="s">
        <v>581</v>
      </c>
      <c r="Y133" t="s">
        <v>91</v>
      </c>
      <c r="Z133" t="s">
        <v>92</v>
      </c>
    </row>
    <row r="134" spans="1:26" x14ac:dyDescent="0.25">
      <c r="A134" t="s">
        <v>43</v>
      </c>
      <c r="D134" s="14">
        <v>43.62589401294143</v>
      </c>
      <c r="E134" s="14">
        <v>33.085105394741937</v>
      </c>
      <c r="F134" s="14">
        <v>55.694651710850302</v>
      </c>
      <c r="G134" s="14">
        <v>51.003379856600759</v>
      </c>
      <c r="H134" s="14">
        <v>39.597578775336778</v>
      </c>
      <c r="I134" s="14">
        <v>43.221502705957484</v>
      </c>
      <c r="J134" s="14">
        <v>58.972370739887985</v>
      </c>
      <c r="K134" s="14">
        <v>49.166449878277881</v>
      </c>
      <c r="L134" s="14">
        <v>46.450896250502446</v>
      </c>
      <c r="M134" s="14">
        <v>28.840335254913423</v>
      </c>
      <c r="N134" s="14">
        <v>23.77553717498191</v>
      </c>
      <c r="O134" s="14">
        <v>28.451987088542236</v>
      </c>
      <c r="P134" s="14">
        <v>39.371221431546964</v>
      </c>
      <c r="Q134" s="14">
        <v>31.837726416938146</v>
      </c>
      <c r="R134" s="14">
        <v>46.350734291138942</v>
      </c>
      <c r="S134" s="14">
        <v>69.457157578266418</v>
      </c>
      <c r="T134" s="14">
        <v>30.979249058251042</v>
      </c>
      <c r="U134" s="14">
        <v>14.354883220482337</v>
      </c>
      <c r="V134" s="14">
        <v>14.956658699836726</v>
      </c>
      <c r="W134" s="14">
        <v>19.268004817136788</v>
      </c>
      <c r="Y134" s="14">
        <f t="shared" ref="Y134:Y161" si="16">SUM(D134:W134)</f>
        <v>768.46132435713196</v>
      </c>
      <c r="Z134">
        <f t="shared" ref="Z134:Z157" si="17">SUMPRODUCT($D$163:$W$163,D134:W134)</f>
        <v>97.337591082653958</v>
      </c>
    </row>
    <row r="135" spans="1:26" x14ac:dyDescent="0.25">
      <c r="A135" t="s">
        <v>44</v>
      </c>
      <c r="D135" s="14">
        <v>31.709095923237808</v>
      </c>
      <c r="E135" s="14">
        <v>69.419661709815031</v>
      </c>
      <c r="F135" s="14">
        <v>67.779125073952613</v>
      </c>
      <c r="G135" s="14">
        <v>59.393373629092601</v>
      </c>
      <c r="H135" s="14">
        <v>40.514169352171102</v>
      </c>
      <c r="I135" s="14">
        <v>37.480587904131646</v>
      </c>
      <c r="J135" s="14">
        <v>36.023902765394197</v>
      </c>
      <c r="K135" s="14">
        <v>36.889640514175262</v>
      </c>
      <c r="L135" s="14">
        <v>29.782000652140578</v>
      </c>
      <c r="M135" s="14">
        <v>58.702341522830544</v>
      </c>
      <c r="N135" s="14">
        <v>71.756959988661421</v>
      </c>
      <c r="O135" s="14">
        <v>39.882403703717387</v>
      </c>
      <c r="P135" s="14">
        <v>36.14035048064752</v>
      </c>
      <c r="Q135" s="14">
        <v>53.608190523228821</v>
      </c>
      <c r="R135" s="14">
        <v>44.369787560314741</v>
      </c>
      <c r="S135" s="14">
        <v>54.140118129151396</v>
      </c>
      <c r="T135" s="14">
        <v>72.471666590233795</v>
      </c>
      <c r="U135" s="14">
        <v>55.306667413093166</v>
      </c>
      <c r="V135" s="14">
        <v>40.431979713751552</v>
      </c>
      <c r="W135" s="14">
        <v>42.506353968161456</v>
      </c>
      <c r="Y135" s="14">
        <f t="shared" si="16"/>
        <v>978.30837711790241</v>
      </c>
      <c r="Z135">
        <f t="shared" si="17"/>
        <v>78.378460888789604</v>
      </c>
    </row>
    <row r="136" spans="1:26" x14ac:dyDescent="0.25">
      <c r="A136" t="s">
        <v>45</v>
      </c>
      <c r="D136" s="14">
        <v>52.294323940367761</v>
      </c>
      <c r="E136" s="14">
        <v>56.417713088699507</v>
      </c>
      <c r="F136" s="14">
        <v>49.92098269141966</v>
      </c>
      <c r="G136" s="14">
        <v>74.200786099130411</v>
      </c>
      <c r="H136" s="14">
        <v>80.382090330131106</v>
      </c>
      <c r="I136" s="14">
        <v>63.782152350228863</v>
      </c>
      <c r="J136" s="14">
        <v>55.793986138786011</v>
      </c>
      <c r="K136" s="14">
        <v>45.181156677940905</v>
      </c>
      <c r="L136" s="14">
        <v>49.085780759584431</v>
      </c>
      <c r="M136" s="14">
        <v>48.477206779974075</v>
      </c>
      <c r="N136" s="14">
        <v>56.634094863438669</v>
      </c>
      <c r="O136" s="14">
        <v>54.634660747125245</v>
      </c>
      <c r="P136" s="14">
        <v>48.82296487507589</v>
      </c>
      <c r="Q136" s="14">
        <v>45.318058721178154</v>
      </c>
      <c r="R136" s="14">
        <v>43.646920144257294</v>
      </c>
      <c r="S136" s="14">
        <v>43.048372895697135</v>
      </c>
      <c r="T136" s="14">
        <v>47.066686566046727</v>
      </c>
      <c r="U136" s="14">
        <v>46.700643872057135</v>
      </c>
      <c r="V136" s="14">
        <v>44.775651067870783</v>
      </c>
      <c r="W136" s="14">
        <v>51.964031839716426</v>
      </c>
      <c r="Y136" s="14">
        <f t="shared" si="16"/>
        <v>1058.1482644487264</v>
      </c>
      <c r="Z136">
        <f t="shared" si="17"/>
        <v>121.98997078346717</v>
      </c>
    </row>
    <row r="137" spans="1:26" x14ac:dyDescent="0.25">
      <c r="A137" t="s">
        <v>46</v>
      </c>
      <c r="D137" s="14">
        <v>55.484238533171535</v>
      </c>
      <c r="E137" s="14">
        <v>46.030777595741597</v>
      </c>
      <c r="F137" s="14">
        <v>47.162546891089924</v>
      </c>
      <c r="G137" s="14">
        <v>50.016005751196367</v>
      </c>
      <c r="H137" s="14">
        <v>47.99875179518731</v>
      </c>
      <c r="I137" s="14">
        <v>51.128505625403022</v>
      </c>
      <c r="J137" s="14">
        <v>51.354858770158096</v>
      </c>
      <c r="K137" s="14">
        <v>51.849316619399325</v>
      </c>
      <c r="L137" s="14">
        <v>43.508111058658315</v>
      </c>
      <c r="M137" s="14">
        <v>70.295936407889727</v>
      </c>
      <c r="N137" s="14">
        <v>79.585251242018202</v>
      </c>
      <c r="O137" s="14">
        <v>54.088852459961778</v>
      </c>
      <c r="P137" s="14">
        <v>36.179653168363131</v>
      </c>
      <c r="Q137" s="14">
        <v>46.665262735629504</v>
      </c>
      <c r="R137" s="14">
        <v>41.585993138387323</v>
      </c>
      <c r="S137" s="14">
        <v>46.428685780942452</v>
      </c>
      <c r="T137" s="14">
        <v>54.710636975459671</v>
      </c>
      <c r="U137" s="14">
        <v>57.576143559647313</v>
      </c>
      <c r="V137" s="14">
        <v>36.715969425557866</v>
      </c>
      <c r="W137" s="14">
        <v>42.630584044170853</v>
      </c>
      <c r="Y137" s="14">
        <f t="shared" si="16"/>
        <v>1010.9960815780333</v>
      </c>
      <c r="Z137">
        <f t="shared" si="17"/>
        <v>104.42215604079873</v>
      </c>
    </row>
    <row r="138" spans="1:26" x14ac:dyDescent="0.25">
      <c r="A138" t="s">
        <v>47</v>
      </c>
      <c r="D138" s="14">
        <v>69.85382745090547</v>
      </c>
      <c r="E138" s="14">
        <v>50.783376037360817</v>
      </c>
      <c r="F138" s="14">
        <v>45.113482039582301</v>
      </c>
      <c r="G138" s="14">
        <v>59.324596729760181</v>
      </c>
      <c r="H138" s="14">
        <v>59.11396230902379</v>
      </c>
      <c r="I138" s="14">
        <v>55.682430581618121</v>
      </c>
      <c r="J138" s="14">
        <v>48.243193355496444</v>
      </c>
      <c r="K138" s="14">
        <v>56.765219573296442</v>
      </c>
      <c r="L138" s="14">
        <v>43.185395076365097</v>
      </c>
      <c r="M138" s="14">
        <v>37.348717953172624</v>
      </c>
      <c r="N138" s="14">
        <v>33.821723526045744</v>
      </c>
      <c r="O138" s="14">
        <v>44.044570129787459</v>
      </c>
      <c r="P138" s="14">
        <v>57.448026690157043</v>
      </c>
      <c r="Q138" s="14">
        <v>37.674768942883397</v>
      </c>
      <c r="R138" s="14">
        <v>30.886506405424687</v>
      </c>
      <c r="S138" s="14">
        <v>27.254376616098831</v>
      </c>
      <c r="T138" s="14">
        <v>31.995488843669612</v>
      </c>
      <c r="U138" s="14">
        <v>40.429494014059514</v>
      </c>
      <c r="V138" s="14">
        <v>44.402993658536964</v>
      </c>
      <c r="W138" s="14">
        <v>50.920490948454351</v>
      </c>
      <c r="Y138" s="14">
        <f t="shared" si="16"/>
        <v>924.29264088169873</v>
      </c>
      <c r="Z138">
        <f t="shared" si="17"/>
        <v>125.05911956027855</v>
      </c>
    </row>
    <row r="139" spans="1:26" x14ac:dyDescent="0.25">
      <c r="A139" t="s">
        <v>48</v>
      </c>
      <c r="D139" s="14">
        <v>34.743670512076285</v>
      </c>
      <c r="E139" s="14">
        <v>42.080070990956855</v>
      </c>
      <c r="F139" s="14">
        <v>37.173411923272774</v>
      </c>
      <c r="G139" s="14">
        <v>43.262280301884346</v>
      </c>
      <c r="H139" s="14">
        <v>43.775174389623956</v>
      </c>
      <c r="I139" s="14">
        <v>52.248030844823298</v>
      </c>
      <c r="J139" s="14">
        <v>62.542284726276527</v>
      </c>
      <c r="K139" s="14">
        <v>64.582410317367447</v>
      </c>
      <c r="L139" s="14">
        <v>41.556503764441281</v>
      </c>
      <c r="M139" s="14">
        <v>50.393691177769725</v>
      </c>
      <c r="N139" s="14">
        <v>60.328886135662948</v>
      </c>
      <c r="O139" s="14">
        <v>40.493272465773586</v>
      </c>
      <c r="P139" s="14">
        <v>43.485959485390083</v>
      </c>
      <c r="Q139" s="14">
        <v>37.951720141258782</v>
      </c>
      <c r="R139" s="14">
        <v>37.32317975682863</v>
      </c>
      <c r="S139" s="14">
        <v>31.488917715864972</v>
      </c>
      <c r="T139" s="14">
        <v>37.326289284595795</v>
      </c>
      <c r="U139" s="14">
        <v>37.160808338695652</v>
      </c>
      <c r="V139" s="14">
        <v>37.908558551706946</v>
      </c>
      <c r="W139" s="14">
        <v>29.493047431369114</v>
      </c>
      <c r="Y139" s="14">
        <f t="shared" si="16"/>
        <v>865.31816825563897</v>
      </c>
      <c r="Z139">
        <f t="shared" si="17"/>
        <v>95.045706970757863</v>
      </c>
    </row>
    <row r="140" spans="1:26" x14ac:dyDescent="0.25">
      <c r="A140" t="s">
        <v>49</v>
      </c>
      <c r="D140" s="14">
        <v>68.890174929412325</v>
      </c>
      <c r="E140" s="14">
        <v>57.570584041844484</v>
      </c>
      <c r="F140" s="14">
        <v>57.84067061374683</v>
      </c>
      <c r="G140" s="14">
        <v>47.55411611144627</v>
      </c>
      <c r="H140" s="14">
        <v>35.367013843128383</v>
      </c>
      <c r="I140" s="14">
        <v>51.390952404049862</v>
      </c>
      <c r="J140" s="14">
        <v>35.471046075881951</v>
      </c>
      <c r="K140" s="14">
        <v>33.065547785328491</v>
      </c>
      <c r="L140" s="14">
        <v>34.839242831987583</v>
      </c>
      <c r="M140" s="14">
        <v>36.976753718571381</v>
      </c>
      <c r="N140" s="14">
        <v>68.166393094748898</v>
      </c>
      <c r="O140" s="14">
        <v>70.410932507122567</v>
      </c>
      <c r="P140" s="14">
        <v>42.8000681051059</v>
      </c>
      <c r="Q140" s="14">
        <v>35.268928361421494</v>
      </c>
      <c r="R140" s="14">
        <v>38.70262980329742</v>
      </c>
      <c r="S140" s="14">
        <v>30.773225280222295</v>
      </c>
      <c r="T140" s="14">
        <v>29.725903024178528</v>
      </c>
      <c r="U140" s="14">
        <v>56.725397294488559</v>
      </c>
      <c r="V140" s="14">
        <v>63.099785147319309</v>
      </c>
      <c r="W140" s="14">
        <v>67.043099716199961</v>
      </c>
      <c r="Y140" s="14">
        <f t="shared" si="16"/>
        <v>961.68246468950224</v>
      </c>
      <c r="Z140">
        <f t="shared" si="17"/>
        <v>111.63705709046539</v>
      </c>
    </row>
    <row r="141" spans="1:26" x14ac:dyDescent="0.25">
      <c r="A141" t="s">
        <v>50</v>
      </c>
      <c r="D141" s="14">
        <v>54.964868075596527</v>
      </c>
      <c r="E141" s="14">
        <v>47.483131691639834</v>
      </c>
      <c r="F141" s="14">
        <v>59.11155769147409</v>
      </c>
      <c r="G141" s="14">
        <v>59.491697992862939</v>
      </c>
      <c r="H141" s="14">
        <v>61.612607323843925</v>
      </c>
      <c r="I141" s="14">
        <v>56.573036800514402</v>
      </c>
      <c r="J141" s="14">
        <v>61.472361952525659</v>
      </c>
      <c r="K141" s="14">
        <v>53.204695255015302</v>
      </c>
      <c r="L141" s="14">
        <v>36.482951101069474</v>
      </c>
      <c r="M141" s="14">
        <v>58.004332846250293</v>
      </c>
      <c r="N141" s="14">
        <v>57.086230091748142</v>
      </c>
      <c r="O141" s="14">
        <v>68.097562550020157</v>
      </c>
      <c r="P141" s="14">
        <v>59.712705550945351</v>
      </c>
      <c r="Q141" s="14">
        <v>64.085870155122663</v>
      </c>
      <c r="R141" s="14">
        <v>63.770693754333308</v>
      </c>
      <c r="S141" s="14">
        <v>67.313397124268675</v>
      </c>
      <c r="T141" s="14">
        <v>59.975975158162619</v>
      </c>
      <c r="U141" s="14">
        <v>41.643715553375593</v>
      </c>
      <c r="V141" s="14">
        <v>37.025189696099723</v>
      </c>
      <c r="W141" s="14">
        <v>58.596090657087913</v>
      </c>
      <c r="Y141" s="14">
        <f t="shared" si="16"/>
        <v>1125.7086710219564</v>
      </c>
      <c r="Z141">
        <f t="shared" si="17"/>
        <v>118.84619487865868</v>
      </c>
    </row>
    <row r="142" spans="1:26" x14ac:dyDescent="0.25">
      <c r="A142" t="s">
        <v>51</v>
      </c>
      <c r="D142" s="14">
        <v>53.566158843936648</v>
      </c>
      <c r="E142" s="14">
        <v>40.172873860714923</v>
      </c>
      <c r="F142" s="14">
        <v>44.055992835694759</v>
      </c>
      <c r="G142" s="14">
        <v>51.559647892036388</v>
      </c>
      <c r="H142" s="14">
        <v>50.404104931309178</v>
      </c>
      <c r="I142" s="14">
        <v>47.34322550087721</v>
      </c>
      <c r="J142" s="14">
        <v>52.195137023443621</v>
      </c>
      <c r="K142" s="14">
        <v>46.328128501533342</v>
      </c>
      <c r="L142" s="14">
        <v>43.424305878730536</v>
      </c>
      <c r="M142" s="14">
        <v>33.727826843012529</v>
      </c>
      <c r="N142" s="14">
        <v>47.423331361994833</v>
      </c>
      <c r="O142" s="14">
        <v>37.354329201075224</v>
      </c>
      <c r="P142" s="14">
        <v>46.139563124688941</v>
      </c>
      <c r="Q142" s="14">
        <v>49.723275318508762</v>
      </c>
      <c r="R142" s="14">
        <v>49.415160571114548</v>
      </c>
      <c r="S142" s="14">
        <v>51.669027933315412</v>
      </c>
      <c r="T142" s="14">
        <v>53.995383695040253</v>
      </c>
      <c r="U142" s="14">
        <v>29.501353386002638</v>
      </c>
      <c r="V142" s="14">
        <v>28.985369476149199</v>
      </c>
      <c r="W142" s="14">
        <v>44.449026255042092</v>
      </c>
      <c r="Y142" s="14">
        <f t="shared" si="16"/>
        <v>901.43322243422108</v>
      </c>
      <c r="Z142">
        <f t="shared" si="17"/>
        <v>106.02360617523703</v>
      </c>
    </row>
    <row r="143" spans="1:26" x14ac:dyDescent="0.25">
      <c r="A143" t="s">
        <v>52</v>
      </c>
      <c r="D143" s="14">
        <v>51.489564853096716</v>
      </c>
      <c r="E143" s="14">
        <v>39.600927700289972</v>
      </c>
      <c r="F143" s="14">
        <v>41.890422969232588</v>
      </c>
      <c r="G143" s="14">
        <v>48.727513635093992</v>
      </c>
      <c r="H143" s="14">
        <v>54.830969151003934</v>
      </c>
      <c r="I143" s="14">
        <v>64.176745213866454</v>
      </c>
      <c r="J143" s="14">
        <v>55.98392005148277</v>
      </c>
      <c r="K143" s="14">
        <v>64.957855833188674</v>
      </c>
      <c r="L143" s="14">
        <v>65.138751005015351</v>
      </c>
      <c r="M143" s="14">
        <v>52.593188513152271</v>
      </c>
      <c r="N143" s="14">
        <v>50.026848591851923</v>
      </c>
      <c r="O143" s="14">
        <v>67.953105916135925</v>
      </c>
      <c r="P143" s="14">
        <v>55.9947780008808</v>
      </c>
      <c r="Q143" s="14">
        <v>45.856585393422499</v>
      </c>
      <c r="R143" s="14">
        <v>43.844277580415095</v>
      </c>
      <c r="S143" s="14">
        <v>46.410979819167324</v>
      </c>
      <c r="T143" s="14">
        <v>61.7371289812206</v>
      </c>
      <c r="U143" s="14">
        <v>63.867594958130681</v>
      </c>
      <c r="V143" s="14">
        <v>65.291691519725489</v>
      </c>
      <c r="W143" s="14">
        <v>70.615883825690645</v>
      </c>
      <c r="Y143" s="14">
        <f t="shared" si="16"/>
        <v>1110.9887335120636</v>
      </c>
      <c r="Z143">
        <f t="shared" si="17"/>
        <v>129.99065048476524</v>
      </c>
    </row>
    <row r="144" spans="1:26" x14ac:dyDescent="0.25">
      <c r="A144" t="s">
        <v>53</v>
      </c>
      <c r="D144" s="14">
        <v>54.881405067176715</v>
      </c>
      <c r="E144" s="14">
        <v>44.524478847384287</v>
      </c>
      <c r="F144" s="14">
        <v>44.952290164626099</v>
      </c>
      <c r="G144" s="14">
        <v>40.192187595290456</v>
      </c>
      <c r="H144" s="14">
        <v>30.88743061837798</v>
      </c>
      <c r="I144" s="14">
        <v>30.485118032071824</v>
      </c>
      <c r="J144" s="14">
        <v>43.576068205999732</v>
      </c>
      <c r="K144" s="14">
        <v>44.041359070065582</v>
      </c>
      <c r="L144" s="14">
        <v>39.929627752998918</v>
      </c>
      <c r="M144" s="14">
        <v>39.857271368574274</v>
      </c>
      <c r="N144" s="14">
        <v>39.803338176860606</v>
      </c>
      <c r="O144" s="14">
        <v>42.043264154383508</v>
      </c>
      <c r="P144" s="14">
        <v>38.383594829675175</v>
      </c>
      <c r="Q144" s="14">
        <v>37.769892417273766</v>
      </c>
      <c r="R144" s="14">
        <v>44.861914444615444</v>
      </c>
      <c r="S144" s="14">
        <v>43.385084414657136</v>
      </c>
      <c r="T144" s="14">
        <v>37.438781715643991</v>
      </c>
      <c r="U144" s="14">
        <v>31.087384781501878</v>
      </c>
      <c r="V144" s="14">
        <v>21.489779020569618</v>
      </c>
      <c r="W144" s="14">
        <v>22.46046142035917</v>
      </c>
      <c r="Y144" s="14">
        <f t="shared" si="16"/>
        <v>772.05073209810621</v>
      </c>
      <c r="Z144">
        <f t="shared" si="17"/>
        <v>90.244505360844855</v>
      </c>
    </row>
    <row r="145" spans="1:26" x14ac:dyDescent="0.25">
      <c r="A145" t="s">
        <v>54</v>
      </c>
      <c r="D145" s="14">
        <v>22.645858111312567</v>
      </c>
      <c r="E145" s="14">
        <v>33.502136541562308</v>
      </c>
      <c r="F145" s="14">
        <v>35.493069062596938</v>
      </c>
      <c r="G145" s="14">
        <v>29.939719018143958</v>
      </c>
      <c r="H145" s="14">
        <v>25.208660145044</v>
      </c>
      <c r="I145" s="14">
        <v>23.540422395603116</v>
      </c>
      <c r="J145" s="14">
        <v>29.413904840172211</v>
      </c>
      <c r="K145" s="14">
        <v>26.996802893029351</v>
      </c>
      <c r="L145" s="14">
        <v>26.20346565728476</v>
      </c>
      <c r="M145" s="14">
        <v>23.891965037773833</v>
      </c>
      <c r="N145" s="14">
        <v>27.345520753214505</v>
      </c>
      <c r="O145" s="14">
        <v>28.13333628590669</v>
      </c>
      <c r="P145" s="14">
        <v>31.798322486676437</v>
      </c>
      <c r="Q145" s="14">
        <v>29.643978711481534</v>
      </c>
      <c r="R145" s="14">
        <v>27.487770766534716</v>
      </c>
      <c r="S145" s="14">
        <v>27.510860280496622</v>
      </c>
      <c r="T145" s="14">
        <v>26.592333769550102</v>
      </c>
      <c r="U145" s="14">
        <v>33.621921091103459</v>
      </c>
      <c r="V145" s="14">
        <v>25.275522227490448</v>
      </c>
      <c r="W145" s="14">
        <v>28.423704306647398</v>
      </c>
      <c r="Y145" s="14">
        <f t="shared" si="16"/>
        <v>562.66927438162497</v>
      </c>
      <c r="Z145">
        <f t="shared" si="17"/>
        <v>57.442671527336095</v>
      </c>
    </row>
    <row r="146" spans="1:26" x14ac:dyDescent="0.25">
      <c r="A146" t="s">
        <v>55</v>
      </c>
      <c r="D146" s="14">
        <v>31.720335892721966</v>
      </c>
      <c r="E146" s="14">
        <v>26.137649824232632</v>
      </c>
      <c r="F146" s="14">
        <v>20.476063687023732</v>
      </c>
      <c r="G146" s="14">
        <v>24.052935577037381</v>
      </c>
      <c r="H146" s="14">
        <v>20.280684966721143</v>
      </c>
      <c r="I146" s="14">
        <v>20.268282593351945</v>
      </c>
      <c r="J146" s="14">
        <v>18.17804810777039</v>
      </c>
      <c r="K146" s="14">
        <v>18.652141370080745</v>
      </c>
      <c r="L146" s="14">
        <v>19.64938400702324</v>
      </c>
      <c r="M146" s="14">
        <v>34.608698298329251</v>
      </c>
      <c r="N146" s="14">
        <v>35.391013202369692</v>
      </c>
      <c r="O146" s="14">
        <v>39.787816420470968</v>
      </c>
      <c r="P146" s="14">
        <v>24.210455054291803</v>
      </c>
      <c r="Q146" s="14">
        <v>26.213251595002308</v>
      </c>
      <c r="R146" s="14">
        <v>23.25260360042493</v>
      </c>
      <c r="S146" s="14">
        <v>20.874487608878436</v>
      </c>
      <c r="T146" s="14">
        <v>18.834400363600022</v>
      </c>
      <c r="U146" s="14">
        <v>20.701605977816573</v>
      </c>
      <c r="V146" s="14">
        <v>21.158754854293004</v>
      </c>
      <c r="W146" s="14">
        <v>37.742034396514477</v>
      </c>
      <c r="Y146" s="14">
        <f t="shared" si="16"/>
        <v>502.19064739795471</v>
      </c>
      <c r="Z146">
        <f t="shared" si="17"/>
        <v>53.905668318797233</v>
      </c>
    </row>
    <row r="147" spans="1:26" x14ac:dyDescent="0.25">
      <c r="A147" t="s">
        <v>56</v>
      </c>
      <c r="D147" s="14">
        <v>43.292544077641779</v>
      </c>
      <c r="E147" s="14">
        <v>33.495722480809242</v>
      </c>
      <c r="F147" s="14">
        <v>26.044976216484834</v>
      </c>
      <c r="G147" s="14">
        <v>29.374373180192034</v>
      </c>
      <c r="H147" s="14">
        <v>25.272043486709805</v>
      </c>
      <c r="I147" s="14">
        <v>30.577047518279546</v>
      </c>
      <c r="J147" s="14">
        <v>37.6775341689318</v>
      </c>
      <c r="K147" s="14">
        <v>36.398296943025407</v>
      </c>
      <c r="L147" s="14">
        <v>34.028614727062504</v>
      </c>
      <c r="M147" s="14">
        <v>34.255144571862878</v>
      </c>
      <c r="N147" s="14">
        <v>52.647895235045318</v>
      </c>
      <c r="O147" s="14">
        <v>48.294714591058401</v>
      </c>
      <c r="P147" s="14">
        <v>54.332258045431843</v>
      </c>
      <c r="Q147" s="14">
        <v>52.795153389105835</v>
      </c>
      <c r="R147" s="14">
        <v>23.05403860481244</v>
      </c>
      <c r="S147" s="14">
        <v>30.557180560076226</v>
      </c>
      <c r="T147" s="14">
        <v>33.496517032695358</v>
      </c>
      <c r="U147" s="14">
        <v>21.305661460957491</v>
      </c>
      <c r="V147" s="14">
        <v>23.427420545628255</v>
      </c>
      <c r="W147" s="14">
        <v>30.557180560076226</v>
      </c>
      <c r="Y147" s="14">
        <f t="shared" si="16"/>
        <v>700.88431739588714</v>
      </c>
      <c r="Z147">
        <f t="shared" si="17"/>
        <v>79.39850652113347</v>
      </c>
    </row>
    <row r="148" spans="1:26" x14ac:dyDescent="0.25">
      <c r="A148" t="s">
        <v>57</v>
      </c>
      <c r="D148" s="14">
        <v>35.260050217827093</v>
      </c>
      <c r="E148" s="14">
        <v>37.595949752375205</v>
      </c>
      <c r="F148" s="14">
        <v>45.557817481915741</v>
      </c>
      <c r="G148" s="14">
        <v>40.231554240470267</v>
      </c>
      <c r="H148" s="14">
        <v>38.733504654343321</v>
      </c>
      <c r="I148" s="14">
        <v>27.444268746047065</v>
      </c>
      <c r="J148" s="14">
        <v>25.769274329964155</v>
      </c>
      <c r="K148" s="14">
        <v>33.550989036481937</v>
      </c>
      <c r="L148" s="14">
        <v>25.166708061317237</v>
      </c>
      <c r="M148" s="14">
        <v>36.168620934303796</v>
      </c>
      <c r="N148" s="14">
        <v>29.773391957537491</v>
      </c>
      <c r="O148" s="14">
        <v>31.258862627581863</v>
      </c>
      <c r="P148" s="14">
        <v>31.548449302539527</v>
      </c>
      <c r="Q148" s="14">
        <v>35.02331192317024</v>
      </c>
      <c r="R148" s="14">
        <v>42.075925120111627</v>
      </c>
      <c r="S148" s="14">
        <v>35.337196442251923</v>
      </c>
      <c r="T148" s="14">
        <v>38.392329356444051</v>
      </c>
      <c r="U148" s="14">
        <v>32.339332225796277</v>
      </c>
      <c r="V148" s="14">
        <v>44.121386807351293</v>
      </c>
      <c r="W148" s="14">
        <v>45.234885978427137</v>
      </c>
      <c r="Y148" s="14">
        <f t="shared" si="16"/>
        <v>710.58380919625733</v>
      </c>
      <c r="Z148">
        <f t="shared" si="17"/>
        <v>72.37747562202351</v>
      </c>
    </row>
    <row r="149" spans="1:26" x14ac:dyDescent="0.25">
      <c r="A149" t="s">
        <v>58</v>
      </c>
      <c r="D149" s="14">
        <v>28.815534497266786</v>
      </c>
      <c r="E149" s="14">
        <v>32.337733910690829</v>
      </c>
      <c r="F149" s="14">
        <v>24.567640434926421</v>
      </c>
      <c r="G149" s="14">
        <v>27.951129358188261</v>
      </c>
      <c r="H149" s="14">
        <v>31.355107175704024</v>
      </c>
      <c r="I149" s="14">
        <v>18.610710340038878</v>
      </c>
      <c r="J149" s="14">
        <v>31.09053156172725</v>
      </c>
      <c r="K149" s="14">
        <v>35.622421429514631</v>
      </c>
      <c r="L149" s="14">
        <v>31.709198466055398</v>
      </c>
      <c r="M149" s="14">
        <v>21.55192787189382</v>
      </c>
      <c r="N149" s="14">
        <v>31.9365579638032</v>
      </c>
      <c r="O149" s="14">
        <v>25.496369180468214</v>
      </c>
      <c r="P149" s="14">
        <v>33.45050726227295</v>
      </c>
      <c r="Q149" s="14">
        <v>26.052955644771465</v>
      </c>
      <c r="R149" s="14">
        <v>16.018213137848903</v>
      </c>
      <c r="S149" s="14">
        <v>20.000739617776539</v>
      </c>
      <c r="T149" s="14">
        <v>19.383581155557636</v>
      </c>
      <c r="U149" s="14">
        <v>15.457750555074986</v>
      </c>
      <c r="V149" s="14">
        <v>12.1694258379302</v>
      </c>
      <c r="W149" s="14">
        <v>13.40074171165007</v>
      </c>
      <c r="Y149" s="14">
        <f t="shared" si="16"/>
        <v>496.9787771131605</v>
      </c>
      <c r="Z149">
        <f t="shared" si="17"/>
        <v>61.568362167408218</v>
      </c>
    </row>
    <row r="150" spans="1:26" x14ac:dyDescent="0.25">
      <c r="A150" t="s">
        <v>59</v>
      </c>
      <c r="D150" s="14">
        <v>25.096949026480882</v>
      </c>
      <c r="E150" s="14">
        <v>30.54558864397357</v>
      </c>
      <c r="F150" s="14">
        <v>22.898057108310446</v>
      </c>
      <c r="G150" s="14">
        <v>29.449945540861968</v>
      </c>
      <c r="H150" s="14">
        <v>27.212080128006271</v>
      </c>
      <c r="I150" s="14">
        <v>24.144494126909812</v>
      </c>
      <c r="J150" s="14">
        <v>25.548097171779055</v>
      </c>
      <c r="K150" s="14">
        <v>30.834244273736243</v>
      </c>
      <c r="L150" s="14">
        <v>26.269312212567087</v>
      </c>
      <c r="M150" s="14">
        <v>32.314659427142523</v>
      </c>
      <c r="N150" s="14">
        <v>26.458175807281243</v>
      </c>
      <c r="O150" s="14">
        <v>24.024182162577265</v>
      </c>
      <c r="P150" s="14">
        <v>22.702672086107704</v>
      </c>
      <c r="Q150" s="14">
        <v>24.225024726131817</v>
      </c>
      <c r="R150" s="14">
        <v>29.231178021709344</v>
      </c>
      <c r="S150" s="14">
        <v>28.454622461174182</v>
      </c>
      <c r="T150" s="14">
        <v>18.710114924004497</v>
      </c>
      <c r="U150" s="14">
        <v>17.02661341028978</v>
      </c>
      <c r="V150" s="14">
        <v>28.356523876703811</v>
      </c>
      <c r="W150" s="14">
        <v>16.656002310678112</v>
      </c>
      <c r="Y150" s="14">
        <f t="shared" si="16"/>
        <v>510.15853744642567</v>
      </c>
      <c r="Z150">
        <f t="shared" si="17"/>
        <v>54.57105885254802</v>
      </c>
    </row>
    <row r="151" spans="1:26" x14ac:dyDescent="0.25">
      <c r="A151" t="s">
        <v>60</v>
      </c>
      <c r="D151" s="14">
        <v>26.519189430492418</v>
      </c>
      <c r="E151" s="14">
        <v>25.275618358097553</v>
      </c>
      <c r="F151" s="14">
        <v>22.952549447408085</v>
      </c>
      <c r="G151" s="14">
        <v>15.026555191896591</v>
      </c>
      <c r="H151" s="14">
        <v>19.970170180077783</v>
      </c>
      <c r="I151" s="14">
        <v>21.728574490332999</v>
      </c>
      <c r="J151" s="14">
        <v>18.282005026582439</v>
      </c>
      <c r="K151" s="14">
        <v>31.569642567362912</v>
      </c>
      <c r="L151" s="14">
        <v>19.479338391277022</v>
      </c>
      <c r="M151" s="14">
        <v>36.222327571541499</v>
      </c>
      <c r="N151" s="14">
        <v>26.073299313969038</v>
      </c>
      <c r="O151" s="14">
        <v>27.278397021844093</v>
      </c>
      <c r="P151" s="14">
        <v>22.765615836360528</v>
      </c>
      <c r="Q151" s="14">
        <v>18.659915466856337</v>
      </c>
      <c r="R151" s="14">
        <v>14.0739343164849</v>
      </c>
      <c r="S151" s="14">
        <v>17.557593935717836</v>
      </c>
      <c r="T151" s="14">
        <v>13.080459191401644</v>
      </c>
      <c r="U151" s="14">
        <v>16.269013236722422</v>
      </c>
      <c r="V151" s="14">
        <v>35.713482483583334</v>
      </c>
      <c r="W151" s="14">
        <v>24.997377543835984</v>
      </c>
      <c r="Y151" s="14">
        <f t="shared" si="16"/>
        <v>453.49505900184539</v>
      </c>
      <c r="Z151">
        <f t="shared" si="17"/>
        <v>49.954286052059487</v>
      </c>
    </row>
    <row r="152" spans="1:26" x14ac:dyDescent="0.25">
      <c r="A152" t="s">
        <v>61</v>
      </c>
      <c r="D152" s="14">
        <v>27.102413270096495</v>
      </c>
      <c r="E152" s="14">
        <v>35.855140440383693</v>
      </c>
      <c r="F152" s="14">
        <v>33.060056225993812</v>
      </c>
      <c r="G152" s="14">
        <v>37.599158742710941</v>
      </c>
      <c r="H152" s="14">
        <v>37.183618940019358</v>
      </c>
      <c r="I152" s="14">
        <v>44.055331071417861</v>
      </c>
      <c r="J152" s="14">
        <v>41.740537556316909</v>
      </c>
      <c r="K152" s="14">
        <v>31.197945421919151</v>
      </c>
      <c r="L152" s="14">
        <v>37.064326293101814</v>
      </c>
      <c r="M152" s="14">
        <v>37.027580042306418</v>
      </c>
      <c r="N152" s="14">
        <v>31.218466352223636</v>
      </c>
      <c r="O152" s="14">
        <v>35.042938317510369</v>
      </c>
      <c r="P152" s="14">
        <v>42.868441214768545</v>
      </c>
      <c r="Q152" s="14">
        <v>42.615539251486211</v>
      </c>
      <c r="R152" s="14">
        <v>39.821201838038156</v>
      </c>
      <c r="S152" s="14">
        <v>41.038982735573434</v>
      </c>
      <c r="T152" s="14">
        <v>29.348691459504213</v>
      </c>
      <c r="U152" s="14">
        <v>35.847028862446635</v>
      </c>
      <c r="V152" s="14">
        <v>31.385077430936729</v>
      </c>
      <c r="W152" s="14">
        <v>30.559199694372925</v>
      </c>
      <c r="Y152" s="14">
        <f t="shared" si="16"/>
        <v>721.63167516112742</v>
      </c>
      <c r="Z152">
        <f t="shared" si="17"/>
        <v>74.728086268686056</v>
      </c>
    </row>
    <row r="153" spans="1:26" x14ac:dyDescent="0.25">
      <c r="A153" t="s">
        <v>62</v>
      </c>
      <c r="D153" s="14">
        <v>47.816235062878789</v>
      </c>
      <c r="E153" s="14">
        <v>24.128923214276547</v>
      </c>
      <c r="F153" s="14">
        <v>28.796174246279911</v>
      </c>
      <c r="G153" s="14">
        <v>31.319798984996368</v>
      </c>
      <c r="H153" s="14">
        <v>43.130612162733605</v>
      </c>
      <c r="I153" s="14">
        <v>49.162405462433767</v>
      </c>
      <c r="J153" s="14">
        <v>56.17091010932112</v>
      </c>
      <c r="K153" s="14">
        <v>42.93908074300208</v>
      </c>
      <c r="L153" s="14">
        <v>49.782318654713812</v>
      </c>
      <c r="M153" s="14">
        <v>47.641011340474243</v>
      </c>
      <c r="N153" s="14">
        <v>40.484647201164243</v>
      </c>
      <c r="O153" s="14">
        <v>41.741122558185509</v>
      </c>
      <c r="P153" s="14">
        <v>35.410168533700592</v>
      </c>
      <c r="Q153" s="14">
        <v>33.365678994444792</v>
      </c>
      <c r="R153" s="14">
        <v>30.242291150963272</v>
      </c>
      <c r="S153" s="14">
        <v>34.281199552757485</v>
      </c>
      <c r="T153" s="14">
        <v>37.079415712642614</v>
      </c>
      <c r="U153" s="14">
        <v>28.064821942224889</v>
      </c>
      <c r="V153" s="14">
        <v>24.262651325903864</v>
      </c>
      <c r="W153" s="14">
        <v>28.918493865240091</v>
      </c>
      <c r="Y153" s="14">
        <f t="shared" si="16"/>
        <v>754.73796081833757</v>
      </c>
      <c r="Z153">
        <f t="shared" si="17"/>
        <v>95.064286579664639</v>
      </c>
    </row>
    <row r="154" spans="1:26" x14ac:dyDescent="0.25">
      <c r="A154" t="s">
        <v>63</v>
      </c>
      <c r="D154" s="14">
        <v>23.275562689637955</v>
      </c>
      <c r="E154" s="14">
        <v>30.074389851064929</v>
      </c>
      <c r="F154" s="14">
        <v>30.542934093642426</v>
      </c>
      <c r="G154" s="14">
        <v>31.73010504390712</v>
      </c>
      <c r="H154" s="14">
        <v>28.54752383283785</v>
      </c>
      <c r="I154" s="14">
        <v>30.51020921108644</v>
      </c>
      <c r="J154" s="14">
        <v>40.99001470034856</v>
      </c>
      <c r="K154" s="14">
        <v>37.116819221344159</v>
      </c>
      <c r="L154" s="14">
        <v>31.876184848457459</v>
      </c>
      <c r="M154" s="14">
        <v>36.51619829792245</v>
      </c>
      <c r="N154" s="14">
        <v>44.439643663076808</v>
      </c>
      <c r="O154" s="14">
        <v>41.720389978479965</v>
      </c>
      <c r="P154" s="14">
        <v>34.044090886536431</v>
      </c>
      <c r="Q154" s="14">
        <v>38.348854514144328</v>
      </c>
      <c r="R154" s="14">
        <v>48.471471139977488</v>
      </c>
      <c r="S154" s="14">
        <v>47.68763647348117</v>
      </c>
      <c r="T154" s="14">
        <v>27.855525687955375</v>
      </c>
      <c r="U154" s="14">
        <v>18.388563519139321</v>
      </c>
      <c r="V154" s="14">
        <v>24.58072072433918</v>
      </c>
      <c r="W154" s="14">
        <v>24.91958892930537</v>
      </c>
      <c r="Y154" s="14">
        <f t="shared" si="16"/>
        <v>671.63642730668471</v>
      </c>
      <c r="Z154">
        <f t="shared" si="17"/>
        <v>66.066404079629379</v>
      </c>
    </row>
    <row r="155" spans="1:26" x14ac:dyDescent="0.25">
      <c r="A155" t="s">
        <v>64</v>
      </c>
      <c r="D155" s="14">
        <v>22.569831238253553</v>
      </c>
      <c r="E155" s="14">
        <v>40.486134740145303</v>
      </c>
      <c r="F155" s="14">
        <v>67.822498062434533</v>
      </c>
      <c r="G155" s="14">
        <v>35.615690618859468</v>
      </c>
      <c r="H155" s="14">
        <v>33.125883276437044</v>
      </c>
      <c r="I155" s="14">
        <v>35.21718794753221</v>
      </c>
      <c r="J155" s="14">
        <v>36.07331690473498</v>
      </c>
      <c r="K155" s="14">
        <v>38.448626139572205</v>
      </c>
      <c r="L155" s="14">
        <v>36.927807063686437</v>
      </c>
      <c r="M155" s="14">
        <v>31.811891124616093</v>
      </c>
      <c r="N155" s="14">
        <v>32.40384824829016</v>
      </c>
      <c r="O155" s="14">
        <v>33.578697560571896</v>
      </c>
      <c r="P155" s="14">
        <v>30.970557008611049</v>
      </c>
      <c r="Q155" s="14">
        <v>39.181648460906843</v>
      </c>
      <c r="R155" s="14">
        <v>36.429777819496138</v>
      </c>
      <c r="S155" s="14">
        <v>21.995444663339242</v>
      </c>
      <c r="T155" s="14">
        <v>27.714098787004925</v>
      </c>
      <c r="U155" s="14">
        <v>27.710080517789002</v>
      </c>
      <c r="V155" s="14">
        <v>40.732896882012724</v>
      </c>
      <c r="W155" s="14">
        <v>27.148908004818562</v>
      </c>
      <c r="Y155" s="14">
        <f t="shared" si="16"/>
        <v>695.96482506911229</v>
      </c>
      <c r="Z155">
        <f t="shared" si="17"/>
        <v>67.789689299699617</v>
      </c>
    </row>
    <row r="156" spans="1:26" x14ac:dyDescent="0.25">
      <c r="A156" t="s">
        <v>65</v>
      </c>
      <c r="D156" s="14">
        <v>31.286548084979469</v>
      </c>
      <c r="E156" s="14">
        <v>46.111256653520982</v>
      </c>
      <c r="F156" s="14">
        <v>50.049724302041106</v>
      </c>
      <c r="G156" s="14">
        <v>66.595560007803115</v>
      </c>
      <c r="H156" s="14">
        <v>53.038921623521773</v>
      </c>
      <c r="I156" s="14">
        <v>39.980720780151998</v>
      </c>
      <c r="J156" s="14">
        <v>26.752596995290364</v>
      </c>
      <c r="K156" s="14">
        <v>44.042779002014989</v>
      </c>
      <c r="L156" s="14">
        <v>41.411824086342669</v>
      </c>
      <c r="M156" s="14">
        <v>23.660867158432314</v>
      </c>
      <c r="N156" s="14">
        <v>28.655373659968074</v>
      </c>
      <c r="O156" s="14">
        <v>32.745880736177448</v>
      </c>
      <c r="P156" s="14">
        <v>31.67437972729812</v>
      </c>
      <c r="Q156" s="14">
        <v>26.345227749886128</v>
      </c>
      <c r="R156" s="14">
        <v>25.152284142126717</v>
      </c>
      <c r="S156" s="14">
        <v>29.289852661410993</v>
      </c>
      <c r="T156" s="14">
        <v>26.21986123874472</v>
      </c>
      <c r="U156" s="14">
        <v>29.395613263655491</v>
      </c>
      <c r="V156" s="14">
        <v>39.867985091294386</v>
      </c>
      <c r="W156" s="14">
        <v>45.868759087485195</v>
      </c>
      <c r="Y156" s="14">
        <f t="shared" si="16"/>
        <v>738.14601605214614</v>
      </c>
      <c r="Z156">
        <f t="shared" si="17"/>
        <v>89.296231301841459</v>
      </c>
    </row>
    <row r="157" spans="1:26" x14ac:dyDescent="0.25">
      <c r="A157" t="s">
        <v>66</v>
      </c>
      <c r="D157" s="14">
        <v>48.308337967607635</v>
      </c>
      <c r="E157" s="14">
        <v>41.284540358238353</v>
      </c>
      <c r="F157" s="14">
        <v>43.402866717770721</v>
      </c>
      <c r="G157" s="14">
        <v>43.073973974558768</v>
      </c>
      <c r="H157" s="14">
        <v>39.798781568489794</v>
      </c>
      <c r="I157" s="14">
        <v>41.968254705762128</v>
      </c>
      <c r="J157" s="14">
        <v>42.327212322468043</v>
      </c>
      <c r="K157" s="14">
        <v>41.035218672605929</v>
      </c>
      <c r="L157" s="14">
        <v>37.952532604872843</v>
      </c>
      <c r="M157" s="14">
        <v>47.791209824444373</v>
      </c>
      <c r="N157" s="14">
        <v>57.735302575369786</v>
      </c>
      <c r="O157" s="14">
        <v>52.414919885623469</v>
      </c>
      <c r="P157" s="14">
        <v>47.627662687441735</v>
      </c>
      <c r="Q157" s="14">
        <v>45.228304275804099</v>
      </c>
      <c r="R157" s="14">
        <v>43.614027238230989</v>
      </c>
      <c r="S157" s="14">
        <v>42.487938408452109</v>
      </c>
      <c r="T157" s="14">
        <v>44.621612830184411</v>
      </c>
      <c r="U157" s="14">
        <v>43.839485357711546</v>
      </c>
      <c r="V157" s="14">
        <v>41.356310992561667</v>
      </c>
      <c r="W157" s="14">
        <v>48.855389842054052</v>
      </c>
      <c r="Y157" s="14">
        <f t="shared" si="16"/>
        <v>894.72388281025246</v>
      </c>
      <c r="Z157">
        <f t="shared" si="17"/>
        <v>95.692546807733109</v>
      </c>
    </row>
    <row r="158" spans="1:26" x14ac:dyDescent="0.25"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Y158" s="14"/>
    </row>
    <row r="159" spans="1:26" x14ac:dyDescent="0.25">
      <c r="A159" t="s">
        <v>67</v>
      </c>
      <c r="D159" s="14">
        <v>55.584710777504</v>
      </c>
      <c r="E159" s="14">
        <v>46.281827387134484</v>
      </c>
      <c r="F159" s="14">
        <v>47.530923012167229</v>
      </c>
      <c r="G159" s="14">
        <v>51.653308777180683</v>
      </c>
      <c r="H159" s="14">
        <v>50.85063865798886</v>
      </c>
      <c r="I159" s="14">
        <v>54.569070224291558</v>
      </c>
      <c r="J159" s="14">
        <v>52.651323864184491</v>
      </c>
      <c r="K159" s="14">
        <v>53.150642877621614</v>
      </c>
      <c r="L159" s="14">
        <v>44.104524942934887</v>
      </c>
      <c r="M159" s="14">
        <v>33.657231529848133</v>
      </c>
      <c r="N159" s="14">
        <v>32.382600463034876</v>
      </c>
      <c r="O159" s="14">
        <v>32.542982238155183</v>
      </c>
      <c r="P159" s="14">
        <v>31.71498687313283</v>
      </c>
      <c r="Q159" s="14">
        <v>31.535350747977571</v>
      </c>
      <c r="R159" s="14">
        <v>31.279586298528507</v>
      </c>
      <c r="S159" s="14">
        <v>30.627029838164756</v>
      </c>
      <c r="T159" s="14">
        <v>26.420453057028855</v>
      </c>
      <c r="U159" s="14">
        <v>24.499868614793204</v>
      </c>
      <c r="V159" s="14">
        <v>31.243350051117279</v>
      </c>
      <c r="W159" s="14">
        <v>28.633773013979276</v>
      </c>
      <c r="Y159" s="14">
        <f t="shared" si="16"/>
        <v>790.9141832467684</v>
      </c>
      <c r="Z159">
        <f>SUMPRODUCT($D$163:$W$163,D159:W159)</f>
        <v>105.16069922910725</v>
      </c>
    </row>
    <row r="160" spans="1:26" x14ac:dyDescent="0.25">
      <c r="A160" t="s">
        <v>311</v>
      </c>
      <c r="D160" s="14">
        <v>45.285714285714285</v>
      </c>
      <c r="E160" s="14">
        <v>43</v>
      </c>
      <c r="F160" s="14">
        <v>41.285714285714285</v>
      </c>
      <c r="G160" s="14">
        <v>35.571428571428569</v>
      </c>
      <c r="H160" s="14">
        <v>41.857142857142854</v>
      </c>
      <c r="I160" s="14">
        <v>39.571428571428569</v>
      </c>
      <c r="J160" s="14">
        <v>37.714285714285715</v>
      </c>
      <c r="K160" s="14">
        <v>39.571428571428569</v>
      </c>
      <c r="L160" s="14">
        <v>50.875</v>
      </c>
      <c r="M160" s="14">
        <v>52.428571428571431</v>
      </c>
      <c r="N160" s="14">
        <v>49.142857142857146</v>
      </c>
      <c r="O160" s="14">
        <v>42</v>
      </c>
      <c r="P160" s="14">
        <v>42.868441214768545</v>
      </c>
      <c r="Q160" s="14">
        <v>42.615539251486211</v>
      </c>
      <c r="R160" s="14">
        <v>39.821201838038156</v>
      </c>
      <c r="S160" s="14">
        <v>41.038982735573434</v>
      </c>
      <c r="T160" s="14">
        <v>27.1</v>
      </c>
      <c r="U160" s="14">
        <v>25.1</v>
      </c>
      <c r="V160" s="14">
        <v>32.1</v>
      </c>
      <c r="W160" s="14">
        <v>29.1</v>
      </c>
      <c r="Y160" s="14">
        <f t="shared" si="16"/>
        <v>798.04773646843785</v>
      </c>
      <c r="Z160">
        <f>SUMPRODUCT($D$163:$W$163,D160:W160)</f>
        <v>88.776129981856471</v>
      </c>
    </row>
    <row r="161" spans="1:26" x14ac:dyDescent="0.25">
      <c r="A161" t="s">
        <v>312</v>
      </c>
      <c r="D161" s="17">
        <v>29.749145946434826</v>
      </c>
      <c r="E161" s="17">
        <v>33.601192840503181</v>
      </c>
      <c r="F161" s="17">
        <v>36.249716822550276</v>
      </c>
      <c r="G161" s="17">
        <v>35.057721969966018</v>
      </c>
      <c r="H161" s="17">
        <v>34.699713552631223</v>
      </c>
      <c r="I161" s="17">
        <v>32.317100241772344</v>
      </c>
      <c r="J161" s="17">
        <v>33.601920484007202</v>
      </c>
      <c r="K161" s="17">
        <v>36.146949759438698</v>
      </c>
      <c r="L161" s="17">
        <v>33.298557564168767</v>
      </c>
      <c r="M161" s="17">
        <v>33.657231529848133</v>
      </c>
      <c r="N161" s="17">
        <v>32.382600463034876</v>
      </c>
      <c r="O161" s="17">
        <v>32.542982238155183</v>
      </c>
      <c r="P161" s="17">
        <v>31.720062766362165</v>
      </c>
      <c r="Q161" s="17">
        <v>32.184116122738999</v>
      </c>
      <c r="R161" s="17">
        <v>32.045499068078726</v>
      </c>
      <c r="S161" s="17">
        <v>30.794176985258979</v>
      </c>
      <c r="T161" s="17">
        <v>26.44552703431437</v>
      </c>
      <c r="U161" s="17">
        <v>23.887900533685418</v>
      </c>
      <c r="V161" s="17">
        <v>30.165270671095143</v>
      </c>
      <c r="W161" s="17">
        <v>26.479399754791032</v>
      </c>
      <c r="Y161" s="14">
        <f t="shared" si="16"/>
        <v>637.0267863488358</v>
      </c>
      <c r="Z161">
        <f>SUMPRODUCT($D$163:$W$163,D161:W161)</f>
        <v>69.655328964750382</v>
      </c>
    </row>
    <row r="162" spans="1:26" x14ac:dyDescent="0.25">
      <c r="A162" t="s">
        <v>674</v>
      </c>
      <c r="D162" s="14">
        <v>39.873155045315158</v>
      </c>
      <c r="E162" s="14">
        <v>37.943279283285634</v>
      </c>
      <c r="F162" s="14">
        <v>27.300159794236873</v>
      </c>
      <c r="G162" s="14">
        <v>38.173162822394886</v>
      </c>
      <c r="H162" s="14">
        <v>36.714942018447083</v>
      </c>
      <c r="I162" s="14">
        <v>29.498889293601486</v>
      </c>
      <c r="J162" s="14">
        <v>31.807117254049135</v>
      </c>
      <c r="K162" s="14">
        <v>32.595595223140386</v>
      </c>
      <c r="L162" s="14">
        <v>30.393650101639761</v>
      </c>
      <c r="M162" s="14">
        <v>34.973746257231809</v>
      </c>
      <c r="N162" s="14">
        <v>34.247930879174234</v>
      </c>
      <c r="O162" s="14">
        <v>34.115550359962086</v>
      </c>
      <c r="P162" s="14">
        <v>31.457642372624974</v>
      </c>
      <c r="Q162" s="14">
        <v>29.990404334476807</v>
      </c>
      <c r="R162" s="14">
        <v>32.045499068078726</v>
      </c>
      <c r="S162" s="14">
        <v>30.794176985258979</v>
      </c>
      <c r="T162" s="14">
        <v>26.407951585487307</v>
      </c>
      <c r="U162" s="14">
        <v>24.248399345396443</v>
      </c>
      <c r="V162" s="14">
        <v>28.289442090561167</v>
      </c>
      <c r="W162" s="14">
        <v>28.050737936506035</v>
      </c>
      <c r="Y162" s="14">
        <f t="shared" ref="Y162" si="18">SUM(D162:W162)</f>
        <v>638.92143205086904</v>
      </c>
      <c r="Z162">
        <f>SUMPRODUCT($D$163:$W$163,D162:W162)</f>
        <v>73.823627027584422</v>
      </c>
    </row>
    <row r="163" spans="1:26" x14ac:dyDescent="0.25">
      <c r="A163" s="2" t="s">
        <v>68</v>
      </c>
      <c r="D163" s="3">
        <f>CORREL($B$2:$B$25,D134:D157)</f>
        <v>0.55525141742354867</v>
      </c>
      <c r="E163" s="3">
        <f t="shared" ref="E163:W163" si="19">CORREL($B$2:$B$25,E134:E157)</f>
        <v>-7.683678284947904E-4</v>
      </c>
      <c r="F163" s="3">
        <f t="shared" si="19"/>
        <v>1.7538462203133629E-2</v>
      </c>
      <c r="G163" s="3">
        <f t="shared" si="19"/>
        <v>0.16131517471246998</v>
      </c>
      <c r="H163" s="3">
        <f t="shared" si="19"/>
        <v>0.16912113948183694</v>
      </c>
      <c r="I163" s="3">
        <f t="shared" si="19"/>
        <v>0.18881250188757542</v>
      </c>
      <c r="J163" s="3">
        <f t="shared" si="19"/>
        <v>0.17737693334607099</v>
      </c>
      <c r="K163" s="3">
        <f t="shared" si="19"/>
        <v>0.24739962828248577</v>
      </c>
      <c r="L163" s="3">
        <f t="shared" si="19"/>
        <v>0.30301484381416999</v>
      </c>
      <c r="M163" s="3">
        <f t="shared" si="19"/>
        <v>-0.1145995678918527</v>
      </c>
      <c r="N163" s="3">
        <f t="shared" si="19"/>
        <v>-8.701946291582963E-3</v>
      </c>
      <c r="O163" s="3">
        <f t="shared" si="19"/>
        <v>0.12758072476298529</v>
      </c>
      <c r="P163" s="3">
        <f t="shared" si="19"/>
        <v>0.18443921246942785</v>
      </c>
      <c r="Q163" s="3">
        <f t="shared" si="19"/>
        <v>-0.12235950052303431</v>
      </c>
      <c r="R163" s="3">
        <f t="shared" si="19"/>
        <v>-2.0777435271713808E-2</v>
      </c>
      <c r="S163" s="3">
        <f t="shared" si="19"/>
        <v>7.5393767984356971E-2</v>
      </c>
      <c r="T163" s="3">
        <f t="shared" si="19"/>
        <v>2.1391200642488808E-2</v>
      </c>
      <c r="U163" s="3">
        <f t="shared" si="19"/>
        <v>2.5529188621068121E-3</v>
      </c>
      <c r="V163" s="3">
        <f t="shared" si="19"/>
        <v>3.2408552527927986E-2</v>
      </c>
      <c r="W163" s="3">
        <f t="shared" si="19"/>
        <v>0.17836642774287545</v>
      </c>
    </row>
    <row r="166" spans="1:26" x14ac:dyDescent="0.25">
      <c r="D166" t="s">
        <v>0</v>
      </c>
      <c r="E166" t="s">
        <v>1</v>
      </c>
      <c r="F166" t="s">
        <v>2</v>
      </c>
      <c r="G166" t="s">
        <v>3</v>
      </c>
      <c r="H166" t="s">
        <v>4</v>
      </c>
      <c r="I166" t="s">
        <v>5</v>
      </c>
      <c r="J166" t="s">
        <v>6</v>
      </c>
      <c r="K166" t="s">
        <v>7</v>
      </c>
      <c r="L166" t="s">
        <v>342</v>
      </c>
      <c r="M166" t="s">
        <v>380</v>
      </c>
      <c r="N166" t="s">
        <v>381</v>
      </c>
      <c r="O166" t="s">
        <v>382</v>
      </c>
      <c r="P166" t="s">
        <v>470</v>
      </c>
      <c r="Q166" t="s">
        <v>471</v>
      </c>
      <c r="R166" t="s">
        <v>472</v>
      </c>
      <c r="S166" t="s">
        <v>473</v>
      </c>
      <c r="T166" t="s">
        <v>582</v>
      </c>
      <c r="U166" t="s">
        <v>583</v>
      </c>
      <c r="V166" t="s">
        <v>584</v>
      </c>
      <c r="W166" t="s">
        <v>585</v>
      </c>
      <c r="Y166" t="s">
        <v>93</v>
      </c>
      <c r="Z166" t="s">
        <v>94</v>
      </c>
    </row>
    <row r="167" spans="1:26" x14ac:dyDescent="0.25">
      <c r="A167" t="s">
        <v>43</v>
      </c>
      <c r="D167" s="14">
        <v>13.963878173702787</v>
      </c>
      <c r="E167" s="14">
        <v>10.218410619391511</v>
      </c>
      <c r="F167" s="14">
        <v>9.1103311066177639</v>
      </c>
      <c r="G167" s="14">
        <v>9.6144215079681832</v>
      </c>
      <c r="H167" s="14">
        <v>9.6455920679449356</v>
      </c>
      <c r="I167" s="14">
        <v>7.6397218513023182</v>
      </c>
      <c r="J167" s="14">
        <v>10.729554722896236</v>
      </c>
      <c r="K167" s="14">
        <v>8.0061948787536128</v>
      </c>
      <c r="L167" s="14">
        <v>7.0540220482749287</v>
      </c>
      <c r="M167" s="14">
        <v>7.4776101540279365</v>
      </c>
      <c r="N167" s="14">
        <v>5.8465283517764552</v>
      </c>
      <c r="O167" s="14">
        <v>6.5693866570515009</v>
      </c>
      <c r="P167" s="14">
        <v>5.2036323727055294</v>
      </c>
      <c r="Q167" s="14">
        <v>9.1838911698169543</v>
      </c>
      <c r="R167" s="14">
        <v>7.7637394662417334</v>
      </c>
      <c r="S167" s="14">
        <v>9.3950185520091711</v>
      </c>
      <c r="T167" s="14">
        <v>6.2293817110091014</v>
      </c>
      <c r="U167" s="14">
        <v>7.7360876348170624</v>
      </c>
      <c r="V167" s="14">
        <v>9.5321411826496831</v>
      </c>
      <c r="W167" s="14">
        <v>12.210580948337153</v>
      </c>
      <c r="Y167" s="14">
        <f t="shared" ref="Y167:Y194" si="20">SUM(D167:W167)</f>
        <v>173.13012517729459</v>
      </c>
      <c r="Z167">
        <f t="shared" ref="Z167:Z190" si="21">SUMPRODUCT($D$196:$W$196,D167:W167)</f>
        <v>-35.255991534690182</v>
      </c>
    </row>
    <row r="168" spans="1:26" x14ac:dyDescent="0.25">
      <c r="A168" t="s">
        <v>44</v>
      </c>
      <c r="D168" s="14">
        <v>13.906594477356496</v>
      </c>
      <c r="E168" s="14">
        <v>12.817755397749082</v>
      </c>
      <c r="F168" s="14">
        <v>11.39575836678415</v>
      </c>
      <c r="G168" s="14">
        <v>11.485326124776014</v>
      </c>
      <c r="H168" s="14">
        <v>12.267627580809163</v>
      </c>
      <c r="I168" s="14">
        <v>9.061369186210559</v>
      </c>
      <c r="J168" s="14">
        <v>8.4765203652472003</v>
      </c>
      <c r="K168" s="14">
        <v>9.303846403827011</v>
      </c>
      <c r="L168" s="14">
        <v>7.9017782115718456</v>
      </c>
      <c r="M168" s="14">
        <v>7.8475323713564205</v>
      </c>
      <c r="N168" s="14">
        <v>8.8250673945713061</v>
      </c>
      <c r="O168" s="14">
        <v>7.0895151297254149</v>
      </c>
      <c r="P168" s="14">
        <v>8.9669671928975756</v>
      </c>
      <c r="Q168" s="14">
        <v>7.7446769004483533</v>
      </c>
      <c r="R168" s="14">
        <v>10.976456492640269</v>
      </c>
      <c r="S168" s="14">
        <v>12.124064533651316</v>
      </c>
      <c r="T168" s="14">
        <v>8.326235543924648</v>
      </c>
      <c r="U168" s="14">
        <v>9.701754719066626</v>
      </c>
      <c r="V168" s="14">
        <v>10.013320455731773</v>
      </c>
      <c r="W168" s="14">
        <v>11.735043038179835</v>
      </c>
      <c r="Y168" s="14">
        <f t="shared" si="20"/>
        <v>199.96720988652507</v>
      </c>
      <c r="Z168">
        <f t="shared" si="21"/>
        <v>-42.16405513257579</v>
      </c>
    </row>
    <row r="169" spans="1:26" x14ac:dyDescent="0.25">
      <c r="A169" t="s">
        <v>45</v>
      </c>
      <c r="D169" s="14">
        <v>19.043710473746206</v>
      </c>
      <c r="E169" s="14">
        <v>14.246674138933912</v>
      </c>
      <c r="F169" s="14">
        <v>11.850206245078729</v>
      </c>
      <c r="G169" s="14">
        <v>13.207017235503406</v>
      </c>
      <c r="H169" s="14">
        <v>14.399689044064029</v>
      </c>
      <c r="I169" s="14">
        <v>11.32225268815321</v>
      </c>
      <c r="J169" s="14">
        <v>8.6817777422253748</v>
      </c>
      <c r="K169" s="14">
        <v>7.8107713714319633</v>
      </c>
      <c r="L169" s="14">
        <v>7.8728084254999651</v>
      </c>
      <c r="M169" s="14">
        <v>8.8695691718008938</v>
      </c>
      <c r="N169" s="14">
        <v>9.1318030769618463</v>
      </c>
      <c r="O169" s="14">
        <v>7.8222577927598342</v>
      </c>
      <c r="P169" s="14">
        <v>8.0412511937364481</v>
      </c>
      <c r="Q169" s="14">
        <v>8.9483403945434592</v>
      </c>
      <c r="R169" s="14">
        <v>9.267356868752012</v>
      </c>
      <c r="S169" s="14">
        <v>9.6294348823652367</v>
      </c>
      <c r="T169" s="14">
        <v>10.718191365876633</v>
      </c>
      <c r="U169" s="14">
        <v>10.816865171307521</v>
      </c>
      <c r="V169" s="14">
        <v>10.734671799172503</v>
      </c>
      <c r="W169" s="14">
        <v>12.835546688594496</v>
      </c>
      <c r="Y169" s="14">
        <f t="shared" si="20"/>
        <v>215.2501957705077</v>
      </c>
      <c r="Z169">
        <f t="shared" si="21"/>
        <v>-42.815235107062016</v>
      </c>
    </row>
    <row r="170" spans="1:26" x14ac:dyDescent="0.25">
      <c r="A170" t="s">
        <v>46</v>
      </c>
      <c r="D170" s="14">
        <v>14.849066714877356</v>
      </c>
      <c r="E170" s="14">
        <v>13.626699050494366</v>
      </c>
      <c r="F170" s="14">
        <v>12.75285243906942</v>
      </c>
      <c r="G170" s="14">
        <v>12.362213451843449</v>
      </c>
      <c r="H170" s="14">
        <v>11.072939587294439</v>
      </c>
      <c r="I170" s="14">
        <v>11.529261325323125</v>
      </c>
      <c r="J170" s="14">
        <v>9.9533263753188468</v>
      </c>
      <c r="K170" s="14">
        <v>9.357274804654482</v>
      </c>
      <c r="L170" s="14">
        <v>8.0609829315356585</v>
      </c>
      <c r="M170" s="14">
        <v>5.8913175037566932</v>
      </c>
      <c r="N170" s="14">
        <v>8.0061021275703386</v>
      </c>
      <c r="O170" s="14">
        <v>7.0575237572397871</v>
      </c>
      <c r="P170" s="14">
        <v>7.3736004502215176</v>
      </c>
      <c r="Q170" s="14">
        <v>8.0830839941961177</v>
      </c>
      <c r="R170" s="14">
        <v>10.517828289147085</v>
      </c>
      <c r="S170" s="14">
        <v>8.488916889003054</v>
      </c>
      <c r="T170" s="14">
        <v>10.520289122013038</v>
      </c>
      <c r="U170" s="14">
        <v>11.716702250662673</v>
      </c>
      <c r="V170" s="14">
        <v>9.1161233751991926</v>
      </c>
      <c r="W170" s="14">
        <v>10.792589437025086</v>
      </c>
      <c r="Y170" s="14">
        <f t="shared" si="20"/>
        <v>201.12869387644577</v>
      </c>
      <c r="Z170">
        <f t="shared" si="21"/>
        <v>-42.501995891960341</v>
      </c>
    </row>
    <row r="171" spans="1:26" x14ac:dyDescent="0.25">
      <c r="A171" t="s">
        <v>47</v>
      </c>
      <c r="D171" s="14">
        <v>17.873551981066697</v>
      </c>
      <c r="E171" s="14">
        <v>12.41113872025041</v>
      </c>
      <c r="F171" s="14">
        <v>10.467068664691682</v>
      </c>
      <c r="G171" s="14">
        <v>13.0555900217902</v>
      </c>
      <c r="H171" s="14">
        <v>9.7452817717012383</v>
      </c>
      <c r="I171" s="14">
        <v>10.951361283814473</v>
      </c>
      <c r="J171" s="14">
        <v>11.869723929789645</v>
      </c>
      <c r="K171" s="14">
        <v>8.9617672290582213</v>
      </c>
      <c r="L171" s="14">
        <v>7.058860746153818</v>
      </c>
      <c r="M171" s="14">
        <v>8.1997576522223596</v>
      </c>
      <c r="N171" s="14">
        <v>8.230819998482076</v>
      </c>
      <c r="O171" s="14">
        <v>8.2765122193637346</v>
      </c>
      <c r="P171" s="14">
        <v>7.7411958445756586</v>
      </c>
      <c r="Q171" s="14">
        <v>8.1722257185788489</v>
      </c>
      <c r="R171" s="14">
        <v>7.72129675450023</v>
      </c>
      <c r="S171" s="14">
        <v>10.547269433293895</v>
      </c>
      <c r="T171" s="14">
        <v>11.211165935247376</v>
      </c>
      <c r="U171" s="14">
        <v>13.161238045585623</v>
      </c>
      <c r="V171" s="14">
        <v>15.342560269662567</v>
      </c>
      <c r="W171" s="14">
        <v>15.817745423469729</v>
      </c>
      <c r="Y171" s="14">
        <f t="shared" si="20"/>
        <v>216.81613164329849</v>
      </c>
      <c r="Z171">
        <f t="shared" si="21"/>
        <v>-44.696144422565915</v>
      </c>
    </row>
    <row r="172" spans="1:26" x14ac:dyDescent="0.25">
      <c r="A172" t="s">
        <v>48</v>
      </c>
      <c r="D172" s="14">
        <v>13.170492279564884</v>
      </c>
      <c r="E172" s="14">
        <v>13.492874906314157</v>
      </c>
      <c r="F172" s="14">
        <v>12.888315775919382</v>
      </c>
      <c r="G172" s="14">
        <v>11.086275594658956</v>
      </c>
      <c r="H172" s="14">
        <v>9.8362839488517135</v>
      </c>
      <c r="I172" s="14">
        <v>13.646418594644288</v>
      </c>
      <c r="J172" s="14">
        <v>11.021976097332868</v>
      </c>
      <c r="K172" s="14">
        <v>7.0963035770668155</v>
      </c>
      <c r="L172" s="14">
        <v>7.6537538819899851</v>
      </c>
      <c r="M172" s="14">
        <v>8.8346316304236954</v>
      </c>
      <c r="N172" s="14">
        <v>9.1341689596207232</v>
      </c>
      <c r="O172" s="14">
        <v>8.1723077623009086</v>
      </c>
      <c r="P172" s="14">
        <v>8.131223626390284</v>
      </c>
      <c r="Q172" s="14">
        <v>8.7441879805461475</v>
      </c>
      <c r="R172" s="14">
        <v>9.0605215911188068</v>
      </c>
      <c r="S172" s="14">
        <v>9.8003117826408293</v>
      </c>
      <c r="T172" s="14">
        <v>9.6578255171417009</v>
      </c>
      <c r="U172" s="14">
        <v>10.462964401122536</v>
      </c>
      <c r="V172" s="14">
        <v>8.1094139553593614</v>
      </c>
      <c r="W172" s="14">
        <v>10.159311957763496</v>
      </c>
      <c r="Y172" s="14">
        <f t="shared" si="20"/>
        <v>200.15956382077155</v>
      </c>
      <c r="Z172">
        <f t="shared" si="21"/>
        <v>-43.28054784239837</v>
      </c>
    </row>
    <row r="173" spans="1:26" x14ac:dyDescent="0.25">
      <c r="A173" t="s">
        <v>49</v>
      </c>
      <c r="D173" s="14">
        <v>8.1408160520339248</v>
      </c>
      <c r="E173" s="14">
        <v>12.574245143836018</v>
      </c>
      <c r="F173" s="14">
        <v>12.871097907765781</v>
      </c>
      <c r="G173" s="14">
        <v>10.177818132310632</v>
      </c>
      <c r="H173" s="14">
        <v>10.364195763223888</v>
      </c>
      <c r="I173" s="14">
        <v>10.864567057611097</v>
      </c>
      <c r="J173" s="14">
        <v>8.1149172132646399</v>
      </c>
      <c r="K173" s="14">
        <v>8.5278743450726466</v>
      </c>
      <c r="L173" s="14">
        <v>7.2966574563712987</v>
      </c>
      <c r="M173" s="14">
        <v>8.5540299784593312</v>
      </c>
      <c r="N173" s="14">
        <v>6.817101377369478</v>
      </c>
      <c r="O173" s="14">
        <v>7.0518927539464302</v>
      </c>
      <c r="P173" s="14">
        <v>7.8929139797214658</v>
      </c>
      <c r="Q173" s="14">
        <v>9.0788054113081973</v>
      </c>
      <c r="R173" s="14">
        <v>9.2918195700888742</v>
      </c>
      <c r="S173" s="14">
        <v>10.007346538137025</v>
      </c>
      <c r="T173" s="14">
        <v>10.2353723521642</v>
      </c>
      <c r="U173" s="14">
        <v>9.0534726781561687</v>
      </c>
      <c r="V173" s="14">
        <v>9.7493650432015908</v>
      </c>
      <c r="W173" s="14">
        <v>13.598113229193729</v>
      </c>
      <c r="Y173" s="14">
        <f t="shared" si="20"/>
        <v>190.26242198323644</v>
      </c>
      <c r="Z173">
        <f t="shared" si="21"/>
        <v>-39.760281699895231</v>
      </c>
    </row>
    <row r="174" spans="1:26" x14ac:dyDescent="0.25">
      <c r="A174" t="s">
        <v>50</v>
      </c>
      <c r="D174" s="14">
        <v>14.389771120529543</v>
      </c>
      <c r="E174" s="14">
        <v>14.353195464066825</v>
      </c>
      <c r="F174" s="14">
        <v>13.563620197205049</v>
      </c>
      <c r="G174" s="14">
        <v>11.799276612585087</v>
      </c>
      <c r="H174" s="14">
        <v>12.571602112562138</v>
      </c>
      <c r="I174" s="14">
        <v>13.300335028221303</v>
      </c>
      <c r="J174" s="14">
        <v>10.578626739077354</v>
      </c>
      <c r="K174" s="14">
        <v>9.4372869715310213</v>
      </c>
      <c r="L174" s="14">
        <v>9.32813007517505</v>
      </c>
      <c r="M174" s="14">
        <v>12.343156684013303</v>
      </c>
      <c r="N174" s="14">
        <v>11.158243767889743</v>
      </c>
      <c r="O174" s="14">
        <v>7.785230837777152</v>
      </c>
      <c r="P174" s="14">
        <v>9.7727334509637469</v>
      </c>
      <c r="Q174" s="14">
        <v>9.2410212074104283</v>
      </c>
      <c r="R174" s="14">
        <v>10.954887699144541</v>
      </c>
      <c r="S174" s="14">
        <v>11.25717668345809</v>
      </c>
      <c r="T174" s="14">
        <v>15.043579661908691</v>
      </c>
      <c r="U174" s="14">
        <v>13.352316914147549</v>
      </c>
      <c r="V174" s="14">
        <v>11.441717065759276</v>
      </c>
      <c r="W174" s="14">
        <v>12.586523126664101</v>
      </c>
      <c r="Y174" s="14">
        <f t="shared" si="20"/>
        <v>234.25843142008998</v>
      </c>
      <c r="Z174">
        <f t="shared" si="21"/>
        <v>-50.278078256049326</v>
      </c>
    </row>
    <row r="175" spans="1:26" x14ac:dyDescent="0.25">
      <c r="A175" t="s">
        <v>51</v>
      </c>
      <c r="D175" s="14">
        <v>14.193108990685314</v>
      </c>
      <c r="E175" s="14">
        <v>12.337049124727939</v>
      </c>
      <c r="F175" s="14">
        <v>14.467553917381546</v>
      </c>
      <c r="G175" s="14">
        <v>14.675228870710649</v>
      </c>
      <c r="H175" s="14">
        <v>13.126325998509188</v>
      </c>
      <c r="I175" s="14">
        <v>8.3713752167232602</v>
      </c>
      <c r="J175" s="14">
        <v>8.4557274984604494</v>
      </c>
      <c r="K175" s="14">
        <v>11.4640152530829</v>
      </c>
      <c r="L175" s="14">
        <v>8.2431011174940672</v>
      </c>
      <c r="M175" s="14">
        <v>8.5669994325318122</v>
      </c>
      <c r="N175" s="14">
        <v>10.709894966319242</v>
      </c>
      <c r="O175" s="14">
        <v>8.023543405721524</v>
      </c>
      <c r="P175" s="14">
        <v>7.5343936531327129</v>
      </c>
      <c r="Q175" s="14">
        <v>9.6598399155795018</v>
      </c>
      <c r="R175" s="14">
        <v>8.8239849225737235</v>
      </c>
      <c r="S175" s="14">
        <v>8.3468789151414615</v>
      </c>
      <c r="T175" s="14">
        <v>9.244533031443865</v>
      </c>
      <c r="U175" s="14">
        <v>9.8649639167272323</v>
      </c>
      <c r="V175" s="14">
        <v>10.313192861045396</v>
      </c>
      <c r="W175" s="14">
        <v>14.729248928782338</v>
      </c>
      <c r="Y175" s="14">
        <f t="shared" si="20"/>
        <v>211.15095993677414</v>
      </c>
      <c r="Z175">
        <f t="shared" si="21"/>
        <v>-41.97321175566691</v>
      </c>
    </row>
    <row r="176" spans="1:26" x14ac:dyDescent="0.25">
      <c r="A176" t="s">
        <v>52</v>
      </c>
      <c r="D176" s="14">
        <v>18.527472262555868</v>
      </c>
      <c r="E176" s="14">
        <v>16.201510664070369</v>
      </c>
      <c r="F176" s="14">
        <v>13.51478792589033</v>
      </c>
      <c r="G176" s="14">
        <v>14.975140476252884</v>
      </c>
      <c r="H176" s="14">
        <v>13.696359907430212</v>
      </c>
      <c r="I176" s="14">
        <v>14.870852311053843</v>
      </c>
      <c r="J176" s="14">
        <v>11.045134720331983</v>
      </c>
      <c r="K176" s="14">
        <v>11.218601550430252</v>
      </c>
      <c r="L176" s="14">
        <v>8.934272371234055</v>
      </c>
      <c r="M176" s="14">
        <v>9.6970913211990641</v>
      </c>
      <c r="N176" s="14">
        <v>9.8662903414813226</v>
      </c>
      <c r="O176" s="14">
        <v>8.388793812969304</v>
      </c>
      <c r="P176" s="14">
        <v>7.842697351149754</v>
      </c>
      <c r="Q176" s="14">
        <v>9.6592185341849675</v>
      </c>
      <c r="R176" s="14">
        <v>8.5011592546908155</v>
      </c>
      <c r="S176" s="14">
        <v>8.95814393488231</v>
      </c>
      <c r="T176" s="14">
        <v>9.1145739412175573</v>
      </c>
      <c r="U176" s="14">
        <v>8.1063979927508569</v>
      </c>
      <c r="V176" s="14">
        <v>11.070330023980137</v>
      </c>
      <c r="W176" s="14">
        <v>12.165294717262999</v>
      </c>
      <c r="Y176" s="14">
        <f t="shared" si="20"/>
        <v>226.3541234150189</v>
      </c>
      <c r="Z176">
        <f t="shared" si="21"/>
        <v>-45.285328528484435</v>
      </c>
    </row>
    <row r="177" spans="1:27" x14ac:dyDescent="0.25">
      <c r="A177" t="s">
        <v>53</v>
      </c>
      <c r="D177" s="14">
        <v>17.648254317705263</v>
      </c>
      <c r="E177" s="14">
        <v>14.016879330194842</v>
      </c>
      <c r="F177" s="14">
        <v>11.497522684632171</v>
      </c>
      <c r="G177" s="14">
        <v>10.766164454595744</v>
      </c>
      <c r="H177" s="14">
        <v>8.1705276087826881</v>
      </c>
      <c r="I177" s="14">
        <v>8.6999197851936145</v>
      </c>
      <c r="J177" s="14">
        <v>8.5871784289749762</v>
      </c>
      <c r="K177" s="14">
        <v>8.7950747063395145</v>
      </c>
      <c r="L177" s="14">
        <v>7.9121048723313363</v>
      </c>
      <c r="M177" s="14">
        <v>8.4759902501626438</v>
      </c>
      <c r="N177" s="14">
        <v>8.1439251687493588</v>
      </c>
      <c r="O177" s="14">
        <v>9.4872822121712623</v>
      </c>
      <c r="P177" s="14">
        <v>9.0874838377366469</v>
      </c>
      <c r="Q177" s="14">
        <v>8.870571108323265</v>
      </c>
      <c r="R177" s="14">
        <v>11.639536957077221</v>
      </c>
      <c r="S177" s="14">
        <v>12.249517757300987</v>
      </c>
      <c r="T177" s="14">
        <v>13.137156699076373</v>
      </c>
      <c r="U177" s="14">
        <v>12.337643126845592</v>
      </c>
      <c r="V177" s="14">
        <v>12.833748585037373</v>
      </c>
      <c r="W177" s="14">
        <v>12.493366549833137</v>
      </c>
      <c r="Y177" s="14">
        <f t="shared" si="20"/>
        <v>214.84984844106401</v>
      </c>
      <c r="Z177">
        <f t="shared" si="21"/>
        <v>-46.308078646069816</v>
      </c>
    </row>
    <row r="178" spans="1:27" x14ac:dyDescent="0.25">
      <c r="A178" t="s">
        <v>54</v>
      </c>
      <c r="D178" s="14">
        <v>13.274220513278888</v>
      </c>
      <c r="E178" s="14">
        <v>12.537919144441299</v>
      </c>
      <c r="F178" s="14">
        <v>10.557608283969998</v>
      </c>
      <c r="G178" s="14">
        <v>10.638399541892918</v>
      </c>
      <c r="H178" s="14">
        <v>8.8262034394065605</v>
      </c>
      <c r="I178" s="14">
        <v>8.0394759228939741</v>
      </c>
      <c r="J178" s="14">
        <v>7.3936948792655537</v>
      </c>
      <c r="K178" s="14">
        <v>7.7690357165024535</v>
      </c>
      <c r="L178" s="14">
        <v>7.2598965813676557</v>
      </c>
      <c r="M178" s="14">
        <v>8.5004925409109031</v>
      </c>
      <c r="N178" s="14">
        <v>8.582973680084466</v>
      </c>
      <c r="O178" s="14">
        <v>7.6027445925241546</v>
      </c>
      <c r="P178" s="14">
        <v>8.6424079311196689</v>
      </c>
      <c r="Q178" s="14">
        <v>9.3852291070073939</v>
      </c>
      <c r="R178" s="14">
        <v>7.7213465894680695</v>
      </c>
      <c r="S178" s="14">
        <v>6.3635433397757897</v>
      </c>
      <c r="T178" s="14">
        <v>8.4647381956350092</v>
      </c>
      <c r="U178" s="14">
        <v>9.2083622452992273</v>
      </c>
      <c r="V178" s="14">
        <v>9.662743489089527</v>
      </c>
      <c r="W178" s="14">
        <v>14.560525327476077</v>
      </c>
      <c r="Y178" s="14">
        <f t="shared" si="20"/>
        <v>184.99156106140964</v>
      </c>
      <c r="Z178">
        <f t="shared" si="21"/>
        <v>-37.991211281533069</v>
      </c>
    </row>
    <row r="179" spans="1:27" x14ac:dyDescent="0.25">
      <c r="A179" t="s">
        <v>55</v>
      </c>
      <c r="D179" s="14">
        <v>11.388371387458916</v>
      </c>
      <c r="E179" s="14">
        <v>10.852174483661795</v>
      </c>
      <c r="F179" s="14">
        <v>10.825014019439109</v>
      </c>
      <c r="G179" s="14">
        <v>8.8159532497428632</v>
      </c>
      <c r="H179" s="14">
        <v>8.4385485207801754</v>
      </c>
      <c r="I179" s="14">
        <v>5.6909823639891295</v>
      </c>
      <c r="J179" s="14">
        <v>7.8489430101266846</v>
      </c>
      <c r="K179" s="14">
        <v>7.7445679550120117</v>
      </c>
      <c r="L179" s="14">
        <v>6.2449417987693705</v>
      </c>
      <c r="M179" s="14">
        <v>8.2189894214042933</v>
      </c>
      <c r="N179" s="14">
        <v>6.7105344065225339</v>
      </c>
      <c r="O179" s="14">
        <v>8.5317370879599235</v>
      </c>
      <c r="P179" s="14">
        <v>7.0856169921111141</v>
      </c>
      <c r="Q179" s="14">
        <v>6.2082840247014897</v>
      </c>
      <c r="R179" s="14">
        <v>6.2225127301811671</v>
      </c>
      <c r="S179" s="14">
        <v>7.3679803972339162</v>
      </c>
      <c r="T179" s="14">
        <v>7.8950890237939308</v>
      </c>
      <c r="U179" s="14">
        <v>7.9272207705188933</v>
      </c>
      <c r="V179" s="14">
        <v>6.2857717459008899</v>
      </c>
      <c r="W179" s="14">
        <v>14.392792118568343</v>
      </c>
      <c r="Y179" s="14">
        <f t="shared" si="20"/>
        <v>164.69602550787653</v>
      </c>
      <c r="Z179">
        <f t="shared" si="21"/>
        <v>-33.591108812442791</v>
      </c>
    </row>
    <row r="180" spans="1:27" x14ac:dyDescent="0.25">
      <c r="A180" t="s">
        <v>56</v>
      </c>
      <c r="D180" s="14">
        <v>13.954769715887263</v>
      </c>
      <c r="E180" s="14">
        <v>10.253127628522725</v>
      </c>
      <c r="F180" s="14">
        <v>8.9817110337469384</v>
      </c>
      <c r="G180" s="14">
        <v>10.360745056058905</v>
      </c>
      <c r="H180" s="14">
        <v>7.0368158170490238</v>
      </c>
      <c r="I180" s="14">
        <v>9.0366342699970907</v>
      </c>
      <c r="J180" s="14">
        <v>8.8616029374300052</v>
      </c>
      <c r="K180" s="14">
        <v>8.4864006493092212</v>
      </c>
      <c r="L180" s="14">
        <v>6.619250994031745</v>
      </c>
      <c r="M180" s="14">
        <v>7.5811619375900063</v>
      </c>
      <c r="N180" s="14">
        <v>7.9134258104540152</v>
      </c>
      <c r="O180" s="14">
        <v>8.6098179188827775</v>
      </c>
      <c r="P180" s="14">
        <v>8.3178325040661445</v>
      </c>
      <c r="Q180" s="14">
        <v>7.1630578296743801</v>
      </c>
      <c r="R180" s="14">
        <v>10.504993024172467</v>
      </c>
      <c r="S180" s="14">
        <v>13.096284557987561</v>
      </c>
      <c r="T180" s="14">
        <v>13.90148155205023</v>
      </c>
      <c r="U180" s="14">
        <v>11.94271264061801</v>
      </c>
      <c r="V180" s="14">
        <v>10.504993024172467</v>
      </c>
      <c r="W180" s="14">
        <v>13.096284557987561</v>
      </c>
      <c r="Y180" s="14">
        <f t="shared" si="20"/>
        <v>196.22310345968856</v>
      </c>
      <c r="Z180">
        <f t="shared" si="21"/>
        <v>-43.181485527694953</v>
      </c>
    </row>
    <row r="181" spans="1:27" x14ac:dyDescent="0.25">
      <c r="A181" t="s">
        <v>57</v>
      </c>
      <c r="D181" s="14">
        <v>12.624420695531748</v>
      </c>
      <c r="E181" s="14">
        <v>13.258534738464435</v>
      </c>
      <c r="F181" s="14">
        <v>10.685447307768516</v>
      </c>
      <c r="G181" s="14">
        <v>10.915641276354961</v>
      </c>
      <c r="H181" s="14">
        <v>9.2386849464524978</v>
      </c>
      <c r="I181" s="14">
        <v>9.1738304462349003</v>
      </c>
      <c r="J181" s="14">
        <v>8.8176755145672931</v>
      </c>
      <c r="K181" s="14">
        <v>9.981311894789874</v>
      </c>
      <c r="L181" s="14">
        <v>7.4020504597122079</v>
      </c>
      <c r="M181" s="14">
        <v>7.64028168394701</v>
      </c>
      <c r="N181" s="14">
        <v>6.5574827473581347</v>
      </c>
      <c r="O181" s="14">
        <v>5.9612035626303745</v>
      </c>
      <c r="P181" s="14">
        <v>6.9331527861933875</v>
      </c>
      <c r="Q181" s="14">
        <v>10.070271501377619</v>
      </c>
      <c r="R181" s="14">
        <v>13.646630417006177</v>
      </c>
      <c r="S181" s="14">
        <v>12.951012400246162</v>
      </c>
      <c r="T181" s="14">
        <v>12.235435333765892</v>
      </c>
      <c r="U181" s="14">
        <v>13.705702208717515</v>
      </c>
      <c r="V181" s="14">
        <v>11.570225665648341</v>
      </c>
      <c r="W181" s="14">
        <v>11.740356959542039</v>
      </c>
      <c r="Y181" s="14">
        <f t="shared" si="20"/>
        <v>205.10935254630908</v>
      </c>
      <c r="Z181">
        <f t="shared" si="21"/>
        <v>-44.416906679237336</v>
      </c>
    </row>
    <row r="182" spans="1:27" x14ac:dyDescent="0.25">
      <c r="A182" t="s">
        <v>58</v>
      </c>
      <c r="D182" s="14">
        <v>15.705552973460756</v>
      </c>
      <c r="E182" s="14">
        <v>16.4399488691352</v>
      </c>
      <c r="F182" s="14">
        <v>11.666967342718063</v>
      </c>
      <c r="G182" s="14">
        <v>12.066656988149932</v>
      </c>
      <c r="H182" s="14">
        <v>12.529996189421713</v>
      </c>
      <c r="I182" s="14">
        <v>9.7759663265409724</v>
      </c>
      <c r="J182" s="14">
        <v>9.5809374824130096</v>
      </c>
      <c r="K182" s="14">
        <v>8.0142382778648411</v>
      </c>
      <c r="L182" s="14">
        <v>6.5319992759834626</v>
      </c>
      <c r="M182" s="14">
        <v>8.3855400140540883</v>
      </c>
      <c r="N182" s="14">
        <v>7.491516328795603</v>
      </c>
      <c r="O182" s="14">
        <v>8.6279384879724734</v>
      </c>
      <c r="P182" s="14">
        <v>7.93718496908454</v>
      </c>
      <c r="Q182" s="14">
        <v>7.797839037723743</v>
      </c>
      <c r="R182" s="14">
        <v>5.9340474477936818</v>
      </c>
      <c r="S182" s="14">
        <v>8.391456078060429</v>
      </c>
      <c r="T182" s="14">
        <v>9.0271829327353323</v>
      </c>
      <c r="U182" s="14">
        <v>8.9618255789652093</v>
      </c>
      <c r="V182" s="14">
        <v>9.6027438428512539</v>
      </c>
      <c r="W182" s="14">
        <v>11.17036028825491</v>
      </c>
      <c r="Y182" s="14">
        <f t="shared" si="20"/>
        <v>195.6398987319792</v>
      </c>
      <c r="Z182">
        <f t="shared" si="21"/>
        <v>-38.933335288735094</v>
      </c>
    </row>
    <row r="183" spans="1:27" x14ac:dyDescent="0.25">
      <c r="A183" t="s">
        <v>59</v>
      </c>
      <c r="D183" s="14">
        <v>14.292356676944653</v>
      </c>
      <c r="E183" s="14">
        <v>9.2343814739923022</v>
      </c>
      <c r="F183" s="14">
        <v>13.012812663232298</v>
      </c>
      <c r="G183" s="14">
        <v>12.746849540169464</v>
      </c>
      <c r="H183" s="14">
        <v>11.222048130856708</v>
      </c>
      <c r="I183" s="14">
        <v>9.2498049998415475</v>
      </c>
      <c r="J183" s="14">
        <v>8.2609650960558501</v>
      </c>
      <c r="K183" s="14">
        <v>9.5887794911466244</v>
      </c>
      <c r="L183" s="14">
        <v>8.3218119382959177</v>
      </c>
      <c r="M183" s="14">
        <v>7.8412852390995544</v>
      </c>
      <c r="N183" s="14">
        <v>6.9247149376172503</v>
      </c>
      <c r="O183" s="14">
        <v>6.4588242957076263</v>
      </c>
      <c r="P183" s="14">
        <v>7.8121423125609324</v>
      </c>
      <c r="Q183" s="14">
        <v>8.3801197680586963</v>
      </c>
      <c r="R183" s="14">
        <v>11.250318386954751</v>
      </c>
      <c r="S183" s="14">
        <v>10.436304058635184</v>
      </c>
      <c r="T183" s="14">
        <v>3.78359081946618</v>
      </c>
      <c r="U183" s="14">
        <v>9.8288327581533963</v>
      </c>
      <c r="V183" s="14">
        <v>10.221394973120857</v>
      </c>
      <c r="W183" s="14">
        <v>11.714206343329987</v>
      </c>
      <c r="Y183" s="14">
        <f t="shared" si="20"/>
        <v>190.58154390323978</v>
      </c>
      <c r="Z183">
        <f t="shared" si="21"/>
        <v>-39.889299393607111</v>
      </c>
    </row>
    <row r="184" spans="1:27" x14ac:dyDescent="0.25">
      <c r="A184" t="s">
        <v>60</v>
      </c>
      <c r="D184" s="14">
        <v>12.515999927463479</v>
      </c>
      <c r="E184" s="14">
        <v>11.063903801193661</v>
      </c>
      <c r="F184" s="14">
        <v>10.8655931401812</v>
      </c>
      <c r="G184" s="14">
        <v>11.430843827509568</v>
      </c>
      <c r="H184" s="14">
        <v>9.9922826525844446</v>
      </c>
      <c r="I184" s="14">
        <v>8.7366607611653038</v>
      </c>
      <c r="J184" s="14">
        <v>8.0106798268719199</v>
      </c>
      <c r="K184" s="14">
        <v>8.4517251635594537</v>
      </c>
      <c r="L184" s="14">
        <v>6.0129944435912508</v>
      </c>
      <c r="M184" s="14">
        <v>6.8247383410212441</v>
      </c>
      <c r="N184" s="14">
        <v>7.7816221155506833</v>
      </c>
      <c r="O184" s="14">
        <v>9.5011067665883502</v>
      </c>
      <c r="P184" s="14">
        <v>5.4140876557091726</v>
      </c>
      <c r="Q184" s="14">
        <v>7.3990620321196383</v>
      </c>
      <c r="R184" s="14">
        <v>7.4462944504247295</v>
      </c>
      <c r="S184" s="14">
        <v>9.2977071714518491</v>
      </c>
      <c r="T184" s="14">
        <v>11.945928171056186</v>
      </c>
      <c r="U184" s="14">
        <v>9.7265868036875158</v>
      </c>
      <c r="V184" s="14">
        <v>11.321463434404325</v>
      </c>
      <c r="W184" s="14">
        <v>11.2183933911449</v>
      </c>
      <c r="Y184" s="14">
        <f t="shared" si="20"/>
        <v>184.95767387727892</v>
      </c>
      <c r="Z184">
        <f t="shared" si="21"/>
        <v>-37.86431134152074</v>
      </c>
      <c r="AA184" s="14"/>
    </row>
    <row r="185" spans="1:27" x14ac:dyDescent="0.25">
      <c r="A185" t="s">
        <v>61</v>
      </c>
      <c r="D185" s="14">
        <v>15.025983186838035</v>
      </c>
      <c r="E185" s="14">
        <v>14.198126064241729</v>
      </c>
      <c r="F185" s="14">
        <v>13.23600077392789</v>
      </c>
      <c r="G185" s="14">
        <v>13.835835035959374</v>
      </c>
      <c r="H185" s="14">
        <v>12.354064726232632</v>
      </c>
      <c r="I185" s="14">
        <v>13.774973895210994</v>
      </c>
      <c r="J185" s="14">
        <v>9.7674267951502998</v>
      </c>
      <c r="K185" s="14">
        <v>9.8533378470047612</v>
      </c>
      <c r="L185" s="14">
        <v>10.984377613489546</v>
      </c>
      <c r="M185" s="14">
        <v>9.6537798897535971</v>
      </c>
      <c r="N185" s="14">
        <v>8.6998410549947405</v>
      </c>
      <c r="O185" s="14">
        <v>8.916459991879977</v>
      </c>
      <c r="P185" s="14">
        <v>9.5689837943736951</v>
      </c>
      <c r="Q185" s="14">
        <v>11.397039673550637</v>
      </c>
      <c r="R185" s="14">
        <v>12.062024434857401</v>
      </c>
      <c r="S185" s="14">
        <v>11.994767433494221</v>
      </c>
      <c r="T185" s="14">
        <v>12.117362015993374</v>
      </c>
      <c r="U185" s="14">
        <v>13.063664441760343</v>
      </c>
      <c r="V185" s="14">
        <v>11.066643741257366</v>
      </c>
      <c r="W185" s="14">
        <v>12.797833036784082</v>
      </c>
      <c r="Y185" s="14">
        <f t="shared" si="20"/>
        <v>234.36852544675469</v>
      </c>
      <c r="Z185">
        <f t="shared" si="21"/>
        <v>-50.571733380207391</v>
      </c>
      <c r="AA185" s="14"/>
    </row>
    <row r="186" spans="1:27" x14ac:dyDescent="0.25">
      <c r="A186" t="s">
        <v>62</v>
      </c>
      <c r="D186" s="14">
        <v>16.767082603898928</v>
      </c>
      <c r="E186" s="14">
        <v>15.91960260754972</v>
      </c>
      <c r="F186" s="14">
        <v>13.835578892822502</v>
      </c>
      <c r="G186" s="14">
        <v>10.012621828986482</v>
      </c>
      <c r="H186" s="14">
        <v>11.803403733676575</v>
      </c>
      <c r="I186" s="14">
        <v>12.053575548859301</v>
      </c>
      <c r="J186" s="14">
        <v>11.310099890120062</v>
      </c>
      <c r="K186" s="14">
        <v>10.699842101851004</v>
      </c>
      <c r="L186" s="14">
        <v>11.001023944312172</v>
      </c>
      <c r="M186" s="14">
        <v>10.076850501458699</v>
      </c>
      <c r="N186" s="14">
        <v>10.471619477070538</v>
      </c>
      <c r="O186" s="14">
        <v>8.8027058043069353</v>
      </c>
      <c r="P186" s="14">
        <v>6.5986664404170012</v>
      </c>
      <c r="Q186" s="14">
        <v>7.4992856480695602</v>
      </c>
      <c r="R186" s="14">
        <v>6.5076756755274845</v>
      </c>
      <c r="S186" s="14">
        <v>8.6895138955493429</v>
      </c>
      <c r="T186" s="14">
        <v>9.7243838001868728</v>
      </c>
      <c r="U186" s="14">
        <v>9.7198566802356954</v>
      </c>
      <c r="V186" s="14">
        <v>13.762336227349648</v>
      </c>
      <c r="W186" s="14">
        <v>13.842389426725974</v>
      </c>
      <c r="Y186" s="14">
        <f t="shared" si="20"/>
        <v>219.09811472897445</v>
      </c>
      <c r="Z186">
        <f t="shared" si="21"/>
        <v>-44.857365564724702</v>
      </c>
      <c r="AA186" s="14"/>
    </row>
    <row r="187" spans="1:27" x14ac:dyDescent="0.25">
      <c r="A187" t="s">
        <v>63</v>
      </c>
      <c r="D187" s="14">
        <v>13.944313141268966</v>
      </c>
      <c r="E187" s="14">
        <v>12.506481822941197</v>
      </c>
      <c r="F187" s="14">
        <v>12.969720128209421</v>
      </c>
      <c r="G187" s="14">
        <v>11.537395057621607</v>
      </c>
      <c r="H187" s="14">
        <v>9.3063445978885575</v>
      </c>
      <c r="I187" s="14">
        <v>12.227622927807845</v>
      </c>
      <c r="J187" s="14">
        <v>13.456035436790765</v>
      </c>
      <c r="K187" s="14">
        <v>12.809288127765209</v>
      </c>
      <c r="L187" s="14">
        <v>10.402971367251443</v>
      </c>
      <c r="M187" s="14">
        <v>8.8086133560668092</v>
      </c>
      <c r="N187" s="14">
        <v>11.425643968496235</v>
      </c>
      <c r="O187" s="14">
        <v>13.903368873091198</v>
      </c>
      <c r="P187" s="14">
        <v>10.276217683428873</v>
      </c>
      <c r="Q187" s="14">
        <v>9.8175092357683926</v>
      </c>
      <c r="R187" s="14">
        <v>10.325022502720943</v>
      </c>
      <c r="S187" s="14">
        <v>10.667364410513553</v>
      </c>
      <c r="T187" s="14">
        <v>12.485047685066068</v>
      </c>
      <c r="U187" s="14">
        <v>14.634237716937958</v>
      </c>
      <c r="V187" s="14">
        <v>13.785312770135592</v>
      </c>
      <c r="W187" s="14">
        <v>13.441605540684773</v>
      </c>
      <c r="Y187" s="14">
        <f t="shared" si="20"/>
        <v>238.73011635045543</v>
      </c>
      <c r="Z187">
        <f t="shared" si="21"/>
        <v>-54.884164822919452</v>
      </c>
      <c r="AA187" s="14"/>
    </row>
    <row r="188" spans="1:27" x14ac:dyDescent="0.25">
      <c r="A188" t="s">
        <v>64</v>
      </c>
      <c r="D188" s="14">
        <v>12.104846419187066</v>
      </c>
      <c r="E188" s="14">
        <v>14.677967660837137</v>
      </c>
      <c r="F188" s="14">
        <v>17.401660531859495</v>
      </c>
      <c r="G188" s="14">
        <v>11.971263938938975</v>
      </c>
      <c r="H188" s="14">
        <v>11.746908967909949</v>
      </c>
      <c r="I188" s="14">
        <v>13.0861893668456</v>
      </c>
      <c r="J188" s="14">
        <v>13.204995482141706</v>
      </c>
      <c r="K188" s="14">
        <v>13.673574167147567</v>
      </c>
      <c r="L188" s="14">
        <v>11.798316028328456</v>
      </c>
      <c r="M188" s="14">
        <v>9.3832101033895992</v>
      </c>
      <c r="N188" s="14">
        <v>9.2341812167556068</v>
      </c>
      <c r="O188" s="14">
        <v>9.4513465063491111</v>
      </c>
      <c r="P188" s="14">
        <v>10.044409201432682</v>
      </c>
      <c r="Q188" s="14">
        <v>10.359844532927928</v>
      </c>
      <c r="R188" s="14">
        <v>12.628189072757385</v>
      </c>
      <c r="S188" s="14">
        <v>9.6076888512815817</v>
      </c>
      <c r="T188" s="14">
        <v>10.408035274232933</v>
      </c>
      <c r="U188" s="14">
        <v>14.022850378229041</v>
      </c>
      <c r="V188" s="14">
        <v>14.237469842674333</v>
      </c>
      <c r="W188" s="14">
        <v>15.662870070349282</v>
      </c>
      <c r="Y188" s="14">
        <f t="shared" si="20"/>
        <v>244.70581761357542</v>
      </c>
      <c r="Z188">
        <f t="shared" si="21"/>
        <v>-53.854062536629748</v>
      </c>
      <c r="AA188" s="14"/>
    </row>
    <row r="189" spans="1:27" x14ac:dyDescent="0.25">
      <c r="A189" t="s">
        <v>65</v>
      </c>
      <c r="D189" s="14">
        <v>14.849066714877356</v>
      </c>
      <c r="E189" s="14">
        <v>13.626699050494366</v>
      </c>
      <c r="F189" s="14">
        <v>12.75285243906942</v>
      </c>
      <c r="G189" s="14">
        <v>12.362213451843449</v>
      </c>
      <c r="H189" s="14">
        <v>11.072939587294439</v>
      </c>
      <c r="I189" s="14">
        <v>11.529261325323125</v>
      </c>
      <c r="J189" s="14">
        <v>9.9533263753188468</v>
      </c>
      <c r="K189" s="14">
        <v>9.357274804654482</v>
      </c>
      <c r="L189" s="14">
        <v>8.0609829315356585</v>
      </c>
      <c r="M189" s="14">
        <v>5.8913175037566932</v>
      </c>
      <c r="N189" s="14">
        <v>8.0061021275703386</v>
      </c>
      <c r="O189" s="14">
        <v>7.0575237572397871</v>
      </c>
      <c r="P189" s="14">
        <v>7.3736004502215176</v>
      </c>
      <c r="Q189" s="14">
        <v>9.6584056957503428</v>
      </c>
      <c r="R189" s="14">
        <v>11.649692218075433</v>
      </c>
      <c r="S189" s="14">
        <v>10.279415287309051</v>
      </c>
      <c r="T189" s="14">
        <v>11.233915467615535</v>
      </c>
      <c r="U189" s="14">
        <v>12.743175553349742</v>
      </c>
      <c r="V189" s="14">
        <v>10.45435871763895</v>
      </c>
      <c r="W189" s="14">
        <v>12.898911976710838</v>
      </c>
      <c r="Y189" s="14">
        <f t="shared" si="20"/>
        <v>210.81103543564942</v>
      </c>
      <c r="Z189">
        <f t="shared" si="21"/>
        <v>-44.432382148131822</v>
      </c>
      <c r="AA189" s="14"/>
    </row>
    <row r="190" spans="1:27" x14ac:dyDescent="0.25">
      <c r="A190" t="s">
        <v>66</v>
      </c>
      <c r="D190" s="14">
        <v>8.1408160520339248</v>
      </c>
      <c r="E190" s="14">
        <v>12.574245143836018</v>
      </c>
      <c r="F190" s="14">
        <v>12.871097907765781</v>
      </c>
      <c r="G190" s="14">
        <v>10.177818132310632</v>
      </c>
      <c r="H190" s="14">
        <v>10.364195763223888</v>
      </c>
      <c r="I190" s="14">
        <v>10.864567057611097</v>
      </c>
      <c r="J190" s="14">
        <v>8.1149172132646399</v>
      </c>
      <c r="K190" s="14">
        <v>8.5278743450726466</v>
      </c>
      <c r="L190" s="14">
        <v>7.2966574563712987</v>
      </c>
      <c r="M190" s="14">
        <v>8.5540299784593312</v>
      </c>
      <c r="N190" s="14">
        <v>6.817101377369478</v>
      </c>
      <c r="O190" s="14">
        <v>7.0518927539464302</v>
      </c>
      <c r="P190" s="14">
        <v>7.8929139797214658</v>
      </c>
      <c r="Q190" s="14">
        <v>8.8298607046032078</v>
      </c>
      <c r="R190" s="14">
        <v>9.3950564710955433</v>
      </c>
      <c r="S190" s="14">
        <v>9.7413167069457263</v>
      </c>
      <c r="T190" s="14">
        <v>10.985460936653146</v>
      </c>
      <c r="U190" s="14">
        <v>11.268609701066964</v>
      </c>
      <c r="V190" s="14">
        <v>10.678728761704564</v>
      </c>
      <c r="W190" s="14">
        <v>12.947255350483081</v>
      </c>
      <c r="Y190" s="14">
        <f t="shared" si="20"/>
        <v>193.0944157935389</v>
      </c>
      <c r="Z190">
        <f t="shared" si="21"/>
        <v>-40.966588899314793</v>
      </c>
    </row>
    <row r="191" spans="1:27" x14ac:dyDescent="0.25"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Y191" s="14"/>
    </row>
    <row r="192" spans="1:27" x14ac:dyDescent="0.25">
      <c r="A192" t="s">
        <v>67</v>
      </c>
      <c r="D192" s="14">
        <v>14.382535447739372</v>
      </c>
      <c r="E192" s="14">
        <v>13.56166900387762</v>
      </c>
      <c r="F192" s="14">
        <v>12.962074064808961</v>
      </c>
      <c r="G192" s="14">
        <v>12.6282216180514</v>
      </c>
      <c r="H192" s="14">
        <v>11.556674917046395</v>
      </c>
      <c r="I192" s="14">
        <v>12.000818248678044</v>
      </c>
      <c r="J192" s="14">
        <v>10.181017699709491</v>
      </c>
      <c r="K192" s="14">
        <v>9.4509748210403099</v>
      </c>
      <c r="L192" s="14">
        <v>8.0857959414030471</v>
      </c>
      <c r="M192" s="14">
        <v>8.3437402616853458</v>
      </c>
      <c r="N192" s="14">
        <v>8.53565869799335</v>
      </c>
      <c r="O192" s="14">
        <v>8.8830861407650854</v>
      </c>
      <c r="P192" s="14">
        <v>8.2370222361841332</v>
      </c>
      <c r="Q192" s="14">
        <v>9.1532641250385058</v>
      </c>
      <c r="R192" s="14">
        <v>10.161099400679776</v>
      </c>
      <c r="S192" s="14">
        <v>10.25724773183793</v>
      </c>
      <c r="T192" s="14">
        <v>10.328986833346484</v>
      </c>
      <c r="U192" s="14">
        <v>11.822970235559602</v>
      </c>
      <c r="V192" s="14">
        <v>11.780216579453407</v>
      </c>
      <c r="W192" s="14">
        <v>12.720769670391867</v>
      </c>
      <c r="Y192" s="14">
        <f t="shared" si="20"/>
        <v>215.03384367529011</v>
      </c>
      <c r="Z192">
        <f>SUMPRODUCT($D$196:$W$196,D192:W192)</f>
        <v>-45.369968929745042</v>
      </c>
    </row>
    <row r="193" spans="1:26" x14ac:dyDescent="0.25">
      <c r="A193" t="s">
        <v>311</v>
      </c>
      <c r="D193" s="14">
        <v>17.328571428571426</v>
      </c>
      <c r="E193" s="14">
        <v>16.857142857142858</v>
      </c>
      <c r="F193" s="14">
        <v>12.371428571428572</v>
      </c>
      <c r="G193" s="14">
        <v>12.171428571428573</v>
      </c>
      <c r="H193" s="14">
        <v>12.77142857142857</v>
      </c>
      <c r="I193" s="14">
        <v>12.614285714285716</v>
      </c>
      <c r="J193" s="14">
        <v>10.799999999999999</v>
      </c>
      <c r="K193" s="14">
        <v>10.428571428571429</v>
      </c>
      <c r="L193" s="14">
        <v>10.137500000000001</v>
      </c>
      <c r="M193" s="14">
        <v>12.357142857142858</v>
      </c>
      <c r="N193" s="14">
        <v>10.114285714285714</v>
      </c>
      <c r="O193" s="14">
        <v>10.828571428571427</v>
      </c>
      <c r="P193" s="14">
        <v>7.93718496908454</v>
      </c>
      <c r="Q193" s="14">
        <v>7.797839037723743</v>
      </c>
      <c r="R193" s="14">
        <v>5.9340474477936818</v>
      </c>
      <c r="S193" s="14">
        <v>8.391456078060429</v>
      </c>
      <c r="T193" s="14">
        <v>11.1</v>
      </c>
      <c r="U193" s="14">
        <v>10.4</v>
      </c>
      <c r="V193" s="14">
        <v>11.2</v>
      </c>
      <c r="W193" s="14">
        <v>13</v>
      </c>
      <c r="Y193" s="14">
        <f t="shared" si="20"/>
        <v>224.54088467551955</v>
      </c>
      <c r="Z193">
        <f>SUMPRODUCT($D$196:$W$196,D193:W193)</f>
        <v>-46.109836392887132</v>
      </c>
    </row>
    <row r="194" spans="1:26" x14ac:dyDescent="0.25">
      <c r="A194" t="s">
        <v>312</v>
      </c>
      <c r="D194" s="17">
        <v>14.400650205492404</v>
      </c>
      <c r="E194" s="17">
        <v>13.458388918798164</v>
      </c>
      <c r="F194" s="17">
        <v>13.217648239002536</v>
      </c>
      <c r="G194" s="17">
        <v>11.995459958647356</v>
      </c>
      <c r="H194" s="17">
        <v>11.253498573233127</v>
      </c>
      <c r="I194" s="17">
        <v>11.304256893949335</v>
      </c>
      <c r="J194" s="17">
        <v>10.443058298107809</v>
      </c>
      <c r="K194" s="17">
        <v>10.306007497624242</v>
      </c>
      <c r="L194" s="17">
        <v>9.1393096928484887</v>
      </c>
      <c r="M194" s="17">
        <v>8.3581668685750365</v>
      </c>
      <c r="N194" s="17">
        <v>8.7544051533563749</v>
      </c>
      <c r="O194" s="17">
        <v>9.0899093103919331</v>
      </c>
      <c r="P194" s="17">
        <v>8.2857511813203928</v>
      </c>
      <c r="Q194" s="17">
        <v>9.1421434817491427</v>
      </c>
      <c r="R194" s="17">
        <v>10.03658742054045</v>
      </c>
      <c r="S194" s="17">
        <v>10.115557636820954</v>
      </c>
      <c r="T194" s="17">
        <v>10.077391294333601</v>
      </c>
      <c r="U194" s="17">
        <v>11.832671463167324</v>
      </c>
      <c r="V194" s="17">
        <v>12.39910349815702</v>
      </c>
      <c r="W194" s="17">
        <v>13.112882968169833</v>
      </c>
      <c r="Y194" s="14">
        <f t="shared" si="20"/>
        <v>216.72284855428555</v>
      </c>
      <c r="Z194">
        <f>SUMPRODUCT($D$196:$W$196,D194:W194)</f>
        <v>-46.127280564261504</v>
      </c>
    </row>
    <row r="195" spans="1:26" x14ac:dyDescent="0.25">
      <c r="A195" t="s">
        <v>674</v>
      </c>
      <c r="D195" s="14">
        <v>14.577577046464436</v>
      </c>
      <c r="E195" s="14">
        <v>15.291144252436562</v>
      </c>
      <c r="F195" s="14">
        <v>13.461205037185834</v>
      </c>
      <c r="G195" s="14">
        <v>10.292651540801796</v>
      </c>
      <c r="H195" s="14">
        <v>11.751317973894999</v>
      </c>
      <c r="I195" s="14">
        <v>9.6781315679758801</v>
      </c>
      <c r="J195" s="14">
        <v>9.263203572524219</v>
      </c>
      <c r="K195" s="14">
        <v>9.2903274482859075</v>
      </c>
      <c r="L195" s="14">
        <v>8.0630384808305546</v>
      </c>
      <c r="M195" s="14">
        <v>8.3643384704971666</v>
      </c>
      <c r="N195" s="14">
        <v>8.2457545177903242</v>
      </c>
      <c r="O195" s="14">
        <v>8.7639263267013678</v>
      </c>
      <c r="P195" s="14">
        <v>7.3773696597231213</v>
      </c>
      <c r="Q195" s="14">
        <v>8.7572696101499812</v>
      </c>
      <c r="R195" s="14">
        <v>9.9750252985053187</v>
      </c>
      <c r="S195" s="14">
        <v>10.254476787404041</v>
      </c>
      <c r="T195" s="14">
        <v>10.326154264944304</v>
      </c>
      <c r="U195" s="14">
        <v>11.014299487901479</v>
      </c>
      <c r="V195" s="14">
        <v>11.225013643509392</v>
      </c>
      <c r="W195" s="14">
        <v>12.945867563688005</v>
      </c>
      <c r="Y195" s="14">
        <f t="shared" ref="Y195" si="22">SUM(D195:W195)</f>
        <v>208.9180925512147</v>
      </c>
      <c r="Z195">
        <f>SUMPRODUCT($D$196:$W$196,D195:W195)</f>
        <v>-43.247043304710949</v>
      </c>
    </row>
    <row r="196" spans="1:26" x14ac:dyDescent="0.25">
      <c r="A196" s="2" t="s">
        <v>68</v>
      </c>
      <c r="D196" s="3">
        <f>CORREL($B$2:$B$25,D167:D190)</f>
        <v>-6.1890636909656432E-2</v>
      </c>
      <c r="E196" s="3">
        <f t="shared" ref="E196:W196" si="23">CORREL($B$2:$B$25,E167:E190)</f>
        <v>-0.1019419462485192</v>
      </c>
      <c r="F196" s="3">
        <f t="shared" si="23"/>
        <v>-7.9159132301482013E-2</v>
      </c>
      <c r="G196" s="3">
        <f t="shared" si="23"/>
        <v>-2.402687378533824E-2</v>
      </c>
      <c r="H196" s="3">
        <f t="shared" si="23"/>
        <v>4.3187249234435281E-2</v>
      </c>
      <c r="I196" s="3">
        <f t="shared" si="23"/>
        <v>-0.29139816846023292</v>
      </c>
      <c r="J196" s="3">
        <f t="shared" si="23"/>
        <v>-0.37309209901597279</v>
      </c>
      <c r="K196" s="3">
        <f t="shared" si="23"/>
        <v>-0.30281757366744838</v>
      </c>
      <c r="L196" s="3">
        <f t="shared" si="23"/>
        <v>-0.43640688877954775</v>
      </c>
      <c r="M196" s="3">
        <f t="shared" si="23"/>
        <v>-0.14234116643299882</v>
      </c>
      <c r="N196" s="3">
        <f t="shared" si="23"/>
        <v>-0.2871706569226537</v>
      </c>
      <c r="O196" s="3">
        <f t="shared" si="23"/>
        <v>-0.39764481646592326</v>
      </c>
      <c r="P196" s="3">
        <f t="shared" si="23"/>
        <v>-0.56063636450725096</v>
      </c>
      <c r="Q196" s="3">
        <f t="shared" si="23"/>
        <v>-0.18725861277057926</v>
      </c>
      <c r="R196" s="3">
        <f t="shared" si="23"/>
        <v>-0.36292814634947351</v>
      </c>
      <c r="S196" s="3">
        <f t="shared" si="23"/>
        <v>-0.27182310944993987</v>
      </c>
      <c r="T196" s="3">
        <f t="shared" si="23"/>
        <v>-0.1729434844115858</v>
      </c>
      <c r="U196" s="3">
        <f t="shared" si="23"/>
        <v>-0.45017357551298265</v>
      </c>
      <c r="V196" s="3">
        <f t="shared" si="23"/>
        <v>-0.15484838171428775</v>
      </c>
      <c r="W196" s="3">
        <f t="shared" si="23"/>
        <v>2.6027438713600495E-2</v>
      </c>
    </row>
    <row r="199" spans="1:26" x14ac:dyDescent="0.25">
      <c r="D199" t="s">
        <v>8</v>
      </c>
      <c r="E199" t="s">
        <v>9</v>
      </c>
      <c r="F199" t="s">
        <v>10</v>
      </c>
      <c r="G199" t="s">
        <v>11</v>
      </c>
      <c r="H199" t="s">
        <v>12</v>
      </c>
      <c r="I199" t="s">
        <v>13</v>
      </c>
      <c r="J199" t="s">
        <v>14</v>
      </c>
      <c r="K199" t="s">
        <v>15</v>
      </c>
      <c r="L199" t="s">
        <v>343</v>
      </c>
      <c r="M199" t="s">
        <v>383</v>
      </c>
      <c r="N199" t="s">
        <v>384</v>
      </c>
      <c r="O199" t="s">
        <v>385</v>
      </c>
      <c r="P199" t="s">
        <v>474</v>
      </c>
      <c r="Q199" t="s">
        <v>475</v>
      </c>
      <c r="R199" t="s">
        <v>476</v>
      </c>
      <c r="S199" t="s">
        <v>477</v>
      </c>
      <c r="T199" t="s">
        <v>586</v>
      </c>
      <c r="U199" t="s">
        <v>587</v>
      </c>
      <c r="V199" t="s">
        <v>588</v>
      </c>
      <c r="W199" t="s">
        <v>589</v>
      </c>
      <c r="Y199" t="s">
        <v>95</v>
      </c>
      <c r="Z199" t="s">
        <v>96</v>
      </c>
    </row>
    <row r="200" spans="1:26" x14ac:dyDescent="0.25">
      <c r="A200" t="s">
        <v>43</v>
      </c>
      <c r="D200" s="14">
        <v>17.035647770696979</v>
      </c>
      <c r="E200" s="14">
        <v>11.877604664758334</v>
      </c>
      <c r="F200" s="14">
        <v>19.793934199182448</v>
      </c>
      <c r="G200" s="14">
        <v>14.896323851238639</v>
      </c>
      <c r="H200" s="14">
        <v>10.639172356302462</v>
      </c>
      <c r="I200" s="14">
        <v>13.538187567791578</v>
      </c>
      <c r="J200" s="14">
        <v>13.974645755192968</v>
      </c>
      <c r="K200" s="14">
        <v>15.654744392133983</v>
      </c>
      <c r="L200" s="14">
        <v>13.019898504519809</v>
      </c>
      <c r="M200" s="14">
        <v>8.1701496410198882</v>
      </c>
      <c r="N200" s="14">
        <v>5.919950301562892</v>
      </c>
      <c r="O200" s="14">
        <v>7.4671225925014921</v>
      </c>
      <c r="P200" s="14">
        <v>11.191495337730776</v>
      </c>
      <c r="Q200" s="14">
        <v>11.151940429750104</v>
      </c>
      <c r="R200" s="14">
        <v>14.074312228760757</v>
      </c>
      <c r="S200" s="14">
        <v>21.07764533056805</v>
      </c>
      <c r="T200" s="14">
        <v>11</v>
      </c>
      <c r="U200" s="14">
        <v>5.5437610770953141</v>
      </c>
      <c r="V200" s="14">
        <v>5.4098909438199652</v>
      </c>
      <c r="W200" s="14">
        <v>7.6231245427114898</v>
      </c>
      <c r="Y200" s="14">
        <f t="shared" ref="Y200:Y227" si="24">SUM(D200:W200)</f>
        <v>239.05955148733793</v>
      </c>
      <c r="Z200">
        <f t="shared" ref="Z200:Z223" si="25">SUMPRODUCT($D$229:$W$229,D200:W200)</f>
        <v>13.42699015399276</v>
      </c>
    </row>
    <row r="201" spans="1:26" x14ac:dyDescent="0.25">
      <c r="A201" t="s">
        <v>44</v>
      </c>
      <c r="D201" s="14">
        <v>12.649017976004442</v>
      </c>
      <c r="E201" s="14">
        <v>24.752694583038082</v>
      </c>
      <c r="F201" s="14">
        <v>27.160894829007908</v>
      </c>
      <c r="G201" s="14">
        <v>23.284220808071677</v>
      </c>
      <c r="H201" s="14">
        <v>14.034356583327517</v>
      </c>
      <c r="I201" s="14">
        <v>12.312285006002279</v>
      </c>
      <c r="J201" s="14">
        <v>11.609371705119392</v>
      </c>
      <c r="K201" s="14">
        <v>11.336543298126575</v>
      </c>
      <c r="L201" s="14">
        <v>7.5994001953785597</v>
      </c>
      <c r="M201" s="14">
        <v>12.342677947044738</v>
      </c>
      <c r="N201" s="14">
        <v>12.660892817061788</v>
      </c>
      <c r="O201" s="14">
        <v>10.076517382873599</v>
      </c>
      <c r="P201" s="14">
        <v>13.549277115100674</v>
      </c>
      <c r="Q201" s="14">
        <v>19.272539696767375</v>
      </c>
      <c r="R201" s="14">
        <v>16.451478441653954</v>
      </c>
      <c r="S201" s="14">
        <v>20.841282779316021</v>
      </c>
      <c r="T201" s="14">
        <v>21.9081015130661</v>
      </c>
      <c r="U201" s="14">
        <v>15.515164242741349</v>
      </c>
      <c r="V201" s="14">
        <v>14.046348273479984</v>
      </c>
      <c r="W201" s="14">
        <v>19.062396855354876</v>
      </c>
      <c r="Y201" s="14">
        <f t="shared" si="24"/>
        <v>320.46546204853678</v>
      </c>
      <c r="Z201">
        <f t="shared" si="25"/>
        <v>7.6887648839286609</v>
      </c>
    </row>
    <row r="202" spans="1:26" x14ac:dyDescent="0.25">
      <c r="A202" t="s">
        <v>45</v>
      </c>
      <c r="D202" s="14">
        <v>19.978368705416379</v>
      </c>
      <c r="E202" s="14">
        <v>19.099318680133958</v>
      </c>
      <c r="F202" s="14">
        <v>17.809154438166754</v>
      </c>
      <c r="G202" s="14">
        <v>20.339849528513763</v>
      </c>
      <c r="H202" s="14">
        <v>22.404633264776244</v>
      </c>
      <c r="I202" s="14">
        <v>18.108306828893713</v>
      </c>
      <c r="J202" s="14">
        <v>14.891847659161749</v>
      </c>
      <c r="K202" s="14">
        <v>11.003883324301212</v>
      </c>
      <c r="L202" s="14">
        <v>8.9802677058257387</v>
      </c>
      <c r="M202" s="14">
        <v>12.193478031858364</v>
      </c>
      <c r="N202" s="14">
        <v>13.888681832743359</v>
      </c>
      <c r="O202" s="14">
        <v>12.441231888748101</v>
      </c>
      <c r="P202" s="14">
        <v>13.081916733952244</v>
      </c>
      <c r="Q202" s="14">
        <v>13.540926203440277</v>
      </c>
      <c r="R202" s="14">
        <v>13.327163906348378</v>
      </c>
      <c r="S202" s="14">
        <v>13.567281680360974</v>
      </c>
      <c r="T202" s="14">
        <v>14.131267560146114</v>
      </c>
      <c r="U202" s="14">
        <v>15.170334461804346</v>
      </c>
      <c r="V202" s="14">
        <v>15.792473760553374</v>
      </c>
      <c r="W202" s="14">
        <v>19.340528004598152</v>
      </c>
      <c r="Y202" s="14">
        <f t="shared" si="24"/>
        <v>309.09091419974322</v>
      </c>
      <c r="Z202">
        <f t="shared" si="25"/>
        <v>15.304485388195763</v>
      </c>
    </row>
    <row r="203" spans="1:26" x14ac:dyDescent="0.25">
      <c r="A203" t="s">
        <v>46</v>
      </c>
      <c r="D203" s="14">
        <v>17.987514087183193</v>
      </c>
      <c r="E203" s="14">
        <v>14.72225945462907</v>
      </c>
      <c r="F203" s="14">
        <v>14.796640019633623</v>
      </c>
      <c r="G203" s="14">
        <v>15.441612642833324</v>
      </c>
      <c r="H203" s="14">
        <v>14.291568343329192</v>
      </c>
      <c r="I203" s="14">
        <v>15.177727617020659</v>
      </c>
      <c r="J203" s="14">
        <v>14.350229046507556</v>
      </c>
      <c r="K203" s="14">
        <v>14.04910759092094</v>
      </c>
      <c r="L203" s="14">
        <v>11.44624307439881</v>
      </c>
      <c r="M203" s="14">
        <v>10.108998468702811</v>
      </c>
      <c r="N203" s="14">
        <v>13.867972333844198</v>
      </c>
      <c r="O203" s="14">
        <v>12.722803887633171</v>
      </c>
      <c r="P203" s="14">
        <v>12.200709310636634</v>
      </c>
      <c r="Q203" s="14">
        <v>14.421440814813511</v>
      </c>
      <c r="R203" s="14">
        <v>14.04647162939925</v>
      </c>
      <c r="S203" s="14">
        <v>14.827919358266566</v>
      </c>
      <c r="T203" s="14">
        <v>18.097887534282989</v>
      </c>
      <c r="U203" s="14">
        <v>20.509317852377006</v>
      </c>
      <c r="V203" s="14">
        <v>13.478628851844064</v>
      </c>
      <c r="W203" s="14">
        <v>16.017910282869597</v>
      </c>
      <c r="Y203" s="14">
        <f t="shared" si="24"/>
        <v>292.56296220112614</v>
      </c>
      <c r="Z203">
        <f t="shared" si="25"/>
        <v>12.780905805124121</v>
      </c>
    </row>
    <row r="204" spans="1:26" x14ac:dyDescent="0.25">
      <c r="A204" t="s">
        <v>47</v>
      </c>
      <c r="D204" s="14">
        <v>19.369269753776962</v>
      </c>
      <c r="E204" s="14">
        <v>14.388949822755379</v>
      </c>
      <c r="F204" s="14">
        <v>14.359846391863098</v>
      </c>
      <c r="G204" s="14">
        <v>17.841407775382706</v>
      </c>
      <c r="H204" s="14">
        <v>17.228241855039993</v>
      </c>
      <c r="I204" s="14">
        <v>16.123536783792897</v>
      </c>
      <c r="J204" s="14">
        <v>14.137127906807525</v>
      </c>
      <c r="K204" s="14">
        <v>13.507060132468558</v>
      </c>
      <c r="L204" s="14">
        <v>9.6436635817252778</v>
      </c>
      <c r="M204" s="14">
        <v>11.292895658399319</v>
      </c>
      <c r="N204" s="14">
        <v>9.8250323724384909</v>
      </c>
      <c r="O204" s="14">
        <v>12.473204674390846</v>
      </c>
      <c r="P204" s="14">
        <v>15.841213441943202</v>
      </c>
      <c r="Q204" s="14">
        <v>11.396444132406685</v>
      </c>
      <c r="R204" s="14">
        <v>9.8084471658380021</v>
      </c>
      <c r="S204" s="14">
        <v>8.0948623915316595</v>
      </c>
      <c r="T204" s="14">
        <v>9.15409867875778</v>
      </c>
      <c r="U204" s="14">
        <v>12.430192311772092</v>
      </c>
      <c r="V204" s="14">
        <v>16.955192655844055</v>
      </c>
      <c r="W204" s="14">
        <v>19.988116378040342</v>
      </c>
      <c r="Y204" s="14">
        <f t="shared" si="24"/>
        <v>273.8588038649749</v>
      </c>
      <c r="Z204">
        <f t="shared" si="25"/>
        <v>15.299824736856296</v>
      </c>
    </row>
    <row r="205" spans="1:26" x14ac:dyDescent="0.25">
      <c r="A205" t="s">
        <v>48</v>
      </c>
      <c r="D205" s="14">
        <v>11.036356678657013</v>
      </c>
      <c r="E205" s="14">
        <v>12.749713625069576</v>
      </c>
      <c r="F205" s="14">
        <v>11.422029743666275</v>
      </c>
      <c r="G205" s="14">
        <v>13.59953243074899</v>
      </c>
      <c r="H205" s="14">
        <v>11.829417728071407</v>
      </c>
      <c r="I205" s="14">
        <v>15.236475019586218</v>
      </c>
      <c r="J205" s="14">
        <v>19.26768789233352</v>
      </c>
      <c r="K205" s="14">
        <v>19.434711689426678</v>
      </c>
      <c r="L205" s="14">
        <v>12.366522274736573</v>
      </c>
      <c r="M205" s="14">
        <v>15.030219783189048</v>
      </c>
      <c r="N205" s="14">
        <v>17.986398287671452</v>
      </c>
      <c r="O205" s="14">
        <v>10.098542189494633</v>
      </c>
      <c r="P205" s="14">
        <v>11.290575266558387</v>
      </c>
      <c r="Q205" s="14">
        <v>9.9708752681274131</v>
      </c>
      <c r="R205" s="14">
        <v>9.3241254979835073</v>
      </c>
      <c r="S205" s="14">
        <v>8.4017752863542654</v>
      </c>
      <c r="T205" s="14">
        <v>9.5809365913363784</v>
      </c>
      <c r="U205" s="14">
        <v>10.117926347484415</v>
      </c>
      <c r="V205" s="14">
        <v>12.9176949434775</v>
      </c>
      <c r="W205" s="14">
        <v>12.546945604717907</v>
      </c>
      <c r="Y205" s="14">
        <f t="shared" si="24"/>
        <v>254.20846214869118</v>
      </c>
      <c r="Z205">
        <f t="shared" si="25"/>
        <v>9.7149936953029155</v>
      </c>
    </row>
    <row r="206" spans="1:26" x14ac:dyDescent="0.25">
      <c r="A206" t="s">
        <v>49</v>
      </c>
      <c r="D206" s="14">
        <v>22.844650775844972</v>
      </c>
      <c r="E206" s="14">
        <v>18.776715812995956</v>
      </c>
      <c r="F206" s="14">
        <v>19.094098027975544</v>
      </c>
      <c r="G206" s="14">
        <v>14.988243765869543</v>
      </c>
      <c r="H206" s="14">
        <v>11.029365670514011</v>
      </c>
      <c r="I206" s="14">
        <v>14.774854044623922</v>
      </c>
      <c r="J206" s="14">
        <v>9.0061469351404018</v>
      </c>
      <c r="K206" s="14">
        <v>8.665840161100137</v>
      </c>
      <c r="L206" s="14">
        <v>9.017555148909155</v>
      </c>
      <c r="M206" s="14">
        <v>8.5886443596550794</v>
      </c>
      <c r="N206" s="14">
        <v>13.820496542892586</v>
      </c>
      <c r="O206" s="14">
        <v>13.535101451532</v>
      </c>
      <c r="P206" s="14">
        <v>10.290991440683113</v>
      </c>
      <c r="Q206" s="14">
        <v>10.006693574784896</v>
      </c>
      <c r="R206" s="14">
        <v>11.481400978866933</v>
      </c>
      <c r="S206" s="14">
        <v>8.8469841930558335</v>
      </c>
      <c r="T206" s="14">
        <v>8.2781540111204794</v>
      </c>
      <c r="U206" s="14">
        <v>15.604679784150088</v>
      </c>
      <c r="V206" s="14">
        <v>17.223584586987013</v>
      </c>
      <c r="W206" s="14">
        <v>24.249861366971253</v>
      </c>
      <c r="Y206" s="14">
        <f t="shared" si="24"/>
        <v>270.12406263367291</v>
      </c>
      <c r="Z206">
        <f t="shared" si="25"/>
        <v>17.999662698318684</v>
      </c>
    </row>
    <row r="207" spans="1:26" x14ac:dyDescent="0.25">
      <c r="A207" t="s">
        <v>50</v>
      </c>
      <c r="D207" s="14">
        <v>17.859482745622834</v>
      </c>
      <c r="E207" s="14">
        <v>13.559105099488891</v>
      </c>
      <c r="F207" s="14">
        <v>15.267316607268688</v>
      </c>
      <c r="G207" s="14">
        <v>17.146291942169483</v>
      </c>
      <c r="H207" s="14">
        <v>19.718659928946494</v>
      </c>
      <c r="I207" s="14">
        <v>18.133046770898684</v>
      </c>
      <c r="J207" s="14">
        <v>19.401010093582869</v>
      </c>
      <c r="K207" s="14">
        <v>16.801073556910467</v>
      </c>
      <c r="L207" s="14">
        <v>10.324894821255386</v>
      </c>
      <c r="M207" s="14">
        <v>15.459398212397215</v>
      </c>
      <c r="N207" s="14">
        <v>15.022632181875888</v>
      </c>
      <c r="O207" s="14">
        <v>13.243319443077052</v>
      </c>
      <c r="P207" s="14">
        <v>17.247705267660866</v>
      </c>
      <c r="Q207" s="14">
        <v>19.540971678170365</v>
      </c>
      <c r="R207" s="14">
        <v>20.304971894456099</v>
      </c>
      <c r="S207" s="14">
        <v>22.374808081467116</v>
      </c>
      <c r="T207" s="14">
        <v>20.536134578762212</v>
      </c>
      <c r="U207" s="14">
        <v>15.945284432303826</v>
      </c>
      <c r="V207" s="14">
        <v>15.337574351924625</v>
      </c>
      <c r="W207" s="14">
        <v>21.669743191687793</v>
      </c>
      <c r="Y207" s="14">
        <f t="shared" si="24"/>
        <v>344.89342487992684</v>
      </c>
      <c r="Z207">
        <f t="shared" si="25"/>
        <v>10.820494026559652</v>
      </c>
    </row>
    <row r="208" spans="1:26" x14ac:dyDescent="0.25">
      <c r="A208" t="s">
        <v>51</v>
      </c>
      <c r="D208" s="14">
        <v>16.212455196203386</v>
      </c>
      <c r="E208" s="14">
        <v>13.64020149026857</v>
      </c>
      <c r="F208" s="14">
        <v>14.838188786315731</v>
      </c>
      <c r="G208" s="14">
        <v>15.991595678030761</v>
      </c>
      <c r="H208" s="14">
        <v>14.774261042173118</v>
      </c>
      <c r="I208" s="14">
        <v>13.903798517704001</v>
      </c>
      <c r="J208" s="14">
        <v>14.716912428841081</v>
      </c>
      <c r="K208" s="14">
        <v>13.104013918390905</v>
      </c>
      <c r="L208" s="14">
        <v>12.199176918587408</v>
      </c>
      <c r="M208" s="14">
        <v>9.4734606317241354</v>
      </c>
      <c r="N208" s="14">
        <v>10.683570590364738</v>
      </c>
      <c r="O208" s="14">
        <v>8.601248650065914</v>
      </c>
      <c r="P208" s="14">
        <v>11.457327907905025</v>
      </c>
      <c r="Q208" s="14">
        <v>14.835859866628171</v>
      </c>
      <c r="R208" s="14">
        <v>14.212081462281194</v>
      </c>
      <c r="S208" s="14">
        <v>15.51226069704436</v>
      </c>
      <c r="T208" s="14">
        <v>15.90634706598509</v>
      </c>
      <c r="U208" s="14">
        <v>10.811757530226698</v>
      </c>
      <c r="V208" s="14">
        <v>11.869837930944405</v>
      </c>
      <c r="W208" s="14">
        <v>17.727766949701863</v>
      </c>
      <c r="Y208" s="14">
        <f t="shared" si="24"/>
        <v>270.47212325938654</v>
      </c>
      <c r="Z208">
        <f t="shared" si="25"/>
        <v>12.152838781126398</v>
      </c>
    </row>
    <row r="209" spans="1:27" x14ac:dyDescent="0.25">
      <c r="A209" t="s">
        <v>52</v>
      </c>
      <c r="D209" s="14">
        <v>19.008656084687097</v>
      </c>
      <c r="E209" s="14">
        <v>15.131510395422952</v>
      </c>
      <c r="F209" s="14">
        <v>14.185206591169939</v>
      </c>
      <c r="G209" s="14">
        <v>15.78176511149737</v>
      </c>
      <c r="H209" s="14">
        <v>15.527755126940974</v>
      </c>
      <c r="I209" s="14">
        <v>18.201191946963082</v>
      </c>
      <c r="J209" s="14">
        <v>13.213915555626608</v>
      </c>
      <c r="K209" s="14">
        <v>14.555931235316621</v>
      </c>
      <c r="L209" s="14">
        <v>14.995241284220949</v>
      </c>
      <c r="M209" s="14">
        <v>15.400729108940931</v>
      </c>
      <c r="N209" s="14">
        <v>16.014670520116159</v>
      </c>
      <c r="O209" s="14">
        <v>16.414402925043071</v>
      </c>
      <c r="P209" s="14">
        <v>13.244894502278484</v>
      </c>
      <c r="Q209" s="14">
        <v>14.614198089150886</v>
      </c>
      <c r="R209" s="14">
        <v>14.112648715613654</v>
      </c>
      <c r="S209" s="14">
        <v>16.912361754807019</v>
      </c>
      <c r="T209" s="14">
        <v>17.36531446077786</v>
      </c>
      <c r="U209" s="14">
        <v>20.773182974316295</v>
      </c>
      <c r="V209" s="14">
        <v>22.764803002851956</v>
      </c>
      <c r="W209" s="14">
        <v>23.183352258198315</v>
      </c>
      <c r="Y209" s="14">
        <f t="shared" si="24"/>
        <v>331.40173164394031</v>
      </c>
      <c r="Z209">
        <f t="shared" si="25"/>
        <v>14.747154418017754</v>
      </c>
    </row>
    <row r="210" spans="1:27" x14ac:dyDescent="0.25">
      <c r="A210" t="s">
        <v>53</v>
      </c>
      <c r="D210" s="14">
        <v>19.5817273754901</v>
      </c>
      <c r="E210" s="14">
        <v>14.809619936402175</v>
      </c>
      <c r="F210" s="14">
        <v>14.409793989176066</v>
      </c>
      <c r="G210" s="14">
        <v>12.742451796134421</v>
      </c>
      <c r="H210" s="14">
        <v>9.9332770516183508</v>
      </c>
      <c r="I210" s="14">
        <v>9.8711902355758152</v>
      </c>
      <c r="J210" s="14">
        <v>10.70880251322089</v>
      </c>
      <c r="K210" s="14">
        <v>12.275122442833217</v>
      </c>
      <c r="L210" s="14">
        <v>11.576647491356928</v>
      </c>
      <c r="M210" s="14">
        <v>11.143437650226874</v>
      </c>
      <c r="N210" s="14">
        <v>9.1114594905950295</v>
      </c>
      <c r="O210" s="14">
        <v>11.976840423049413</v>
      </c>
      <c r="P210" s="14">
        <v>10.53465484780545</v>
      </c>
      <c r="Q210" s="14">
        <v>9.1958012926983219</v>
      </c>
      <c r="R210" s="14">
        <v>12.324127882827032</v>
      </c>
      <c r="S210" s="14">
        <v>14.353455493811159</v>
      </c>
      <c r="T210" s="14">
        <v>13.815450324860672</v>
      </c>
      <c r="U210" s="14">
        <v>12.825393541658851</v>
      </c>
      <c r="V210" s="14">
        <v>8.7738084064636404</v>
      </c>
      <c r="W210" s="14">
        <v>9.6105614423372749</v>
      </c>
      <c r="Y210" s="14">
        <f t="shared" si="24"/>
        <v>239.57362362814172</v>
      </c>
      <c r="Z210">
        <f t="shared" si="25"/>
        <v>13.611449425638863</v>
      </c>
    </row>
    <row r="211" spans="1:27" x14ac:dyDescent="0.25">
      <c r="A211" t="s">
        <v>54</v>
      </c>
      <c r="D211" s="14">
        <v>9.1501338749770529</v>
      </c>
      <c r="E211" s="14">
        <v>11.759646820044297</v>
      </c>
      <c r="F211" s="14">
        <v>11.712414324510366</v>
      </c>
      <c r="G211" s="14">
        <v>9.2559057878971061</v>
      </c>
      <c r="H211" s="14">
        <v>8.4543851468119691</v>
      </c>
      <c r="I211" s="14">
        <v>7.2903056770205561</v>
      </c>
      <c r="J211" s="14">
        <v>8.2898526503464289</v>
      </c>
      <c r="K211" s="14">
        <v>7.9713274746417691</v>
      </c>
      <c r="L211" s="14">
        <v>7.4655562562998101</v>
      </c>
      <c r="M211" s="14">
        <v>7.6136701497797636</v>
      </c>
      <c r="N211" s="14">
        <v>8.2532108973468237</v>
      </c>
      <c r="O211" s="14">
        <v>8.1858170020523211</v>
      </c>
      <c r="P211" s="14">
        <v>8.4663265775151313</v>
      </c>
      <c r="Q211" s="14">
        <v>8.0437652472223764</v>
      </c>
      <c r="R211" s="14">
        <v>7.1745957641591422</v>
      </c>
      <c r="S211" s="14">
        <v>7.2974788970253126</v>
      </c>
      <c r="T211" s="14">
        <v>8.7294579593454067</v>
      </c>
      <c r="U211" s="14">
        <v>10.73643136616602</v>
      </c>
      <c r="V211" s="14">
        <v>8.672726013346125</v>
      </c>
      <c r="W211" s="14">
        <v>9.8074575429259596</v>
      </c>
      <c r="Y211" s="14">
        <f t="shared" si="24"/>
        <v>174.33046542943376</v>
      </c>
      <c r="Z211">
        <f t="shared" si="25"/>
        <v>6.8702620967294576</v>
      </c>
    </row>
    <row r="212" spans="1:27" x14ac:dyDescent="0.25">
      <c r="A212" t="s">
        <v>55</v>
      </c>
      <c r="D212" s="14">
        <v>13.383157587472398</v>
      </c>
      <c r="E212" s="14">
        <v>10.985809536331876</v>
      </c>
      <c r="F212" s="14">
        <v>8.4980908643229647</v>
      </c>
      <c r="G212" s="14">
        <v>9.5041071314927112</v>
      </c>
      <c r="H212" s="14">
        <v>6.6402638384360912</v>
      </c>
      <c r="I212" s="14">
        <v>7.1162115868322458</v>
      </c>
      <c r="J212" s="14">
        <v>6.6594672993514132</v>
      </c>
      <c r="K212" s="14">
        <v>6.6906795300316473</v>
      </c>
      <c r="L212" s="14">
        <v>6.4998596284570933</v>
      </c>
      <c r="M212" s="14">
        <v>8.8033298547617189</v>
      </c>
      <c r="N212" s="14">
        <v>10.218550070743529</v>
      </c>
      <c r="O212" s="14">
        <v>13.20812078879816</v>
      </c>
      <c r="P212" s="14">
        <v>7.3123993153031064</v>
      </c>
      <c r="Q212" s="14">
        <v>8.3718027764675309</v>
      </c>
      <c r="R212" s="14">
        <v>7.8895196302310273</v>
      </c>
      <c r="S212" s="14">
        <v>7.5634756531446303</v>
      </c>
      <c r="T212" s="14">
        <v>7.3678811225875576</v>
      </c>
      <c r="U212" s="14">
        <v>7.9542744328197239</v>
      </c>
      <c r="V212" s="14">
        <v>8.7908674136967448</v>
      </c>
      <c r="W212" s="14">
        <v>16.440649618088049</v>
      </c>
      <c r="Y212" s="14">
        <f t="shared" si="24"/>
        <v>179.89851767937023</v>
      </c>
      <c r="Z212">
        <f t="shared" si="25"/>
        <v>9.3830396520283657</v>
      </c>
    </row>
    <row r="213" spans="1:27" x14ac:dyDescent="0.25">
      <c r="A213" t="s">
        <v>56</v>
      </c>
      <c r="D213" s="14">
        <v>18.644423601437037</v>
      </c>
      <c r="E213" s="14">
        <v>12.581947523798508</v>
      </c>
      <c r="F213" s="14">
        <v>10.285558401908499</v>
      </c>
      <c r="G213" s="14">
        <v>11.258240925376901</v>
      </c>
      <c r="H213" s="14">
        <v>8.327969351342972</v>
      </c>
      <c r="I213" s="14">
        <v>10.321727696340188</v>
      </c>
      <c r="J213" s="14">
        <v>12.892724247181757</v>
      </c>
      <c r="K213" s="14">
        <v>12.086887474106534</v>
      </c>
      <c r="L213" s="14">
        <v>10.641536449837865</v>
      </c>
      <c r="M213" s="14">
        <v>9.9810726451541836</v>
      </c>
      <c r="N213" s="14">
        <v>16.14315071902557</v>
      </c>
      <c r="O213" s="14">
        <v>12.640369648709765</v>
      </c>
      <c r="P213" s="14">
        <v>13.731283434126665</v>
      </c>
      <c r="Q213" s="14">
        <v>15.127781287978157</v>
      </c>
      <c r="R213" s="14">
        <v>8.6811499883516188</v>
      </c>
      <c r="S213" s="14">
        <v>13.036248716764373</v>
      </c>
      <c r="T213" s="14">
        <v>15.472499871752031</v>
      </c>
      <c r="U213" s="14">
        <v>10.066200003395208</v>
      </c>
      <c r="V213" s="14">
        <v>8.8215265185314404</v>
      </c>
      <c r="W213" s="14">
        <v>13.036248716764373</v>
      </c>
      <c r="Y213" s="14">
        <f t="shared" si="24"/>
        <v>243.77854722188363</v>
      </c>
      <c r="Z213">
        <f t="shared" si="25"/>
        <v>11.404547514078944</v>
      </c>
    </row>
    <row r="214" spans="1:27" x14ac:dyDescent="0.25">
      <c r="A214" t="s">
        <v>57</v>
      </c>
      <c r="D214" s="14">
        <v>14.152506367152208</v>
      </c>
      <c r="E214" s="14">
        <v>14.216314376635355</v>
      </c>
      <c r="F214" s="14">
        <v>16.070637388461375</v>
      </c>
      <c r="G214" s="14">
        <v>15.318280483162903</v>
      </c>
      <c r="H214" s="14">
        <v>13.597734701851889</v>
      </c>
      <c r="I214" s="14">
        <v>9.5173466040095374</v>
      </c>
      <c r="J214" s="14">
        <v>9.1757057112065432</v>
      </c>
      <c r="K214" s="14">
        <v>11.350000559293802</v>
      </c>
      <c r="L214" s="14">
        <v>6.8164080078090983</v>
      </c>
      <c r="M214" s="14">
        <v>9.5935313201566839</v>
      </c>
      <c r="N214" s="14">
        <v>8.8261344632296037</v>
      </c>
      <c r="O214" s="14">
        <v>9.7766051961854661</v>
      </c>
      <c r="P214" s="14">
        <v>11.580367740613513</v>
      </c>
      <c r="Q214" s="14">
        <v>10.18319564092165</v>
      </c>
      <c r="R214" s="14">
        <v>14.612101267777703</v>
      </c>
      <c r="S214" s="14">
        <v>12.247925753613925</v>
      </c>
      <c r="T214" s="14">
        <v>12.585847130910158</v>
      </c>
      <c r="U214" s="14">
        <v>11.542956271126949</v>
      </c>
      <c r="V214" s="14">
        <v>16.920853297116317</v>
      </c>
      <c r="W214" s="14">
        <v>18.284279054995558</v>
      </c>
      <c r="Y214" s="14">
        <f t="shared" si="24"/>
        <v>246.36873133623021</v>
      </c>
      <c r="Z214">
        <f t="shared" si="25"/>
        <v>9.8011312581279739</v>
      </c>
    </row>
    <row r="215" spans="1:27" x14ac:dyDescent="0.25">
      <c r="A215" t="s">
        <v>58</v>
      </c>
      <c r="D215" s="14">
        <v>11.450020836901972</v>
      </c>
      <c r="E215" s="14">
        <v>12.763315695409691</v>
      </c>
      <c r="F215" s="14">
        <v>9.2720517097481601</v>
      </c>
      <c r="G215" s="14">
        <v>10.317548914368492</v>
      </c>
      <c r="H215" s="14">
        <v>11.106831827303717</v>
      </c>
      <c r="I215" s="14">
        <v>6.6026004379591736</v>
      </c>
      <c r="J215" s="14">
        <v>10.239721508351455</v>
      </c>
      <c r="K215" s="14">
        <v>9.5205158351841312</v>
      </c>
      <c r="L215" s="14">
        <v>8.1245310842561658</v>
      </c>
      <c r="M215" s="14">
        <v>5.7019662979175703</v>
      </c>
      <c r="N215" s="14">
        <v>9.8224949932084247</v>
      </c>
      <c r="O215" s="14">
        <v>8.2658406875848716</v>
      </c>
      <c r="P215" s="14">
        <v>9.2566437998274438</v>
      </c>
      <c r="Q215" s="14">
        <v>6.9026105022659605</v>
      </c>
      <c r="R215" s="14">
        <v>4.8026704766791113</v>
      </c>
      <c r="S215" s="14">
        <v>6.4219114206198125</v>
      </c>
      <c r="T215" s="14">
        <v>7.5805593631849391</v>
      </c>
      <c r="U215" s="14">
        <v>6.2287295477816285</v>
      </c>
      <c r="V215" s="14">
        <v>5.6618875543327833</v>
      </c>
      <c r="W215" s="14">
        <v>6.8049279979099939</v>
      </c>
      <c r="Y215" s="14">
        <f t="shared" si="24"/>
        <v>166.8473804907955</v>
      </c>
      <c r="Z215">
        <f t="shared" si="25"/>
        <v>9.0095570572401833</v>
      </c>
    </row>
    <row r="216" spans="1:27" x14ac:dyDescent="0.25">
      <c r="A216" t="s">
        <v>59</v>
      </c>
      <c r="D216" s="14">
        <v>9.8208022495323473</v>
      </c>
      <c r="E216" s="14">
        <v>11.07040175398185</v>
      </c>
      <c r="F216" s="14">
        <v>8.4975600634187138</v>
      </c>
      <c r="G216" s="14">
        <v>10.717027842105848</v>
      </c>
      <c r="H216" s="14">
        <v>9.7521196303637883</v>
      </c>
      <c r="I216" s="14">
        <v>7.8894563761088845</v>
      </c>
      <c r="J216" s="14">
        <v>8.5810757005664744</v>
      </c>
      <c r="K216" s="14">
        <v>9.349988775959023</v>
      </c>
      <c r="L216" s="14">
        <v>7.6138039419983521</v>
      </c>
      <c r="M216" s="14">
        <v>8.2600141618253105</v>
      </c>
      <c r="N216" s="14">
        <v>6.6415571951864516</v>
      </c>
      <c r="O216" s="14">
        <v>5.7245558521052811</v>
      </c>
      <c r="P216" s="14">
        <v>5.4921029695184789</v>
      </c>
      <c r="Q216" s="14">
        <v>6.4005402523014698</v>
      </c>
      <c r="R216" s="14">
        <v>8.6811756420657833</v>
      </c>
      <c r="S216" s="14">
        <v>9.087295205674895</v>
      </c>
      <c r="T216" s="14">
        <v>4.8003962948606134</v>
      </c>
      <c r="U216" s="14">
        <v>7.1533027383884145</v>
      </c>
      <c r="V216" s="14">
        <v>9.9642578917332312</v>
      </c>
      <c r="W216" s="14">
        <v>6.9716698437204832</v>
      </c>
      <c r="Y216" s="14">
        <f t="shared" si="24"/>
        <v>162.46910438141572</v>
      </c>
      <c r="Z216">
        <f t="shared" si="25"/>
        <v>7.9185613266172208</v>
      </c>
    </row>
    <row r="217" spans="1:27" x14ac:dyDescent="0.25">
      <c r="A217" t="s">
        <v>60</v>
      </c>
      <c r="D217" s="14">
        <v>9.6877462426246232</v>
      </c>
      <c r="E217" s="14">
        <v>9.114297807576671</v>
      </c>
      <c r="F217" s="14">
        <v>8.8048234201149693</v>
      </c>
      <c r="G217" s="14">
        <v>5.5401417005342797</v>
      </c>
      <c r="H217" s="14">
        <v>5.861985054165662</v>
      </c>
      <c r="I217" s="14">
        <v>7.2122558082827908</v>
      </c>
      <c r="J217" s="14">
        <v>5.5297016754050023</v>
      </c>
      <c r="K217" s="14">
        <v>8.0124673625631768</v>
      </c>
      <c r="L217" s="14">
        <v>5.619033091234801</v>
      </c>
      <c r="M217" s="14">
        <v>8.5254074074787365</v>
      </c>
      <c r="N217" s="14">
        <v>7.9549958966451229</v>
      </c>
      <c r="O217" s="14">
        <v>8.8499399045366509</v>
      </c>
      <c r="P217" s="14">
        <v>5.9826684423618284</v>
      </c>
      <c r="Q217" s="14">
        <v>6.5901094939641292</v>
      </c>
      <c r="R217" s="14">
        <v>5.0890803603223631</v>
      </c>
      <c r="S217" s="14">
        <v>6.3700636466874956</v>
      </c>
      <c r="T217" s="14">
        <v>5.6159308823450731</v>
      </c>
      <c r="U217" s="14">
        <v>6.7654472009726181</v>
      </c>
      <c r="V217" s="14">
        <v>9.371644584055284</v>
      </c>
      <c r="W217" s="14">
        <v>8.8176081503414281</v>
      </c>
      <c r="Y217" s="14">
        <f t="shared" si="24"/>
        <v>145.3153481322127</v>
      </c>
      <c r="Z217">
        <f t="shared" si="25"/>
        <v>6.9751586267712256</v>
      </c>
    </row>
    <row r="218" spans="1:27" x14ac:dyDescent="0.25">
      <c r="A218" t="s">
        <v>61</v>
      </c>
      <c r="D218" s="14">
        <v>9.6497396500644737</v>
      </c>
      <c r="E218" s="14">
        <v>12.93320025458001</v>
      </c>
      <c r="F218" s="14">
        <v>11.583642594469463</v>
      </c>
      <c r="G218" s="14">
        <v>12.146311302469186</v>
      </c>
      <c r="H218" s="14">
        <v>11.403062338355459</v>
      </c>
      <c r="I218" s="14">
        <v>13.582312941349638</v>
      </c>
      <c r="J218" s="14">
        <v>12.140385051562722</v>
      </c>
      <c r="K218" s="14">
        <v>8.8195994223388965</v>
      </c>
      <c r="L218" s="14">
        <v>10.88442283358099</v>
      </c>
      <c r="M218" s="14">
        <v>9.7285690882079514</v>
      </c>
      <c r="N218" s="14">
        <v>8.2474147251788335</v>
      </c>
      <c r="O218" s="14">
        <v>9.755874191054053</v>
      </c>
      <c r="P218" s="14">
        <v>13.511093915798012</v>
      </c>
      <c r="Q218" s="14">
        <v>12.387742976585013</v>
      </c>
      <c r="R218" s="14">
        <v>11.726406614711834</v>
      </c>
      <c r="S218" s="14">
        <v>11.232654075765813</v>
      </c>
      <c r="T218" s="14">
        <v>11.645109427448192</v>
      </c>
      <c r="U218" s="14">
        <v>11.557740079393465</v>
      </c>
      <c r="V218" s="14">
        <v>11.370643302453219</v>
      </c>
      <c r="W218" s="14">
        <v>11.832195402714637</v>
      </c>
      <c r="Y218" s="14">
        <f t="shared" si="24"/>
        <v>226.13812018808184</v>
      </c>
      <c r="Z218">
        <f t="shared" si="25"/>
        <v>7.1355757997805505</v>
      </c>
    </row>
    <row r="219" spans="1:27" x14ac:dyDescent="0.25">
      <c r="A219" t="s">
        <v>62</v>
      </c>
      <c r="D219" s="14">
        <v>18.328521352968497</v>
      </c>
      <c r="E219" s="14">
        <v>9.6577195182586628</v>
      </c>
      <c r="F219" s="14">
        <v>10.224231533458196</v>
      </c>
      <c r="G219" s="14">
        <v>10.431541526453302</v>
      </c>
      <c r="H219" s="14">
        <v>13.965573254498276</v>
      </c>
      <c r="I219" s="14">
        <v>14.714269438984896</v>
      </c>
      <c r="J219" s="14">
        <v>14.91562688325987</v>
      </c>
      <c r="K219" s="14">
        <v>13.135136910263025</v>
      </c>
      <c r="L219" s="14">
        <v>14.441684144993527</v>
      </c>
      <c r="M219" s="14">
        <v>13.415560106807789</v>
      </c>
      <c r="N219" s="14">
        <v>11.270129874475556</v>
      </c>
      <c r="O219" s="14">
        <v>11.67348368269467</v>
      </c>
      <c r="P219" s="14">
        <v>8.2938186993782033</v>
      </c>
      <c r="Q219" s="14">
        <v>6.9258910138122829</v>
      </c>
      <c r="R219" s="14">
        <v>6.3069178381152842</v>
      </c>
      <c r="S219" s="14">
        <v>11.631897400915621</v>
      </c>
      <c r="T219" s="14">
        <v>12.639789381770942</v>
      </c>
      <c r="U219" s="14">
        <v>10.93162668520254</v>
      </c>
      <c r="V219" s="14">
        <v>9.8005943046549948</v>
      </c>
      <c r="W219" s="14">
        <v>11.908348685766731</v>
      </c>
      <c r="Y219" s="14">
        <f t="shared" si="24"/>
        <v>234.61236223673282</v>
      </c>
      <c r="Z219">
        <f t="shared" si="25"/>
        <v>15.55141669544831</v>
      </c>
      <c r="AA219" s="14"/>
    </row>
    <row r="220" spans="1:27" x14ac:dyDescent="0.25">
      <c r="A220" t="s">
        <v>63</v>
      </c>
      <c r="D220" s="14">
        <v>9.4829382372344657</v>
      </c>
      <c r="E220" s="14">
        <v>11.280772414360612</v>
      </c>
      <c r="F220" s="14">
        <v>10.87866730371629</v>
      </c>
      <c r="G220" s="14">
        <v>10.484107461516684</v>
      </c>
      <c r="H220" s="14">
        <v>8.8663817183468332</v>
      </c>
      <c r="I220" s="14">
        <v>11.385996248541939</v>
      </c>
      <c r="J220" s="14">
        <v>13.389348027472412</v>
      </c>
      <c r="K220" s="14">
        <v>11.72250361097459</v>
      </c>
      <c r="L220" s="14">
        <v>9.046135680238887</v>
      </c>
      <c r="M220" s="14">
        <v>9.9296682751632144</v>
      </c>
      <c r="N220" s="14">
        <v>12.271652092743528</v>
      </c>
      <c r="O220" s="14">
        <v>13.631011161227635</v>
      </c>
      <c r="P220" s="14">
        <v>10.411551138570823</v>
      </c>
      <c r="Q220" s="14">
        <v>12.358598330369249</v>
      </c>
      <c r="R220" s="14">
        <v>14.541445971127535</v>
      </c>
      <c r="S220" s="14">
        <v>15.583367207150042</v>
      </c>
      <c r="T220" s="14">
        <v>11.256432233559577</v>
      </c>
      <c r="U220" s="14">
        <v>8.0093626098913084</v>
      </c>
      <c r="V220" s="14">
        <v>9.7849761515613221</v>
      </c>
      <c r="W220" s="14">
        <v>10.94572660719564</v>
      </c>
      <c r="Y220" s="14">
        <f t="shared" si="24"/>
        <v>225.26064248096256</v>
      </c>
      <c r="Z220">
        <f t="shared" si="25"/>
        <v>5.7650299114288206</v>
      </c>
      <c r="AA220" s="14"/>
    </row>
    <row r="221" spans="1:27" x14ac:dyDescent="0.25">
      <c r="A221" t="s">
        <v>64</v>
      </c>
      <c r="D221" s="14">
        <v>9.2798224102905973</v>
      </c>
      <c r="E221" s="14">
        <v>13.046123377011327</v>
      </c>
      <c r="F221" s="14">
        <v>19.014382763505754</v>
      </c>
      <c r="G221" s="14">
        <v>10.900495967398644</v>
      </c>
      <c r="H221" s="14">
        <v>10.567121010186899</v>
      </c>
      <c r="I221" s="14">
        <v>10.908734064042909</v>
      </c>
      <c r="J221" s="14">
        <v>11.996741703179897</v>
      </c>
      <c r="K221" s="14">
        <v>11.70673252303345</v>
      </c>
      <c r="L221" s="14">
        <v>10.505393710416826</v>
      </c>
      <c r="M221" s="14">
        <v>8.6104911446710215</v>
      </c>
      <c r="N221" s="14">
        <v>9.1166657801499476</v>
      </c>
      <c r="O221" s="14">
        <v>10.10846441639306</v>
      </c>
      <c r="P221" s="14">
        <v>10.162197862155072</v>
      </c>
      <c r="Q221" s="14">
        <v>12.678004200085171</v>
      </c>
      <c r="R221" s="14">
        <v>12.198096148273027</v>
      </c>
      <c r="S221" s="14">
        <v>7.0801497920944527</v>
      </c>
      <c r="T221" s="14">
        <v>9.8087253602170943</v>
      </c>
      <c r="U221" s="14">
        <v>10.945225978199593</v>
      </c>
      <c r="V221" s="14">
        <v>16.172161044654299</v>
      </c>
      <c r="W221" s="14">
        <v>13.286490607850238</v>
      </c>
      <c r="Y221" s="14">
        <f t="shared" si="24"/>
        <v>228.09221986380928</v>
      </c>
      <c r="Z221">
        <f t="shared" si="25"/>
        <v>7.2551180927401422</v>
      </c>
      <c r="AA221" s="14"/>
    </row>
    <row r="222" spans="1:27" x14ac:dyDescent="0.25">
      <c r="A222" t="s">
        <v>65</v>
      </c>
      <c r="D222" s="14">
        <v>17.987514087183193</v>
      </c>
      <c r="E222" s="14">
        <v>14.72225945462907</v>
      </c>
      <c r="F222" s="14">
        <v>14.796640019633623</v>
      </c>
      <c r="G222" s="14">
        <v>15.441612642833324</v>
      </c>
      <c r="H222" s="14">
        <v>14.291568343329192</v>
      </c>
      <c r="I222" s="14">
        <v>15.177727617020659</v>
      </c>
      <c r="J222" s="14">
        <v>14.350229046507556</v>
      </c>
      <c r="K222" s="14">
        <v>14.04910759092094</v>
      </c>
      <c r="L222" s="14">
        <v>11.44624307439881</v>
      </c>
      <c r="M222" s="14">
        <v>10.108998468702811</v>
      </c>
      <c r="N222" s="14">
        <v>13.867972333844198</v>
      </c>
      <c r="O222" s="14">
        <v>12.722803887633171</v>
      </c>
      <c r="P222" s="14">
        <v>9.5802361852631783</v>
      </c>
      <c r="Q222" s="14">
        <v>8.3878413741919502</v>
      </c>
      <c r="R222" s="14">
        <v>8.336812486539662</v>
      </c>
      <c r="S222" s="14">
        <v>9.777585095703218</v>
      </c>
      <c r="T222" s="14">
        <v>8.8877491971125409</v>
      </c>
      <c r="U222" s="14">
        <v>11.099456141700813</v>
      </c>
      <c r="V222" s="14">
        <v>13.937147033713609</v>
      </c>
      <c r="W222" s="14">
        <v>16.970812622362907</v>
      </c>
      <c r="Y222" s="14">
        <f t="shared" si="24"/>
        <v>255.94031670322445</v>
      </c>
      <c r="Z222">
        <f t="shared" si="25"/>
        <v>15.742672097885269</v>
      </c>
      <c r="AA222" s="14"/>
    </row>
    <row r="223" spans="1:27" x14ac:dyDescent="0.25">
      <c r="A223" t="s">
        <v>66</v>
      </c>
      <c r="D223" s="14">
        <v>22.844650775844972</v>
      </c>
      <c r="E223" s="14">
        <v>18.776715812995956</v>
      </c>
      <c r="F223" s="14">
        <v>19.094098027975544</v>
      </c>
      <c r="G223" s="14">
        <v>14.988243765869543</v>
      </c>
      <c r="H223" s="14">
        <v>11.029365670514011</v>
      </c>
      <c r="I223" s="14">
        <v>14.774854044623922</v>
      </c>
      <c r="J223" s="14">
        <v>9.0061469351404018</v>
      </c>
      <c r="K223" s="14">
        <v>8.665840161100137</v>
      </c>
      <c r="L223" s="14">
        <v>9.017555148909155</v>
      </c>
      <c r="M223" s="14">
        <v>8.5886443596550794</v>
      </c>
      <c r="N223" s="14">
        <v>13.820496542892586</v>
      </c>
      <c r="O223" s="14">
        <v>13.535101451532</v>
      </c>
      <c r="P223" s="14">
        <v>13.054753772564538</v>
      </c>
      <c r="Q223" s="14">
        <v>13.362047555821841</v>
      </c>
      <c r="R223" s="14">
        <v>13.196249771470832</v>
      </c>
      <c r="S223" s="14">
        <v>13.009768334619965</v>
      </c>
      <c r="T223" s="14">
        <v>13.592259743374155</v>
      </c>
      <c r="U223" s="14">
        <v>14.236526376385688</v>
      </c>
      <c r="V223" s="14">
        <v>14.630418886836944</v>
      </c>
      <c r="W223" s="14">
        <v>18.700057295664788</v>
      </c>
      <c r="Y223" s="14">
        <f t="shared" si="24"/>
        <v>277.92379443379207</v>
      </c>
      <c r="Z223">
        <f t="shared" si="25"/>
        <v>15.872332718236038</v>
      </c>
    </row>
    <row r="224" spans="1:27" x14ac:dyDescent="0.25"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Y224" s="14"/>
    </row>
    <row r="225" spans="1:26" x14ac:dyDescent="0.25">
      <c r="A225" t="s">
        <v>67</v>
      </c>
      <c r="D225" s="14">
        <v>17.721811872465377</v>
      </c>
      <c r="E225" s="14">
        <v>14.707699374333552</v>
      </c>
      <c r="F225" s="14">
        <v>14.861114358043215</v>
      </c>
      <c r="G225" s="14">
        <v>15.891472783949808</v>
      </c>
      <c r="H225" s="14">
        <v>15.017950225281</v>
      </c>
      <c r="I225" s="14">
        <v>16.062150513928135</v>
      </c>
      <c r="J225" s="14">
        <v>14.957133468722001</v>
      </c>
      <c r="K225" s="14">
        <v>14.344771782268893</v>
      </c>
      <c r="L225" s="14">
        <v>11.424509004905792</v>
      </c>
      <c r="M225" s="14">
        <v>8.8447433266575786</v>
      </c>
      <c r="N225" s="14">
        <v>9.1125250851220958</v>
      </c>
      <c r="O225" s="14">
        <v>9.652324681536502</v>
      </c>
      <c r="P225" s="14">
        <v>9.3634089726096157</v>
      </c>
      <c r="Q225" s="14">
        <v>9.2016148649440979</v>
      </c>
      <c r="R225" s="14">
        <v>9.5883007561791445</v>
      </c>
      <c r="S225" s="14">
        <v>9.9369832886916996</v>
      </c>
      <c r="T225" s="14">
        <v>9.4245043634899037</v>
      </c>
      <c r="U225" s="14">
        <v>9.3593163614063677</v>
      </c>
      <c r="V225" s="14">
        <v>11.442685018252783</v>
      </c>
      <c r="W225" s="14">
        <v>11.758006552539733</v>
      </c>
      <c r="Y225" s="14">
        <f t="shared" si="24"/>
        <v>242.67302665532731</v>
      </c>
      <c r="Z225">
        <f>SUMPRODUCT($D$229:$W$229,D225:W225)</f>
        <v>15.225449042033835</v>
      </c>
    </row>
    <row r="226" spans="1:26" x14ac:dyDescent="0.25">
      <c r="A226" t="s">
        <v>311</v>
      </c>
      <c r="D226" s="14">
        <v>16.87142857142857</v>
      </c>
      <c r="E226" s="14">
        <v>15.471428571428572</v>
      </c>
      <c r="F226" s="14">
        <v>13.085714285714285</v>
      </c>
      <c r="G226" s="14">
        <v>12.657142857142858</v>
      </c>
      <c r="H226" s="14">
        <v>14.085714285714285</v>
      </c>
      <c r="I226" s="14">
        <v>12.557142857142855</v>
      </c>
      <c r="J226" s="14">
        <v>11.1</v>
      </c>
      <c r="K226" s="14">
        <v>10.671428571428573</v>
      </c>
      <c r="L226" s="14">
        <v>12.5375</v>
      </c>
      <c r="M226" s="14">
        <v>13.3</v>
      </c>
      <c r="N226" s="14">
        <v>12.328571428571427</v>
      </c>
      <c r="O226" s="14">
        <v>9.3857142857142861</v>
      </c>
      <c r="P226" s="14">
        <v>11.457327907905025</v>
      </c>
      <c r="Q226" s="14">
        <v>14.835859866628171</v>
      </c>
      <c r="R226" s="14">
        <v>14.212081462281194</v>
      </c>
      <c r="S226" s="14">
        <v>15.51226069704436</v>
      </c>
      <c r="T226" s="14">
        <v>9.8000000000000007</v>
      </c>
      <c r="U226" s="14">
        <v>9.1</v>
      </c>
      <c r="V226" s="14">
        <v>11</v>
      </c>
      <c r="W226" s="14">
        <v>12</v>
      </c>
      <c r="Y226" s="14">
        <f t="shared" si="24"/>
        <v>251.96931564814446</v>
      </c>
      <c r="Z226">
        <f>SUMPRODUCT($D$229:$W$229,D226:W226)</f>
        <v>11.596217161921391</v>
      </c>
    </row>
    <row r="227" spans="1:26" x14ac:dyDescent="0.25">
      <c r="A227" t="s">
        <v>312</v>
      </c>
      <c r="D227" s="17">
        <v>11.960888133350021</v>
      </c>
      <c r="E227" s="17">
        <v>11.823511284475986</v>
      </c>
      <c r="F227" s="17">
        <v>11.633999926008148</v>
      </c>
      <c r="G227" s="17">
        <v>10.74734841970997</v>
      </c>
      <c r="H227" s="17">
        <v>10.726830397068728</v>
      </c>
      <c r="I227" s="17">
        <v>10.934169116536362</v>
      </c>
      <c r="J227" s="17">
        <v>11.392853699538172</v>
      </c>
      <c r="K227" s="17">
        <v>10.789506503904654</v>
      </c>
      <c r="L227" s="17">
        <v>9.7101559451397943</v>
      </c>
      <c r="M227" s="17">
        <v>9.2850843688467997</v>
      </c>
      <c r="N227" s="17">
        <v>9.8991103614290079</v>
      </c>
      <c r="O227" s="17">
        <v>10.091496722903674</v>
      </c>
      <c r="P227" s="17">
        <v>9.6225225667013667</v>
      </c>
      <c r="Q227" s="17">
        <v>10.654164514755566</v>
      </c>
      <c r="R227" s="17">
        <v>11.015486652505283</v>
      </c>
      <c r="S227" s="17">
        <v>11.431804800053371</v>
      </c>
      <c r="T227" s="17">
        <v>11.234982325182537</v>
      </c>
      <c r="U227" s="17">
        <v>9.9620717577644822</v>
      </c>
      <c r="V227" s="17">
        <v>11.91924383362354</v>
      </c>
      <c r="W227" s="17">
        <v>12.04685530027087</v>
      </c>
      <c r="Y227" s="14">
        <f t="shared" si="24"/>
        <v>216.88208662976831</v>
      </c>
      <c r="Z227">
        <f>SUMPRODUCT($D$229:$W$229,D227:W227)</f>
        <v>8.6925384429550938</v>
      </c>
    </row>
    <row r="228" spans="1:26" x14ac:dyDescent="0.25">
      <c r="A228" t="s">
        <v>674</v>
      </c>
      <c r="D228" s="14">
        <v>14.264082961320169</v>
      </c>
      <c r="E228" s="14">
        <v>15.892339753475323</v>
      </c>
      <c r="F228" s="14">
        <v>10.952250291900546</v>
      </c>
      <c r="G228" s="14">
        <v>13.20599365981781</v>
      </c>
      <c r="H228" s="14">
        <v>12.522482999167108</v>
      </c>
      <c r="I228" s="14">
        <v>10.308738749830729</v>
      </c>
      <c r="J228" s="14">
        <v>10.478027235295965</v>
      </c>
      <c r="K228" s="14">
        <v>10.457513386125534</v>
      </c>
      <c r="L228" s="14">
        <v>9.4770716578570386</v>
      </c>
      <c r="M228" s="14">
        <v>9.8414130055350597</v>
      </c>
      <c r="N228" s="14">
        <v>10.397951744874552</v>
      </c>
      <c r="O228" s="14">
        <v>10.841905121920114</v>
      </c>
      <c r="P228" s="14">
        <v>9.0194492612495782</v>
      </c>
      <c r="Q228" s="14">
        <v>8.2316816466417499</v>
      </c>
      <c r="R228" s="14">
        <v>9.7447367898840795</v>
      </c>
      <c r="S228" s="14">
        <v>9.9569080628152591</v>
      </c>
      <c r="T228" s="14">
        <v>10.109839946070188</v>
      </c>
      <c r="U228" s="14">
        <v>9.5597242045830271</v>
      </c>
      <c r="V228" s="14">
        <v>10.342162206883284</v>
      </c>
      <c r="W228" s="14">
        <v>11.478846972550862</v>
      </c>
      <c r="Y228" s="14">
        <f t="shared" ref="Y228" si="26">SUM(D228:W228)</f>
        <v>217.08311965779799</v>
      </c>
      <c r="Z228">
        <f>SUMPRODUCT($D$229:$W$229,D228:W228)</f>
        <v>11.038347888062489</v>
      </c>
    </row>
    <row r="229" spans="1:26" x14ac:dyDescent="0.25">
      <c r="A229" s="2" t="s">
        <v>68</v>
      </c>
      <c r="D229" s="3">
        <f>CORREL($B$2:$B$25,D200:D223)</f>
        <v>0.61270047534743355</v>
      </c>
      <c r="E229" s="3">
        <f t="shared" ref="E229:W229" si="27">CORREL($B$2:$B$25,E200:E223)</f>
        <v>2.7771200914507077E-2</v>
      </c>
      <c r="F229" s="3">
        <f t="shared" si="27"/>
        <v>5.0739246396186342E-2</v>
      </c>
      <c r="G229" s="3">
        <f t="shared" si="27"/>
        <v>6.0775508823648093E-2</v>
      </c>
      <c r="H229" s="3">
        <f t="shared" si="27"/>
        <v>7.9756201428862417E-2</v>
      </c>
      <c r="I229" s="3">
        <f t="shared" si="27"/>
        <v>0.16524110752833771</v>
      </c>
      <c r="J229" s="3">
        <f t="shared" si="27"/>
        <v>-4.9536616185758817E-2</v>
      </c>
      <c r="K229" s="3">
        <f t="shared" si="27"/>
        <v>7.9562463295145991E-2</v>
      </c>
      <c r="L229" s="3">
        <f t="shared" si="27"/>
        <v>0.26696623588556839</v>
      </c>
      <c r="M229" s="3">
        <f t="shared" si="27"/>
        <v>-0.10426340691498233</v>
      </c>
      <c r="N229" s="3">
        <f t="shared" si="27"/>
        <v>-1.6139417390026362E-2</v>
      </c>
      <c r="O229" s="3">
        <f t="shared" si="27"/>
        <v>-1.7456063230857532E-2</v>
      </c>
      <c r="P229" s="3">
        <f t="shared" si="27"/>
        <v>-0.10122984340739925</v>
      </c>
      <c r="Q229" s="3">
        <f t="shared" si="27"/>
        <v>-0.19846200818624549</v>
      </c>
      <c r="R229" s="3">
        <f t="shared" si="27"/>
        <v>-0.12723037603727413</v>
      </c>
      <c r="S229" s="3">
        <f t="shared" si="27"/>
        <v>6.4538647131296735E-3</v>
      </c>
      <c r="T229" s="3">
        <f t="shared" si="27"/>
        <v>-8.7877524754974262E-2</v>
      </c>
      <c r="U229" s="3">
        <f t="shared" si="27"/>
        <v>9.692361477408009E-3</v>
      </c>
      <c r="V229" s="3">
        <f t="shared" si="27"/>
        <v>-4.0155866369761234E-2</v>
      </c>
      <c r="W229" s="3">
        <f t="shared" si="27"/>
        <v>0.11067226225020263</v>
      </c>
    </row>
    <row r="232" spans="1:26" x14ac:dyDescent="0.25">
      <c r="D232" t="s">
        <v>97</v>
      </c>
      <c r="E232" t="s">
        <v>98</v>
      </c>
      <c r="F232" t="s">
        <v>99</v>
      </c>
      <c r="G232" t="s">
        <v>100</v>
      </c>
      <c r="H232" t="s">
        <v>101</v>
      </c>
      <c r="I232" t="s">
        <v>102</v>
      </c>
      <c r="J232" t="s">
        <v>103</v>
      </c>
      <c r="K232" t="s">
        <v>104</v>
      </c>
      <c r="L232" t="s">
        <v>344</v>
      </c>
      <c r="M232" t="s">
        <v>386</v>
      </c>
      <c r="N232" t="s">
        <v>387</v>
      </c>
      <c r="O232" t="s">
        <v>388</v>
      </c>
      <c r="P232" t="s">
        <v>478</v>
      </c>
      <c r="Q232" t="s">
        <v>479</v>
      </c>
      <c r="R232" t="s">
        <v>480</v>
      </c>
      <c r="S232" t="s">
        <v>481</v>
      </c>
      <c r="T232" t="s">
        <v>590</v>
      </c>
      <c r="U232" t="s">
        <v>591</v>
      </c>
      <c r="V232" t="s">
        <v>592</v>
      </c>
      <c r="W232" t="s">
        <v>593</v>
      </c>
      <c r="Y232" t="s">
        <v>105</v>
      </c>
      <c r="Z232" t="s">
        <v>106</v>
      </c>
    </row>
    <row r="233" spans="1:26" x14ac:dyDescent="0.25">
      <c r="A233" t="s">
        <v>43</v>
      </c>
      <c r="D233">
        <f t="shared" ref="D233:W233" si="28">D2*D35</f>
        <v>347.75204081632648</v>
      </c>
      <c r="E233">
        <f t="shared" si="28"/>
        <v>335.95102040816329</v>
      </c>
      <c r="F233">
        <f t="shared" si="28"/>
        <v>336.45428571428562</v>
      </c>
      <c r="G233">
        <f t="shared" si="28"/>
        <v>303.97959183673476</v>
      </c>
      <c r="H233">
        <f t="shared" si="28"/>
        <v>291.03306122448987</v>
      </c>
      <c r="I233">
        <f t="shared" si="28"/>
        <v>304.30102040816325</v>
      </c>
      <c r="J233">
        <f t="shared" si="28"/>
        <v>253.3591836734694</v>
      </c>
      <c r="K233">
        <f t="shared" si="28"/>
        <v>283.86367346938772</v>
      </c>
      <c r="L233">
        <f t="shared" si="28"/>
        <v>211.7085185185185</v>
      </c>
      <c r="M233">
        <f t="shared" si="28"/>
        <v>256.74224489795921</v>
      </c>
      <c r="N233">
        <f t="shared" si="28"/>
        <v>205.78571428571428</v>
      </c>
      <c r="O233">
        <f t="shared" si="28"/>
        <v>253.54824489795917</v>
      </c>
      <c r="P233">
        <f t="shared" si="28"/>
        <v>259.81163265306117</v>
      </c>
      <c r="Q233">
        <f t="shared" si="28"/>
        <v>290.41795918367347</v>
      </c>
      <c r="R233">
        <f t="shared" si="28"/>
        <v>301.51836734693882</v>
      </c>
      <c r="S233">
        <f t="shared" si="28"/>
        <v>115.5673469387755</v>
      </c>
      <c r="T233">
        <f t="shared" si="28"/>
        <v>328.80244897959182</v>
      </c>
      <c r="U233">
        <f t="shared" si="28"/>
        <v>346.54183673469396</v>
      </c>
      <c r="V233">
        <f t="shared" si="28"/>
        <v>273.68326530612245</v>
      </c>
      <c r="W233">
        <f t="shared" si="28"/>
        <v>324.20938775510206</v>
      </c>
      <c r="Y233" s="14">
        <f t="shared" ref="Y233:Y260" si="29">SUM(D233:W233)</f>
        <v>5625.030845049132</v>
      </c>
      <c r="Z233">
        <f t="shared" ref="Z233:Z256" si="30">SUMPRODUCT($D$262:$W$262,D233:W233)</f>
        <v>-514.14862509114494</v>
      </c>
    </row>
    <row r="234" spans="1:26" x14ac:dyDescent="0.25">
      <c r="A234" t="s">
        <v>44</v>
      </c>
      <c r="D234">
        <f t="shared" ref="D234:W234" si="31">D3*D36</f>
        <v>146.47</v>
      </c>
      <c r="E234">
        <f t="shared" si="31"/>
        <v>303.38030820491463</v>
      </c>
      <c r="F234">
        <f t="shared" si="31"/>
        <v>329.13466055810073</v>
      </c>
      <c r="G234">
        <f t="shared" si="31"/>
        <v>314.09671386922128</v>
      </c>
      <c r="H234">
        <f t="shared" si="31"/>
        <v>303.91794252394834</v>
      </c>
      <c r="I234">
        <f t="shared" si="31"/>
        <v>305.09662640566438</v>
      </c>
      <c r="J234">
        <f t="shared" si="31"/>
        <v>284.2542357351104</v>
      </c>
      <c r="K234">
        <f t="shared" si="31"/>
        <v>275.01953352769681</v>
      </c>
      <c r="L234">
        <f t="shared" si="31"/>
        <v>-7.2296296296296285</v>
      </c>
      <c r="M234">
        <f t="shared" si="31"/>
        <v>309.14999999999998</v>
      </c>
      <c r="N234">
        <f t="shared" si="31"/>
        <v>312.9387755102041</v>
      </c>
      <c r="O234">
        <f t="shared" si="31"/>
        <v>347.76122448979589</v>
      </c>
      <c r="P234">
        <f t="shared" si="31"/>
        <v>351.42244897959182</v>
      </c>
      <c r="Q234">
        <f t="shared" si="31"/>
        <v>321.92040816326534</v>
      </c>
      <c r="R234">
        <f t="shared" si="31"/>
        <v>343.27959183673471</v>
      </c>
      <c r="S234">
        <f t="shared" si="31"/>
        <v>345.20306122448977</v>
      </c>
      <c r="T234">
        <f t="shared" si="31"/>
        <v>358.11734693877554</v>
      </c>
      <c r="U234">
        <f t="shared" si="31"/>
        <v>343.1357142857143</v>
      </c>
      <c r="V234">
        <f t="shared" si="31"/>
        <v>337.22448979591843</v>
      </c>
      <c r="W234">
        <f t="shared" si="31"/>
        <v>388.62346938775505</v>
      </c>
      <c r="Y234" s="14">
        <f t="shared" si="29"/>
        <v>6012.916921807272</v>
      </c>
      <c r="Z234">
        <f t="shared" si="30"/>
        <v>-605.60168110463064</v>
      </c>
    </row>
    <row r="235" spans="1:26" x14ac:dyDescent="0.25">
      <c r="A235" t="s">
        <v>45</v>
      </c>
      <c r="D235">
        <f t="shared" ref="D235:W235" si="32">D4*D37</f>
        <v>332.0204081632653</v>
      </c>
      <c r="E235">
        <f t="shared" si="32"/>
        <v>339.55102040816325</v>
      </c>
      <c r="F235">
        <f t="shared" si="32"/>
        <v>328.80612244897958</v>
      </c>
      <c r="G235">
        <f t="shared" si="32"/>
        <v>240.81632653061229</v>
      </c>
      <c r="H235">
        <f t="shared" si="32"/>
        <v>249.20816326530613</v>
      </c>
      <c r="I235">
        <f t="shared" si="32"/>
        <v>274.91428571428571</v>
      </c>
      <c r="J235">
        <f t="shared" si="32"/>
        <v>317.52857142857141</v>
      </c>
      <c r="K235">
        <f t="shared" si="32"/>
        <v>308.20000000000005</v>
      </c>
      <c r="L235">
        <f t="shared" si="32"/>
        <v>236.51111111111115</v>
      </c>
      <c r="M235">
        <f t="shared" si="32"/>
        <v>255.80930029154521</v>
      </c>
      <c r="N235">
        <f t="shared" si="32"/>
        <v>222.32342773844232</v>
      </c>
      <c r="O235">
        <f t="shared" si="32"/>
        <v>254.56326530612245</v>
      </c>
      <c r="P235">
        <f t="shared" si="32"/>
        <v>254.33895043731775</v>
      </c>
      <c r="Q235">
        <f t="shared" si="32"/>
        <v>267.83571428571423</v>
      </c>
      <c r="R235">
        <f t="shared" si="32"/>
        <v>301.9625572678051</v>
      </c>
      <c r="S235">
        <f t="shared" si="32"/>
        <v>304.08267388588087</v>
      </c>
      <c r="T235">
        <f t="shared" si="32"/>
        <v>311.14180758017494</v>
      </c>
      <c r="U235">
        <f t="shared" si="32"/>
        <v>329.03102873802573</v>
      </c>
      <c r="V235">
        <f t="shared" si="32"/>
        <v>327.07875468554766</v>
      </c>
      <c r="W235">
        <f t="shared" si="32"/>
        <v>332.35644314868813</v>
      </c>
      <c r="Y235" s="14">
        <f t="shared" si="29"/>
        <v>5788.0799324355594</v>
      </c>
      <c r="Z235">
        <f t="shared" si="30"/>
        <v>-560.56555479709027</v>
      </c>
    </row>
    <row r="236" spans="1:26" x14ac:dyDescent="0.25">
      <c r="A236" t="s">
        <v>46</v>
      </c>
      <c r="D236">
        <f t="shared" ref="D236:W236" si="33">D5*D38</f>
        <v>273.52950270720532</v>
      </c>
      <c r="E236">
        <f t="shared" si="33"/>
        <v>303.92673219491877</v>
      </c>
      <c r="F236">
        <f t="shared" si="33"/>
        <v>296.92385839233657</v>
      </c>
      <c r="G236">
        <f t="shared" si="33"/>
        <v>283.20426488962937</v>
      </c>
      <c r="H236">
        <f t="shared" si="33"/>
        <v>270.69751103706784</v>
      </c>
      <c r="I236">
        <f t="shared" si="33"/>
        <v>271.04413244481458</v>
      </c>
      <c r="J236">
        <f t="shared" si="33"/>
        <v>254.34531778425657</v>
      </c>
      <c r="K236">
        <f t="shared" si="33"/>
        <v>268.78275635152022</v>
      </c>
      <c r="L236">
        <f t="shared" si="33"/>
        <v>203.43273167044597</v>
      </c>
      <c r="M236">
        <f t="shared" si="33"/>
        <v>243.5951020408163</v>
      </c>
      <c r="N236">
        <f t="shared" si="33"/>
        <v>256.44897959183675</v>
      </c>
      <c r="O236">
        <f t="shared" si="33"/>
        <v>273.13775510204079</v>
      </c>
      <c r="P236">
        <f t="shared" si="33"/>
        <v>290.75204081632648</v>
      </c>
      <c r="Q236">
        <f t="shared" si="33"/>
        <v>228.91632653061225</v>
      </c>
      <c r="R236">
        <f t="shared" si="33"/>
        <v>321.28571428571428</v>
      </c>
      <c r="S236">
        <f t="shared" si="33"/>
        <v>304.00408163265308</v>
      </c>
      <c r="T236">
        <f t="shared" si="33"/>
        <v>333.08571428571423</v>
      </c>
      <c r="U236">
        <f t="shared" si="33"/>
        <v>316.95918367346945</v>
      </c>
      <c r="V236">
        <f t="shared" si="33"/>
        <v>330.97959183673458</v>
      </c>
      <c r="W236">
        <f t="shared" si="33"/>
        <v>334.74489795918367</v>
      </c>
      <c r="Y236" s="14">
        <f t="shared" si="29"/>
        <v>5659.7961952272972</v>
      </c>
      <c r="Z236">
        <f t="shared" si="30"/>
        <v>-560.76881616768287</v>
      </c>
    </row>
    <row r="237" spans="1:26" x14ac:dyDescent="0.25">
      <c r="A237" t="s">
        <v>47</v>
      </c>
      <c r="D237">
        <f t="shared" ref="D237:W237" si="34">D6*D39</f>
        <v>315</v>
      </c>
      <c r="E237">
        <f t="shared" si="34"/>
        <v>316.61632653061224</v>
      </c>
      <c r="F237">
        <f t="shared" si="34"/>
        <v>334.99999999999994</v>
      </c>
      <c r="G237">
        <f t="shared" si="34"/>
        <v>328.58775510204083</v>
      </c>
      <c r="H237">
        <f t="shared" si="34"/>
        <v>311.98775510204081</v>
      </c>
      <c r="I237">
        <f t="shared" si="34"/>
        <v>302.1877551020408</v>
      </c>
      <c r="J237">
        <f t="shared" si="34"/>
        <v>278.2106122448979</v>
      </c>
      <c r="K237">
        <f t="shared" si="34"/>
        <v>288.00000000000006</v>
      </c>
      <c r="L237">
        <f t="shared" si="34"/>
        <v>262.40740740740745</v>
      </c>
      <c r="M237">
        <f t="shared" si="34"/>
        <v>304.77551020408163</v>
      </c>
      <c r="N237">
        <f t="shared" si="34"/>
        <v>251.8857142857143</v>
      </c>
      <c r="O237">
        <f t="shared" si="34"/>
        <v>313.03469387755104</v>
      </c>
      <c r="P237">
        <f t="shared" si="34"/>
        <v>312.55714285714288</v>
      </c>
      <c r="Q237">
        <f t="shared" si="34"/>
        <v>322.64693877551025</v>
      </c>
      <c r="R237">
        <f t="shared" si="34"/>
        <v>319.48163265306124</v>
      </c>
      <c r="S237">
        <f t="shared" si="34"/>
        <v>347</v>
      </c>
      <c r="T237">
        <f t="shared" si="34"/>
        <v>311.38571428571424</v>
      </c>
      <c r="U237">
        <f t="shared" si="34"/>
        <v>348.85102040816327</v>
      </c>
      <c r="V237">
        <f t="shared" si="34"/>
        <v>325.02857142857141</v>
      </c>
      <c r="W237">
        <f t="shared" si="34"/>
        <v>329.03877551020418</v>
      </c>
      <c r="Y237" s="14">
        <f t="shared" si="29"/>
        <v>6223.683325774753</v>
      </c>
      <c r="Z237">
        <f t="shared" si="30"/>
        <v>-574.52818336409598</v>
      </c>
    </row>
    <row r="238" spans="1:26" x14ac:dyDescent="0.25">
      <c r="A238" t="s">
        <v>48</v>
      </c>
      <c r="D238">
        <f t="shared" ref="D238:W238" si="35">D7*D40</f>
        <v>287.05408163265304</v>
      </c>
      <c r="E238">
        <f t="shared" si="35"/>
        <v>287.41836734693879</v>
      </c>
      <c r="F238">
        <f t="shared" si="35"/>
        <v>267.24489795918373</v>
      </c>
      <c r="G238">
        <f t="shared" si="35"/>
        <v>238.0204081632653</v>
      </c>
      <c r="H238">
        <f t="shared" si="35"/>
        <v>254.49183673469383</v>
      </c>
      <c r="I238">
        <f t="shared" si="35"/>
        <v>285.43571428571425</v>
      </c>
      <c r="J238">
        <f t="shared" si="35"/>
        <v>284.90204081632652</v>
      </c>
      <c r="K238">
        <f t="shared" si="35"/>
        <v>277.10816326530619</v>
      </c>
      <c r="L238">
        <f t="shared" si="35"/>
        <v>172.54901234567902</v>
      </c>
      <c r="M238">
        <f t="shared" si="35"/>
        <v>284.85000000000002</v>
      </c>
      <c r="N238">
        <f t="shared" si="35"/>
        <v>206.70408163265307</v>
      </c>
      <c r="O238">
        <f t="shared" si="35"/>
        <v>267.13469387755106</v>
      </c>
      <c r="P238">
        <f t="shared" si="35"/>
        <v>227.25306122448976</v>
      </c>
      <c r="Q238">
        <f t="shared" si="35"/>
        <v>258.54795918367347</v>
      </c>
      <c r="R238">
        <f t="shared" si="35"/>
        <v>308.05102040816325</v>
      </c>
      <c r="S238">
        <f t="shared" si="35"/>
        <v>333.94591836734691</v>
      </c>
      <c r="T238">
        <f t="shared" si="35"/>
        <v>335.14285714285717</v>
      </c>
      <c r="U238">
        <f t="shared" si="35"/>
        <v>339.74081632653065</v>
      </c>
      <c r="V238">
        <f t="shared" si="35"/>
        <v>352.65102040816333</v>
      </c>
      <c r="W238">
        <f t="shared" si="35"/>
        <v>377.88367346938776</v>
      </c>
      <c r="Y238" s="14">
        <f t="shared" si="29"/>
        <v>5646.129624590576</v>
      </c>
      <c r="Z238">
        <f t="shared" si="30"/>
        <v>-563.76259673802338</v>
      </c>
    </row>
    <row r="239" spans="1:26" x14ac:dyDescent="0.25">
      <c r="A239" t="s">
        <v>49</v>
      </c>
      <c r="D239">
        <f t="shared" ref="D239:W239" si="36">D8*D41</f>
        <v>167.61061224489796</v>
      </c>
      <c r="E239">
        <f t="shared" si="36"/>
        <v>285.30612244897964</v>
      </c>
      <c r="F239">
        <f t="shared" si="36"/>
        <v>301.77551020408163</v>
      </c>
      <c r="G239">
        <f t="shared" si="36"/>
        <v>278.69897959183675</v>
      </c>
      <c r="H239">
        <f t="shared" si="36"/>
        <v>282.33367346938775</v>
      </c>
      <c r="I239">
        <f t="shared" si="36"/>
        <v>273.79387755102039</v>
      </c>
      <c r="J239">
        <f t="shared" si="36"/>
        <v>244.65102040816328</v>
      </c>
      <c r="K239">
        <f t="shared" si="36"/>
        <v>262.26734693877552</v>
      </c>
      <c r="L239">
        <f t="shared" si="36"/>
        <v>205.36296296296297</v>
      </c>
      <c r="M239">
        <f t="shared" si="36"/>
        <v>251.89897959183668</v>
      </c>
      <c r="N239">
        <f t="shared" si="36"/>
        <v>232.46122448979591</v>
      </c>
      <c r="O239">
        <f t="shared" si="36"/>
        <v>268.89795918367349</v>
      </c>
      <c r="P239">
        <f t="shared" si="36"/>
        <v>285.40714285714284</v>
      </c>
      <c r="Q239">
        <f t="shared" si="36"/>
        <v>298.72653061224491</v>
      </c>
      <c r="R239">
        <f t="shared" si="36"/>
        <v>298.28571428571428</v>
      </c>
      <c r="S239">
        <f t="shared" si="36"/>
        <v>307.88530612244892</v>
      </c>
      <c r="T239">
        <f t="shared" si="36"/>
        <v>300.59183673469386</v>
      </c>
      <c r="U239">
        <f t="shared" si="36"/>
        <v>297.87142857142857</v>
      </c>
      <c r="V239">
        <f t="shared" si="36"/>
        <v>309.98775510204081</v>
      </c>
      <c r="W239">
        <f t="shared" si="36"/>
        <v>328.80857142857144</v>
      </c>
      <c r="Y239" s="14">
        <f t="shared" si="29"/>
        <v>5482.6225547996983</v>
      </c>
      <c r="Z239">
        <f t="shared" si="30"/>
        <v>-504.11024420868296</v>
      </c>
    </row>
    <row r="240" spans="1:26" x14ac:dyDescent="0.25">
      <c r="A240" t="s">
        <v>50</v>
      </c>
      <c r="D240">
        <f t="shared" ref="D240:W240" si="37">D9*D42</f>
        <v>333.35510204081629</v>
      </c>
      <c r="E240">
        <f t="shared" si="37"/>
        <v>317.77346938775509</v>
      </c>
      <c r="F240">
        <f t="shared" si="37"/>
        <v>317.28979591836725</v>
      </c>
      <c r="G240">
        <f t="shared" si="37"/>
        <v>289.67346938775506</v>
      </c>
      <c r="H240">
        <f t="shared" si="37"/>
        <v>275.46122448979588</v>
      </c>
      <c r="I240">
        <f t="shared" si="37"/>
        <v>283.75510204081633</v>
      </c>
      <c r="J240">
        <f t="shared" si="37"/>
        <v>272.27755102040811</v>
      </c>
      <c r="K240">
        <f t="shared" si="37"/>
        <v>277.47346938775507</v>
      </c>
      <c r="L240">
        <f t="shared" si="37"/>
        <v>176.88827160493827</v>
      </c>
      <c r="M240">
        <f t="shared" si="37"/>
        <v>204.81632653061226</v>
      </c>
      <c r="N240">
        <f t="shared" si="37"/>
        <v>224.91428571428568</v>
      </c>
      <c r="O240">
        <f t="shared" si="37"/>
        <v>181.60510204081635</v>
      </c>
      <c r="P240">
        <f t="shared" si="37"/>
        <v>245.865306122449</v>
      </c>
      <c r="Q240">
        <f t="shared" si="37"/>
        <v>279.80408163265304</v>
      </c>
      <c r="R240">
        <f t="shared" si="37"/>
        <v>297.67346938775506</v>
      </c>
      <c r="S240">
        <f t="shared" si="37"/>
        <v>258.77755102040811</v>
      </c>
      <c r="T240">
        <f t="shared" si="37"/>
        <v>287.59714285714284</v>
      </c>
      <c r="U240">
        <f t="shared" si="37"/>
        <v>338.94489795918366</v>
      </c>
      <c r="V240">
        <f t="shared" si="37"/>
        <v>303.33979591836743</v>
      </c>
      <c r="W240">
        <f t="shared" si="37"/>
        <v>294.7285714285714</v>
      </c>
      <c r="Y240" s="14">
        <f t="shared" si="29"/>
        <v>5462.0139858906523</v>
      </c>
      <c r="Z240">
        <f t="shared" si="30"/>
        <v>-513.53178666483632</v>
      </c>
    </row>
    <row r="241" spans="1:26" x14ac:dyDescent="0.25">
      <c r="A241" t="s">
        <v>51</v>
      </c>
      <c r="D241">
        <f t="shared" ref="D241:W241" si="38">D10*D43</f>
        <v>288.69526530612245</v>
      </c>
      <c r="E241">
        <f t="shared" si="38"/>
        <v>302.0474285714285</v>
      </c>
      <c r="F241">
        <f t="shared" si="38"/>
        <v>303.20191836734688</v>
      </c>
      <c r="G241">
        <f t="shared" si="38"/>
        <v>295.87771428571432</v>
      </c>
      <c r="H241">
        <f t="shared" si="38"/>
        <v>287.61514285714287</v>
      </c>
      <c r="I241">
        <f t="shared" si="38"/>
        <v>273.11514285714287</v>
      </c>
      <c r="J241">
        <f t="shared" si="38"/>
        <v>257.19314285714285</v>
      </c>
      <c r="K241">
        <f t="shared" si="38"/>
        <v>280.63771428571425</v>
      </c>
      <c r="L241">
        <f t="shared" si="38"/>
        <v>252.39839506172837</v>
      </c>
      <c r="M241">
        <f t="shared" si="38"/>
        <v>260.32897959183674</v>
      </c>
      <c r="N241">
        <f t="shared" si="38"/>
        <v>158.61061224489796</v>
      </c>
      <c r="O241">
        <f t="shared" si="38"/>
        <v>220.39510204081631</v>
      </c>
      <c r="P241">
        <f t="shared" si="38"/>
        <v>256.2171428571429</v>
      </c>
      <c r="Q241">
        <f t="shared" si="38"/>
        <v>259.33061224489802</v>
      </c>
      <c r="R241">
        <f t="shared" si="38"/>
        <v>284.90816326530609</v>
      </c>
      <c r="S241">
        <f t="shared" si="38"/>
        <v>296.84795918367342</v>
      </c>
      <c r="T241">
        <f t="shared" si="38"/>
        <v>306.58775510204083</v>
      </c>
      <c r="U241">
        <f t="shared" si="38"/>
        <v>363.28775510204088</v>
      </c>
      <c r="V241">
        <f t="shared" si="38"/>
        <v>350.2102040816327</v>
      </c>
      <c r="W241">
        <f t="shared" si="38"/>
        <v>325.15816326530609</v>
      </c>
      <c r="Y241" s="14">
        <f t="shared" si="29"/>
        <v>5622.6643134290753</v>
      </c>
      <c r="Z241">
        <f t="shared" si="30"/>
        <v>-494.4135796028566</v>
      </c>
    </row>
    <row r="242" spans="1:26" x14ac:dyDescent="0.25">
      <c r="A242" t="s">
        <v>52</v>
      </c>
      <c r="D242">
        <f t="shared" ref="D242:W242" si="39">D11*D44</f>
        <v>265.74530612244899</v>
      </c>
      <c r="E242">
        <f t="shared" si="39"/>
        <v>314.08163265306126</v>
      </c>
      <c r="F242">
        <f t="shared" si="39"/>
        <v>285.78673469387752</v>
      </c>
      <c r="G242">
        <f t="shared" si="39"/>
        <v>287.36040816326533</v>
      </c>
      <c r="H242">
        <f t="shared" si="39"/>
        <v>197.10285714285712</v>
      </c>
      <c r="I242">
        <f t="shared" si="39"/>
        <v>193.80816326530606</v>
      </c>
      <c r="J242">
        <f t="shared" si="39"/>
        <v>255.4071428571429</v>
      </c>
      <c r="K242">
        <f t="shared" si="39"/>
        <v>226.05612244897961</v>
      </c>
      <c r="L242">
        <f t="shared" si="39"/>
        <v>155.97592592592591</v>
      </c>
      <c r="M242">
        <f t="shared" si="39"/>
        <v>242.82551020408161</v>
      </c>
      <c r="N242">
        <f t="shared" si="39"/>
        <v>216.48979591836735</v>
      </c>
      <c r="O242">
        <f t="shared" si="39"/>
        <v>265.97142857142859</v>
      </c>
      <c r="P242">
        <f t="shared" si="39"/>
        <v>171.46122448979591</v>
      </c>
      <c r="Q242">
        <f t="shared" si="39"/>
        <v>226.49489795918365</v>
      </c>
      <c r="R242">
        <f t="shared" si="39"/>
        <v>284.20408163265301</v>
      </c>
      <c r="S242">
        <f t="shared" si="39"/>
        <v>278.79999999999995</v>
      </c>
      <c r="T242">
        <f t="shared" si="39"/>
        <v>298.46938775510205</v>
      </c>
      <c r="U242">
        <f t="shared" si="39"/>
        <v>296.39999999999998</v>
      </c>
      <c r="V242">
        <f t="shared" si="39"/>
        <v>315.37857142857143</v>
      </c>
      <c r="W242">
        <f t="shared" si="39"/>
        <v>337.25</v>
      </c>
      <c r="Y242" s="14">
        <f t="shared" si="29"/>
        <v>5115.0691912320472</v>
      </c>
      <c r="Z242">
        <f t="shared" si="30"/>
        <v>-507.55855916320519</v>
      </c>
    </row>
    <row r="243" spans="1:26" x14ac:dyDescent="0.25">
      <c r="A243" t="s">
        <v>53</v>
      </c>
      <c r="D243">
        <f t="shared" ref="D243:W243" si="40">D12*D45</f>
        <v>256.4795918367347</v>
      </c>
      <c r="E243">
        <f t="shared" si="40"/>
        <v>303.76224489795919</v>
      </c>
      <c r="F243">
        <f t="shared" si="40"/>
        <v>269.84693877551024</v>
      </c>
      <c r="G243">
        <f t="shared" si="40"/>
        <v>265.89795918367349</v>
      </c>
      <c r="H243">
        <f t="shared" si="40"/>
        <v>290.51020408163265</v>
      </c>
      <c r="I243">
        <f t="shared" si="40"/>
        <v>289.18367346938777</v>
      </c>
      <c r="J243">
        <f t="shared" si="40"/>
        <v>189.05816326530609</v>
      </c>
      <c r="K243">
        <f t="shared" si="40"/>
        <v>270.61224489795921</v>
      </c>
      <c r="L243">
        <f t="shared" si="40"/>
        <v>208.24370370370372</v>
      </c>
      <c r="M243">
        <f t="shared" si="40"/>
        <v>245.14285714285717</v>
      </c>
      <c r="N243">
        <f t="shared" si="40"/>
        <v>243.60714285714286</v>
      </c>
      <c r="O243">
        <f t="shared" si="40"/>
        <v>269.42857142857144</v>
      </c>
      <c r="P243">
        <f t="shared" si="40"/>
        <v>268.03571428571428</v>
      </c>
      <c r="Q243">
        <f t="shared" si="40"/>
        <v>258.43571428571431</v>
      </c>
      <c r="R243">
        <f t="shared" si="40"/>
        <v>258.36734693877554</v>
      </c>
      <c r="S243">
        <f t="shared" si="40"/>
        <v>293.14999999999998</v>
      </c>
      <c r="T243">
        <f t="shared" si="40"/>
        <v>297.61775510204086</v>
      </c>
      <c r="U243">
        <f t="shared" si="40"/>
        <v>336.89632653061221</v>
      </c>
      <c r="V243">
        <f t="shared" si="40"/>
        <v>322.81326530612239</v>
      </c>
      <c r="W243">
        <f t="shared" si="40"/>
        <v>331.43755102040819</v>
      </c>
      <c r="Y243" s="14">
        <f t="shared" si="29"/>
        <v>5468.5269690098257</v>
      </c>
      <c r="Z243">
        <f t="shared" si="30"/>
        <v>-508.08856857077103</v>
      </c>
    </row>
    <row r="244" spans="1:26" x14ac:dyDescent="0.25">
      <c r="A244" t="s">
        <v>54</v>
      </c>
      <c r="D244">
        <f t="shared" ref="D244:W244" si="41">D13*D46</f>
        <v>346.70204081632647</v>
      </c>
      <c r="E244">
        <f t="shared" si="41"/>
        <v>318.72653061224486</v>
      </c>
      <c r="F244">
        <f t="shared" si="41"/>
        <v>304.8122448979592</v>
      </c>
      <c r="G244">
        <f t="shared" si="41"/>
        <v>293.10204081632656</v>
      </c>
      <c r="H244">
        <f t="shared" si="41"/>
        <v>297.21428571428572</v>
      </c>
      <c r="I244">
        <f t="shared" si="41"/>
        <v>271.91999999999996</v>
      </c>
      <c r="J244">
        <f t="shared" si="41"/>
        <v>257.39999999999998</v>
      </c>
      <c r="K244">
        <f t="shared" si="41"/>
        <v>273.8428571428571</v>
      </c>
      <c r="L244">
        <f t="shared" si="41"/>
        <v>206.56296296296293</v>
      </c>
      <c r="M244">
        <f t="shared" si="41"/>
        <v>286.99693877551022</v>
      </c>
      <c r="N244">
        <f t="shared" si="41"/>
        <v>280.97142857142859</v>
      </c>
      <c r="O244">
        <f t="shared" si="41"/>
        <v>255.81142857142856</v>
      </c>
      <c r="P244">
        <f t="shared" si="41"/>
        <v>240.65204081632655</v>
      </c>
      <c r="Q244">
        <f t="shared" si="41"/>
        <v>260.35306122448975</v>
      </c>
      <c r="R244">
        <f t="shared" si="41"/>
        <v>262.45428571428567</v>
      </c>
      <c r="S244">
        <f t="shared" si="41"/>
        <v>269.28571428571428</v>
      </c>
      <c r="T244">
        <f t="shared" si="41"/>
        <v>271.01530612244903</v>
      </c>
      <c r="U244">
        <f t="shared" si="41"/>
        <v>303.95612244897956</v>
      </c>
      <c r="V244">
        <f t="shared" si="41"/>
        <v>279.86571428571426</v>
      </c>
      <c r="W244">
        <f t="shared" si="41"/>
        <v>293.15448979591838</v>
      </c>
      <c r="Y244" s="14">
        <f t="shared" si="29"/>
        <v>5574.7994935752095</v>
      </c>
      <c r="Z244">
        <f t="shared" si="30"/>
        <v>-525.93783524807509</v>
      </c>
    </row>
    <row r="245" spans="1:26" x14ac:dyDescent="0.25">
      <c r="A245" t="s">
        <v>55</v>
      </c>
      <c r="D245">
        <f t="shared" ref="D245:W245" si="42">D14*D47</f>
        <v>347.65714285714284</v>
      </c>
      <c r="E245">
        <f t="shared" si="42"/>
        <v>334.31734693877547</v>
      </c>
      <c r="F245">
        <f t="shared" si="42"/>
        <v>332.80714285714282</v>
      </c>
      <c r="G245">
        <f t="shared" si="42"/>
        <v>321.4536734693877</v>
      </c>
      <c r="H245">
        <f t="shared" si="42"/>
        <v>294.99673469387761</v>
      </c>
      <c r="I245">
        <f t="shared" si="42"/>
        <v>284.1593877551021</v>
      </c>
      <c r="J245">
        <f t="shared" si="42"/>
        <v>318.88081632653069</v>
      </c>
      <c r="K245">
        <f t="shared" si="42"/>
        <v>312.28653061224492</v>
      </c>
      <c r="L245">
        <f t="shared" si="42"/>
        <v>301.59358024691352</v>
      </c>
      <c r="M245">
        <f t="shared" si="42"/>
        <v>234.4457142857143</v>
      </c>
      <c r="N245">
        <f t="shared" si="42"/>
        <v>269.12142857142857</v>
      </c>
      <c r="O245">
        <f t="shared" si="42"/>
        <v>295.38367346938776</v>
      </c>
      <c r="P245">
        <f t="shared" si="42"/>
        <v>288.33469387755099</v>
      </c>
      <c r="Q245">
        <f t="shared" si="42"/>
        <v>270.19755102040818</v>
      </c>
      <c r="R245">
        <f t="shared" si="42"/>
        <v>311.77959183673465</v>
      </c>
      <c r="S245">
        <f t="shared" si="42"/>
        <v>307.31510204081633</v>
      </c>
      <c r="T245">
        <f t="shared" si="42"/>
        <v>313.61224489795916</v>
      </c>
      <c r="U245">
        <f t="shared" si="42"/>
        <v>306.83673469387759</v>
      </c>
      <c r="V245">
        <f t="shared" si="42"/>
        <v>335.0530612244898</v>
      </c>
      <c r="W245">
        <f t="shared" si="42"/>
        <v>319.11795918367346</v>
      </c>
      <c r="Y245" s="14">
        <f t="shared" si="29"/>
        <v>6099.350110859159</v>
      </c>
      <c r="Z245">
        <f t="shared" si="30"/>
        <v>-583.03190796425883</v>
      </c>
    </row>
    <row r="246" spans="1:26" x14ac:dyDescent="0.25">
      <c r="A246" t="s">
        <v>56</v>
      </c>
      <c r="D246">
        <f t="shared" ref="D246:W246" si="43">D15*D48</f>
        <v>347.24571428571426</v>
      </c>
      <c r="E246">
        <f t="shared" si="43"/>
        <v>323.92448979591836</v>
      </c>
      <c r="F246">
        <f t="shared" si="43"/>
        <v>320.54020408163262</v>
      </c>
      <c r="G246">
        <f t="shared" si="43"/>
        <v>329.77</v>
      </c>
      <c r="H246">
        <f t="shared" si="43"/>
        <v>298.48530612244895</v>
      </c>
      <c r="I246">
        <f t="shared" si="43"/>
        <v>308.01469387755105</v>
      </c>
      <c r="J246">
        <f t="shared" si="43"/>
        <v>291.24571428571426</v>
      </c>
      <c r="K246">
        <f t="shared" si="43"/>
        <v>298.48163265306118</v>
      </c>
      <c r="L246">
        <f t="shared" si="43"/>
        <v>216.08888888888882</v>
      </c>
      <c r="M246">
        <f t="shared" si="43"/>
        <v>248.88163265306122</v>
      </c>
      <c r="N246">
        <f t="shared" si="43"/>
        <v>276.34285714285716</v>
      </c>
      <c r="O246">
        <f t="shared" si="43"/>
        <v>230.41836734693879</v>
      </c>
      <c r="P246">
        <f t="shared" si="43"/>
        <v>229.88571428571427</v>
      </c>
      <c r="Q246">
        <f t="shared" si="43"/>
        <v>252.59591836734688</v>
      </c>
      <c r="R246">
        <f t="shared" si="43"/>
        <v>340.2</v>
      </c>
      <c r="S246">
        <f t="shared" si="43"/>
        <v>204.88775510204081</v>
      </c>
      <c r="T246">
        <f t="shared" si="43"/>
        <v>331.59183673469391</v>
      </c>
      <c r="U246">
        <f t="shared" si="43"/>
        <v>352.2285714285714</v>
      </c>
      <c r="V246">
        <f t="shared" si="43"/>
        <v>340.2</v>
      </c>
      <c r="W246">
        <f t="shared" si="43"/>
        <v>204.88775510204081</v>
      </c>
      <c r="Y246" s="14">
        <f t="shared" si="29"/>
        <v>5745.9170521541946</v>
      </c>
      <c r="Z246">
        <f t="shared" si="30"/>
        <v>-545.1843607181346</v>
      </c>
    </row>
    <row r="247" spans="1:26" x14ac:dyDescent="0.25">
      <c r="A247" t="s">
        <v>57</v>
      </c>
      <c r="D247">
        <f t="shared" ref="D247:W247" si="44">D16*D49</f>
        <v>325.24122448979585</v>
      </c>
      <c r="E247">
        <f t="shared" si="44"/>
        <v>309.88571428571436</v>
      </c>
      <c r="F247">
        <f t="shared" si="44"/>
        <v>331.31265306122447</v>
      </c>
      <c r="G247">
        <f t="shared" si="44"/>
        <v>342.40408163265306</v>
      </c>
      <c r="H247">
        <f t="shared" si="44"/>
        <v>298.01020408163271</v>
      </c>
      <c r="I247">
        <f t="shared" si="44"/>
        <v>288.08775510204077</v>
      </c>
      <c r="J247">
        <f t="shared" si="44"/>
        <v>327.25714285714292</v>
      </c>
      <c r="K247">
        <f t="shared" si="44"/>
        <v>323.14285714285711</v>
      </c>
      <c r="L247">
        <f t="shared" si="44"/>
        <v>214.48888888888888</v>
      </c>
      <c r="M247">
        <f t="shared" si="44"/>
        <v>220.62448979591835</v>
      </c>
      <c r="N247">
        <f t="shared" si="44"/>
        <v>263.5204081632653</v>
      </c>
      <c r="O247">
        <f t="shared" si="44"/>
        <v>302.2704081632653</v>
      </c>
      <c r="P247">
        <f t="shared" si="44"/>
        <v>330.37714285714293</v>
      </c>
      <c r="Q247">
        <f t="shared" si="44"/>
        <v>286.65632653061226</v>
      </c>
      <c r="R247">
        <f t="shared" si="44"/>
        <v>312.69551020408164</v>
      </c>
      <c r="S247">
        <f t="shared" si="44"/>
        <v>292.67551020408166</v>
      </c>
      <c r="T247">
        <f t="shared" si="44"/>
        <v>276.08816326530615</v>
      </c>
      <c r="U247">
        <f t="shared" si="44"/>
        <v>257.1877551020408</v>
      </c>
      <c r="V247">
        <f t="shared" si="44"/>
        <v>323.96795918367349</v>
      </c>
      <c r="W247">
        <f t="shared" si="44"/>
        <v>336.9387755102041</v>
      </c>
      <c r="Y247" s="14">
        <f t="shared" si="29"/>
        <v>5962.8329705215438</v>
      </c>
      <c r="Z247">
        <f t="shared" si="30"/>
        <v>-576.65720347153592</v>
      </c>
    </row>
    <row r="248" spans="1:26" x14ac:dyDescent="0.25">
      <c r="A248" t="s">
        <v>58</v>
      </c>
      <c r="D248">
        <f t="shared" ref="D248:W248" si="45">D17*D50</f>
        <v>282.37591836734697</v>
      </c>
      <c r="E248">
        <f t="shared" si="45"/>
        <v>292.09183673469391</v>
      </c>
      <c r="F248">
        <f t="shared" si="45"/>
        <v>222.37959183673468</v>
      </c>
      <c r="G248">
        <f t="shared" si="45"/>
        <v>232.98979591836735</v>
      </c>
      <c r="H248">
        <f t="shared" si="45"/>
        <v>235.34693877551024</v>
      </c>
      <c r="I248">
        <f t="shared" si="45"/>
        <v>231.44081632653067</v>
      </c>
      <c r="J248">
        <f t="shared" si="45"/>
        <v>232.7755102040816</v>
      </c>
      <c r="K248">
        <f t="shared" si="45"/>
        <v>190.34489795918367</v>
      </c>
      <c r="L248">
        <f t="shared" si="45"/>
        <v>163.99901234567901</v>
      </c>
      <c r="M248">
        <f t="shared" si="45"/>
        <v>213.52571428571429</v>
      </c>
      <c r="N248">
        <f t="shared" si="45"/>
        <v>200.01142857142858</v>
      </c>
      <c r="O248">
        <f t="shared" si="45"/>
        <v>235.015306122449</v>
      </c>
      <c r="P248">
        <f t="shared" si="45"/>
        <v>230.98897959183677</v>
      </c>
      <c r="Q248">
        <f t="shared" si="45"/>
        <v>251.52244897959184</v>
      </c>
      <c r="R248">
        <f t="shared" si="45"/>
        <v>272.51510204081637</v>
      </c>
      <c r="S248">
        <f t="shared" si="45"/>
        <v>292.29591836734699</v>
      </c>
      <c r="T248">
        <f t="shared" si="45"/>
        <v>295.34693877551018</v>
      </c>
      <c r="U248">
        <f t="shared" si="45"/>
        <v>354.85714285714289</v>
      </c>
      <c r="V248">
        <f t="shared" si="45"/>
        <v>352.90612244897954</v>
      </c>
      <c r="W248">
        <f t="shared" si="45"/>
        <v>384.14285714285711</v>
      </c>
      <c r="Y248" s="14">
        <f t="shared" si="29"/>
        <v>5166.8722776518016</v>
      </c>
      <c r="Z248">
        <f t="shared" si="30"/>
        <v>-520.15583425611362</v>
      </c>
    </row>
    <row r="249" spans="1:26" x14ac:dyDescent="0.25">
      <c r="A249" t="s">
        <v>59</v>
      </c>
      <c r="D249">
        <f t="shared" ref="D249:W249" si="46">D18*D51</f>
        <v>306.87346938775511</v>
      </c>
      <c r="E249">
        <f t="shared" si="46"/>
        <v>278.36734693877554</v>
      </c>
      <c r="F249">
        <f t="shared" si="46"/>
        <v>219.64285714285717</v>
      </c>
      <c r="G249">
        <f t="shared" si="46"/>
        <v>239.64897959183673</v>
      </c>
      <c r="H249">
        <f t="shared" si="46"/>
        <v>198.63877551020408</v>
      </c>
      <c r="I249">
        <f t="shared" si="46"/>
        <v>147.53469387755101</v>
      </c>
      <c r="J249">
        <f t="shared" si="46"/>
        <v>102.26938775510206</v>
      </c>
      <c r="K249">
        <f t="shared" si="46"/>
        <v>111.22448979591837</v>
      </c>
      <c r="L249">
        <f t="shared" si="46"/>
        <v>90.518518518518519</v>
      </c>
      <c r="M249">
        <f t="shared" si="46"/>
        <v>219.83265306122453</v>
      </c>
      <c r="N249">
        <f t="shared" si="46"/>
        <v>237.20382653061228</v>
      </c>
      <c r="O249">
        <f t="shared" si="46"/>
        <v>240.28201530612245</v>
      </c>
      <c r="P249">
        <f t="shared" si="46"/>
        <v>223.96832482993196</v>
      </c>
      <c r="Q249">
        <f t="shared" si="46"/>
        <v>271.35248724489793</v>
      </c>
      <c r="R249">
        <f t="shared" si="46"/>
        <v>261.15106292517004</v>
      </c>
      <c r="S249">
        <f t="shared" si="46"/>
        <v>306.09303571428575</v>
      </c>
      <c r="T249">
        <f t="shared" si="46"/>
        <v>317.71730442176869</v>
      </c>
      <c r="U249">
        <f t="shared" si="46"/>
        <v>318.35938031462587</v>
      </c>
      <c r="V249">
        <f t="shared" si="46"/>
        <v>269.10595238095237</v>
      </c>
      <c r="W249">
        <f t="shared" si="46"/>
        <v>331.80540497448976</v>
      </c>
      <c r="Y249" s="14">
        <f t="shared" si="29"/>
        <v>4691.5899662226002</v>
      </c>
      <c r="Z249">
        <f t="shared" si="30"/>
        <v>-505.38506640570802</v>
      </c>
    </row>
    <row r="250" spans="1:26" x14ac:dyDescent="0.25">
      <c r="A250" t="s">
        <v>60</v>
      </c>
      <c r="D250">
        <f t="shared" ref="D250:W250" si="47">D19*D52</f>
        <v>219.26530612244898</v>
      </c>
      <c r="E250">
        <f t="shared" si="47"/>
        <v>185.14285714285714</v>
      </c>
      <c r="F250">
        <f t="shared" si="47"/>
        <v>243.61224489795921</v>
      </c>
      <c r="G250">
        <f t="shared" si="47"/>
        <v>297.12244897959187</v>
      </c>
      <c r="H250">
        <f t="shared" si="47"/>
        <v>183.765306122449</v>
      </c>
      <c r="I250">
        <f t="shared" si="47"/>
        <v>275.22332361516033</v>
      </c>
      <c r="J250">
        <f t="shared" si="47"/>
        <v>258.35772594752183</v>
      </c>
      <c r="K250">
        <f t="shared" si="47"/>
        <v>202.79999999999998</v>
      </c>
      <c r="L250">
        <f t="shared" si="47"/>
        <v>-10.824691358024692</v>
      </c>
      <c r="M250">
        <f t="shared" si="47"/>
        <v>144.51020408163265</v>
      </c>
      <c r="N250">
        <f t="shared" si="47"/>
        <v>171.6</v>
      </c>
      <c r="O250">
        <f t="shared" si="47"/>
        <v>245.40816326530611</v>
      </c>
      <c r="P250">
        <f t="shared" si="47"/>
        <v>209.93877551020407</v>
      </c>
      <c r="Q250">
        <f t="shared" si="47"/>
        <v>244.24489795918367</v>
      </c>
      <c r="R250">
        <f t="shared" si="47"/>
        <v>317.14285714285717</v>
      </c>
      <c r="S250">
        <f t="shared" si="47"/>
        <v>316.53989795918369</v>
      </c>
      <c r="T250">
        <f t="shared" si="47"/>
        <v>332.5</v>
      </c>
      <c r="U250">
        <f t="shared" si="47"/>
        <v>321.30612244897958</v>
      </c>
      <c r="V250">
        <f t="shared" si="47"/>
        <v>189.34285714285716</v>
      </c>
      <c r="W250">
        <f t="shared" si="47"/>
        <v>236.12244897959184</v>
      </c>
      <c r="Y250" s="14">
        <f t="shared" si="29"/>
        <v>4583.1207459597599</v>
      </c>
      <c r="Z250">
        <f t="shared" si="30"/>
        <v>-490.378778579308</v>
      </c>
    </row>
    <row r="251" spans="1:26" x14ac:dyDescent="0.25">
      <c r="A251" t="s">
        <v>61</v>
      </c>
      <c r="D251">
        <f t="shared" ref="D251:W251" si="48">D20*D53</f>
        <v>311.46428571428572</v>
      </c>
      <c r="E251">
        <f t="shared" si="48"/>
        <v>300.71836734693881</v>
      </c>
      <c r="F251">
        <f t="shared" si="48"/>
        <v>308.96877551020413</v>
      </c>
      <c r="G251">
        <f t="shared" si="48"/>
        <v>270.17693877551022</v>
      </c>
      <c r="H251">
        <f t="shared" si="48"/>
        <v>253.15591836734694</v>
      </c>
      <c r="I251">
        <f t="shared" si="48"/>
        <v>263.42448979591836</v>
      </c>
      <c r="J251">
        <f t="shared" si="48"/>
        <v>263.76326530612243</v>
      </c>
      <c r="K251">
        <f t="shared" si="48"/>
        <v>271.13142857142856</v>
      </c>
      <c r="L251">
        <f t="shared" si="48"/>
        <v>247.19795918367348</v>
      </c>
      <c r="M251">
        <f t="shared" si="48"/>
        <v>242.91183673469385</v>
      </c>
      <c r="N251">
        <f t="shared" si="48"/>
        <v>236.37551020408162</v>
      </c>
      <c r="O251">
        <f t="shared" si="48"/>
        <v>268.45122448979595</v>
      </c>
      <c r="P251">
        <f t="shared" si="48"/>
        <v>281.72571428571428</v>
      </c>
      <c r="Q251">
        <f t="shared" si="48"/>
        <v>245.91428571428568</v>
      </c>
      <c r="R251">
        <f t="shared" si="48"/>
        <v>270.68081632653059</v>
      </c>
      <c r="S251">
        <f t="shared" si="48"/>
        <v>261.86693877551028</v>
      </c>
      <c r="T251">
        <f t="shared" si="48"/>
        <v>329.24571428571431</v>
      </c>
      <c r="U251">
        <f t="shared" si="48"/>
        <v>310.20714285714286</v>
      </c>
      <c r="V251">
        <f t="shared" si="48"/>
        <v>318.87448979591835</v>
      </c>
      <c r="W251">
        <f t="shared" si="48"/>
        <v>324.22142857142853</v>
      </c>
      <c r="Y251" s="14">
        <f t="shared" si="29"/>
        <v>5580.4765306122445</v>
      </c>
      <c r="Z251">
        <f t="shared" si="30"/>
        <v>-542.93490917782458</v>
      </c>
    </row>
    <row r="252" spans="1:26" x14ac:dyDescent="0.25">
      <c r="A252" t="s">
        <v>62</v>
      </c>
      <c r="D252">
        <f t="shared" ref="D252:W252" si="49">D21*D54</f>
        <v>296.92734693877554</v>
      </c>
      <c r="E252">
        <f t="shared" si="49"/>
        <v>305.72081632653061</v>
      </c>
      <c r="F252">
        <f t="shared" si="49"/>
        <v>288.54795918367347</v>
      </c>
      <c r="G252">
        <f t="shared" si="49"/>
        <v>284.71326530612242</v>
      </c>
      <c r="H252">
        <f t="shared" si="49"/>
        <v>265.60285714285715</v>
      </c>
      <c r="I252">
        <f t="shared" si="49"/>
        <v>235.365306122449</v>
      </c>
      <c r="J252">
        <f t="shared" si="49"/>
        <v>226.13877551020406</v>
      </c>
      <c r="K252">
        <f t="shared" si="49"/>
        <v>259.36326530612246</v>
      </c>
      <c r="L252">
        <f t="shared" si="49"/>
        <v>259.95937499999997</v>
      </c>
      <c r="M252">
        <f t="shared" si="49"/>
        <v>241.87428571428569</v>
      </c>
      <c r="N252">
        <f t="shared" si="49"/>
        <v>263.34591836734694</v>
      </c>
      <c r="O252">
        <f t="shared" si="49"/>
        <v>246.48000000000002</v>
      </c>
      <c r="P252">
        <f t="shared" si="49"/>
        <v>229.47918367346941</v>
      </c>
      <c r="Q252">
        <f t="shared" si="49"/>
        <v>214.07346938775507</v>
      </c>
      <c r="R252">
        <f t="shared" si="49"/>
        <v>221.15755102040814</v>
      </c>
      <c r="S252">
        <f t="shared" si="49"/>
        <v>312.46163265306126</v>
      </c>
      <c r="T252">
        <f t="shared" si="49"/>
        <v>328.8891836734694</v>
      </c>
      <c r="U252">
        <f t="shared" si="49"/>
        <v>345.97796874999995</v>
      </c>
      <c r="V252">
        <f t="shared" si="49"/>
        <v>338.26530612244898</v>
      </c>
      <c r="W252">
        <f t="shared" si="49"/>
        <v>267.84244897959184</v>
      </c>
      <c r="Y252" s="14">
        <f t="shared" si="29"/>
        <v>5432.1859151785702</v>
      </c>
      <c r="Z252">
        <f t="shared" si="30"/>
        <v>-509.31680430753562</v>
      </c>
    </row>
    <row r="253" spans="1:26" x14ac:dyDescent="0.25">
      <c r="A253" t="s">
        <v>63</v>
      </c>
      <c r="D253">
        <f t="shared" ref="D253:W253" si="50">D22*D55</f>
        <v>345.48979591836735</v>
      </c>
      <c r="E253">
        <f t="shared" si="50"/>
        <v>317.12326530612245</v>
      </c>
      <c r="F253">
        <f t="shared" si="50"/>
        <v>263.71428571428572</v>
      </c>
      <c r="G253">
        <f t="shared" si="50"/>
        <v>249.30142857142852</v>
      </c>
      <c r="H253">
        <f t="shared" si="50"/>
        <v>178.93714285714287</v>
      </c>
      <c r="I253">
        <f t="shared" si="50"/>
        <v>310.18285714285707</v>
      </c>
      <c r="J253">
        <f t="shared" si="50"/>
        <v>236.56591836734694</v>
      </c>
      <c r="K253">
        <f t="shared" si="50"/>
        <v>220.78204081632651</v>
      </c>
      <c r="L253">
        <f t="shared" si="50"/>
        <v>264.97453124999998</v>
      </c>
      <c r="M253">
        <f t="shared" si="50"/>
        <v>249.13775510204084</v>
      </c>
      <c r="N253">
        <f t="shared" si="50"/>
        <v>198.87285714285713</v>
      </c>
      <c r="O253">
        <f t="shared" si="50"/>
        <v>219.84571428571428</v>
      </c>
      <c r="P253">
        <f t="shared" si="50"/>
        <v>239.22918367346935</v>
      </c>
      <c r="Q253">
        <f t="shared" si="50"/>
        <v>294.32816326530605</v>
      </c>
      <c r="R253">
        <f t="shared" si="50"/>
        <v>290.88</v>
      </c>
      <c r="S253">
        <f t="shared" si="50"/>
        <v>293.1312244897959</v>
      </c>
      <c r="T253">
        <f t="shared" si="50"/>
        <v>319.0610204081633</v>
      </c>
      <c r="U253">
        <f t="shared" si="50"/>
        <v>357.29795918367353</v>
      </c>
      <c r="V253">
        <f t="shared" si="50"/>
        <v>328.4628571428571</v>
      </c>
      <c r="W253">
        <f t="shared" si="50"/>
        <v>333.58163265306121</v>
      </c>
      <c r="Y253" s="14">
        <f t="shared" si="29"/>
        <v>5510.8996332908173</v>
      </c>
      <c r="Z253">
        <f t="shared" si="30"/>
        <v>-555.36803635076342</v>
      </c>
    </row>
    <row r="254" spans="1:26" x14ac:dyDescent="0.25">
      <c r="A254" t="s">
        <v>64</v>
      </c>
      <c r="D254">
        <f t="shared" ref="D254:W254" si="51">D23*D56</f>
        <v>312.78122448979587</v>
      </c>
      <c r="E254">
        <f t="shared" si="51"/>
        <v>257.14530612244897</v>
      </c>
      <c r="F254">
        <f t="shared" si="51"/>
        <v>114.18448979591838</v>
      </c>
      <c r="G254">
        <f t="shared" si="51"/>
        <v>276.78857142857146</v>
      </c>
      <c r="H254">
        <f t="shared" si="51"/>
        <v>286.38285714285718</v>
      </c>
      <c r="I254">
        <f t="shared" si="51"/>
        <v>256.56326530612245</v>
      </c>
      <c r="J254">
        <f t="shared" si="51"/>
        <v>253.71755102040817</v>
      </c>
      <c r="K254">
        <f t="shared" si="51"/>
        <v>231.33999999999997</v>
      </c>
      <c r="L254">
        <f t="shared" si="51"/>
        <v>244.82428571428568</v>
      </c>
      <c r="M254">
        <f t="shared" si="51"/>
        <v>212.18326530612245</v>
      </c>
      <c r="N254">
        <f t="shared" si="51"/>
        <v>244.06734693877553</v>
      </c>
      <c r="O254">
        <f t="shared" si="51"/>
        <v>271.89551020408163</v>
      </c>
      <c r="P254">
        <f t="shared" si="51"/>
        <v>284.78244897959189</v>
      </c>
      <c r="Q254">
        <f t="shared" si="51"/>
        <v>254.57571428571427</v>
      </c>
      <c r="R254">
        <f t="shared" si="51"/>
        <v>299.07142857142856</v>
      </c>
      <c r="S254">
        <f t="shared" si="51"/>
        <v>301.9875510204082</v>
      </c>
      <c r="T254">
        <f t="shared" si="51"/>
        <v>318.46646258503404</v>
      </c>
      <c r="U254">
        <f t="shared" si="51"/>
        <v>345.7973469387756</v>
      </c>
      <c r="V254">
        <f t="shared" si="51"/>
        <v>313.53142857142853</v>
      </c>
      <c r="W254">
        <f t="shared" si="51"/>
        <v>368.03265306122444</v>
      </c>
      <c r="Y254" s="14">
        <f t="shared" si="29"/>
        <v>5448.1187074829922</v>
      </c>
      <c r="Z254">
        <f t="shared" si="30"/>
        <v>-569.12943262924978</v>
      </c>
    </row>
    <row r="255" spans="1:26" x14ac:dyDescent="0.25">
      <c r="A255" t="s">
        <v>65</v>
      </c>
      <c r="D255">
        <f>AVERAGE(D244:D253)</f>
        <v>312.92422448979585</v>
      </c>
      <c r="E255">
        <f>AVERAGE(E244:E253)</f>
        <v>296.60185714285711</v>
      </c>
      <c r="F255">
        <f>AVERAGE(F244:F253)</f>
        <v>283.63379591836735</v>
      </c>
      <c r="G255">
        <f>AVERAGE(G244:G253)</f>
        <v>286.0682653061225</v>
      </c>
      <c r="H255">
        <f t="shared" ref="H255:W255" si="52">H24*H57</f>
        <v>266.01861224489795</v>
      </c>
      <c r="I255">
        <f t="shared" si="52"/>
        <v>253.2575860058308</v>
      </c>
      <c r="J255">
        <f t="shared" si="52"/>
        <v>222.64310204081633</v>
      </c>
      <c r="K255">
        <f t="shared" si="52"/>
        <v>242.73018075801753</v>
      </c>
      <c r="L255">
        <f t="shared" si="52"/>
        <v>213.79961904761907</v>
      </c>
      <c r="M255">
        <f t="shared" si="52"/>
        <v>226.30285714285714</v>
      </c>
      <c r="N255">
        <f t="shared" si="52"/>
        <v>245.49387755102046</v>
      </c>
      <c r="O255">
        <f t="shared" si="52"/>
        <v>261.42244897959182</v>
      </c>
      <c r="P255">
        <f t="shared" si="52"/>
        <v>272.90897959183673</v>
      </c>
      <c r="Q255">
        <f t="shared" si="52"/>
        <v>268.41346938775501</v>
      </c>
      <c r="R255">
        <f t="shared" si="52"/>
        <v>281.18897959183681</v>
      </c>
      <c r="S255">
        <f t="shared" si="52"/>
        <v>295.58285714285716</v>
      </c>
      <c r="T255">
        <f t="shared" si="52"/>
        <v>315.63265306122446</v>
      </c>
      <c r="U255">
        <f t="shared" si="52"/>
        <v>320.91428571428565</v>
      </c>
      <c r="V255">
        <f t="shared" si="52"/>
        <v>300.88685374149662</v>
      </c>
      <c r="W255">
        <f t="shared" si="52"/>
        <v>324.87132653061229</v>
      </c>
      <c r="Y255" s="14">
        <f t="shared" si="29"/>
        <v>5491.2958313896988</v>
      </c>
      <c r="Z255">
        <f t="shared" si="30"/>
        <v>-536.64892803209932</v>
      </c>
    </row>
    <row r="256" spans="1:26" x14ac:dyDescent="0.25">
      <c r="A256" t="s">
        <v>66</v>
      </c>
      <c r="D256">
        <f>D25*D58</f>
        <v>172.95969387755102</v>
      </c>
      <c r="E256">
        <f>E25*E58</f>
        <v>286.11734693877554</v>
      </c>
      <c r="F256">
        <f>F25*F58</f>
        <v>292.17500000000001</v>
      </c>
      <c r="G256">
        <f>G25*G58</f>
        <v>288.0739795918368</v>
      </c>
      <c r="H256">
        <f t="shared" ref="H256:W256" si="53">H25*H58</f>
        <v>284.06158163265303</v>
      </c>
      <c r="I256">
        <f t="shared" si="53"/>
        <v>271.38173469387755</v>
      </c>
      <c r="J256">
        <f t="shared" si="53"/>
        <v>267.18382653061224</v>
      </c>
      <c r="K256">
        <f t="shared" si="53"/>
        <v>282.20433673469387</v>
      </c>
      <c r="L256">
        <f t="shared" si="53"/>
        <v>214.74592592592592</v>
      </c>
      <c r="M256">
        <f t="shared" si="53"/>
        <v>278.34040816326524</v>
      </c>
      <c r="N256">
        <f t="shared" si="53"/>
        <v>273.45809523809521</v>
      </c>
      <c r="O256">
        <f t="shared" si="53"/>
        <v>284.40000000000003</v>
      </c>
      <c r="P256">
        <f t="shared" si="53"/>
        <v>297.04278911564631</v>
      </c>
      <c r="Q256">
        <f t="shared" si="53"/>
        <v>298.62142857142857</v>
      </c>
      <c r="R256">
        <f t="shared" si="53"/>
        <v>282.37397959183676</v>
      </c>
      <c r="S256">
        <f t="shared" si="53"/>
        <v>290.46333333333331</v>
      </c>
      <c r="T256">
        <f t="shared" si="53"/>
        <v>230.85496598639492</v>
      </c>
      <c r="U256">
        <f t="shared" si="53"/>
        <v>327.19319727891173</v>
      </c>
      <c r="V256">
        <f t="shared" si="53"/>
        <v>312.79149659863936</v>
      </c>
      <c r="W256">
        <f t="shared" si="53"/>
        <v>327.15285714285716</v>
      </c>
      <c r="Y256" s="14">
        <f t="shared" si="29"/>
        <v>5561.5959769463343</v>
      </c>
      <c r="Z256">
        <f t="shared" si="30"/>
        <v>-493.83267505755191</v>
      </c>
    </row>
    <row r="257" spans="1:26" x14ac:dyDescent="0.25">
      <c r="Y257" s="14"/>
    </row>
    <row r="258" spans="1:26" x14ac:dyDescent="0.25">
      <c r="A258" t="s">
        <v>67</v>
      </c>
      <c r="D258">
        <f t="shared" ref="D258:W258" si="54">D27*D60</f>
        <v>329.58183673469381</v>
      </c>
      <c r="E258">
        <f t="shared" si="54"/>
        <v>325.11510204081628</v>
      </c>
      <c r="F258">
        <f t="shared" si="54"/>
        <v>321.37510204081639</v>
      </c>
      <c r="G258">
        <f t="shared" si="54"/>
        <v>305.37142857142862</v>
      </c>
      <c r="H258">
        <f t="shared" si="54"/>
        <v>293.32380952380953</v>
      </c>
      <c r="I258">
        <f t="shared" si="54"/>
        <v>273.53857142857134</v>
      </c>
      <c r="J258">
        <f t="shared" si="54"/>
        <v>273.80166666666668</v>
      </c>
      <c r="K258">
        <f t="shared" si="54"/>
        <v>282.29646258503396</v>
      </c>
      <c r="L258">
        <f t="shared" si="54"/>
        <v>219.46563786008232</v>
      </c>
      <c r="M258">
        <f t="shared" si="54"/>
        <v>218.99779289493574</v>
      </c>
      <c r="N258">
        <f t="shared" si="54"/>
        <v>251.14616024187453</v>
      </c>
      <c r="O258">
        <f t="shared" si="54"/>
        <v>245.1751473922902</v>
      </c>
      <c r="P258">
        <f t="shared" si="54"/>
        <v>255.5235487528345</v>
      </c>
      <c r="Q258">
        <f t="shared" si="54"/>
        <v>274.78412698412694</v>
      </c>
      <c r="R258">
        <f t="shared" si="54"/>
        <v>293.84353741496602</v>
      </c>
      <c r="S258">
        <f t="shared" si="54"/>
        <v>309.47330687830697</v>
      </c>
      <c r="T258">
        <f t="shared" si="54"/>
        <v>290.65343915343914</v>
      </c>
      <c r="U258">
        <f t="shared" si="54"/>
        <v>321.13934004157215</v>
      </c>
      <c r="V258">
        <f t="shared" si="54"/>
        <v>306.7060166288739</v>
      </c>
      <c r="W258">
        <f t="shared" si="54"/>
        <v>329.792128999748</v>
      </c>
      <c r="Y258" s="14">
        <f t="shared" si="29"/>
        <v>5721.1041628348867</v>
      </c>
      <c r="Z258">
        <f>SUMPRODUCT($D$262:$W$262,D258:W258)</f>
        <v>-539.75605110448555</v>
      </c>
    </row>
    <row r="259" spans="1:26" x14ac:dyDescent="0.25">
      <c r="A259" t="s">
        <v>311</v>
      </c>
      <c r="D259">
        <f t="shared" ref="D259:W259" si="55">D28*D61</f>
        <v>288.95999999999998</v>
      </c>
      <c r="E259">
        <f t="shared" si="55"/>
        <v>257.34591836734694</v>
      </c>
      <c r="F259">
        <f t="shared" si="55"/>
        <v>249.43040816326535</v>
      </c>
      <c r="G259">
        <f t="shared" si="55"/>
        <v>304.23469387755108</v>
      </c>
      <c r="H259">
        <f t="shared" si="55"/>
        <v>288.52734693877551</v>
      </c>
      <c r="I259">
        <f t="shared" si="55"/>
        <v>259.63387755102036</v>
      </c>
      <c r="J259">
        <f t="shared" si="55"/>
        <v>275.2</v>
      </c>
      <c r="K259">
        <f t="shared" si="55"/>
        <v>250.82959183673475</v>
      </c>
      <c r="L259">
        <f t="shared" si="55"/>
        <v>91.503749999999997</v>
      </c>
      <c r="M259">
        <f t="shared" si="55"/>
        <v>133.43632653061226</v>
      </c>
      <c r="N259">
        <f t="shared" si="55"/>
        <v>183.84734693877556</v>
      </c>
      <c r="O259">
        <f t="shared" si="55"/>
        <v>206.79367346938778</v>
      </c>
      <c r="P259">
        <f t="shared" si="55"/>
        <v>266.61857142857144</v>
      </c>
      <c r="Q259">
        <f t="shared" si="55"/>
        <v>254.74457142857145</v>
      </c>
      <c r="R259">
        <f t="shared" si="55"/>
        <v>276.94200000000001</v>
      </c>
      <c r="S259">
        <f t="shared" si="55"/>
        <v>300.58000000000004</v>
      </c>
      <c r="T259">
        <f t="shared" si="55"/>
        <v>308.70000000000005</v>
      </c>
      <c r="U259">
        <f t="shared" si="55"/>
        <v>282.09999999999997</v>
      </c>
      <c r="V259">
        <f t="shared" si="55"/>
        <v>276.20999999999998</v>
      </c>
      <c r="W259">
        <f t="shared" si="55"/>
        <v>328.51</v>
      </c>
      <c r="Y259" s="14">
        <f t="shared" si="29"/>
        <v>5084.1480765306133</v>
      </c>
      <c r="Z259">
        <f>SUMPRODUCT($D$262:$W$262,D259:W259)</f>
        <v>-508.92642515949547</v>
      </c>
    </row>
    <row r="260" spans="1:26" x14ac:dyDescent="0.25">
      <c r="A260" t="s">
        <v>312</v>
      </c>
      <c r="D260">
        <f t="shared" ref="D260:W260" si="56">D29*D62</f>
        <v>296.70451450437321</v>
      </c>
      <c r="E260">
        <f t="shared" si="56"/>
        <v>284.18309504373184</v>
      </c>
      <c r="F260">
        <f t="shared" si="56"/>
        <v>253.05891516034978</v>
      </c>
      <c r="G260">
        <f t="shared" si="56"/>
        <v>268.05645758017494</v>
      </c>
      <c r="H260">
        <f t="shared" si="56"/>
        <v>241.96847361516032</v>
      </c>
      <c r="I260">
        <f t="shared" si="56"/>
        <v>249.32873469387749</v>
      </c>
      <c r="J260">
        <f t="shared" si="56"/>
        <v>231.13842951895043</v>
      </c>
      <c r="K260">
        <f t="shared" si="56"/>
        <v>222.61181377551017</v>
      </c>
      <c r="L260">
        <f t="shared" si="56"/>
        <v>173.43457106658633</v>
      </c>
      <c r="M260">
        <f t="shared" si="56"/>
        <v>217.43232482993204</v>
      </c>
      <c r="N260">
        <f t="shared" si="56"/>
        <v>226.9910267857143</v>
      </c>
      <c r="O260">
        <f t="shared" si="56"/>
        <v>251.73939891581625</v>
      </c>
      <c r="P260">
        <f t="shared" si="56"/>
        <v>248.40964285714284</v>
      </c>
      <c r="Q260">
        <f t="shared" si="56"/>
        <v>247.48447959183676</v>
      </c>
      <c r="R260">
        <f t="shared" si="56"/>
        <v>277.29782653061227</v>
      </c>
      <c r="S260">
        <f t="shared" si="56"/>
        <v>296.89162363945576</v>
      </c>
      <c r="T260">
        <f t="shared" si="56"/>
        <v>326.88889795918368</v>
      </c>
      <c r="U260">
        <f t="shared" si="56"/>
        <v>342.12718670280611</v>
      </c>
      <c r="V260">
        <f t="shared" si="56"/>
        <v>313.20608163265302</v>
      </c>
      <c r="W260">
        <f t="shared" si="56"/>
        <v>304.17596938775506</v>
      </c>
      <c r="Y260" s="14">
        <f t="shared" si="29"/>
        <v>5273.1294637916226</v>
      </c>
      <c r="Z260">
        <f>SUMPRODUCT($D$262:$W$262,D260:W260)</f>
        <v>-529.70296751315198</v>
      </c>
    </row>
    <row r="261" spans="1:26" x14ac:dyDescent="0.25">
      <c r="A261" t="s">
        <v>674</v>
      </c>
      <c r="D261">
        <f t="shared" ref="D261:W261" si="57">D30*D63</f>
        <v>296.04591836734699</v>
      </c>
      <c r="E261">
        <f t="shared" si="57"/>
        <v>293.46428571428572</v>
      </c>
      <c r="F261">
        <f t="shared" si="57"/>
        <v>304.99265306122447</v>
      </c>
      <c r="G261">
        <f t="shared" si="57"/>
        <v>196.46530612244896</v>
      </c>
      <c r="H261">
        <f t="shared" si="57"/>
        <v>205.44040816326526</v>
      </c>
      <c r="I261">
        <f t="shared" si="57"/>
        <v>258.45712932944599</v>
      </c>
      <c r="J261">
        <f t="shared" si="57"/>
        <v>246.3718913702624</v>
      </c>
      <c r="K261">
        <f t="shared" si="57"/>
        <v>239.1113690962099</v>
      </c>
      <c r="L261">
        <f t="shared" si="57"/>
        <v>178.43887986748865</v>
      </c>
      <c r="M261">
        <f t="shared" si="57"/>
        <v>221.57266598639458</v>
      </c>
      <c r="N261">
        <f t="shared" si="57"/>
        <v>234.37696428571428</v>
      </c>
      <c r="O261">
        <f t="shared" si="57"/>
        <v>255.30147015306122</v>
      </c>
      <c r="P261">
        <f t="shared" si="57"/>
        <v>252.38951339719566</v>
      </c>
      <c r="Q261">
        <f t="shared" si="57"/>
        <v>257.39983366305705</v>
      </c>
      <c r="R261">
        <f t="shared" si="57"/>
        <v>285.39599559948982</v>
      </c>
      <c r="S261">
        <f t="shared" si="57"/>
        <v>286.63490155753965</v>
      </c>
      <c r="T261">
        <f t="shared" si="57"/>
        <v>310.00079211463139</v>
      </c>
      <c r="U261">
        <f t="shared" si="57"/>
        <v>324.83000380293072</v>
      </c>
      <c r="V261">
        <f t="shared" si="57"/>
        <v>307.53991643772895</v>
      </c>
      <c r="W261">
        <f t="shared" si="57"/>
        <v>311.19838843448218</v>
      </c>
      <c r="Y261" s="14">
        <f t="shared" ref="Y261" si="58">SUM(D261:W261)</f>
        <v>5265.428286524203</v>
      </c>
      <c r="Z261">
        <f>SUMPRODUCT($D$262:$W$262,D261:W261)</f>
        <v>-537.3939887194133</v>
      </c>
    </row>
    <row r="262" spans="1:26" x14ac:dyDescent="0.25">
      <c r="A262" s="2" t="s">
        <v>68</v>
      </c>
      <c r="D262" s="3">
        <f>CORREL($B$2:$B$25,D233:D256)</f>
        <v>-0.27228129533900625</v>
      </c>
      <c r="E262" s="3">
        <f t="shared" ref="E262:W262" si="59">CORREL($B$2:$B$25,E233:E256)</f>
        <v>-9.2502317964611488E-2</v>
      </c>
      <c r="F262" s="3">
        <f t="shared" si="59"/>
        <v>0.12054907172009241</v>
      </c>
      <c r="G262" s="3">
        <f t="shared" si="59"/>
        <v>4.0147668138602419E-2</v>
      </c>
      <c r="H262" s="3">
        <f t="shared" si="59"/>
        <v>0.16674931366278764</v>
      </c>
      <c r="I262" s="3">
        <f t="shared" si="59"/>
        <v>-0.14963205121185827</v>
      </c>
      <c r="J262" s="3">
        <f t="shared" si="59"/>
        <v>-0.19631856021419106</v>
      </c>
      <c r="K262" s="3">
        <f t="shared" si="59"/>
        <v>3.5509706678371375E-2</v>
      </c>
      <c r="L262" s="3">
        <f t="shared" si="59"/>
        <v>3.8645633499919486E-2</v>
      </c>
      <c r="M262" s="3">
        <f t="shared" si="59"/>
        <v>-2.3034454316148589E-2</v>
      </c>
      <c r="N262" s="3">
        <f t="shared" si="59"/>
        <v>-0.32263986945760798</v>
      </c>
      <c r="O262" s="3">
        <f t="shared" si="59"/>
        <v>-0.14202851953473239</v>
      </c>
      <c r="P262" s="3">
        <f t="shared" si="59"/>
        <v>-0.166110662837266</v>
      </c>
      <c r="Q262" s="3">
        <f t="shared" si="59"/>
        <v>-5.8813712579031036E-2</v>
      </c>
      <c r="R262" s="3">
        <f t="shared" si="59"/>
        <v>-0.22683703854785661</v>
      </c>
      <c r="S262" s="3">
        <f t="shared" si="59"/>
        <v>-0.14328381462661074</v>
      </c>
      <c r="T262" s="3">
        <f t="shared" si="59"/>
        <v>-0.34895425492731463</v>
      </c>
      <c r="U262" s="3">
        <f t="shared" si="59"/>
        <v>9.9767163065642012E-2</v>
      </c>
      <c r="V262" s="3">
        <f t="shared" si="59"/>
        <v>-0.12156775390835498</v>
      </c>
      <c r="W262" s="3">
        <f t="shared" si="59"/>
        <v>-0.1410241694382478</v>
      </c>
    </row>
    <row r="265" spans="1:26" x14ac:dyDescent="0.25">
      <c r="D265" t="s">
        <v>107</v>
      </c>
      <c r="E265" t="s">
        <v>108</v>
      </c>
      <c r="F265" t="s">
        <v>109</v>
      </c>
      <c r="G265" t="s">
        <v>110</v>
      </c>
      <c r="H265" t="s">
        <v>111</v>
      </c>
      <c r="I265" t="s">
        <v>112</v>
      </c>
      <c r="J265" t="s">
        <v>113</v>
      </c>
      <c r="K265" t="s">
        <v>114</v>
      </c>
      <c r="L265" t="s">
        <v>345</v>
      </c>
      <c r="M265" t="s">
        <v>389</v>
      </c>
      <c r="N265" t="s">
        <v>390</v>
      </c>
      <c r="O265" t="s">
        <v>391</v>
      </c>
      <c r="P265" t="s">
        <v>482</v>
      </c>
      <c r="Q265" t="s">
        <v>483</v>
      </c>
      <c r="R265" t="s">
        <v>484</v>
      </c>
      <c r="S265" t="s">
        <v>485</v>
      </c>
      <c r="T265" t="s">
        <v>594</v>
      </c>
      <c r="U265" t="s">
        <v>595</v>
      </c>
      <c r="V265" t="s">
        <v>596</v>
      </c>
      <c r="W265" t="s">
        <v>597</v>
      </c>
      <c r="Y265" t="s">
        <v>115</v>
      </c>
      <c r="Z265" t="s">
        <v>116</v>
      </c>
    </row>
    <row r="266" spans="1:26" x14ac:dyDescent="0.25">
      <c r="A266" t="s">
        <v>43</v>
      </c>
      <c r="D266">
        <f t="shared" ref="D266:W266" si="60">D2*D68</f>
        <v>149.05714285714285</v>
      </c>
      <c r="E266">
        <f t="shared" si="60"/>
        <v>121.41387755102042</v>
      </c>
      <c r="F266">
        <f t="shared" si="60"/>
        <v>102.29142857142857</v>
      </c>
      <c r="G266">
        <f t="shared" si="60"/>
        <v>113.0804081632653</v>
      </c>
      <c r="H266">
        <f t="shared" si="60"/>
        <v>109.12</v>
      </c>
      <c r="I266">
        <f t="shared" si="60"/>
        <v>95.82244897959184</v>
      </c>
      <c r="J266">
        <f t="shared" si="60"/>
        <v>90.73469387755101</v>
      </c>
      <c r="K266">
        <f t="shared" si="60"/>
        <v>89.688979591836713</v>
      </c>
      <c r="L266">
        <f t="shared" si="60"/>
        <v>68.970740740740752</v>
      </c>
      <c r="M266">
        <f t="shared" si="60"/>
        <v>66.488040816326532</v>
      </c>
      <c r="N266">
        <f t="shared" si="60"/>
        <v>53.857061224489797</v>
      </c>
      <c r="O266">
        <f t="shared" si="60"/>
        <v>54.655510204081629</v>
      </c>
      <c r="P266">
        <f t="shared" si="60"/>
        <v>59.31183673469387</v>
      </c>
      <c r="Q266">
        <f t="shared" si="60"/>
        <v>96.122448979591837</v>
      </c>
      <c r="R266">
        <f t="shared" si="60"/>
        <v>83.057142857142864</v>
      </c>
      <c r="S266">
        <f t="shared" si="60"/>
        <v>39.6</v>
      </c>
      <c r="T266">
        <f t="shared" si="60"/>
        <v>101.13551020408164</v>
      </c>
      <c r="U266">
        <f t="shared" si="60"/>
        <v>94.485102040816329</v>
      </c>
      <c r="V266">
        <f t="shared" si="60"/>
        <v>93.546122448979588</v>
      </c>
      <c r="W266">
        <f t="shared" si="60"/>
        <v>143.46734693877553</v>
      </c>
      <c r="Y266" s="14">
        <f t="shared" ref="Y266:Y293" si="61">SUM(D266:W266)</f>
        <v>1825.9058427815569</v>
      </c>
      <c r="Z266">
        <f t="shared" ref="Z266:Z289" si="62">SUMPRODUCT($D$295:$W$295,D266:W266)</f>
        <v>-465.21927102099534</v>
      </c>
    </row>
    <row r="267" spans="1:26" x14ac:dyDescent="0.25">
      <c r="A267" t="s">
        <v>44</v>
      </c>
      <c r="D267">
        <f t="shared" ref="D267:W267" si="63">D3*D69</f>
        <v>120.97285714285714</v>
      </c>
      <c r="E267">
        <f t="shared" si="63"/>
        <v>119.02061224489795</v>
      </c>
      <c r="F267">
        <f t="shared" si="63"/>
        <v>116.47346938775507</v>
      </c>
      <c r="G267">
        <f t="shared" si="63"/>
        <v>108.40408163265306</v>
      </c>
      <c r="H267">
        <f t="shared" si="63"/>
        <v>107.13061224489795</v>
      </c>
      <c r="I267">
        <f t="shared" si="63"/>
        <v>94.362244897959201</v>
      </c>
      <c r="J267">
        <f t="shared" si="63"/>
        <v>83.84591836734694</v>
      </c>
      <c r="K267">
        <f t="shared" si="63"/>
        <v>77.785714285714278</v>
      </c>
      <c r="L267">
        <f t="shared" si="63"/>
        <v>44.8237037037037</v>
      </c>
      <c r="M267">
        <f t="shared" si="63"/>
        <v>68.980408163265309</v>
      </c>
      <c r="N267">
        <f t="shared" si="63"/>
        <v>98.291224489795923</v>
      </c>
      <c r="O267">
        <f t="shared" si="63"/>
        <v>80.997551020408167</v>
      </c>
      <c r="P267">
        <f t="shared" si="63"/>
        <v>89.439591836734692</v>
      </c>
      <c r="Q267">
        <f t="shared" si="63"/>
        <v>93.398367346938784</v>
      </c>
      <c r="R267">
        <f t="shared" si="63"/>
        <v>100.89918367346941</v>
      </c>
      <c r="S267">
        <f t="shared" si="63"/>
        <v>106.94967346938778</v>
      </c>
      <c r="T267">
        <f t="shared" si="63"/>
        <v>120.67469387755104</v>
      </c>
      <c r="U267">
        <f t="shared" si="63"/>
        <v>123.96783673469389</v>
      </c>
      <c r="V267">
        <f t="shared" si="63"/>
        <v>126.80816326530613</v>
      </c>
      <c r="W267">
        <f t="shared" si="63"/>
        <v>157.38877551020403</v>
      </c>
      <c r="Y267" s="14">
        <f t="shared" si="61"/>
        <v>2040.6146832955405</v>
      </c>
      <c r="Z267">
        <f t="shared" si="62"/>
        <v>-547.18240250687211</v>
      </c>
    </row>
    <row r="268" spans="1:26" x14ac:dyDescent="0.25">
      <c r="A268" t="s">
        <v>45</v>
      </c>
      <c r="D268">
        <f t="shared" ref="D268:W268" si="64">D4*D70</f>
        <v>169.0408163265306</v>
      </c>
      <c r="E268">
        <f t="shared" si="64"/>
        <v>144.59693877551021</v>
      </c>
      <c r="F268">
        <f t="shared" si="64"/>
        <v>111.94897959183675</v>
      </c>
      <c r="G268">
        <f t="shared" si="64"/>
        <v>80.102040816326536</v>
      </c>
      <c r="H268">
        <f t="shared" si="64"/>
        <v>82.546938775510213</v>
      </c>
      <c r="I268">
        <f t="shared" si="64"/>
        <v>89.520408163265301</v>
      </c>
      <c r="J268">
        <f t="shared" si="64"/>
        <v>93.664285714285697</v>
      </c>
      <c r="K268">
        <f t="shared" si="64"/>
        <v>76.228571428571442</v>
      </c>
      <c r="L268">
        <f t="shared" si="64"/>
        <v>52.558024691358035</v>
      </c>
      <c r="M268">
        <f t="shared" si="64"/>
        <v>84.690837151187012</v>
      </c>
      <c r="N268">
        <f t="shared" si="64"/>
        <v>75.510828821324424</v>
      </c>
      <c r="O268">
        <f t="shared" si="64"/>
        <v>73.70262390670554</v>
      </c>
      <c r="P268">
        <f t="shared" si="64"/>
        <v>77.973698458975406</v>
      </c>
      <c r="Q268">
        <f t="shared" si="64"/>
        <v>84.159183673469371</v>
      </c>
      <c r="R268">
        <f t="shared" si="64"/>
        <v>96.31649312786341</v>
      </c>
      <c r="S268">
        <f t="shared" si="64"/>
        <v>98.490733027905051</v>
      </c>
      <c r="T268">
        <f t="shared" si="64"/>
        <v>107.89972927946687</v>
      </c>
      <c r="U268">
        <f t="shared" si="64"/>
        <v>110.22838400666389</v>
      </c>
      <c r="V268">
        <f t="shared" si="64"/>
        <v>115.9460849645981</v>
      </c>
      <c r="W268">
        <f t="shared" si="64"/>
        <v>133.23717201166181</v>
      </c>
      <c r="Y268" s="14">
        <f t="shared" si="61"/>
        <v>1958.3627727130156</v>
      </c>
      <c r="Z268">
        <f t="shared" si="62"/>
        <v>-530.49103481410941</v>
      </c>
    </row>
    <row r="269" spans="1:26" x14ac:dyDescent="0.25">
      <c r="A269" t="s">
        <v>46</v>
      </c>
      <c r="D269">
        <f t="shared" ref="D269:W269" si="65">D5*D71</f>
        <v>148.30916534777177</v>
      </c>
      <c r="E269">
        <f t="shared" si="65"/>
        <v>143.07419658475638</v>
      </c>
      <c r="F269">
        <f t="shared" si="65"/>
        <v>132.19085797584339</v>
      </c>
      <c r="G269">
        <f t="shared" si="65"/>
        <v>121.52896293211161</v>
      </c>
      <c r="H269">
        <f t="shared" si="65"/>
        <v>102.84648146605581</v>
      </c>
      <c r="I269">
        <f t="shared" si="65"/>
        <v>94.712913785922524</v>
      </c>
      <c r="J269">
        <f t="shared" si="65"/>
        <v>82.425760932944598</v>
      </c>
      <c r="K269">
        <f t="shared" si="65"/>
        <v>94.378796334860468</v>
      </c>
      <c r="L269">
        <f t="shared" si="65"/>
        <v>68.310784580498861</v>
      </c>
      <c r="M269">
        <f t="shared" si="65"/>
        <v>52.002040816326527</v>
      </c>
      <c r="N269">
        <f t="shared" si="65"/>
        <v>68.469387755102048</v>
      </c>
      <c r="O269">
        <f t="shared" si="65"/>
        <v>67.790816326530603</v>
      </c>
      <c r="P269">
        <f t="shared" si="65"/>
        <v>80.871428571428567</v>
      </c>
      <c r="Q269">
        <f t="shared" si="65"/>
        <v>60.56530612244898</v>
      </c>
      <c r="R269">
        <f t="shared" si="65"/>
        <v>83.32244897959184</v>
      </c>
      <c r="S269">
        <f t="shared" si="65"/>
        <v>74.631632653061217</v>
      </c>
      <c r="T269">
        <f t="shared" si="65"/>
        <v>87.35510204081632</v>
      </c>
      <c r="U269">
        <f t="shared" si="65"/>
        <v>88.612244897959201</v>
      </c>
      <c r="V269">
        <f t="shared" si="65"/>
        <v>105.46938775510202</v>
      </c>
      <c r="W269">
        <f t="shared" si="65"/>
        <v>102.62755102040815</v>
      </c>
      <c r="Y269" s="14">
        <f t="shared" si="61"/>
        <v>1859.4952668795408</v>
      </c>
      <c r="Z269">
        <f t="shared" si="62"/>
        <v>-460.36005575428464</v>
      </c>
    </row>
    <row r="270" spans="1:26" x14ac:dyDescent="0.25">
      <c r="A270" t="s">
        <v>47</v>
      </c>
      <c r="D270">
        <f t="shared" ref="D270:W270" si="66">D6*D72</f>
        <v>156.1</v>
      </c>
      <c r="E270">
        <f t="shared" si="66"/>
        <v>115.88571428571427</v>
      </c>
      <c r="F270">
        <f t="shared" si="66"/>
        <v>100.71428571428569</v>
      </c>
      <c r="G270">
        <f t="shared" si="66"/>
        <v>109.05714285714286</v>
      </c>
      <c r="H270">
        <f t="shared" si="66"/>
        <v>94.922448979591834</v>
      </c>
      <c r="I270">
        <f t="shared" si="66"/>
        <v>94.857142857142861</v>
      </c>
      <c r="J270">
        <f t="shared" si="66"/>
        <v>92.942040816326525</v>
      </c>
      <c r="K270">
        <f t="shared" si="66"/>
        <v>82.285714285714292</v>
      </c>
      <c r="L270">
        <f t="shared" si="66"/>
        <v>84.259259259259267</v>
      </c>
      <c r="M270">
        <f t="shared" si="66"/>
        <v>84.214285714285722</v>
      </c>
      <c r="N270">
        <f t="shared" si="66"/>
        <v>60.722448979591839</v>
      </c>
      <c r="O270">
        <f t="shared" si="66"/>
        <v>77.363265306122443</v>
      </c>
      <c r="P270">
        <f t="shared" si="66"/>
        <v>82.735714285714295</v>
      </c>
      <c r="Q270">
        <f t="shared" si="66"/>
        <v>90.455102040816342</v>
      </c>
      <c r="R270">
        <f t="shared" si="66"/>
        <v>93.122448979591837</v>
      </c>
      <c r="S270">
        <f t="shared" si="66"/>
        <v>114.01428571428572</v>
      </c>
      <c r="T270">
        <f t="shared" si="66"/>
        <v>103.37755102040816</v>
      </c>
      <c r="U270">
        <f t="shared" si="66"/>
        <v>116.76122448979591</v>
      </c>
      <c r="V270">
        <f t="shared" si="66"/>
        <v>111.08571428571427</v>
      </c>
      <c r="W270">
        <f t="shared" si="66"/>
        <v>119.46428571428574</v>
      </c>
      <c r="Y270" s="14">
        <f t="shared" si="61"/>
        <v>1984.3400755857901</v>
      </c>
      <c r="Z270">
        <f t="shared" si="62"/>
        <v>-536.51631519695434</v>
      </c>
    </row>
    <row r="271" spans="1:26" x14ac:dyDescent="0.25">
      <c r="A271" t="s">
        <v>48</v>
      </c>
      <c r="D271">
        <f t="shared" ref="D271:W271" si="67">D7*D73</f>
        <v>138.14081632653063</v>
      </c>
      <c r="E271">
        <f t="shared" si="67"/>
        <v>123.00000000000001</v>
      </c>
      <c r="F271">
        <f t="shared" si="67"/>
        <v>103.92857142857143</v>
      </c>
      <c r="G271">
        <f t="shared" si="67"/>
        <v>88.438775510204081</v>
      </c>
      <c r="H271">
        <f t="shared" si="67"/>
        <v>77.794897959183658</v>
      </c>
      <c r="I271">
        <f t="shared" si="67"/>
        <v>86.457142857142856</v>
      </c>
      <c r="J271">
        <f t="shared" si="67"/>
        <v>85.016326530612247</v>
      </c>
      <c r="K271">
        <f t="shared" si="67"/>
        <v>89.093877551020412</v>
      </c>
      <c r="L271">
        <f t="shared" si="67"/>
        <v>55.43888888888889</v>
      </c>
      <c r="M271">
        <f t="shared" si="67"/>
        <v>94.304081632653066</v>
      </c>
      <c r="N271">
        <f t="shared" si="67"/>
        <v>71.459183673469383</v>
      </c>
      <c r="O271">
        <f t="shared" si="67"/>
        <v>88.604081632653063</v>
      </c>
      <c r="P271">
        <f t="shared" si="67"/>
        <v>70.097959183673467</v>
      </c>
      <c r="Q271">
        <f t="shared" si="67"/>
        <v>82.515306122448976</v>
      </c>
      <c r="R271">
        <f t="shared" si="67"/>
        <v>97.726530612244886</v>
      </c>
      <c r="S271">
        <f t="shared" si="67"/>
        <v>114.22551020408162</v>
      </c>
      <c r="T271">
        <f t="shared" si="67"/>
        <v>104.18571428571428</v>
      </c>
      <c r="U271">
        <f t="shared" si="67"/>
        <v>111.96489795918369</v>
      </c>
      <c r="V271">
        <f t="shared" si="67"/>
        <v>124.05510204081634</v>
      </c>
      <c r="W271">
        <f t="shared" si="67"/>
        <v>138.48775510204081</v>
      </c>
      <c r="Y271" s="14">
        <f t="shared" si="61"/>
        <v>1944.9354195011338</v>
      </c>
      <c r="Z271">
        <f t="shared" si="62"/>
        <v>-532.27965017228905</v>
      </c>
    </row>
    <row r="272" spans="1:26" x14ac:dyDescent="0.25">
      <c r="A272" t="s">
        <v>49</v>
      </c>
      <c r="D272">
        <f t="shared" ref="D272:W272" si="68">D8*D74</f>
        <v>103.53061224489798</v>
      </c>
      <c r="E272">
        <f t="shared" si="68"/>
        <v>143.265306122449</v>
      </c>
      <c r="F272">
        <f t="shared" si="68"/>
        <v>148.67346938775509</v>
      </c>
      <c r="G272">
        <f t="shared" si="68"/>
        <v>121.17346938775511</v>
      </c>
      <c r="H272">
        <f t="shared" si="68"/>
        <v>104.32653061224489</v>
      </c>
      <c r="I272">
        <f t="shared" si="68"/>
        <v>104.63061224489795</v>
      </c>
      <c r="J272">
        <f t="shared" si="68"/>
        <v>67.071428571428569</v>
      </c>
      <c r="K272">
        <f t="shared" si="68"/>
        <v>87.422448979591849</v>
      </c>
      <c r="L272">
        <f t="shared" si="68"/>
        <v>60.19259259259259</v>
      </c>
      <c r="M272">
        <f t="shared" si="68"/>
        <v>80.553061224489781</v>
      </c>
      <c r="N272">
        <f t="shared" si="68"/>
        <v>75.877551020408148</v>
      </c>
      <c r="O272">
        <f t="shared" si="68"/>
        <v>79.34693877551021</v>
      </c>
      <c r="P272">
        <f t="shared" si="68"/>
        <v>91.559183673469377</v>
      </c>
      <c r="Q272">
        <f t="shared" si="68"/>
        <v>91.432653061224499</v>
      </c>
      <c r="R272">
        <f t="shared" si="68"/>
        <v>111.08571428571427</v>
      </c>
      <c r="S272">
        <f t="shared" si="68"/>
        <v>119.7969387755102</v>
      </c>
      <c r="T272">
        <f t="shared" si="68"/>
        <v>127.67857142857142</v>
      </c>
      <c r="U272">
        <f t="shared" si="68"/>
        <v>123.25714285714284</v>
      </c>
      <c r="V272">
        <f t="shared" si="68"/>
        <v>117.21632653061225</v>
      </c>
      <c r="W272">
        <f t="shared" si="68"/>
        <v>162.75612244897957</v>
      </c>
      <c r="Y272" s="14">
        <f t="shared" si="61"/>
        <v>2120.8466742252449</v>
      </c>
      <c r="Z272">
        <f t="shared" si="62"/>
        <v>-533.57581507557006</v>
      </c>
    </row>
    <row r="273" spans="1:26" x14ac:dyDescent="0.25">
      <c r="A273" t="s">
        <v>50</v>
      </c>
      <c r="D273">
        <f t="shared" ref="D273:W273" si="69">D9*D75</f>
        <v>169.38775510204079</v>
      </c>
      <c r="E273">
        <f t="shared" si="69"/>
        <v>175.64693877551022</v>
      </c>
      <c r="F273">
        <f t="shared" si="69"/>
        <v>161.99183673469383</v>
      </c>
      <c r="G273">
        <f t="shared" si="69"/>
        <v>120.8</v>
      </c>
      <c r="H273">
        <f t="shared" si="69"/>
        <v>113.56734693877551</v>
      </c>
      <c r="I273">
        <f t="shared" si="69"/>
        <v>109.63265306122449</v>
      </c>
      <c r="J273">
        <f t="shared" si="69"/>
        <v>98.044897959183658</v>
      </c>
      <c r="K273">
        <f t="shared" si="69"/>
        <v>92.91836734693878</v>
      </c>
      <c r="L273">
        <f t="shared" si="69"/>
        <v>68.643209876543196</v>
      </c>
      <c r="M273">
        <f t="shared" si="69"/>
        <v>105.59183673469387</v>
      </c>
      <c r="N273">
        <f t="shared" si="69"/>
        <v>96.642857142857139</v>
      </c>
      <c r="O273">
        <f t="shared" si="69"/>
        <v>54.537755102040819</v>
      </c>
      <c r="P273">
        <f t="shared" si="69"/>
        <v>84.330612244897964</v>
      </c>
      <c r="Q273">
        <f t="shared" si="69"/>
        <v>95.053061224489781</v>
      </c>
      <c r="R273">
        <f t="shared" si="69"/>
        <v>111.12244897959182</v>
      </c>
      <c r="S273">
        <f t="shared" si="69"/>
        <v>93.348979591836724</v>
      </c>
      <c r="T273">
        <f t="shared" si="69"/>
        <v>136.67857142857144</v>
      </c>
      <c r="U273">
        <f t="shared" si="69"/>
        <v>136.8030612244898</v>
      </c>
      <c r="V273">
        <f t="shared" si="69"/>
        <v>112.77244897959187</v>
      </c>
      <c r="W273">
        <f t="shared" si="69"/>
        <v>125.09183673469387</v>
      </c>
      <c r="Y273" s="14">
        <f t="shared" si="61"/>
        <v>2262.6064751826657</v>
      </c>
      <c r="Z273">
        <f t="shared" si="62"/>
        <v>-571.94369764508428</v>
      </c>
    </row>
    <row r="274" spans="1:26" x14ac:dyDescent="0.25">
      <c r="A274" t="s">
        <v>51</v>
      </c>
      <c r="D274">
        <f t="shared" ref="D274:W274" si="70">D10*D76</f>
        <v>145.47379591836733</v>
      </c>
      <c r="E274">
        <f t="shared" si="70"/>
        <v>134.8595102040816</v>
      </c>
      <c r="F274">
        <f t="shared" si="70"/>
        <v>156.3869387755102</v>
      </c>
      <c r="G274">
        <f t="shared" si="70"/>
        <v>160.18857142857144</v>
      </c>
      <c r="H274">
        <f t="shared" si="70"/>
        <v>141.59926530612245</v>
      </c>
      <c r="I274">
        <f t="shared" si="70"/>
        <v>81.556122448979593</v>
      </c>
      <c r="J274">
        <f t="shared" si="70"/>
        <v>73.791142857142844</v>
      </c>
      <c r="K274">
        <f t="shared" si="70"/>
        <v>124.06857142857142</v>
      </c>
      <c r="L274">
        <f t="shared" si="70"/>
        <v>80.636370370370358</v>
      </c>
      <c r="M274">
        <f t="shared" si="70"/>
        <v>73.811224489795919</v>
      </c>
      <c r="N274">
        <f t="shared" si="70"/>
        <v>68.791836734693874</v>
      </c>
      <c r="O274">
        <f t="shared" si="70"/>
        <v>61.285714285714278</v>
      </c>
      <c r="P274">
        <f t="shared" si="70"/>
        <v>64.457142857142856</v>
      </c>
      <c r="Q274">
        <f t="shared" si="70"/>
        <v>87.477551020408171</v>
      </c>
      <c r="R274">
        <f t="shared" si="70"/>
        <v>91.031632653061223</v>
      </c>
      <c r="S274">
        <f t="shared" si="70"/>
        <v>82.919999999999987</v>
      </c>
      <c r="T274">
        <f t="shared" si="70"/>
        <v>97.420408163265293</v>
      </c>
      <c r="U274">
        <f t="shared" si="70"/>
        <v>111.88979591836735</v>
      </c>
      <c r="V274">
        <f t="shared" si="70"/>
        <v>119.69387755102044</v>
      </c>
      <c r="W274">
        <f t="shared" si="70"/>
        <v>153.88673469387757</v>
      </c>
      <c r="Y274" s="14">
        <f t="shared" si="61"/>
        <v>2111.2262071050641</v>
      </c>
      <c r="Z274">
        <f t="shared" si="62"/>
        <v>-487.26592729829827</v>
      </c>
    </row>
    <row r="275" spans="1:26" x14ac:dyDescent="0.25">
      <c r="A275" t="s">
        <v>52</v>
      </c>
      <c r="D275">
        <f t="shared" ref="D275:W275" si="71">D11*D77</f>
        <v>159.42448979591839</v>
      </c>
      <c r="E275">
        <f t="shared" si="71"/>
        <v>154.06530612244899</v>
      </c>
      <c r="F275">
        <f t="shared" si="71"/>
        <v>126.10102040816324</v>
      </c>
      <c r="G275">
        <f t="shared" si="71"/>
        <v>141.92244897959182</v>
      </c>
      <c r="H275">
        <f t="shared" si="71"/>
        <v>93.354285714285709</v>
      </c>
      <c r="I275">
        <f t="shared" si="71"/>
        <v>85.143877551020395</v>
      </c>
      <c r="J275">
        <f t="shared" si="71"/>
        <v>83.892857142857153</v>
      </c>
      <c r="K275">
        <f t="shared" si="71"/>
        <v>96.562244897959189</v>
      </c>
      <c r="L275">
        <f t="shared" si="71"/>
        <v>66.171604938271599</v>
      </c>
      <c r="M275">
        <f t="shared" si="71"/>
        <v>93.939795918367338</v>
      </c>
      <c r="N275">
        <f t="shared" si="71"/>
        <v>76.897959183673464</v>
      </c>
      <c r="O275">
        <f t="shared" si="71"/>
        <v>88.438775510204081</v>
      </c>
      <c r="P275">
        <f t="shared" si="71"/>
        <v>67.428571428571431</v>
      </c>
      <c r="Q275">
        <f t="shared" si="71"/>
        <v>80.928571428571431</v>
      </c>
      <c r="R275">
        <f t="shared" si="71"/>
        <v>85.907142857142844</v>
      </c>
      <c r="S275">
        <f t="shared" si="71"/>
        <v>89.614285714285714</v>
      </c>
      <c r="T275">
        <f t="shared" si="71"/>
        <v>94.387755102040813</v>
      </c>
      <c r="U275">
        <f t="shared" si="71"/>
        <v>83.85</v>
      </c>
      <c r="V275">
        <f t="shared" si="71"/>
        <v>119.69591836734693</v>
      </c>
      <c r="W275">
        <f t="shared" si="71"/>
        <v>128.25</v>
      </c>
      <c r="Y275" s="14">
        <f t="shared" si="61"/>
        <v>2015.9769110607199</v>
      </c>
      <c r="Z275">
        <f t="shared" si="62"/>
        <v>-503.14087817480709</v>
      </c>
    </row>
    <row r="276" spans="1:26" x14ac:dyDescent="0.25">
      <c r="A276" t="s">
        <v>53</v>
      </c>
      <c r="D276">
        <f t="shared" ref="D276:W276" si="72">D12*D78</f>
        <v>150.40816326530611</v>
      </c>
      <c r="E276">
        <f t="shared" si="72"/>
        <v>153.57244897959185</v>
      </c>
      <c r="F276">
        <f t="shared" si="72"/>
        <v>126.13775510204083</v>
      </c>
      <c r="G276">
        <f t="shared" si="72"/>
        <v>111.30612244897961</v>
      </c>
      <c r="H276">
        <f t="shared" si="72"/>
        <v>89.540816326530617</v>
      </c>
      <c r="I276">
        <f t="shared" si="72"/>
        <v>94.714285714285737</v>
      </c>
      <c r="J276">
        <f t="shared" si="72"/>
        <v>72.110204081632645</v>
      </c>
      <c r="K276">
        <f t="shared" si="72"/>
        <v>86.59591836734694</v>
      </c>
      <c r="L276">
        <f t="shared" si="72"/>
        <v>61.514444444444443</v>
      </c>
      <c r="M276">
        <f t="shared" si="72"/>
        <v>77.628571428571433</v>
      </c>
      <c r="N276">
        <f t="shared" si="72"/>
        <v>80.75</v>
      </c>
      <c r="O276">
        <f t="shared" si="72"/>
        <v>114.34285714285716</v>
      </c>
      <c r="P276">
        <f t="shared" si="72"/>
        <v>108.57142857142857</v>
      </c>
      <c r="Q276">
        <f t="shared" si="72"/>
        <v>101.15714285714287</v>
      </c>
      <c r="R276">
        <f t="shared" si="72"/>
        <v>124.66224489795918</v>
      </c>
      <c r="S276">
        <f t="shared" si="72"/>
        <v>146.89999999999998</v>
      </c>
      <c r="T276">
        <f t="shared" si="72"/>
        <v>144.49285714285716</v>
      </c>
      <c r="U276">
        <f t="shared" si="72"/>
        <v>166.93061224489793</v>
      </c>
      <c r="V276">
        <f t="shared" si="72"/>
        <v>147.08673469387756</v>
      </c>
      <c r="W276">
        <f t="shared" si="72"/>
        <v>144.88857142857142</v>
      </c>
      <c r="Y276" s="14">
        <f t="shared" si="61"/>
        <v>2303.3111791383226</v>
      </c>
      <c r="Z276">
        <f t="shared" si="62"/>
        <v>-622.20613513201886</v>
      </c>
    </row>
    <row r="277" spans="1:26" x14ac:dyDescent="0.25">
      <c r="A277" t="s">
        <v>54</v>
      </c>
      <c r="D277">
        <f t="shared" ref="D277:W277" si="73">D13*D79</f>
        <v>179.08163265306121</v>
      </c>
      <c r="E277">
        <f t="shared" si="73"/>
        <v>153.74693877551019</v>
      </c>
      <c r="F277">
        <f t="shared" si="73"/>
        <v>146.8387755102041</v>
      </c>
      <c r="G277">
        <f t="shared" si="73"/>
        <v>130.87346938775511</v>
      </c>
      <c r="H277">
        <f t="shared" si="73"/>
        <v>100.42857142857143</v>
      </c>
      <c r="I277">
        <f t="shared" si="73"/>
        <v>89.546938775510185</v>
      </c>
      <c r="J277">
        <f t="shared" si="73"/>
        <v>88.789999999999992</v>
      </c>
      <c r="K277">
        <f t="shared" si="73"/>
        <v>113.98877551020406</v>
      </c>
      <c r="L277">
        <f t="shared" si="73"/>
        <v>89.762962962962959</v>
      </c>
      <c r="M277">
        <f t="shared" si="73"/>
        <v>102.92857142857144</v>
      </c>
      <c r="N277">
        <f t="shared" si="73"/>
        <v>109.77551020408163</v>
      </c>
      <c r="O277">
        <f t="shared" si="73"/>
        <v>101.96857142857144</v>
      </c>
      <c r="P277">
        <f t="shared" si="73"/>
        <v>113.69387755102042</v>
      </c>
      <c r="Q277">
        <f t="shared" si="73"/>
        <v>116.01224489795918</v>
      </c>
      <c r="R277">
        <f t="shared" si="73"/>
        <v>110.16428571428571</v>
      </c>
      <c r="S277">
        <f t="shared" si="73"/>
        <v>99.142857142857139</v>
      </c>
      <c r="T277">
        <f t="shared" si="73"/>
        <v>119.765306122449</v>
      </c>
      <c r="U277">
        <f t="shared" si="73"/>
        <v>138.29081632653063</v>
      </c>
      <c r="V277">
        <f t="shared" si="73"/>
        <v>141.25714285714284</v>
      </c>
      <c r="W277">
        <f t="shared" si="73"/>
        <v>170.18571428571428</v>
      </c>
      <c r="Y277" s="14">
        <f t="shared" si="61"/>
        <v>2416.2429629629628</v>
      </c>
      <c r="Z277">
        <f t="shared" si="62"/>
        <v>-638.52475614600996</v>
      </c>
    </row>
    <row r="278" spans="1:26" x14ac:dyDescent="0.25">
      <c r="A278" t="s">
        <v>55</v>
      </c>
      <c r="D278">
        <f t="shared" ref="D278:W278" si="74">D14*D80</f>
        <v>160.72244897959183</v>
      </c>
      <c r="E278">
        <f t="shared" si="74"/>
        <v>152.38775510204079</v>
      </c>
      <c r="F278">
        <f t="shared" si="74"/>
        <v>155.44285714285712</v>
      </c>
      <c r="G278">
        <f t="shared" si="74"/>
        <v>129.79999999999998</v>
      </c>
      <c r="H278">
        <f t="shared" si="74"/>
        <v>111.37224489795918</v>
      </c>
      <c r="I278">
        <f t="shared" si="74"/>
        <v>87.243061224489821</v>
      </c>
      <c r="J278">
        <f t="shared" si="74"/>
        <v>104.31326530612247</v>
      </c>
      <c r="K278">
        <f t="shared" si="74"/>
        <v>100.8030612244898</v>
      </c>
      <c r="L278">
        <f t="shared" si="74"/>
        <v>113.86913580246912</v>
      </c>
      <c r="M278">
        <f t="shared" si="74"/>
        <v>95.510204081632651</v>
      </c>
      <c r="N278">
        <f t="shared" si="74"/>
        <v>93.642857142857153</v>
      </c>
      <c r="O278">
        <f t="shared" si="74"/>
        <v>108.69795918367348</v>
      </c>
      <c r="P278">
        <f t="shared" si="74"/>
        <v>89.673469387755105</v>
      </c>
      <c r="Q278">
        <f t="shared" si="74"/>
        <v>100.46122448979591</v>
      </c>
      <c r="R278">
        <f t="shared" si="74"/>
        <v>85.224489795918345</v>
      </c>
      <c r="S278">
        <f t="shared" si="74"/>
        <v>114.23755102040818</v>
      </c>
      <c r="T278">
        <f t="shared" si="74"/>
        <v>128.81428571428572</v>
      </c>
      <c r="U278">
        <f t="shared" si="74"/>
        <v>119.57142857142858</v>
      </c>
      <c r="V278">
        <f t="shared" si="74"/>
        <v>113.89102040816327</v>
      </c>
      <c r="W278">
        <f t="shared" si="74"/>
        <v>172.35918367346935</v>
      </c>
      <c r="Y278" s="14">
        <f t="shared" si="61"/>
        <v>2338.0375031494077</v>
      </c>
      <c r="Z278">
        <f t="shared" si="62"/>
        <v>-602.9881684893254</v>
      </c>
    </row>
    <row r="279" spans="1:26" x14ac:dyDescent="0.25">
      <c r="A279" t="s">
        <v>56</v>
      </c>
      <c r="D279">
        <f t="shared" ref="D279:W279" si="75">D15*D81</f>
        <v>174.9942857142857</v>
      </c>
      <c r="E279">
        <f t="shared" si="75"/>
        <v>141.5204081632653</v>
      </c>
      <c r="F279">
        <f t="shared" si="75"/>
        <v>133.54714285714286</v>
      </c>
      <c r="G279">
        <f t="shared" si="75"/>
        <v>144.21428571428572</v>
      </c>
      <c r="H279">
        <f t="shared" si="75"/>
        <v>129.08204081632655</v>
      </c>
      <c r="I279">
        <f t="shared" si="75"/>
        <v>90.791836734693874</v>
      </c>
      <c r="J279">
        <f t="shared" si="75"/>
        <v>99.228571428571428</v>
      </c>
      <c r="K279">
        <f t="shared" si="75"/>
        <v>100.8857142857143</v>
      </c>
      <c r="L279">
        <f t="shared" si="75"/>
        <v>85.777777777777757</v>
      </c>
      <c r="M279">
        <f t="shared" si="75"/>
        <v>120.09142857142858</v>
      </c>
      <c r="N279">
        <f t="shared" si="75"/>
        <v>105.06122448979593</v>
      </c>
      <c r="O279">
        <f t="shared" si="75"/>
        <v>86.556122448979607</v>
      </c>
      <c r="P279">
        <f t="shared" si="75"/>
        <v>93.657142857142858</v>
      </c>
      <c r="Q279">
        <f t="shared" si="75"/>
        <v>103.77265306122447</v>
      </c>
      <c r="R279">
        <f t="shared" si="75"/>
        <v>169.39999999999998</v>
      </c>
      <c r="S279">
        <f t="shared" si="75"/>
        <v>118.79265306122447</v>
      </c>
      <c r="T279">
        <f t="shared" si="75"/>
        <v>181.22448979591834</v>
      </c>
      <c r="U279">
        <f t="shared" si="75"/>
        <v>179.53142857142853</v>
      </c>
      <c r="V279">
        <f t="shared" si="75"/>
        <v>169.39999999999998</v>
      </c>
      <c r="W279">
        <f t="shared" si="75"/>
        <v>118.79265306122447</v>
      </c>
      <c r="Y279" s="14">
        <f t="shared" si="61"/>
        <v>2546.321859410431</v>
      </c>
      <c r="Z279">
        <f t="shared" si="62"/>
        <v>-685.05212491577095</v>
      </c>
    </row>
    <row r="280" spans="1:26" x14ac:dyDescent="0.25">
      <c r="A280" t="s">
        <v>57</v>
      </c>
      <c r="D280">
        <f t="shared" ref="D280:W280" si="76">D16*D82</f>
        <v>154.24897959183673</v>
      </c>
      <c r="E280">
        <f t="shared" si="76"/>
        <v>165.3591836734694</v>
      </c>
      <c r="F280">
        <f t="shared" si="76"/>
        <v>164.95020408163268</v>
      </c>
      <c r="G280">
        <f t="shared" si="76"/>
        <v>160.45714285714286</v>
      </c>
      <c r="H280">
        <f t="shared" si="76"/>
        <v>113.24387755102042</v>
      </c>
      <c r="I280">
        <f t="shared" si="76"/>
        <v>139.25306122448976</v>
      </c>
      <c r="J280">
        <f t="shared" si="76"/>
        <v>123.21428571428572</v>
      </c>
      <c r="K280">
        <f t="shared" si="76"/>
        <v>129.96734693877548</v>
      </c>
      <c r="L280">
        <f t="shared" si="76"/>
        <v>75.447407407407411</v>
      </c>
      <c r="M280">
        <f t="shared" si="76"/>
        <v>112.62244897959184</v>
      </c>
      <c r="N280">
        <f t="shared" si="76"/>
        <v>138.39285714285714</v>
      </c>
      <c r="O280">
        <f t="shared" si="76"/>
        <v>130.86530612244897</v>
      </c>
      <c r="P280">
        <f t="shared" si="76"/>
        <v>136.05428571428575</v>
      </c>
      <c r="Q280">
        <f t="shared" si="76"/>
        <v>146.35428571428571</v>
      </c>
      <c r="R280">
        <f t="shared" si="76"/>
        <v>174.75</v>
      </c>
      <c r="S280">
        <f t="shared" si="76"/>
        <v>141.42040816326528</v>
      </c>
      <c r="T280">
        <f t="shared" si="76"/>
        <v>155.87265306122453</v>
      </c>
      <c r="U280">
        <f t="shared" si="76"/>
        <v>151.85306122448978</v>
      </c>
      <c r="V280">
        <f t="shared" si="76"/>
        <v>135.53081632653058</v>
      </c>
      <c r="W280">
        <f t="shared" si="76"/>
        <v>157.72448979591837</v>
      </c>
      <c r="Y280" s="14">
        <f t="shared" si="61"/>
        <v>2807.5821012849583</v>
      </c>
      <c r="Z280">
        <f t="shared" si="62"/>
        <v>-763.04942056404298</v>
      </c>
    </row>
    <row r="281" spans="1:26" x14ac:dyDescent="0.25">
      <c r="A281" t="s">
        <v>58</v>
      </c>
      <c r="D281">
        <f t="shared" ref="D281:W281" si="77">D17*D83</f>
        <v>163.17734693877551</v>
      </c>
      <c r="E281">
        <f t="shared" si="77"/>
        <v>155.61224489795919</v>
      </c>
      <c r="F281">
        <f t="shared" si="77"/>
        <v>147.08673469387756</v>
      </c>
      <c r="G281">
        <f t="shared" si="77"/>
        <v>140.87755102040816</v>
      </c>
      <c r="H281">
        <f t="shared" si="77"/>
        <v>139.81632653061226</v>
      </c>
      <c r="I281">
        <f t="shared" si="77"/>
        <v>109.57040816326533</v>
      </c>
      <c r="J281">
        <f t="shared" si="77"/>
        <v>91.836734693877546</v>
      </c>
      <c r="K281">
        <f t="shared" si="77"/>
        <v>79.673469387755091</v>
      </c>
      <c r="L281">
        <f t="shared" si="77"/>
        <v>55.715432098765433</v>
      </c>
      <c r="M281">
        <f t="shared" si="77"/>
        <v>35.505714285714284</v>
      </c>
      <c r="N281">
        <f t="shared" si="77"/>
        <v>87.982040816326531</v>
      </c>
      <c r="O281">
        <f t="shared" si="77"/>
        <v>92.056093294460638</v>
      </c>
      <c r="P281">
        <f t="shared" si="77"/>
        <v>94.765189504373183</v>
      </c>
      <c r="Q281">
        <f t="shared" si="77"/>
        <v>102.42017492711372</v>
      </c>
      <c r="R281">
        <f t="shared" si="77"/>
        <v>112.65725947521867</v>
      </c>
      <c r="S281">
        <f t="shared" si="77"/>
        <v>116.07341107871721</v>
      </c>
      <c r="T281">
        <f t="shared" si="77"/>
        <v>122.80728862973761</v>
      </c>
      <c r="U281">
        <f t="shared" si="77"/>
        <v>147.85714285714286</v>
      </c>
      <c r="V281">
        <f t="shared" si="77"/>
        <v>142.83965014577259</v>
      </c>
      <c r="W281">
        <f t="shared" si="77"/>
        <v>161.13877551020408</v>
      </c>
      <c r="Y281" s="14">
        <f t="shared" si="61"/>
        <v>2299.4689889500778</v>
      </c>
      <c r="Z281">
        <f t="shared" si="62"/>
        <v>-582.8070164541133</v>
      </c>
    </row>
    <row r="282" spans="1:26" x14ac:dyDescent="0.25">
      <c r="A282" t="s">
        <v>59</v>
      </c>
      <c r="D282">
        <f t="shared" ref="D282:W282" si="78">D18*D84</f>
        <v>141.38469387755103</v>
      </c>
      <c r="E282">
        <f t="shared" si="78"/>
        <v>137.28571428571431</v>
      </c>
      <c r="F282">
        <f t="shared" si="78"/>
        <v>135.9275510204082</v>
      </c>
      <c r="G282">
        <f t="shared" si="78"/>
        <v>127.16326530612245</v>
      </c>
      <c r="H282">
        <f t="shared" si="78"/>
        <v>128.32653061224491</v>
      </c>
      <c r="I282">
        <f t="shared" si="78"/>
        <v>103.62857142857145</v>
      </c>
      <c r="J282">
        <f t="shared" si="78"/>
        <v>67.469387755102048</v>
      </c>
      <c r="K282">
        <f t="shared" si="78"/>
        <v>72.852040816326536</v>
      </c>
      <c r="L282">
        <f t="shared" si="78"/>
        <v>71.259259259259267</v>
      </c>
      <c r="M282">
        <f t="shared" si="78"/>
        <v>87.153061224489804</v>
      </c>
      <c r="N282">
        <f t="shared" si="78"/>
        <v>68.403061224489804</v>
      </c>
      <c r="O282">
        <f t="shared" si="78"/>
        <v>52.377551020408163</v>
      </c>
      <c r="P282">
        <f t="shared" si="78"/>
        <v>65.102040816326536</v>
      </c>
      <c r="Q282">
        <f t="shared" si="78"/>
        <v>86.877551020408163</v>
      </c>
      <c r="R282">
        <f t="shared" si="78"/>
        <v>102.08163265306121</v>
      </c>
      <c r="S282">
        <f t="shared" si="78"/>
        <v>123.21428571428572</v>
      </c>
      <c r="T282">
        <f t="shared" si="78"/>
        <v>63.581632653061227</v>
      </c>
      <c r="U282">
        <f t="shared" si="78"/>
        <v>147.0408163265306</v>
      </c>
      <c r="V282">
        <f t="shared" si="78"/>
        <v>112.22857142857143</v>
      </c>
      <c r="W282">
        <f t="shared" si="78"/>
        <v>128.93877551020407</v>
      </c>
      <c r="Y282" s="14">
        <f t="shared" si="61"/>
        <v>2022.2959939531372</v>
      </c>
      <c r="Z282">
        <f t="shared" si="62"/>
        <v>-491.35503358724708</v>
      </c>
    </row>
    <row r="283" spans="1:26" x14ac:dyDescent="0.25">
      <c r="A283" t="s">
        <v>60</v>
      </c>
      <c r="D283">
        <f t="shared" ref="D283:W283" si="79">D19*D85</f>
        <v>135.30612244897958</v>
      </c>
      <c r="E283">
        <f t="shared" si="79"/>
        <v>139.13265306122449</v>
      </c>
      <c r="F283">
        <f t="shared" si="79"/>
        <v>123.91836734693878</v>
      </c>
      <c r="G283">
        <f t="shared" si="79"/>
        <v>111.24489795918369</v>
      </c>
      <c r="H283">
        <f t="shared" si="79"/>
        <v>74.127551020408163</v>
      </c>
      <c r="I283">
        <f t="shared" si="79"/>
        <v>116.29154518950438</v>
      </c>
      <c r="J283">
        <f t="shared" si="79"/>
        <v>78.630612244897947</v>
      </c>
      <c r="K283">
        <f t="shared" si="79"/>
        <v>65.650000000000006</v>
      </c>
      <c r="L283">
        <f t="shared" si="79"/>
        <v>-5.6296296296296289</v>
      </c>
      <c r="M283">
        <f t="shared" si="79"/>
        <v>64.33673469387756</v>
      </c>
      <c r="N283">
        <f t="shared" si="79"/>
        <v>79.469387755102048</v>
      </c>
      <c r="O283">
        <f t="shared" si="79"/>
        <v>100.15306122448982</v>
      </c>
      <c r="P283">
        <f t="shared" si="79"/>
        <v>71.275510204081627</v>
      </c>
      <c r="Q283">
        <f t="shared" si="79"/>
        <v>96.65306122448979</v>
      </c>
      <c r="R283">
        <f t="shared" si="79"/>
        <v>104.28571428571429</v>
      </c>
      <c r="S283">
        <f t="shared" si="79"/>
        <v>111.83673469387756</v>
      </c>
      <c r="T283">
        <f t="shared" si="79"/>
        <v>135.03571428571428</v>
      </c>
      <c r="U283">
        <f t="shared" si="79"/>
        <v>126.69387755102041</v>
      </c>
      <c r="V283">
        <f t="shared" si="79"/>
        <v>91.602040816326536</v>
      </c>
      <c r="W283">
        <f t="shared" si="79"/>
        <v>135.30612244897961</v>
      </c>
      <c r="Y283" s="14">
        <f t="shared" si="61"/>
        <v>1955.3200788251809</v>
      </c>
      <c r="Z283">
        <f t="shared" si="62"/>
        <v>-516.21280558902833</v>
      </c>
    </row>
    <row r="284" spans="1:26" x14ac:dyDescent="0.25">
      <c r="A284" t="s">
        <v>61</v>
      </c>
      <c r="D284">
        <f t="shared" ref="D284:W284" si="80">D20*D86</f>
        <v>148.06428571428572</v>
      </c>
      <c r="E284">
        <f t="shared" si="80"/>
        <v>143.70612244897961</v>
      </c>
      <c r="F284">
        <f t="shared" si="80"/>
        <v>146.77040816326533</v>
      </c>
      <c r="G284">
        <f t="shared" si="80"/>
        <v>128.58489795918368</v>
      </c>
      <c r="H284">
        <f t="shared" si="80"/>
        <v>118.72816326530611</v>
      </c>
      <c r="I284">
        <f t="shared" si="80"/>
        <v>126.02326530612243</v>
      </c>
      <c r="J284">
        <f t="shared" si="80"/>
        <v>103.44163265306122</v>
      </c>
      <c r="K284">
        <f t="shared" si="80"/>
        <v>97.097142857142856</v>
      </c>
      <c r="L284">
        <f t="shared" si="80"/>
        <v>105.47755102040819</v>
      </c>
      <c r="M284">
        <f t="shared" si="80"/>
        <v>88.537959183673451</v>
      </c>
      <c r="N284">
        <f t="shared" si="80"/>
        <v>85.368163265306109</v>
      </c>
      <c r="O284">
        <f t="shared" si="80"/>
        <v>89.944285714285726</v>
      </c>
      <c r="P284">
        <f t="shared" si="80"/>
        <v>121.55265306122448</v>
      </c>
      <c r="Q284">
        <f t="shared" si="80"/>
        <v>108.64897959183671</v>
      </c>
      <c r="R284">
        <f t="shared" si="80"/>
        <v>123.80571428571432</v>
      </c>
      <c r="S284">
        <f t="shared" si="80"/>
        <v>125.72816326530614</v>
      </c>
      <c r="T284">
        <f t="shared" si="80"/>
        <v>148.41</v>
      </c>
      <c r="U284">
        <f t="shared" si="80"/>
        <v>140.35510204081632</v>
      </c>
      <c r="V284">
        <f t="shared" si="80"/>
        <v>124.41836734693878</v>
      </c>
      <c r="W284">
        <f t="shared" si="80"/>
        <v>147.38571428571427</v>
      </c>
      <c r="Y284" s="14">
        <f t="shared" si="61"/>
        <v>2422.0485714285714</v>
      </c>
      <c r="Z284">
        <f t="shared" si="62"/>
        <v>-646.66215594859773</v>
      </c>
    </row>
    <row r="285" spans="1:26" x14ac:dyDescent="0.25">
      <c r="A285" t="s">
        <v>62</v>
      </c>
      <c r="D285">
        <f t="shared" ref="D285:W285" si="81">D21*D87</f>
        <v>158.82448979591834</v>
      </c>
      <c r="E285">
        <f t="shared" si="81"/>
        <v>159.41877551020409</v>
      </c>
      <c r="F285">
        <f t="shared" si="81"/>
        <v>129.77755102040817</v>
      </c>
      <c r="G285">
        <f t="shared" si="81"/>
        <v>101.21122448979592</v>
      </c>
      <c r="H285">
        <f t="shared" si="81"/>
        <v>105.82897959183676</v>
      </c>
      <c r="I285">
        <f t="shared" si="81"/>
        <v>109.64081632653061</v>
      </c>
      <c r="J285">
        <f t="shared" si="81"/>
        <v>90.618367346938783</v>
      </c>
      <c r="K285">
        <f t="shared" si="81"/>
        <v>106.61326530612243</v>
      </c>
      <c r="L285">
        <f t="shared" si="81"/>
        <v>94.660312499999975</v>
      </c>
      <c r="M285">
        <f t="shared" si="81"/>
        <v>95.54285714285713</v>
      </c>
      <c r="N285">
        <f t="shared" si="81"/>
        <v>95.808979591836732</v>
      </c>
      <c r="O285">
        <f t="shared" si="81"/>
        <v>81.72</v>
      </c>
      <c r="P285">
        <f t="shared" si="81"/>
        <v>57.239999999999995</v>
      </c>
      <c r="Q285">
        <f t="shared" si="81"/>
        <v>54.248163265306125</v>
      </c>
      <c r="R285">
        <f t="shared" si="81"/>
        <v>53.407346938775497</v>
      </c>
      <c r="S285">
        <f t="shared" si="81"/>
        <v>102.52183673469386</v>
      </c>
      <c r="T285">
        <f t="shared" si="81"/>
        <v>105.19244897959182</v>
      </c>
      <c r="U285">
        <f t="shared" si="81"/>
        <v>111.91499999999999</v>
      </c>
      <c r="V285">
        <f t="shared" si="81"/>
        <v>138.1475510204082</v>
      </c>
      <c r="W285">
        <f t="shared" si="81"/>
        <v>140.27755102040817</v>
      </c>
      <c r="Y285" s="14">
        <f t="shared" si="61"/>
        <v>2092.6155165816326</v>
      </c>
      <c r="Z285">
        <f t="shared" si="62"/>
        <v>-549.0533651215394</v>
      </c>
    </row>
    <row r="286" spans="1:26" x14ac:dyDescent="0.25">
      <c r="A286" t="s">
        <v>63</v>
      </c>
      <c r="D286">
        <f t="shared" ref="D286:W286" si="82">D22*D88</f>
        <v>161.64734693877554</v>
      </c>
      <c r="E286">
        <f t="shared" si="82"/>
        <v>135.87183673469389</v>
      </c>
      <c r="F286">
        <f t="shared" si="82"/>
        <v>122.17795918367348</v>
      </c>
      <c r="G286">
        <f t="shared" si="82"/>
        <v>119.51571428571427</v>
      </c>
      <c r="H286">
        <f t="shared" si="82"/>
        <v>75.271836734693892</v>
      </c>
      <c r="I286">
        <f t="shared" si="82"/>
        <v>155.89224489795919</v>
      </c>
      <c r="J286">
        <f t="shared" si="82"/>
        <v>119.09571428571429</v>
      </c>
      <c r="K286">
        <f t="shared" si="82"/>
        <v>119.6581632653061</v>
      </c>
      <c r="L286">
        <f t="shared" si="82"/>
        <v>103.640625</v>
      </c>
      <c r="M286">
        <f t="shared" si="82"/>
        <v>88.484693877551024</v>
      </c>
      <c r="N286">
        <f t="shared" si="82"/>
        <v>92.188571428571436</v>
      </c>
      <c r="O286">
        <f t="shared" si="82"/>
        <v>109.12775510204079</v>
      </c>
      <c r="P286">
        <f t="shared" si="82"/>
        <v>93.090612244897954</v>
      </c>
      <c r="Q286">
        <f t="shared" si="82"/>
        <v>109.76326530612242</v>
      </c>
      <c r="R286">
        <f t="shared" si="82"/>
        <v>103.68</v>
      </c>
      <c r="S286">
        <f t="shared" si="82"/>
        <v>119.32775510204077</v>
      </c>
      <c r="T286">
        <f t="shared" si="82"/>
        <v>149.13061224489797</v>
      </c>
      <c r="U286">
        <f t="shared" si="82"/>
        <v>171.305306122449</v>
      </c>
      <c r="V286">
        <f t="shared" si="82"/>
        <v>163.42571428571426</v>
      </c>
      <c r="W286">
        <f t="shared" si="82"/>
        <v>171.36938775510205</v>
      </c>
      <c r="Y286" s="14">
        <f t="shared" si="61"/>
        <v>2483.6651147959187</v>
      </c>
      <c r="Z286">
        <f t="shared" si="62"/>
        <v>-721.45100475929655</v>
      </c>
    </row>
    <row r="287" spans="1:26" x14ac:dyDescent="0.25">
      <c r="A287" t="s">
        <v>64</v>
      </c>
      <c r="D287">
        <f t="shared" ref="D287:W287" si="83">D23*D89</f>
        <v>137.38040816326529</v>
      </c>
      <c r="E287">
        <f t="shared" si="83"/>
        <v>130.85693877551023</v>
      </c>
      <c r="F287">
        <f t="shared" si="83"/>
        <v>71.275102040816336</v>
      </c>
      <c r="G287">
        <f t="shared" si="83"/>
        <v>119.81387755102041</v>
      </c>
      <c r="H287">
        <f t="shared" si="83"/>
        <v>118.02285714285715</v>
      </c>
      <c r="I287">
        <f t="shared" si="83"/>
        <v>100.68897959183674</v>
      </c>
      <c r="J287">
        <f t="shared" si="83"/>
        <v>109.83836734693877</v>
      </c>
      <c r="K287">
        <f t="shared" si="83"/>
        <v>120.66571428571427</v>
      </c>
      <c r="L287">
        <f t="shared" si="83"/>
        <v>101.1730612244898</v>
      </c>
      <c r="M287">
        <f t="shared" si="83"/>
        <v>77.157551020408178</v>
      </c>
      <c r="N287">
        <f t="shared" si="83"/>
        <v>94.761224489795907</v>
      </c>
      <c r="O287">
        <f t="shared" si="83"/>
        <v>100.90285714285713</v>
      </c>
      <c r="P287">
        <f t="shared" si="83"/>
        <v>109.97959183673471</v>
      </c>
      <c r="Q287">
        <f t="shared" si="83"/>
        <v>96.825306122448993</v>
      </c>
      <c r="R287">
        <f t="shared" si="83"/>
        <v>144.80357142857144</v>
      </c>
      <c r="S287">
        <f t="shared" si="83"/>
        <v>106.37880952380952</v>
      </c>
      <c r="T287">
        <f t="shared" si="83"/>
        <v>121.15721088435373</v>
      </c>
      <c r="U287">
        <f t="shared" si="83"/>
        <v>156.61163265306121</v>
      </c>
      <c r="V287">
        <f t="shared" si="83"/>
        <v>157.80734693877548</v>
      </c>
      <c r="W287">
        <f t="shared" si="83"/>
        <v>162.92244897959179</v>
      </c>
      <c r="Y287" s="14">
        <f t="shared" si="61"/>
        <v>2339.0228571428574</v>
      </c>
      <c r="Z287">
        <f t="shared" si="62"/>
        <v>-668.51663720970032</v>
      </c>
    </row>
    <row r="288" spans="1:26" x14ac:dyDescent="0.25">
      <c r="A288" t="s">
        <v>65</v>
      </c>
      <c r="D288">
        <f t="shared" ref="D288:W288" si="84">D24*D90</f>
        <v>148.30916534777177</v>
      </c>
      <c r="E288">
        <f t="shared" si="84"/>
        <v>143.07419658475638</v>
      </c>
      <c r="F288">
        <f t="shared" si="84"/>
        <v>132.19085797584339</v>
      </c>
      <c r="G288">
        <f t="shared" si="84"/>
        <v>121.52896293211161</v>
      </c>
      <c r="H288">
        <f t="shared" si="84"/>
        <v>102.84648146605581</v>
      </c>
      <c r="I288">
        <f t="shared" si="84"/>
        <v>94.712913785922524</v>
      </c>
      <c r="J288">
        <f t="shared" si="84"/>
        <v>82.425760932944598</v>
      </c>
      <c r="K288">
        <f t="shared" si="84"/>
        <v>94.378796334860468</v>
      </c>
      <c r="L288">
        <f t="shared" si="84"/>
        <v>68.310784580498861</v>
      </c>
      <c r="M288">
        <f t="shared" si="84"/>
        <v>52.002040816326527</v>
      </c>
      <c r="N288">
        <f t="shared" si="84"/>
        <v>68.469387755102048</v>
      </c>
      <c r="O288">
        <f t="shared" si="84"/>
        <v>67.790816326530603</v>
      </c>
      <c r="P288">
        <f t="shared" si="84"/>
        <v>119.25326530612244</v>
      </c>
      <c r="Q288">
        <f t="shared" si="84"/>
        <v>107.44204081632651</v>
      </c>
      <c r="R288">
        <f t="shared" si="84"/>
        <v>135.03714285714287</v>
      </c>
      <c r="S288">
        <f t="shared" si="84"/>
        <v>126.43428571428572</v>
      </c>
      <c r="T288">
        <f t="shared" si="84"/>
        <v>144.33020408163264</v>
      </c>
      <c r="U288">
        <f t="shared" si="84"/>
        <v>150.99428571428544</v>
      </c>
      <c r="V288">
        <f t="shared" si="84"/>
        <v>115.96843537414968</v>
      </c>
      <c r="W288">
        <f t="shared" si="84"/>
        <v>142.63776870748299</v>
      </c>
      <c r="Y288" s="14">
        <f t="shared" si="61"/>
        <v>2218.1375934101529</v>
      </c>
      <c r="Z288">
        <f t="shared" si="62"/>
        <v>-580.21792282153444</v>
      </c>
    </row>
    <row r="289" spans="1:26" x14ac:dyDescent="0.25">
      <c r="A289" t="s">
        <v>66</v>
      </c>
      <c r="D289">
        <f t="shared" ref="D289:W289" si="85">D25*D91</f>
        <v>103.53061224489798</v>
      </c>
      <c r="E289">
        <f t="shared" si="85"/>
        <v>143.265306122449</v>
      </c>
      <c r="F289">
        <f t="shared" si="85"/>
        <v>148.67346938775509</v>
      </c>
      <c r="G289">
        <f t="shared" si="85"/>
        <v>121.17346938775511</v>
      </c>
      <c r="H289">
        <f t="shared" si="85"/>
        <v>104.32653061224489</v>
      </c>
      <c r="I289">
        <f t="shared" si="85"/>
        <v>104.63061224489795</v>
      </c>
      <c r="J289">
        <f t="shared" si="85"/>
        <v>67.071428571428569</v>
      </c>
      <c r="K289">
        <f t="shared" si="85"/>
        <v>87.422448979591849</v>
      </c>
      <c r="L289">
        <f t="shared" si="85"/>
        <v>60.19259259259259</v>
      </c>
      <c r="M289">
        <f t="shared" si="85"/>
        <v>80.553061224489781</v>
      </c>
      <c r="N289">
        <f t="shared" si="85"/>
        <v>75.877551020408148</v>
      </c>
      <c r="O289">
        <f t="shared" si="85"/>
        <v>79.34693877551021</v>
      </c>
      <c r="P289">
        <f t="shared" si="85"/>
        <v>87.38656462585034</v>
      </c>
      <c r="Q289">
        <f t="shared" si="85"/>
        <v>91.688095238095229</v>
      </c>
      <c r="R289">
        <f t="shared" si="85"/>
        <v>90.859183673469403</v>
      </c>
      <c r="S289">
        <f t="shared" si="85"/>
        <v>94.206666666666663</v>
      </c>
      <c r="T289">
        <f t="shared" si="85"/>
        <v>99.768877551020395</v>
      </c>
      <c r="U289">
        <f t="shared" si="85"/>
        <v>112.34476190476191</v>
      </c>
      <c r="V289">
        <f t="shared" si="85"/>
        <v>91.470238095237789</v>
      </c>
      <c r="W289">
        <f t="shared" si="85"/>
        <v>132.27619047619044</v>
      </c>
      <c r="Y289" s="14">
        <f t="shared" si="61"/>
        <v>1976.0645993953135</v>
      </c>
      <c r="Z289">
        <f t="shared" si="62"/>
        <v>-484.16008324311179</v>
      </c>
    </row>
    <row r="290" spans="1:26" x14ac:dyDescent="0.25">
      <c r="Y290" s="14"/>
    </row>
    <row r="291" spans="1:26" x14ac:dyDescent="0.25">
      <c r="A291" t="s">
        <v>67</v>
      </c>
      <c r="D291">
        <f t="shared" ref="D291:W291" si="86">D27*D93</f>
        <v>176.28795918367345</v>
      </c>
      <c r="E291">
        <f t="shared" si="86"/>
        <v>151.21959183673468</v>
      </c>
      <c r="F291">
        <f t="shared" si="86"/>
        <v>141.96734693877551</v>
      </c>
      <c r="G291">
        <f t="shared" si="86"/>
        <v>131.55510204081634</v>
      </c>
      <c r="H291">
        <f t="shared" si="86"/>
        <v>114.99523809523811</v>
      </c>
      <c r="I291">
        <f t="shared" si="86"/>
        <v>96.588775510204073</v>
      </c>
      <c r="J291">
        <f t="shared" si="86"/>
        <v>86.190000000000012</v>
      </c>
      <c r="K291">
        <f t="shared" si="86"/>
        <v>100.61139455782312</v>
      </c>
      <c r="L291">
        <f t="shared" si="86"/>
        <v>75.117901234567896</v>
      </c>
      <c r="M291">
        <f t="shared" si="86"/>
        <v>80.780045351473902</v>
      </c>
      <c r="N291">
        <f t="shared" si="86"/>
        <v>92.923970053629915</v>
      </c>
      <c r="O291">
        <f t="shared" si="86"/>
        <v>93.803756253824275</v>
      </c>
      <c r="P291">
        <f t="shared" si="86"/>
        <v>96.013024511391862</v>
      </c>
      <c r="Q291">
        <f t="shared" si="86"/>
        <v>100.81169060216679</v>
      </c>
      <c r="R291">
        <f t="shared" si="86"/>
        <v>117.56960641399417</v>
      </c>
      <c r="S291">
        <f t="shared" si="86"/>
        <v>119.94553839878104</v>
      </c>
      <c r="T291">
        <f t="shared" si="86"/>
        <v>127.82857622766919</v>
      </c>
      <c r="U291">
        <f t="shared" si="86"/>
        <v>117.8756078357269</v>
      </c>
      <c r="V291">
        <f t="shared" si="86"/>
        <v>113.1410889152838</v>
      </c>
      <c r="W291">
        <f t="shared" si="86"/>
        <v>150.25390936903864</v>
      </c>
      <c r="Y291" s="14">
        <f t="shared" si="61"/>
        <v>2285.4801233308144</v>
      </c>
      <c r="Z291">
        <f>SUMPRODUCT($D$295:$W$295,D291:W291)</f>
        <v>-584.38429406927264</v>
      </c>
    </row>
    <row r="292" spans="1:26" x14ac:dyDescent="0.25">
      <c r="A292" t="s">
        <v>311</v>
      </c>
      <c r="D292">
        <f t="shared" ref="D292:W292" si="87">D28*D94</f>
        <v>150.71999999999997</v>
      </c>
      <c r="E292">
        <f t="shared" si="87"/>
        <v>144.55918367346936</v>
      </c>
      <c r="F292">
        <f t="shared" si="87"/>
        <v>131.08836734693878</v>
      </c>
      <c r="G292">
        <f t="shared" si="87"/>
        <v>142.34081632653061</v>
      </c>
      <c r="H292">
        <f t="shared" si="87"/>
        <v>150.9061224489796</v>
      </c>
      <c r="I292">
        <f t="shared" si="87"/>
        <v>115.0473469387755</v>
      </c>
      <c r="J292">
        <f t="shared" si="87"/>
        <v>101.35510204081633</v>
      </c>
      <c r="K292">
        <f t="shared" si="87"/>
        <v>88.071836734693903</v>
      </c>
      <c r="L292">
        <f t="shared" si="87"/>
        <v>48.408749999999998</v>
      </c>
      <c r="M292">
        <f t="shared" si="87"/>
        <v>66.031836734693883</v>
      </c>
      <c r="N292">
        <f t="shared" si="87"/>
        <v>77.715918367346958</v>
      </c>
      <c r="O292">
        <f t="shared" si="87"/>
        <v>88.160000000000011</v>
      </c>
      <c r="P292">
        <f t="shared" si="87"/>
        <v>103.74857142857144</v>
      </c>
      <c r="Q292">
        <f t="shared" si="87"/>
        <v>95.001428571428576</v>
      </c>
      <c r="R292">
        <f t="shared" si="87"/>
        <v>98.712000000000018</v>
      </c>
      <c r="S292">
        <f t="shared" si="87"/>
        <v>122.35999999999999</v>
      </c>
      <c r="T292">
        <f t="shared" si="87"/>
        <v>138.18</v>
      </c>
      <c r="U292">
        <f t="shared" si="87"/>
        <v>119.21</v>
      </c>
      <c r="V292">
        <f t="shared" si="87"/>
        <v>108.53999999999999</v>
      </c>
      <c r="W292">
        <f t="shared" si="87"/>
        <v>137.41</v>
      </c>
      <c r="Y292" s="14">
        <f t="shared" si="61"/>
        <v>2227.5672806122452</v>
      </c>
      <c r="Z292">
        <f>SUMPRODUCT($D$295:$W$295,D292:W292)</f>
        <v>-562.01954800183228</v>
      </c>
    </row>
    <row r="293" spans="1:26" x14ac:dyDescent="0.25">
      <c r="A293" t="s">
        <v>312</v>
      </c>
      <c r="D293">
        <f t="shared" ref="D293:W293" si="88">D29*D95</f>
        <v>155.38656958318651</v>
      </c>
      <c r="E293">
        <f t="shared" si="88"/>
        <v>145.50585645724536</v>
      </c>
      <c r="F293">
        <f t="shared" si="88"/>
        <v>132.58941229615863</v>
      </c>
      <c r="G293">
        <f t="shared" si="88"/>
        <v>126.57000489539618</v>
      </c>
      <c r="H293">
        <f t="shared" si="88"/>
        <v>105.50503891327328</v>
      </c>
      <c r="I293">
        <f t="shared" si="88"/>
        <v>108.53235034120395</v>
      </c>
      <c r="J293">
        <f t="shared" si="88"/>
        <v>95.515074872649237</v>
      </c>
      <c r="K293">
        <f t="shared" si="88"/>
        <v>98.640172799794939</v>
      </c>
      <c r="L293">
        <f t="shared" si="88"/>
        <v>72.427457483538277</v>
      </c>
      <c r="M293">
        <f t="shared" si="88"/>
        <v>83.361775510204083</v>
      </c>
      <c r="N293">
        <f t="shared" si="88"/>
        <v>90.803689167974881</v>
      </c>
      <c r="O293">
        <f t="shared" si="88"/>
        <v>94.739467145099766</v>
      </c>
      <c r="P293">
        <f t="shared" si="88"/>
        <v>95.522602040816324</v>
      </c>
      <c r="Q293">
        <f t="shared" si="88"/>
        <v>92.503239795918361</v>
      </c>
      <c r="R293">
        <f t="shared" si="88"/>
        <v>107.45901147959184</v>
      </c>
      <c r="S293">
        <f t="shared" si="88"/>
        <v>113.99815051020407</v>
      </c>
      <c r="T293">
        <f t="shared" si="88"/>
        <v>131.65554421768709</v>
      </c>
      <c r="U293">
        <f t="shared" si="88"/>
        <v>145.46752232142859</v>
      </c>
      <c r="V293">
        <f t="shared" si="88"/>
        <v>146.36428571428573</v>
      </c>
      <c r="W293">
        <f t="shared" si="88"/>
        <v>156.078443877551</v>
      </c>
      <c r="Y293" s="14">
        <f t="shared" si="61"/>
        <v>2298.6256694232079</v>
      </c>
      <c r="Z293">
        <f>SUMPRODUCT($D$295:$W$295,D293:W293)</f>
        <v>-615.5946145754391</v>
      </c>
    </row>
    <row r="294" spans="1:26" x14ac:dyDescent="0.25">
      <c r="A294" t="s">
        <v>674</v>
      </c>
      <c r="D294">
        <f t="shared" ref="D294:W294" si="89">D30*D96</f>
        <v>168.23979591836738</v>
      </c>
      <c r="E294">
        <f t="shared" si="89"/>
        <v>151.4157142857143</v>
      </c>
      <c r="F294">
        <f t="shared" si="89"/>
        <v>156.34285714285713</v>
      </c>
      <c r="G294">
        <f t="shared" si="89"/>
        <v>120.23877551020408</v>
      </c>
      <c r="H294">
        <f t="shared" si="89"/>
        <v>98.963265306122437</v>
      </c>
      <c r="I294">
        <f t="shared" si="89"/>
        <v>113.57538518950436</v>
      </c>
      <c r="J294">
        <f t="shared" si="89"/>
        <v>97.893923090379019</v>
      </c>
      <c r="K294">
        <f t="shared" si="89"/>
        <v>100.09833900874635</v>
      </c>
      <c r="L294">
        <f t="shared" si="89"/>
        <v>74.287327663218065</v>
      </c>
      <c r="M294">
        <f t="shared" si="89"/>
        <v>86.370410204081622</v>
      </c>
      <c r="N294">
        <f t="shared" si="89"/>
        <v>93.684795918367357</v>
      </c>
      <c r="O294">
        <f t="shared" si="89"/>
        <v>95.497988921282769</v>
      </c>
      <c r="P294">
        <f t="shared" si="89"/>
        <v>89.927313619325261</v>
      </c>
      <c r="Q294">
        <f t="shared" si="89"/>
        <v>99.117945994724423</v>
      </c>
      <c r="R294">
        <f t="shared" si="89"/>
        <v>116.0165466472303</v>
      </c>
      <c r="S294">
        <f t="shared" si="89"/>
        <v>114.17475983965012</v>
      </c>
      <c r="T294">
        <f t="shared" si="89"/>
        <v>126.81917306757867</v>
      </c>
      <c r="U294">
        <f t="shared" si="89"/>
        <v>138.01745547978805</v>
      </c>
      <c r="V294">
        <f t="shared" si="89"/>
        <v>130.88566915227634</v>
      </c>
      <c r="W294">
        <f t="shared" si="89"/>
        <v>149.66247502242655</v>
      </c>
      <c r="Y294" s="14">
        <f t="shared" ref="Y294" si="90">SUM(D294:W294)</f>
        <v>2321.2299169818448</v>
      </c>
      <c r="Z294">
        <f>SUMPRODUCT($D$295:$W$295,D294:W294)</f>
        <v>-612.67016790856076</v>
      </c>
    </row>
    <row r="295" spans="1:26" x14ac:dyDescent="0.25">
      <c r="A295" s="2" t="s">
        <v>68</v>
      </c>
      <c r="D295" s="3">
        <f>CORREL($B$2:$B$25,D266:D289)</f>
        <v>-0.27817404006573315</v>
      </c>
      <c r="E295" s="3">
        <f t="shared" ref="E295:W295" si="91">CORREL($B$2:$B$25,E266:E289)</f>
        <v>2.3855574853701128E-2</v>
      </c>
      <c r="F295" s="3">
        <f t="shared" si="91"/>
        <v>0.16986313134138017</v>
      </c>
      <c r="G295" s="3">
        <f t="shared" si="91"/>
        <v>7.1483684997528427E-2</v>
      </c>
      <c r="H295" s="3">
        <f t="shared" si="91"/>
        <v>0.15137665811438017</v>
      </c>
      <c r="I295" s="3">
        <f t="shared" si="91"/>
        <v>-0.50157915958803467</v>
      </c>
      <c r="J295" s="3">
        <f t="shared" si="91"/>
        <v>-0.70804116869160494</v>
      </c>
      <c r="K295" s="3">
        <f t="shared" si="91"/>
        <v>-0.24359723162397606</v>
      </c>
      <c r="L295" s="3">
        <f t="shared" si="91"/>
        <v>-0.35355055163485166</v>
      </c>
      <c r="M295" s="3">
        <f t="shared" si="91"/>
        <v>-0.27016432261897311</v>
      </c>
      <c r="N295" s="3">
        <f t="shared" si="91"/>
        <v>-0.51958732868106072</v>
      </c>
      <c r="O295" s="3">
        <f t="shared" si="91"/>
        <v>-0.37966101003919728</v>
      </c>
      <c r="P295" s="3">
        <f t="shared" si="91"/>
        <v>-0.42191081104705791</v>
      </c>
      <c r="Q295" s="3">
        <f t="shared" si="91"/>
        <v>-0.29656634501365753</v>
      </c>
      <c r="R295" s="3">
        <f t="shared" si="91"/>
        <v>-0.29798692731324417</v>
      </c>
      <c r="S295" s="3">
        <f t="shared" si="91"/>
        <v>-0.28803448395116665</v>
      </c>
      <c r="T295" s="3">
        <f t="shared" si="91"/>
        <v>-0.36025855224597469</v>
      </c>
      <c r="U295" s="3">
        <f t="shared" si="91"/>
        <v>-0.38521117738332628</v>
      </c>
      <c r="V295" s="3">
        <f t="shared" si="91"/>
        <v>-0.49261824811037058</v>
      </c>
      <c r="W295" s="3">
        <f t="shared" si="91"/>
        <v>-0.24250781699402277</v>
      </c>
    </row>
    <row r="298" spans="1:26" x14ac:dyDescent="0.25">
      <c r="D298" t="s">
        <v>117</v>
      </c>
      <c r="E298" t="s">
        <v>118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346</v>
      </c>
      <c r="M298" t="s">
        <v>392</v>
      </c>
      <c r="N298" t="s">
        <v>393</v>
      </c>
      <c r="O298" t="s">
        <v>394</v>
      </c>
      <c r="P298" t="s">
        <v>486</v>
      </c>
      <c r="Q298" t="s">
        <v>487</v>
      </c>
      <c r="R298" t="s">
        <v>488</v>
      </c>
      <c r="S298" t="s">
        <v>489</v>
      </c>
      <c r="T298" t="s">
        <v>598</v>
      </c>
      <c r="U298" t="s">
        <v>599</v>
      </c>
      <c r="V298" t="s">
        <v>600</v>
      </c>
      <c r="W298" t="s">
        <v>601</v>
      </c>
      <c r="Y298" t="s">
        <v>125</v>
      </c>
      <c r="Z298" t="s">
        <v>126</v>
      </c>
    </row>
    <row r="299" spans="1:26" x14ac:dyDescent="0.25">
      <c r="A299" t="s">
        <v>43</v>
      </c>
      <c r="D299">
        <f t="shared" ref="D299:W299" si="92">D2*D101</f>
        <v>986.29559747370558</v>
      </c>
      <c r="E299">
        <f t="shared" si="92"/>
        <v>715.73700924496984</v>
      </c>
      <c r="F299">
        <f t="shared" si="92"/>
        <v>737.22149119880896</v>
      </c>
      <c r="G299">
        <f t="shared" si="92"/>
        <v>673.12391469452984</v>
      </c>
      <c r="H299">
        <f t="shared" si="92"/>
        <v>797.32622086476601</v>
      </c>
      <c r="I299">
        <f t="shared" si="92"/>
        <v>650.30878038562139</v>
      </c>
      <c r="J299">
        <f t="shared" si="92"/>
        <v>721.07229821808846</v>
      </c>
      <c r="K299">
        <f t="shared" si="92"/>
        <v>676.59273056001302</v>
      </c>
      <c r="L299">
        <f t="shared" si="92"/>
        <v>663.63179349336247</v>
      </c>
      <c r="M299">
        <f t="shared" si="92"/>
        <v>742.2828768767929</v>
      </c>
      <c r="N299">
        <f t="shared" si="92"/>
        <v>492.2708587782497</v>
      </c>
      <c r="O299">
        <f t="shared" si="92"/>
        <v>704.99868446386427</v>
      </c>
      <c r="P299">
        <f t="shared" si="92"/>
        <v>493.249014525181</v>
      </c>
      <c r="Q299">
        <f t="shared" si="92"/>
        <v>721.7586260022656</v>
      </c>
      <c r="R299">
        <f t="shared" si="92"/>
        <v>680.79593087401474</v>
      </c>
      <c r="S299">
        <f t="shared" si="92"/>
        <v>294.37000710194081</v>
      </c>
      <c r="T299">
        <f t="shared" si="92"/>
        <v>597.21957973267229</v>
      </c>
      <c r="U299">
        <f t="shared" si="92"/>
        <v>669.23708228617875</v>
      </c>
      <c r="V299">
        <f t="shared" si="92"/>
        <v>589.17642232739411</v>
      </c>
      <c r="W299">
        <f t="shared" si="92"/>
        <v>686.30684550385092</v>
      </c>
      <c r="Y299" s="14">
        <f t="shared" ref="Y299:Y326" si="93">SUM(D299:W299)</f>
        <v>13292.975764606275</v>
      </c>
      <c r="Z299">
        <f t="shared" ref="Z299:Z322" si="94">SUMPRODUCT($D$328:$W$328,D299:W299)</f>
        <v>2154.5340403593618</v>
      </c>
    </row>
    <row r="300" spans="1:26" x14ac:dyDescent="0.25">
      <c r="A300" t="s">
        <v>44</v>
      </c>
      <c r="D300">
        <f t="shared" ref="D300:W300" si="95">D3*D102</f>
        <v>842.76062969583563</v>
      </c>
      <c r="E300">
        <f t="shared" si="95"/>
        <v>768.77067716680301</v>
      </c>
      <c r="F300">
        <f t="shared" si="95"/>
        <v>713.49443565014076</v>
      </c>
      <c r="G300">
        <f t="shared" si="95"/>
        <v>748.36727655461732</v>
      </c>
      <c r="H300">
        <f t="shared" si="95"/>
        <v>738.57693607614624</v>
      </c>
      <c r="I300">
        <f t="shared" si="95"/>
        <v>606.82633782542757</v>
      </c>
      <c r="J300">
        <f t="shared" si="95"/>
        <v>681.33827945257246</v>
      </c>
      <c r="K300">
        <f t="shared" si="95"/>
        <v>766.59678919466705</v>
      </c>
      <c r="L300">
        <f t="shared" si="95"/>
        <v>597.6124002679602</v>
      </c>
      <c r="M300">
        <f t="shared" si="95"/>
        <v>625.92056585408227</v>
      </c>
      <c r="N300">
        <f t="shared" si="95"/>
        <v>735.48570138399373</v>
      </c>
      <c r="O300">
        <f t="shared" si="95"/>
        <v>758.98187571218455</v>
      </c>
      <c r="P300">
        <f t="shared" si="95"/>
        <v>904.78416301712093</v>
      </c>
      <c r="Q300">
        <f t="shared" si="95"/>
        <v>747.19098297800008</v>
      </c>
      <c r="R300">
        <f t="shared" si="95"/>
        <v>770.00713816400582</v>
      </c>
      <c r="S300">
        <f t="shared" si="95"/>
        <v>805.3991290699048</v>
      </c>
      <c r="T300">
        <f t="shared" si="95"/>
        <v>791.9088068875725</v>
      </c>
      <c r="U300">
        <f t="shared" si="95"/>
        <v>804.49763938181468</v>
      </c>
      <c r="V300">
        <f t="shared" si="95"/>
        <v>785.23216941878422</v>
      </c>
      <c r="W300">
        <f t="shared" si="95"/>
        <v>846.44206677399882</v>
      </c>
      <c r="Y300" s="14">
        <f t="shared" si="93"/>
        <v>15040.194000525633</v>
      </c>
      <c r="Z300">
        <f t="shared" si="94"/>
        <v>2247.0800294936894</v>
      </c>
    </row>
    <row r="301" spans="1:26" x14ac:dyDescent="0.25">
      <c r="A301" t="s">
        <v>45</v>
      </c>
      <c r="D301">
        <f t="shared" ref="D301:W301" si="96">D4*D103</f>
        <v>763.80526610880077</v>
      </c>
      <c r="E301">
        <f t="shared" si="96"/>
        <v>789.81761722041665</v>
      </c>
      <c r="F301">
        <f t="shared" si="96"/>
        <v>844.46311952327221</v>
      </c>
      <c r="G301">
        <f t="shared" si="96"/>
        <v>579.10942612043686</v>
      </c>
      <c r="H301">
        <f t="shared" si="96"/>
        <v>630.5911909703151</v>
      </c>
      <c r="I301">
        <f t="shared" si="96"/>
        <v>587.98316110981909</v>
      </c>
      <c r="J301">
        <f t="shared" si="96"/>
        <v>665.63262586178621</v>
      </c>
      <c r="K301">
        <f t="shared" si="96"/>
        <v>679.18716221661532</v>
      </c>
      <c r="L301">
        <f t="shared" si="96"/>
        <v>559.65630129968201</v>
      </c>
      <c r="M301">
        <f t="shared" si="96"/>
        <v>696.02969554233346</v>
      </c>
      <c r="N301">
        <f t="shared" si="96"/>
        <v>622.15018130748388</v>
      </c>
      <c r="O301">
        <f t="shared" si="96"/>
        <v>735.12223355488686</v>
      </c>
      <c r="P301">
        <f t="shared" si="96"/>
        <v>704.36393579975731</v>
      </c>
      <c r="Q301">
        <f t="shared" si="96"/>
        <v>703.50170652207453</v>
      </c>
      <c r="R301">
        <f t="shared" si="96"/>
        <v>748.82556652621929</v>
      </c>
      <c r="S301">
        <f t="shared" si="96"/>
        <v>746.43324935465671</v>
      </c>
      <c r="T301">
        <f t="shared" si="96"/>
        <v>771.79122591632733</v>
      </c>
      <c r="U301">
        <f t="shared" si="96"/>
        <v>774.16873506881893</v>
      </c>
      <c r="V301">
        <f t="shared" si="96"/>
        <v>693.5424048435957</v>
      </c>
      <c r="W301">
        <f t="shared" si="96"/>
        <v>699.60914500111267</v>
      </c>
      <c r="Y301" s="14">
        <f t="shared" si="93"/>
        <v>13995.783949868412</v>
      </c>
      <c r="Z301">
        <f t="shared" si="94"/>
        <v>2146.5703244322344</v>
      </c>
    </row>
    <row r="302" spans="1:26" x14ac:dyDescent="0.25">
      <c r="A302" t="s">
        <v>46</v>
      </c>
      <c r="D302">
        <f t="shared" ref="D302:W302" si="97">D5*D104</f>
        <v>613.28897513365473</v>
      </c>
      <c r="E302">
        <f t="shared" si="97"/>
        <v>704.27774055386089</v>
      </c>
      <c r="F302">
        <f t="shared" si="97"/>
        <v>708.14018050930679</v>
      </c>
      <c r="G302">
        <f t="shared" si="97"/>
        <v>686.29292625319192</v>
      </c>
      <c r="H302">
        <f t="shared" si="97"/>
        <v>689.21002960071883</v>
      </c>
      <c r="I302">
        <f t="shared" si="97"/>
        <v>726.82182585699763</v>
      </c>
      <c r="J302">
        <f t="shared" si="97"/>
        <v>702.93547174939067</v>
      </c>
      <c r="K302">
        <f t="shared" si="97"/>
        <v>714.3545261303301</v>
      </c>
      <c r="L302">
        <f t="shared" si="97"/>
        <v>555.42017464174421</v>
      </c>
      <c r="M302">
        <f t="shared" si="97"/>
        <v>612.40959303898364</v>
      </c>
      <c r="N302">
        <f t="shared" si="97"/>
        <v>679.57810037457511</v>
      </c>
      <c r="O302">
        <f t="shared" si="97"/>
        <v>649.7185713500038</v>
      </c>
      <c r="P302">
        <f t="shared" si="97"/>
        <v>554.17961766473809</v>
      </c>
      <c r="Q302">
        <f t="shared" si="97"/>
        <v>482.34363863650367</v>
      </c>
      <c r="R302">
        <f t="shared" si="97"/>
        <v>754.32038691443711</v>
      </c>
      <c r="S302">
        <f t="shared" si="97"/>
        <v>698.88028498022936</v>
      </c>
      <c r="T302">
        <f t="shared" si="97"/>
        <v>771.60208823574976</v>
      </c>
      <c r="U302">
        <f t="shared" si="97"/>
        <v>784.43334969352338</v>
      </c>
      <c r="V302">
        <f t="shared" si="97"/>
        <v>651.70211244520704</v>
      </c>
      <c r="W302">
        <f t="shared" si="97"/>
        <v>666.65646058566881</v>
      </c>
      <c r="Y302" s="14">
        <f t="shared" si="93"/>
        <v>13406.566054348814</v>
      </c>
      <c r="Z302">
        <f t="shared" si="94"/>
        <v>2134.5409421432464</v>
      </c>
    </row>
    <row r="303" spans="1:26" x14ac:dyDescent="0.25">
      <c r="A303" t="s">
        <v>47</v>
      </c>
      <c r="D303">
        <f t="shared" ref="D303:W303" si="98">D6*D105</f>
        <v>742.23593918758741</v>
      </c>
      <c r="E303">
        <f t="shared" si="98"/>
        <v>695.20415062868119</v>
      </c>
      <c r="F303">
        <f t="shared" si="98"/>
        <v>732.49781618568136</v>
      </c>
      <c r="G303">
        <f t="shared" si="98"/>
        <v>770.58119643723683</v>
      </c>
      <c r="H303">
        <f t="shared" si="98"/>
        <v>618.62443197510788</v>
      </c>
      <c r="I303">
        <f t="shared" si="98"/>
        <v>705.86745355135804</v>
      </c>
      <c r="J303">
        <f t="shared" si="98"/>
        <v>690.66976039752137</v>
      </c>
      <c r="K303">
        <f t="shared" si="98"/>
        <v>667.48786234322711</v>
      </c>
      <c r="L303">
        <f t="shared" si="98"/>
        <v>621.79949166047129</v>
      </c>
      <c r="M303">
        <f t="shared" si="98"/>
        <v>676.94388603421464</v>
      </c>
      <c r="N303">
        <f t="shared" si="98"/>
        <v>588.38915191050535</v>
      </c>
      <c r="O303">
        <f t="shared" si="98"/>
        <v>849.90224357162663</v>
      </c>
      <c r="P303">
        <f t="shared" si="98"/>
        <v>780.8696830620836</v>
      </c>
      <c r="Q303">
        <f t="shared" si="98"/>
        <v>725.17276439493651</v>
      </c>
      <c r="R303">
        <f t="shared" si="98"/>
        <v>591.24454079364159</v>
      </c>
      <c r="S303">
        <f t="shared" si="98"/>
        <v>692.70702681726743</v>
      </c>
      <c r="T303">
        <f t="shared" si="98"/>
        <v>620.46637141961469</v>
      </c>
      <c r="U303">
        <f t="shared" si="98"/>
        <v>817.34985024834111</v>
      </c>
      <c r="V303">
        <f t="shared" si="98"/>
        <v>734.74499383682382</v>
      </c>
      <c r="W303">
        <f t="shared" si="98"/>
        <v>738.39130512942563</v>
      </c>
      <c r="Y303" s="14">
        <f t="shared" si="93"/>
        <v>14061.149919585352</v>
      </c>
      <c r="Z303">
        <f t="shared" si="94"/>
        <v>2187.8848701362131</v>
      </c>
    </row>
    <row r="304" spans="1:26" x14ac:dyDescent="0.25">
      <c r="A304" t="s">
        <v>48</v>
      </c>
      <c r="D304">
        <f t="shared" ref="D304:W304" si="99">D7*D106</f>
        <v>734.98331907933778</v>
      </c>
      <c r="E304">
        <f t="shared" si="99"/>
        <v>711.48844051044205</v>
      </c>
      <c r="F304">
        <f t="shared" si="99"/>
        <v>660.81645474583172</v>
      </c>
      <c r="G304">
        <f t="shared" si="99"/>
        <v>533.8458386507682</v>
      </c>
      <c r="H304">
        <f t="shared" si="99"/>
        <v>618.43869251603007</v>
      </c>
      <c r="I304">
        <f t="shared" si="99"/>
        <v>761.32521798424091</v>
      </c>
      <c r="J304">
        <f t="shared" si="99"/>
        <v>752.59465397386043</v>
      </c>
      <c r="K304">
        <f t="shared" si="99"/>
        <v>587.10907430016664</v>
      </c>
      <c r="L304">
        <f t="shared" si="99"/>
        <v>483.70188622617206</v>
      </c>
      <c r="M304">
        <f t="shared" si="99"/>
        <v>757.37260226421017</v>
      </c>
      <c r="N304">
        <f t="shared" si="99"/>
        <v>557.51754953574857</v>
      </c>
      <c r="O304">
        <f t="shared" si="99"/>
        <v>799.68642190144874</v>
      </c>
      <c r="P304">
        <f t="shared" si="99"/>
        <v>689.704287455496</v>
      </c>
      <c r="Q304">
        <f t="shared" si="99"/>
        <v>743.49596811138395</v>
      </c>
      <c r="R304">
        <f t="shared" si="99"/>
        <v>855.33450656195419</v>
      </c>
      <c r="S304">
        <f t="shared" si="99"/>
        <v>847.440450139738</v>
      </c>
      <c r="T304">
        <f t="shared" si="99"/>
        <v>884.60508179407293</v>
      </c>
      <c r="U304">
        <f t="shared" si="99"/>
        <v>808.18780480759449</v>
      </c>
      <c r="V304">
        <f t="shared" si="99"/>
        <v>517.98767464157254</v>
      </c>
      <c r="W304">
        <f t="shared" si="99"/>
        <v>604.03062309606764</v>
      </c>
      <c r="Y304" s="14">
        <f t="shared" si="93"/>
        <v>13909.666548296136</v>
      </c>
      <c r="Z304">
        <f t="shared" si="94"/>
        <v>2130.6146747553166</v>
      </c>
    </row>
    <row r="305" spans="1:26" x14ac:dyDescent="0.25">
      <c r="A305" t="s">
        <v>49</v>
      </c>
      <c r="D305">
        <f t="shared" ref="D305:W305" si="100">D8*D107</f>
        <v>184.83602762274703</v>
      </c>
      <c r="E305">
        <f t="shared" si="100"/>
        <v>534.50576170198542</v>
      </c>
      <c r="F305">
        <f t="shared" si="100"/>
        <v>627.61037891758519</v>
      </c>
      <c r="G305">
        <f t="shared" si="100"/>
        <v>595.09537213340991</v>
      </c>
      <c r="H305">
        <f t="shared" si="100"/>
        <v>803.44011653054122</v>
      </c>
      <c r="I305">
        <f t="shared" si="100"/>
        <v>731.19595468269654</v>
      </c>
      <c r="J305">
        <f t="shared" si="100"/>
        <v>676.94636915876754</v>
      </c>
      <c r="K305">
        <f t="shared" si="100"/>
        <v>750.13285004006229</v>
      </c>
      <c r="L305">
        <f t="shared" si="100"/>
        <v>561.1738967345251</v>
      </c>
      <c r="M305">
        <f t="shared" si="100"/>
        <v>815.02551550396186</v>
      </c>
      <c r="N305">
        <f t="shared" si="100"/>
        <v>706.96939031626471</v>
      </c>
      <c r="O305">
        <f t="shared" si="100"/>
        <v>787.09937372528475</v>
      </c>
      <c r="P305">
        <f t="shared" si="100"/>
        <v>791.65131727764606</v>
      </c>
      <c r="Q305">
        <f t="shared" si="100"/>
        <v>765.1272869070541</v>
      </c>
      <c r="R305">
        <f t="shared" si="100"/>
        <v>771.85128556635357</v>
      </c>
      <c r="S305">
        <f t="shared" si="100"/>
        <v>801.80814711059566</v>
      </c>
      <c r="T305">
        <f t="shared" si="100"/>
        <v>839.50222889235454</v>
      </c>
      <c r="U305">
        <f t="shared" si="100"/>
        <v>680.88197215818741</v>
      </c>
      <c r="V305">
        <f t="shared" si="100"/>
        <v>716.60240297717644</v>
      </c>
      <c r="W305">
        <f t="shared" si="100"/>
        <v>663.96999691585484</v>
      </c>
      <c r="Y305" s="14">
        <f t="shared" si="93"/>
        <v>13805.425644873058</v>
      </c>
      <c r="Z305">
        <f t="shared" si="94"/>
        <v>2471.2793836706919</v>
      </c>
    </row>
    <row r="306" spans="1:26" x14ac:dyDescent="0.25">
      <c r="A306" t="s">
        <v>50</v>
      </c>
      <c r="D306">
        <f t="shared" ref="D306:W306" si="101">D9*D108</f>
        <v>552.75499257093668</v>
      </c>
      <c r="E306">
        <f t="shared" si="101"/>
        <v>576.15083119356473</v>
      </c>
      <c r="F306">
        <f t="shared" si="101"/>
        <v>584.62411522817797</v>
      </c>
      <c r="G306">
        <f t="shared" si="101"/>
        <v>536.20281559774173</v>
      </c>
      <c r="H306">
        <f t="shared" si="101"/>
        <v>601.7978170724225</v>
      </c>
      <c r="I306">
        <f t="shared" si="101"/>
        <v>763.84204156743942</v>
      </c>
      <c r="J306">
        <f t="shared" si="101"/>
        <v>775.86157294332133</v>
      </c>
      <c r="K306">
        <f t="shared" si="101"/>
        <v>769.63913575134609</v>
      </c>
      <c r="L306">
        <f t="shared" si="101"/>
        <v>518.57199538837472</v>
      </c>
      <c r="M306">
        <f t="shared" si="101"/>
        <v>612.0123982523794</v>
      </c>
      <c r="N306">
        <f t="shared" si="101"/>
        <v>679.2480804717718</v>
      </c>
      <c r="O306">
        <f t="shared" si="101"/>
        <v>675.14691147901863</v>
      </c>
      <c r="P306">
        <f t="shared" si="101"/>
        <v>748.62673105460453</v>
      </c>
      <c r="Q306">
        <f t="shared" si="101"/>
        <v>803.87193176498658</v>
      </c>
      <c r="R306">
        <f t="shared" si="101"/>
        <v>797.67561284173507</v>
      </c>
      <c r="S306">
        <f t="shared" si="101"/>
        <v>735.53328911581116</v>
      </c>
      <c r="T306">
        <f t="shared" si="101"/>
        <v>792.92650797261751</v>
      </c>
      <c r="U306">
        <f t="shared" si="101"/>
        <v>802.84233916581456</v>
      </c>
      <c r="V306">
        <f t="shared" si="101"/>
        <v>733.37859728793012</v>
      </c>
      <c r="W306">
        <f t="shared" si="101"/>
        <v>719.07991133287703</v>
      </c>
      <c r="Y306" s="14">
        <f t="shared" si="93"/>
        <v>13779.787628052871</v>
      </c>
      <c r="Z306">
        <f t="shared" si="94"/>
        <v>2131.7127606501176</v>
      </c>
    </row>
    <row r="307" spans="1:26" x14ac:dyDescent="0.25">
      <c r="A307" t="s">
        <v>51</v>
      </c>
      <c r="D307">
        <f t="shared" ref="D307:W307" si="102">D10*D109</f>
        <v>829.19596593773292</v>
      </c>
      <c r="E307">
        <f t="shared" si="102"/>
        <v>800.96567391683652</v>
      </c>
      <c r="F307">
        <f t="shared" si="102"/>
        <v>843.2652662251852</v>
      </c>
      <c r="G307">
        <f t="shared" si="102"/>
        <v>857.54257713695597</v>
      </c>
      <c r="H307">
        <f t="shared" si="102"/>
        <v>814.99902715386168</v>
      </c>
      <c r="I307">
        <f t="shared" si="102"/>
        <v>772.35029177624267</v>
      </c>
      <c r="J307">
        <f t="shared" si="102"/>
        <v>741.55022203831641</v>
      </c>
      <c r="K307">
        <f t="shared" si="102"/>
        <v>778.35743642487637</v>
      </c>
      <c r="L307">
        <f t="shared" si="102"/>
        <v>637.18326807729386</v>
      </c>
      <c r="M307">
        <f t="shared" si="102"/>
        <v>739.83860420722942</v>
      </c>
      <c r="N307">
        <f t="shared" si="102"/>
        <v>542.35091954248037</v>
      </c>
      <c r="O307">
        <f t="shared" si="102"/>
        <v>610.32068664901419</v>
      </c>
      <c r="P307">
        <f t="shared" si="102"/>
        <v>800.55809812187078</v>
      </c>
      <c r="Q307">
        <f t="shared" si="102"/>
        <v>755.33433359169476</v>
      </c>
      <c r="R307">
        <f t="shared" si="102"/>
        <v>821.38389782350453</v>
      </c>
      <c r="S307">
        <f t="shared" si="102"/>
        <v>840.49911322472644</v>
      </c>
      <c r="T307">
        <f t="shared" si="102"/>
        <v>869.22213215833153</v>
      </c>
      <c r="U307">
        <f t="shared" si="102"/>
        <v>797.28480351697431</v>
      </c>
      <c r="V307">
        <f t="shared" si="102"/>
        <v>751.43708278828592</v>
      </c>
      <c r="W307">
        <f t="shared" si="102"/>
        <v>752.9873420853844</v>
      </c>
      <c r="Y307" s="14">
        <f t="shared" si="93"/>
        <v>15356.626742396798</v>
      </c>
      <c r="Z307">
        <f t="shared" si="94"/>
        <v>2408.027710408458</v>
      </c>
    </row>
    <row r="308" spans="1:26" x14ac:dyDescent="0.25">
      <c r="A308" t="s">
        <v>52</v>
      </c>
      <c r="D308">
        <f t="shared" ref="D308:W308" si="103">D11*D110</f>
        <v>701.35712238143321</v>
      </c>
      <c r="E308">
        <f t="shared" si="103"/>
        <v>832.26399826267073</v>
      </c>
      <c r="F308">
        <f t="shared" si="103"/>
        <v>769.46810247907206</v>
      </c>
      <c r="G308">
        <f t="shared" si="103"/>
        <v>808.81860425438947</v>
      </c>
      <c r="H308">
        <f t="shared" si="103"/>
        <v>603.42406828297442</v>
      </c>
      <c r="I308">
        <f t="shared" si="103"/>
        <v>587.45829977801634</v>
      </c>
      <c r="J308">
        <f t="shared" si="103"/>
        <v>783.65598303377567</v>
      </c>
      <c r="K308">
        <f t="shared" si="103"/>
        <v>701.80841954673247</v>
      </c>
      <c r="L308">
        <f t="shared" si="103"/>
        <v>466.5286721954314</v>
      </c>
      <c r="M308">
        <f t="shared" si="103"/>
        <v>656.88582647323301</v>
      </c>
      <c r="N308">
        <f t="shared" si="103"/>
        <v>565.35734787922149</v>
      </c>
      <c r="O308">
        <f t="shared" si="103"/>
        <v>772.20600560238972</v>
      </c>
      <c r="P308">
        <f t="shared" si="103"/>
        <v>548.45875995296672</v>
      </c>
      <c r="Q308">
        <f t="shared" si="103"/>
        <v>649.30521851031278</v>
      </c>
      <c r="R308">
        <f t="shared" si="103"/>
        <v>647.39825396306844</v>
      </c>
      <c r="S308">
        <f t="shared" si="103"/>
        <v>604.22643808674934</v>
      </c>
      <c r="T308">
        <f t="shared" si="103"/>
        <v>638.76235217358351</v>
      </c>
      <c r="U308">
        <f t="shared" si="103"/>
        <v>720.95365362981067</v>
      </c>
      <c r="V308">
        <f t="shared" si="103"/>
        <v>728.86405781836174</v>
      </c>
      <c r="W308">
        <f t="shared" si="103"/>
        <v>734.3571849522375</v>
      </c>
      <c r="Y308" s="14">
        <f t="shared" si="93"/>
        <v>13521.558369256432</v>
      </c>
      <c r="Z308">
        <f t="shared" si="94"/>
        <v>2165.1419092925071</v>
      </c>
    </row>
    <row r="309" spans="1:26" x14ac:dyDescent="0.25">
      <c r="A309" t="s">
        <v>53</v>
      </c>
      <c r="D309">
        <f t="shared" ref="D309:W309" si="104">D12*D111</f>
        <v>663.09641371637701</v>
      </c>
      <c r="E309">
        <f t="shared" si="104"/>
        <v>786.27117865684158</v>
      </c>
      <c r="F309">
        <f t="shared" si="104"/>
        <v>730.94861939638793</v>
      </c>
      <c r="G309">
        <f t="shared" si="104"/>
        <v>723.66352314544122</v>
      </c>
      <c r="H309">
        <f t="shared" si="104"/>
        <v>741.61261306307983</v>
      </c>
      <c r="I309">
        <f t="shared" si="104"/>
        <v>745.98894152053731</v>
      </c>
      <c r="J309">
        <f t="shared" si="104"/>
        <v>507.83227271319538</v>
      </c>
      <c r="K309">
        <f t="shared" si="104"/>
        <v>731.3376256222366</v>
      </c>
      <c r="L309">
        <f t="shared" si="104"/>
        <v>597.50738106855465</v>
      </c>
      <c r="M309">
        <f t="shared" si="104"/>
        <v>682.98201142831135</v>
      </c>
      <c r="N309">
        <f t="shared" si="104"/>
        <v>831.81461069726754</v>
      </c>
      <c r="O309">
        <f t="shared" si="104"/>
        <v>779.05868472638213</v>
      </c>
      <c r="P309">
        <f t="shared" si="104"/>
        <v>807.64093025954912</v>
      </c>
      <c r="Q309">
        <f t="shared" si="104"/>
        <v>792.61866899481231</v>
      </c>
      <c r="R309">
        <f t="shared" si="104"/>
        <v>769.97893147394484</v>
      </c>
      <c r="S309">
        <f t="shared" si="104"/>
        <v>729.34942974995283</v>
      </c>
      <c r="T309">
        <f t="shared" si="104"/>
        <v>744.51492554303979</v>
      </c>
      <c r="U309">
        <f t="shared" si="104"/>
        <v>770.45823637495687</v>
      </c>
      <c r="V309">
        <f t="shared" si="104"/>
        <v>684.3583569065546</v>
      </c>
      <c r="W309">
        <f t="shared" si="104"/>
        <v>681.40100048962165</v>
      </c>
      <c r="Y309" s="14">
        <f t="shared" si="93"/>
        <v>14502.43435554704</v>
      </c>
      <c r="Z309">
        <f t="shared" si="94"/>
        <v>2326.7824513650044</v>
      </c>
    </row>
    <row r="310" spans="1:26" x14ac:dyDescent="0.25">
      <c r="A310" t="s">
        <v>54</v>
      </c>
      <c r="D310">
        <f t="shared" ref="D310:W310" si="105">D13*D112</f>
        <v>805.97496162276457</v>
      </c>
      <c r="E310">
        <f t="shared" si="105"/>
        <v>772.43617970727712</v>
      </c>
      <c r="F310">
        <f t="shared" si="105"/>
        <v>668.25411719125566</v>
      </c>
      <c r="G310">
        <f t="shared" si="105"/>
        <v>651.09556720217063</v>
      </c>
      <c r="H310">
        <f t="shared" si="105"/>
        <v>567.63544504169249</v>
      </c>
      <c r="I310">
        <f t="shared" si="105"/>
        <v>645.0776469296585</v>
      </c>
      <c r="J310">
        <f t="shared" si="105"/>
        <v>693.57141335444192</v>
      </c>
      <c r="K310">
        <f t="shared" si="105"/>
        <v>665.06934724694338</v>
      </c>
      <c r="L310">
        <f t="shared" si="105"/>
        <v>439.70080545782793</v>
      </c>
      <c r="M310">
        <f t="shared" si="105"/>
        <v>571.61641409351762</v>
      </c>
      <c r="N310">
        <f t="shared" si="105"/>
        <v>621.10659809477886</v>
      </c>
      <c r="O310">
        <f t="shared" si="105"/>
        <v>618.66139333488593</v>
      </c>
      <c r="P310">
        <f t="shared" si="105"/>
        <v>603.3661413338408</v>
      </c>
      <c r="Q310">
        <f t="shared" si="105"/>
        <v>711.36156018773079</v>
      </c>
      <c r="R310">
        <f t="shared" si="105"/>
        <v>626.61935888662879</v>
      </c>
      <c r="S310">
        <f t="shared" si="105"/>
        <v>623.55314781766845</v>
      </c>
      <c r="T310">
        <f t="shared" si="105"/>
        <v>570.57890106988907</v>
      </c>
      <c r="U310">
        <f t="shared" si="105"/>
        <v>636.28053432396746</v>
      </c>
      <c r="V310">
        <f t="shared" si="105"/>
        <v>552.86337812421664</v>
      </c>
      <c r="W310">
        <f t="shared" si="105"/>
        <v>741.65307193425576</v>
      </c>
      <c r="Y310" s="14">
        <f t="shared" si="93"/>
        <v>12786.475982955413</v>
      </c>
      <c r="Z310">
        <f t="shared" si="94"/>
        <v>1938.4643131507073</v>
      </c>
    </row>
    <row r="311" spans="1:26" x14ac:dyDescent="0.25">
      <c r="A311" t="s">
        <v>55</v>
      </c>
      <c r="D311">
        <f t="shared" ref="D311:W311" si="106">D14*D113</f>
        <v>717.98522629486035</v>
      </c>
      <c r="E311">
        <f t="shared" si="106"/>
        <v>632.21870049798054</v>
      </c>
      <c r="F311">
        <f t="shared" si="106"/>
        <v>631.23264764114981</v>
      </c>
      <c r="G311">
        <f t="shared" si="106"/>
        <v>599.24554598829525</v>
      </c>
      <c r="H311">
        <f t="shared" si="106"/>
        <v>633.01045885352255</v>
      </c>
      <c r="I311">
        <f t="shared" si="106"/>
        <v>520.4925505081253</v>
      </c>
      <c r="J311">
        <f t="shared" si="106"/>
        <v>717.00795062641816</v>
      </c>
      <c r="K311">
        <f t="shared" si="106"/>
        <v>662.66475967043061</v>
      </c>
      <c r="L311">
        <f t="shared" si="106"/>
        <v>483.92887314928475</v>
      </c>
      <c r="M311">
        <f t="shared" si="106"/>
        <v>647.80366550120891</v>
      </c>
      <c r="N311">
        <f t="shared" si="106"/>
        <v>579.32652925388845</v>
      </c>
      <c r="O311">
        <f t="shared" si="106"/>
        <v>621.21263856692519</v>
      </c>
      <c r="P311">
        <f t="shared" si="106"/>
        <v>652.10955976572484</v>
      </c>
      <c r="Q311">
        <f t="shared" si="106"/>
        <v>417.13681987060698</v>
      </c>
      <c r="R311">
        <f t="shared" si="106"/>
        <v>676.52153099323243</v>
      </c>
      <c r="S311">
        <f t="shared" si="106"/>
        <v>632.40514528027745</v>
      </c>
      <c r="T311">
        <f t="shared" si="106"/>
        <v>607.90499817553973</v>
      </c>
      <c r="U311">
        <f t="shared" si="106"/>
        <v>545.12402821784337</v>
      </c>
      <c r="V311">
        <f t="shared" si="106"/>
        <v>425.89943739020407</v>
      </c>
      <c r="W311">
        <f t="shared" si="106"/>
        <v>682.64349194647536</v>
      </c>
      <c r="Y311" s="14">
        <f t="shared" si="93"/>
        <v>12085.874558191996</v>
      </c>
      <c r="Z311">
        <f t="shared" si="94"/>
        <v>1913.3995149589364</v>
      </c>
    </row>
    <row r="312" spans="1:26" x14ac:dyDescent="0.25">
      <c r="A312" t="s">
        <v>56</v>
      </c>
      <c r="D312">
        <f t="shared" ref="D312:W312" si="107">D15*D114</f>
        <v>783.43141836986672</v>
      </c>
      <c r="E312">
        <f t="shared" si="107"/>
        <v>706.23809705550161</v>
      </c>
      <c r="F312">
        <f t="shared" si="107"/>
        <v>628.89804002121559</v>
      </c>
      <c r="G312">
        <f t="shared" si="107"/>
        <v>668.0066488606418</v>
      </c>
      <c r="H312">
        <f t="shared" si="107"/>
        <v>605.73466675207931</v>
      </c>
      <c r="I312">
        <f t="shared" si="107"/>
        <v>793.07221222814621</v>
      </c>
      <c r="J312">
        <f t="shared" si="107"/>
        <v>733.24424893077764</v>
      </c>
      <c r="K312">
        <f t="shared" si="107"/>
        <v>681.76972479784695</v>
      </c>
      <c r="L312">
        <f t="shared" si="107"/>
        <v>470.79195053672959</v>
      </c>
      <c r="M312">
        <f t="shared" si="107"/>
        <v>478.50964429815593</v>
      </c>
      <c r="N312">
        <f t="shared" si="107"/>
        <v>635.35938920391368</v>
      </c>
      <c r="O312">
        <f t="shared" si="107"/>
        <v>594.96975098162454</v>
      </c>
      <c r="P312">
        <f t="shared" si="107"/>
        <v>633.02360450928052</v>
      </c>
      <c r="Q312">
        <f t="shared" si="107"/>
        <v>583.28636936192129</v>
      </c>
      <c r="R312">
        <f t="shared" si="107"/>
        <v>571.17479918754304</v>
      </c>
      <c r="S312">
        <f t="shared" si="107"/>
        <v>394.7546921087976</v>
      </c>
      <c r="T312">
        <f t="shared" si="107"/>
        <v>556.47901716878471</v>
      </c>
      <c r="U312">
        <f t="shared" si="107"/>
        <v>601.35059338762278</v>
      </c>
      <c r="V312">
        <f t="shared" si="107"/>
        <v>571.17479918754304</v>
      </c>
      <c r="W312">
        <f t="shared" si="107"/>
        <v>394.7546921087976</v>
      </c>
      <c r="Y312" s="14">
        <f t="shared" si="93"/>
        <v>12086.024359056792</v>
      </c>
      <c r="Z312">
        <f t="shared" si="94"/>
        <v>1948.2396517306763</v>
      </c>
    </row>
    <row r="313" spans="1:26" x14ac:dyDescent="0.25">
      <c r="A313" t="s">
        <v>57</v>
      </c>
      <c r="D313">
        <f t="shared" ref="D313:W313" si="108">D16*D115</f>
        <v>774.88168338556488</v>
      </c>
      <c r="E313">
        <f t="shared" si="108"/>
        <v>760.75625440291458</v>
      </c>
      <c r="F313">
        <f t="shared" si="108"/>
        <v>722.96743332189544</v>
      </c>
      <c r="G313">
        <f t="shared" si="108"/>
        <v>812.64110416887149</v>
      </c>
      <c r="H313">
        <f t="shared" si="108"/>
        <v>765.96184102883251</v>
      </c>
      <c r="I313">
        <f t="shared" si="108"/>
        <v>607.9499589165257</v>
      </c>
      <c r="J313">
        <f t="shared" si="108"/>
        <v>726.00149063194579</v>
      </c>
      <c r="K313">
        <f t="shared" si="108"/>
        <v>795.60288237236784</v>
      </c>
      <c r="L313">
        <f t="shared" si="108"/>
        <v>617.19060034876577</v>
      </c>
      <c r="M313">
        <f t="shared" si="108"/>
        <v>472.4288788775911</v>
      </c>
      <c r="N313">
        <f t="shared" si="108"/>
        <v>415.50754488261526</v>
      </c>
      <c r="O313">
        <f t="shared" si="108"/>
        <v>441.24071003368977</v>
      </c>
      <c r="P313">
        <f t="shared" si="108"/>
        <v>544.82510201554999</v>
      </c>
      <c r="Q313">
        <f t="shared" si="108"/>
        <v>752.68442701692948</v>
      </c>
      <c r="R313">
        <f t="shared" si="108"/>
        <v>807.32454432543489</v>
      </c>
      <c r="S313">
        <f t="shared" si="108"/>
        <v>730.20485965237128</v>
      </c>
      <c r="T313">
        <f t="shared" si="108"/>
        <v>610.15489816934007</v>
      </c>
      <c r="U313">
        <f t="shared" si="108"/>
        <v>547.18545036977525</v>
      </c>
      <c r="V313">
        <f t="shared" si="108"/>
        <v>627.93198183952757</v>
      </c>
      <c r="W313">
        <f t="shared" si="108"/>
        <v>570.96096884902204</v>
      </c>
      <c r="Y313" s="14">
        <f t="shared" si="93"/>
        <v>13104.402614609529</v>
      </c>
      <c r="Z313">
        <f t="shared" si="94"/>
        <v>1988.5709287535581</v>
      </c>
    </row>
    <row r="314" spans="1:26" x14ac:dyDescent="0.25">
      <c r="A314" t="s">
        <v>58</v>
      </c>
      <c r="D314">
        <f t="shared" ref="D314:W314" si="109">D17*D116</f>
        <v>706.05082287235234</v>
      </c>
      <c r="E314">
        <f t="shared" si="109"/>
        <v>707.6687648813629</v>
      </c>
      <c r="F314">
        <f t="shared" si="109"/>
        <v>594.98646724775563</v>
      </c>
      <c r="G314">
        <f t="shared" si="109"/>
        <v>529.16067597380663</v>
      </c>
      <c r="H314">
        <f t="shared" si="109"/>
        <v>681.18281661274534</v>
      </c>
      <c r="I314">
        <f t="shared" si="109"/>
        <v>649.59315563652819</v>
      </c>
      <c r="J314">
        <f t="shared" si="109"/>
        <v>705.92708864613417</v>
      </c>
      <c r="K314">
        <f t="shared" si="109"/>
        <v>575.00008544903778</v>
      </c>
      <c r="L314">
        <f t="shared" si="109"/>
        <v>449.07812370947215</v>
      </c>
      <c r="M314">
        <f t="shared" si="109"/>
        <v>665.18731130643471</v>
      </c>
      <c r="N314">
        <f t="shared" si="109"/>
        <v>632.71025552826029</v>
      </c>
      <c r="O314">
        <f t="shared" si="109"/>
        <v>692.88066131516143</v>
      </c>
      <c r="P314">
        <f t="shared" si="109"/>
        <v>701.96724339263608</v>
      </c>
      <c r="Q314">
        <f t="shared" si="109"/>
        <v>598.94834043804303</v>
      </c>
      <c r="R314">
        <f t="shared" si="109"/>
        <v>635.89896345626414</v>
      </c>
      <c r="S314">
        <f t="shared" si="109"/>
        <v>610.66131329459654</v>
      </c>
      <c r="T314">
        <f t="shared" si="109"/>
        <v>657.75554932668047</v>
      </c>
      <c r="U314">
        <f t="shared" si="109"/>
        <v>644.41556940815985</v>
      </c>
      <c r="V314">
        <f t="shared" si="109"/>
        <v>633.95562171899792</v>
      </c>
      <c r="W314">
        <f t="shared" si="109"/>
        <v>685.90779750845161</v>
      </c>
      <c r="Y314" s="14">
        <f t="shared" si="93"/>
        <v>12758.93662772288</v>
      </c>
      <c r="Z314">
        <f t="shared" si="94"/>
        <v>2016.5830032246809</v>
      </c>
    </row>
    <row r="315" spans="1:26" x14ac:dyDescent="0.25">
      <c r="A315" t="s">
        <v>59</v>
      </c>
      <c r="D315">
        <f t="shared" ref="D315:W315" si="110">D18*D117</f>
        <v>686.20041570324349</v>
      </c>
      <c r="E315">
        <f t="shared" si="110"/>
        <v>446.05062244826172</v>
      </c>
      <c r="F315">
        <f t="shared" si="110"/>
        <v>660.01822784381886</v>
      </c>
      <c r="G315">
        <f t="shared" si="110"/>
        <v>726.67700069863213</v>
      </c>
      <c r="H315">
        <f t="shared" si="110"/>
        <v>671.03446036958053</v>
      </c>
      <c r="I315">
        <f t="shared" si="110"/>
        <v>687.69523773793787</v>
      </c>
      <c r="J315">
        <f t="shared" si="110"/>
        <v>650.36312099757936</v>
      </c>
      <c r="K315">
        <f t="shared" si="110"/>
        <v>619.52347688092482</v>
      </c>
      <c r="L315">
        <f t="shared" si="110"/>
        <v>382.00775059272706</v>
      </c>
      <c r="M315">
        <f t="shared" si="110"/>
        <v>612.68401644413223</v>
      </c>
      <c r="N315">
        <f t="shared" si="110"/>
        <v>553.48507829520429</v>
      </c>
      <c r="O315">
        <f t="shared" si="110"/>
        <v>565.66997833202049</v>
      </c>
      <c r="P315">
        <f t="shared" si="110"/>
        <v>615.37602561073368</v>
      </c>
      <c r="Q315">
        <f t="shared" si="110"/>
        <v>656.15209322209614</v>
      </c>
      <c r="R315">
        <f t="shared" si="110"/>
        <v>987.55057112400993</v>
      </c>
      <c r="S315">
        <f t="shared" si="110"/>
        <v>612.50816121767423</v>
      </c>
      <c r="T315">
        <f t="shared" si="110"/>
        <v>305.53571086196268</v>
      </c>
      <c r="U315">
        <f t="shared" si="110"/>
        <v>554.34874088552499</v>
      </c>
      <c r="V315">
        <f t="shared" si="110"/>
        <v>485.47042359592018</v>
      </c>
      <c r="W315">
        <f t="shared" si="110"/>
        <v>675.03389419289022</v>
      </c>
      <c r="Y315" s="14">
        <f t="shared" si="93"/>
        <v>12153.385007054874</v>
      </c>
      <c r="Z315">
        <f t="shared" si="94"/>
        <v>1950.7447735350415</v>
      </c>
    </row>
    <row r="316" spans="1:26" x14ac:dyDescent="0.25">
      <c r="A316" t="s">
        <v>60</v>
      </c>
      <c r="D316">
        <f t="shared" ref="D316:W316" si="111">D19*D118</f>
        <v>643.64587487053859</v>
      </c>
      <c r="E316">
        <f t="shared" si="111"/>
        <v>676.3880821291043</v>
      </c>
      <c r="F316">
        <f t="shared" si="111"/>
        <v>767.76152184951854</v>
      </c>
      <c r="G316">
        <f t="shared" si="111"/>
        <v>675.39420099508254</v>
      </c>
      <c r="H316">
        <f t="shared" si="111"/>
        <v>416.45701310812001</v>
      </c>
      <c r="I316">
        <f t="shared" si="111"/>
        <v>546.66760923956429</v>
      </c>
      <c r="J316">
        <f t="shared" si="111"/>
        <v>571.37001111783206</v>
      </c>
      <c r="K316">
        <f t="shared" si="111"/>
        <v>724.32561706322406</v>
      </c>
      <c r="L316">
        <f t="shared" si="111"/>
        <v>-54.702517687906081</v>
      </c>
      <c r="M316">
        <f t="shared" si="111"/>
        <v>442.08245673767658</v>
      </c>
      <c r="N316">
        <f t="shared" si="111"/>
        <v>653.76929567979278</v>
      </c>
      <c r="O316">
        <f t="shared" si="111"/>
        <v>660.53148151088021</v>
      </c>
      <c r="P316">
        <f t="shared" si="111"/>
        <v>503.97342870556662</v>
      </c>
      <c r="Q316">
        <f t="shared" si="111"/>
        <v>487.24873451151751</v>
      </c>
      <c r="R316">
        <f t="shared" si="111"/>
        <v>567.94300141028009</v>
      </c>
      <c r="S316">
        <f t="shared" si="111"/>
        <v>610.37563563935953</v>
      </c>
      <c r="T316">
        <f t="shared" si="111"/>
        <v>672.81480624256335</v>
      </c>
      <c r="U316">
        <f t="shared" si="111"/>
        <v>595.20296355593939</v>
      </c>
      <c r="V316">
        <f t="shared" si="111"/>
        <v>504.59647649934328</v>
      </c>
      <c r="W316">
        <f t="shared" si="111"/>
        <v>654.60707978581297</v>
      </c>
      <c r="Y316" s="14">
        <f t="shared" si="93"/>
        <v>11320.45277296381</v>
      </c>
      <c r="Z316">
        <f t="shared" si="94"/>
        <v>1931.1079103792706</v>
      </c>
    </row>
    <row r="317" spans="1:26" x14ac:dyDescent="0.25">
      <c r="A317" t="s">
        <v>61</v>
      </c>
      <c r="D317">
        <f t="shared" ref="D317:W317" si="112">D20*D119</f>
        <v>726.90327718215485</v>
      </c>
      <c r="E317">
        <f t="shared" si="112"/>
        <v>708.22559175435322</v>
      </c>
      <c r="F317">
        <f t="shared" si="112"/>
        <v>618.39712492806098</v>
      </c>
      <c r="G317">
        <f t="shared" si="112"/>
        <v>615.4242541718321</v>
      </c>
      <c r="H317">
        <f t="shared" si="112"/>
        <v>623.35158217068545</v>
      </c>
      <c r="I317">
        <f t="shared" si="112"/>
        <v>642.30999454808716</v>
      </c>
      <c r="J317">
        <f t="shared" si="112"/>
        <v>577.83894216087958</v>
      </c>
      <c r="K317">
        <f t="shared" si="112"/>
        <v>697.98749537090214</v>
      </c>
      <c r="L317">
        <f t="shared" si="112"/>
        <v>643.03546331883706</v>
      </c>
      <c r="M317">
        <f t="shared" si="112"/>
        <v>668.23265702009598</v>
      </c>
      <c r="N317">
        <f t="shared" si="112"/>
        <v>621.41508874574924</v>
      </c>
      <c r="O317">
        <f t="shared" si="112"/>
        <v>701.01463337146004</v>
      </c>
      <c r="P317">
        <f t="shared" si="112"/>
        <v>662.87260861240429</v>
      </c>
      <c r="Q317">
        <f t="shared" si="112"/>
        <v>608.79151370766192</v>
      </c>
      <c r="R317">
        <f t="shared" si="112"/>
        <v>743.86356165533175</v>
      </c>
      <c r="S317">
        <f t="shared" si="112"/>
        <v>746.7361704970823</v>
      </c>
      <c r="T317">
        <f t="shared" si="112"/>
        <v>664.29317137802195</v>
      </c>
      <c r="U317">
        <f t="shared" si="112"/>
        <v>720.52431288108676</v>
      </c>
      <c r="V317">
        <f t="shared" si="112"/>
        <v>611.54728318980131</v>
      </c>
      <c r="W317">
        <f t="shared" si="112"/>
        <v>667.82298481452312</v>
      </c>
      <c r="Y317" s="14">
        <f t="shared" si="93"/>
        <v>13270.587711479011</v>
      </c>
      <c r="Z317">
        <f t="shared" si="94"/>
        <v>1985.4470304821593</v>
      </c>
    </row>
    <row r="318" spans="1:26" x14ac:dyDescent="0.25">
      <c r="A318" t="s">
        <v>62</v>
      </c>
      <c r="D318">
        <f t="shared" ref="D318:W318" si="113">D21*D120</f>
        <v>661.08826872316661</v>
      </c>
      <c r="E318">
        <f t="shared" si="113"/>
        <v>709.34688244737231</v>
      </c>
      <c r="F318">
        <f t="shared" si="113"/>
        <v>727.65662813146605</v>
      </c>
      <c r="G318">
        <f t="shared" si="113"/>
        <v>615.54846810011202</v>
      </c>
      <c r="H318">
        <f t="shared" si="113"/>
        <v>694.83356633426263</v>
      </c>
      <c r="I318">
        <f t="shared" si="113"/>
        <v>645.5541764100368</v>
      </c>
      <c r="J318">
        <f t="shared" si="113"/>
        <v>643.14813978057828</v>
      </c>
      <c r="K318">
        <f t="shared" si="113"/>
        <v>649.62395785663944</v>
      </c>
      <c r="L318">
        <f t="shared" si="113"/>
        <v>745.99382739398663</v>
      </c>
      <c r="M318">
        <f t="shared" si="113"/>
        <v>653.01507831037168</v>
      </c>
      <c r="N318">
        <f t="shared" si="113"/>
        <v>761.78944415454043</v>
      </c>
      <c r="O318">
        <f t="shared" si="113"/>
        <v>640.11973707524123</v>
      </c>
      <c r="P318">
        <f t="shared" si="113"/>
        <v>558.67412178519589</v>
      </c>
      <c r="Q318">
        <f t="shared" si="113"/>
        <v>645.09608684812167</v>
      </c>
      <c r="R318">
        <f t="shared" si="113"/>
        <v>664.25986156325075</v>
      </c>
      <c r="S318">
        <f t="shared" si="113"/>
        <v>638.05145710383943</v>
      </c>
      <c r="T318">
        <f t="shared" si="113"/>
        <v>700.39759723335703</v>
      </c>
      <c r="U318">
        <f t="shared" si="113"/>
        <v>665.89383984489007</v>
      </c>
      <c r="V318">
        <f t="shared" si="113"/>
        <v>721.2964686555157</v>
      </c>
      <c r="W318">
        <f t="shared" si="113"/>
        <v>519.9930247724551</v>
      </c>
      <c r="Y318" s="14">
        <f t="shared" si="93"/>
        <v>13261.3806325244</v>
      </c>
      <c r="Z318">
        <f t="shared" si="94"/>
        <v>2074.3943671235602</v>
      </c>
    </row>
    <row r="319" spans="1:26" x14ac:dyDescent="0.25">
      <c r="A319" t="s">
        <v>63</v>
      </c>
      <c r="D319">
        <f t="shared" ref="D319:W319" si="114">D22*D121</f>
        <v>681.05258377458665</v>
      </c>
      <c r="E319">
        <f t="shared" si="114"/>
        <v>656.21264881992806</v>
      </c>
      <c r="F319">
        <f t="shared" si="114"/>
        <v>610.78681565398074</v>
      </c>
      <c r="G319">
        <f t="shared" si="114"/>
        <v>511.94387371550704</v>
      </c>
      <c r="H319">
        <f t="shared" si="114"/>
        <v>332.96491392711386</v>
      </c>
      <c r="I319">
        <f t="shared" si="114"/>
        <v>642.39962796563918</v>
      </c>
      <c r="J319">
        <f t="shared" si="114"/>
        <v>614.52911288340124</v>
      </c>
      <c r="K319">
        <f t="shared" si="114"/>
        <v>534.13216778645995</v>
      </c>
      <c r="L319">
        <f t="shared" si="114"/>
        <v>747.61093117060659</v>
      </c>
      <c r="M319">
        <f t="shared" si="114"/>
        <v>611.08135367499824</v>
      </c>
      <c r="N319">
        <f t="shared" si="114"/>
        <v>570.75863475352844</v>
      </c>
      <c r="O319">
        <f t="shared" si="114"/>
        <v>569.84828247907751</v>
      </c>
      <c r="P319">
        <f t="shared" si="114"/>
        <v>635.75856357422015</v>
      </c>
      <c r="Q319">
        <f t="shared" si="114"/>
        <v>785.13806136847086</v>
      </c>
      <c r="R319">
        <f t="shared" si="114"/>
        <v>774.64763098302626</v>
      </c>
      <c r="S319">
        <f t="shared" si="114"/>
        <v>711.22514418546723</v>
      </c>
      <c r="T319">
        <f t="shared" si="114"/>
        <v>661.96330815295585</v>
      </c>
      <c r="U319">
        <f t="shared" si="114"/>
        <v>776.76188822560277</v>
      </c>
      <c r="V319">
        <f t="shared" si="114"/>
        <v>728.7486664936024</v>
      </c>
      <c r="W319">
        <f t="shared" si="114"/>
        <v>643.95429646055322</v>
      </c>
      <c r="Y319" s="14">
        <f t="shared" si="93"/>
        <v>12801.518506048726</v>
      </c>
      <c r="Z319">
        <f t="shared" si="94"/>
        <v>1669.7757059206631</v>
      </c>
    </row>
    <row r="320" spans="1:26" x14ac:dyDescent="0.25">
      <c r="A320" t="s">
        <v>64</v>
      </c>
      <c r="D320">
        <f t="shared" ref="D320:W320" si="115">D23*D122</f>
        <v>534.13178175139717</v>
      </c>
      <c r="E320">
        <f t="shared" si="115"/>
        <v>572.21069647830404</v>
      </c>
      <c r="F320">
        <f t="shared" si="115"/>
        <v>358.30570813898078</v>
      </c>
      <c r="G320">
        <f t="shared" si="115"/>
        <v>656.37615160514622</v>
      </c>
      <c r="H320">
        <f t="shared" si="115"/>
        <v>632.75390998059345</v>
      </c>
      <c r="I320">
        <f t="shared" si="115"/>
        <v>694.28466218769552</v>
      </c>
      <c r="J320">
        <f t="shared" si="115"/>
        <v>636.3127300299692</v>
      </c>
      <c r="K320">
        <f t="shared" si="115"/>
        <v>604.2953658970689</v>
      </c>
      <c r="L320">
        <f t="shared" si="115"/>
        <v>714.38080425809653</v>
      </c>
      <c r="M320">
        <f t="shared" si="115"/>
        <v>523.21889064620609</v>
      </c>
      <c r="N320">
        <f t="shared" si="115"/>
        <v>575.69220342195217</v>
      </c>
      <c r="O320">
        <f t="shared" si="115"/>
        <v>629.25213049482375</v>
      </c>
      <c r="P320">
        <f t="shared" si="115"/>
        <v>641.88390660862183</v>
      </c>
      <c r="Q320">
        <f t="shared" si="115"/>
        <v>558.55008148096954</v>
      </c>
      <c r="R320">
        <f t="shared" si="115"/>
        <v>682.93840190535252</v>
      </c>
      <c r="S320">
        <f t="shared" si="115"/>
        <v>688.75244496092887</v>
      </c>
      <c r="T320">
        <f t="shared" si="115"/>
        <v>590.2081440512851</v>
      </c>
      <c r="U320">
        <f t="shared" si="115"/>
        <v>777.12888373422231</v>
      </c>
      <c r="V320">
        <f t="shared" si="115"/>
        <v>605.34180210046827</v>
      </c>
      <c r="W320">
        <f t="shared" si="115"/>
        <v>718.025667133826</v>
      </c>
      <c r="Y320" s="14">
        <f t="shared" si="93"/>
        <v>12394.04436686591</v>
      </c>
      <c r="Z320">
        <f t="shared" si="94"/>
        <v>1785.4014556184554</v>
      </c>
    </row>
    <row r="321" spans="1:26" x14ac:dyDescent="0.25">
      <c r="A321" t="s">
        <v>65</v>
      </c>
      <c r="D321">
        <f t="shared" ref="D321:W321" si="116">D24*D123</f>
        <v>613.28897513365473</v>
      </c>
      <c r="E321">
        <f t="shared" si="116"/>
        <v>704.27774055386089</v>
      </c>
      <c r="F321">
        <f t="shared" si="116"/>
        <v>708.14018050930679</v>
      </c>
      <c r="G321">
        <f t="shared" si="116"/>
        <v>686.29292625319192</v>
      </c>
      <c r="H321">
        <f t="shared" si="116"/>
        <v>689.21002960071883</v>
      </c>
      <c r="I321">
        <f t="shared" si="116"/>
        <v>726.82182585699763</v>
      </c>
      <c r="J321">
        <f t="shared" si="116"/>
        <v>702.93547174939067</v>
      </c>
      <c r="K321">
        <f t="shared" si="116"/>
        <v>714.3545261303301</v>
      </c>
      <c r="L321">
        <f t="shared" si="116"/>
        <v>555.42017464174421</v>
      </c>
      <c r="M321">
        <f t="shared" si="116"/>
        <v>612.40959303898364</v>
      </c>
      <c r="N321">
        <f t="shared" si="116"/>
        <v>679.57810037457511</v>
      </c>
      <c r="O321">
        <f t="shared" si="116"/>
        <v>649.7185713500038</v>
      </c>
      <c r="P321">
        <f t="shared" si="116"/>
        <v>613.76681981277511</v>
      </c>
      <c r="Q321">
        <f t="shared" si="116"/>
        <v>621.88894843022922</v>
      </c>
      <c r="R321">
        <f t="shared" si="116"/>
        <v>721.86794257809777</v>
      </c>
      <c r="S321">
        <f t="shared" si="116"/>
        <v>586.61813280790648</v>
      </c>
      <c r="T321">
        <f t="shared" si="116"/>
        <v>716.25961859530332</v>
      </c>
      <c r="U321">
        <f t="shared" si="116"/>
        <v>674.16419397747677</v>
      </c>
      <c r="V321">
        <f t="shared" si="116"/>
        <v>630.02537331288875</v>
      </c>
      <c r="W321">
        <f t="shared" si="116"/>
        <v>697.22214910459763</v>
      </c>
      <c r="Y321" s="14">
        <f t="shared" si="93"/>
        <v>13304.261293812031</v>
      </c>
      <c r="Z321">
        <f t="shared" si="94"/>
        <v>2165.9243787690984</v>
      </c>
    </row>
    <row r="322" spans="1:26" x14ac:dyDescent="0.25">
      <c r="A322" t="s">
        <v>66</v>
      </c>
      <c r="D322">
        <f t="shared" ref="D322:W322" si="117">D25*D124</f>
        <v>184.83602762274703</v>
      </c>
      <c r="E322">
        <f t="shared" si="117"/>
        <v>534.50576170198542</v>
      </c>
      <c r="F322">
        <f t="shared" si="117"/>
        <v>627.61037891758519</v>
      </c>
      <c r="G322">
        <f t="shared" si="117"/>
        <v>595.09537213340991</v>
      </c>
      <c r="H322">
        <f t="shared" si="117"/>
        <v>803.44011653054122</v>
      </c>
      <c r="I322">
        <f t="shared" si="117"/>
        <v>731.19595468269654</v>
      </c>
      <c r="J322">
        <f t="shared" si="117"/>
        <v>676.94636915876754</v>
      </c>
      <c r="K322">
        <f t="shared" si="117"/>
        <v>750.13285004006229</v>
      </c>
      <c r="L322">
        <f t="shared" si="117"/>
        <v>561.1738967345251</v>
      </c>
      <c r="M322">
        <f t="shared" si="117"/>
        <v>815.02551550396186</v>
      </c>
      <c r="N322">
        <f t="shared" si="117"/>
        <v>706.96939031626471</v>
      </c>
      <c r="O322">
        <f t="shared" si="117"/>
        <v>787.09937372528475</v>
      </c>
      <c r="P322">
        <f t="shared" si="117"/>
        <v>804.40560314445008</v>
      </c>
      <c r="Q322">
        <f t="shared" si="117"/>
        <v>772.41225708481909</v>
      </c>
      <c r="R322">
        <f t="shared" si="117"/>
        <v>709.81338060423104</v>
      </c>
      <c r="S322">
        <f t="shared" si="117"/>
        <v>727.82541017930362</v>
      </c>
      <c r="T322">
        <f t="shared" si="117"/>
        <v>719.57927744217523</v>
      </c>
      <c r="U322">
        <f t="shared" si="117"/>
        <v>765.67718404622519</v>
      </c>
      <c r="V322">
        <f t="shared" si="117"/>
        <v>653.59066946516452</v>
      </c>
      <c r="W322">
        <f t="shared" si="117"/>
        <v>684.69750960444037</v>
      </c>
      <c r="Y322" s="14">
        <f t="shared" si="93"/>
        <v>13612.032298638642</v>
      </c>
      <c r="Z322">
        <f t="shared" si="94"/>
        <v>2454.2885694506699</v>
      </c>
    </row>
    <row r="323" spans="1:26" x14ac:dyDescent="0.25">
      <c r="Y323" s="14"/>
    </row>
    <row r="324" spans="1:26" x14ac:dyDescent="0.25">
      <c r="A324" t="s">
        <v>67</v>
      </c>
      <c r="D324">
        <f t="shared" ref="D324:W324" si="118">D27*D126</f>
        <v>720.23808324127492</v>
      </c>
      <c r="E324">
        <f t="shared" si="118"/>
        <v>739.12994777844483</v>
      </c>
      <c r="F324">
        <f t="shared" si="118"/>
        <v>750.30369402409656</v>
      </c>
      <c r="G324">
        <f t="shared" si="118"/>
        <v>725.44036989207984</v>
      </c>
      <c r="H324">
        <f t="shared" si="118"/>
        <v>746.48383221606252</v>
      </c>
      <c r="I324">
        <f t="shared" si="118"/>
        <v>738.18150588782476</v>
      </c>
      <c r="J324">
        <f t="shared" si="118"/>
        <v>760.14490400590216</v>
      </c>
      <c r="K324">
        <f t="shared" si="118"/>
        <v>748.13051973937297</v>
      </c>
      <c r="L324">
        <f t="shared" si="118"/>
        <v>594.29468304134252</v>
      </c>
      <c r="M324">
        <f t="shared" si="118"/>
        <v>571.17760769805545</v>
      </c>
      <c r="N324">
        <f t="shared" si="118"/>
        <v>606.05683490096499</v>
      </c>
      <c r="O324">
        <f t="shared" si="118"/>
        <v>620.75917317160383</v>
      </c>
      <c r="P324">
        <f t="shared" si="118"/>
        <v>613.10848809080676</v>
      </c>
      <c r="Q324">
        <f t="shared" si="118"/>
        <v>634.94331891649142</v>
      </c>
      <c r="R324">
        <f t="shared" si="118"/>
        <v>736.95107865725197</v>
      </c>
      <c r="S324">
        <f t="shared" si="118"/>
        <v>662.00162101689455</v>
      </c>
      <c r="T324">
        <f t="shared" si="118"/>
        <v>619.93881091682476</v>
      </c>
      <c r="U324">
        <f t="shared" si="118"/>
        <v>662.02595143080714</v>
      </c>
      <c r="V324">
        <f t="shared" si="118"/>
        <v>617.45671271996241</v>
      </c>
      <c r="W324">
        <f t="shared" si="118"/>
        <v>647.78076656982978</v>
      </c>
      <c r="Y324" s="14">
        <f t="shared" si="93"/>
        <v>13514.547903915894</v>
      </c>
      <c r="Z324">
        <f>SUMPRODUCT($D$328:$W$328,D324:W324)</f>
        <v>2149.2718234238901</v>
      </c>
    </row>
    <row r="325" spans="1:26" x14ac:dyDescent="0.25">
      <c r="A325" t="s">
        <v>311</v>
      </c>
      <c r="D325">
        <f t="shared" ref="D325:W325" si="119">D28*D127</f>
        <v>788.40000000000009</v>
      </c>
      <c r="E325">
        <f t="shared" si="119"/>
        <v>673.66326530612241</v>
      </c>
      <c r="F325">
        <f t="shared" si="119"/>
        <v>629.13061224489809</v>
      </c>
      <c r="G325">
        <f t="shared" si="119"/>
        <v>791.69387755102048</v>
      </c>
      <c r="H325">
        <f t="shared" si="119"/>
        <v>710.67755102040815</v>
      </c>
      <c r="I325">
        <f t="shared" si="119"/>
        <v>771.36734693877531</v>
      </c>
      <c r="J325">
        <f t="shared" si="119"/>
        <v>864.65306122448976</v>
      </c>
      <c r="K325">
        <f t="shared" si="119"/>
        <v>833.17959183673474</v>
      </c>
      <c r="L325">
        <f t="shared" si="119"/>
        <v>294.9375</v>
      </c>
      <c r="M325">
        <f t="shared" si="119"/>
        <v>478.26122448979589</v>
      </c>
      <c r="N325">
        <f t="shared" si="119"/>
        <v>642.61224489795927</v>
      </c>
      <c r="O325">
        <f t="shared" si="119"/>
        <v>733.16734693877561</v>
      </c>
      <c r="P325">
        <f t="shared" si="119"/>
        <v>681.19251189036174</v>
      </c>
      <c r="Q325">
        <f t="shared" si="119"/>
        <v>515.29283121219066</v>
      </c>
      <c r="R325">
        <f t="shared" si="119"/>
        <v>608.14373216639433</v>
      </c>
      <c r="S325">
        <f t="shared" si="119"/>
        <v>621.53362154316494</v>
      </c>
      <c r="T325">
        <f t="shared" si="119"/>
        <v>637</v>
      </c>
      <c r="U325">
        <f t="shared" si="119"/>
        <v>619.70999999999992</v>
      </c>
      <c r="V325">
        <f t="shared" si="119"/>
        <v>567.80999999999995</v>
      </c>
      <c r="W325">
        <f t="shared" si="119"/>
        <v>647.91999999999996</v>
      </c>
      <c r="Y325" s="14">
        <f t="shared" si="93"/>
        <v>13110.346319261091</v>
      </c>
      <c r="Z325">
        <f>SUMPRODUCT($D$328:$W$328,D325:W325)</f>
        <v>2183.3865465704221</v>
      </c>
    </row>
    <row r="326" spans="1:26" x14ac:dyDescent="0.25">
      <c r="A326" t="s">
        <v>312</v>
      </c>
      <c r="D326">
        <f t="shared" ref="D326:W326" si="120">D29*D128</f>
        <v>655.71765335760188</v>
      </c>
      <c r="E326">
        <f t="shared" si="120"/>
        <v>644.19892598374213</v>
      </c>
      <c r="F326">
        <f t="shared" si="120"/>
        <v>674.64169454488842</v>
      </c>
      <c r="G326">
        <f t="shared" si="120"/>
        <v>649.89460349248282</v>
      </c>
      <c r="H326">
        <f t="shared" si="120"/>
        <v>597.61402531629176</v>
      </c>
      <c r="I326">
        <f t="shared" si="120"/>
        <v>665.15872846007903</v>
      </c>
      <c r="J326">
        <f t="shared" si="120"/>
        <v>650.91825010749801</v>
      </c>
      <c r="K326">
        <f t="shared" si="120"/>
        <v>671.15819003128922</v>
      </c>
      <c r="L326">
        <f t="shared" si="120"/>
        <v>538.91605618201538</v>
      </c>
      <c r="M326">
        <f t="shared" si="120"/>
        <v>588.61473706721472</v>
      </c>
      <c r="N326">
        <f t="shared" si="120"/>
        <v>637.41674922465211</v>
      </c>
      <c r="O326">
        <f t="shared" si="120"/>
        <v>641.72139529848448</v>
      </c>
      <c r="P326">
        <f t="shared" si="120"/>
        <v>627.37432618402192</v>
      </c>
      <c r="Q326">
        <f t="shared" si="120"/>
        <v>646.95519990058119</v>
      </c>
      <c r="R326">
        <f t="shared" si="120"/>
        <v>718.20911769270788</v>
      </c>
      <c r="S326">
        <f t="shared" si="120"/>
        <v>698.79237888758234</v>
      </c>
      <c r="T326">
        <f t="shared" si="120"/>
        <v>654.52662824554704</v>
      </c>
      <c r="U326">
        <f t="shared" si="120"/>
        <v>736.11499880877454</v>
      </c>
      <c r="V326">
        <f t="shared" si="120"/>
        <v>667.11927970564841</v>
      </c>
      <c r="W326">
        <f t="shared" si="120"/>
        <v>635.97004451528994</v>
      </c>
      <c r="Y326" s="14">
        <f t="shared" si="93"/>
        <v>13001.032983006395</v>
      </c>
      <c r="Z326">
        <f>SUMPRODUCT($D$328:$W$328,D326:W326)</f>
        <v>1995.7214337063203</v>
      </c>
    </row>
    <row r="327" spans="1:26" x14ac:dyDescent="0.25">
      <c r="A327" t="s">
        <v>674</v>
      </c>
      <c r="D327">
        <f t="shared" ref="D327:W327" si="121">D30*D129</f>
        <v>606.10502528409347</v>
      </c>
      <c r="E327">
        <f t="shared" si="121"/>
        <v>567.96686473592695</v>
      </c>
      <c r="F327">
        <f t="shared" si="121"/>
        <v>522.81903973704414</v>
      </c>
      <c r="G327">
        <f t="shared" si="121"/>
        <v>277.41010434180089</v>
      </c>
      <c r="H327">
        <f t="shared" si="121"/>
        <v>319.74161893086165</v>
      </c>
      <c r="I327">
        <f t="shared" si="121"/>
        <v>652.81944553363758</v>
      </c>
      <c r="J327">
        <f t="shared" si="121"/>
        <v>659.8911339537899</v>
      </c>
      <c r="K327">
        <f t="shared" si="121"/>
        <v>661.6930791302035</v>
      </c>
      <c r="L327">
        <f t="shared" si="121"/>
        <v>483.12778603203321</v>
      </c>
      <c r="M327">
        <f t="shared" si="121"/>
        <v>586.64076343094609</v>
      </c>
      <c r="N327">
        <f t="shared" si="121"/>
        <v>618.53469517075962</v>
      </c>
      <c r="O327">
        <f t="shared" si="121"/>
        <v>638.60893760589693</v>
      </c>
      <c r="P327">
        <f t="shared" si="121"/>
        <v>601.4364335712329</v>
      </c>
      <c r="Q327">
        <f t="shared" si="121"/>
        <v>628.05711624054038</v>
      </c>
      <c r="R327">
        <f t="shared" si="121"/>
        <v>751.26428087190061</v>
      </c>
      <c r="S327">
        <f t="shared" si="121"/>
        <v>643.02970777387566</v>
      </c>
      <c r="T327">
        <f t="shared" si="121"/>
        <v>618.49295980429588</v>
      </c>
      <c r="U327">
        <f t="shared" si="121"/>
        <v>658.52091720524811</v>
      </c>
      <c r="V327">
        <f t="shared" si="121"/>
        <v>611.15195522405259</v>
      </c>
      <c r="W327">
        <f t="shared" si="121"/>
        <v>645.61636691424553</v>
      </c>
      <c r="Y327" s="14">
        <f t="shared" ref="Y327" si="122">SUM(D327:W327)</f>
        <v>11752.928231492388</v>
      </c>
      <c r="Z327">
        <f>SUMPRODUCT($D$328:$W$328,D327:W327)</f>
        <v>1661.3829791569615</v>
      </c>
    </row>
    <row r="328" spans="1:26" x14ac:dyDescent="0.25">
      <c r="A328" s="2" t="s">
        <v>68</v>
      </c>
      <c r="D328" s="3">
        <f>CORREL($B$2:$B$25,D299:D322)</f>
        <v>-0.2235400279047059</v>
      </c>
      <c r="E328" s="3">
        <f t="shared" ref="E328:W328" si="123">CORREL($B$2:$B$25,E299:E322)</f>
        <v>7.2603922368165638E-3</v>
      </c>
      <c r="F328" s="3">
        <f t="shared" si="123"/>
        <v>0.44716820143096303</v>
      </c>
      <c r="G328" s="3">
        <f t="shared" si="123"/>
        <v>0.28044241748442678</v>
      </c>
      <c r="H328" s="3">
        <f t="shared" si="123"/>
        <v>0.57765056931744885</v>
      </c>
      <c r="I328" s="3">
        <f t="shared" si="123"/>
        <v>0.30372080374107896</v>
      </c>
      <c r="J328" s="3">
        <f t="shared" si="123"/>
        <v>0.12417855696595353</v>
      </c>
      <c r="K328" s="3">
        <f t="shared" si="123"/>
        <v>0.37942659871307838</v>
      </c>
      <c r="L328" s="3">
        <f t="shared" si="123"/>
        <v>-0.17296853430723039</v>
      </c>
      <c r="M328" s="3">
        <f t="shared" si="123"/>
        <v>0.49130992940053553</v>
      </c>
      <c r="N328" s="3">
        <f t="shared" si="123"/>
        <v>0.16456442435572607</v>
      </c>
      <c r="O328" s="3">
        <f t="shared" si="123"/>
        <v>0.31692792789706725</v>
      </c>
      <c r="P328" s="3">
        <f t="shared" si="123"/>
        <v>0.13207654141307248</v>
      </c>
      <c r="Q328" s="3">
        <f t="shared" si="123"/>
        <v>0.14197016311831842</v>
      </c>
      <c r="R328" s="3">
        <f t="shared" si="123"/>
        <v>-3.7385262651985413E-2</v>
      </c>
      <c r="S328" s="3">
        <f t="shared" si="123"/>
        <v>-0.11162171979914511</v>
      </c>
      <c r="T328" s="3">
        <f t="shared" si="123"/>
        <v>0.21877781341557512</v>
      </c>
      <c r="U328" s="3">
        <f t="shared" si="123"/>
        <v>-1.7176042941539165E-2</v>
      </c>
      <c r="V328" s="3">
        <f t="shared" si="123"/>
        <v>5.6103522458526837E-2</v>
      </c>
      <c r="W328" s="3">
        <f t="shared" si="123"/>
        <v>4.54043485371666E-2</v>
      </c>
    </row>
    <row r="331" spans="1:26" x14ac:dyDescent="0.25">
      <c r="D331" t="s">
        <v>127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347</v>
      </c>
      <c r="M331" t="s">
        <v>395</v>
      </c>
      <c r="N331" t="s">
        <v>396</v>
      </c>
      <c r="O331" t="s">
        <v>397</v>
      </c>
      <c r="P331" t="s">
        <v>490</v>
      </c>
      <c r="Q331" t="s">
        <v>491</v>
      </c>
      <c r="R331" t="s">
        <v>492</v>
      </c>
      <c r="S331" t="s">
        <v>493</v>
      </c>
      <c r="T331" t="s">
        <v>602</v>
      </c>
      <c r="U331" t="s">
        <v>603</v>
      </c>
      <c r="V331" t="s">
        <v>604</v>
      </c>
      <c r="W331" t="s">
        <v>605</v>
      </c>
      <c r="Y331" t="s">
        <v>135</v>
      </c>
      <c r="Z331" t="s">
        <v>136</v>
      </c>
    </row>
    <row r="332" spans="1:26" x14ac:dyDescent="0.25">
      <c r="A332" t="s">
        <v>43</v>
      </c>
      <c r="D332">
        <f t="shared" ref="D332:W332" si="124">D2*D134</f>
        <v>439.37507541605294</v>
      </c>
      <c r="E332">
        <f t="shared" si="124"/>
        <v>341.249229928624</v>
      </c>
      <c r="F332">
        <f t="shared" si="124"/>
        <v>568.08544745067309</v>
      </c>
      <c r="G332">
        <f t="shared" si="124"/>
        <v>482.34624950099578</v>
      </c>
      <c r="H332">
        <f t="shared" si="124"/>
        <v>385.79355321113837</v>
      </c>
      <c r="I332">
        <f t="shared" si="124"/>
        <v>435.30227725285749</v>
      </c>
      <c r="J332">
        <f t="shared" si="124"/>
        <v>480.2035903105164</v>
      </c>
      <c r="K332">
        <f t="shared" si="124"/>
        <v>446.71231603692473</v>
      </c>
      <c r="L332">
        <f t="shared" si="124"/>
        <v>401.0260709626711</v>
      </c>
      <c r="M332">
        <f t="shared" si="124"/>
        <v>254.7013607798211</v>
      </c>
      <c r="N332">
        <f t="shared" si="124"/>
        <v>195.70663600320825</v>
      </c>
      <c r="O332">
        <f t="shared" si="124"/>
        <v>265.49768523193984</v>
      </c>
      <c r="P332">
        <f t="shared" si="124"/>
        <v>355.35339572073383</v>
      </c>
      <c r="Q332">
        <f t="shared" si="124"/>
        <v>285.62988842624509</v>
      </c>
      <c r="R332">
        <f t="shared" si="124"/>
        <v>452.91288935912911</v>
      </c>
      <c r="S332">
        <f t="shared" si="124"/>
        <v>261.95270858089049</v>
      </c>
      <c r="T332">
        <f t="shared" si="124"/>
        <v>323.95443300913945</v>
      </c>
      <c r="U332">
        <f t="shared" si="124"/>
        <v>145.39446004745685</v>
      </c>
      <c r="V332">
        <f t="shared" si="124"/>
        <v>121.36260202153228</v>
      </c>
      <c r="W332">
        <f t="shared" si="124"/>
        <v>180.84398806941243</v>
      </c>
      <c r="Y332" s="14">
        <f t="shared" ref="Y332:Y359" si="125">SUM(D332:W332)</f>
        <v>6823.4038573199623</v>
      </c>
      <c r="Z332">
        <f t="shared" ref="Z332:Z355" si="126">SUMPRODUCT($D$361:$W$361,D332:W332)</f>
        <v>892.25101467522165</v>
      </c>
    </row>
    <row r="333" spans="1:26" x14ac:dyDescent="0.25">
      <c r="A333" t="s">
        <v>44</v>
      </c>
      <c r="D333">
        <f t="shared" ref="D333:W333" si="127">D3*D135</f>
        <v>307.5782304554067</v>
      </c>
      <c r="E333">
        <f t="shared" si="127"/>
        <v>637.66917827730083</v>
      </c>
      <c r="F333">
        <f t="shared" si="127"/>
        <v>673.91815787815733</v>
      </c>
      <c r="G333">
        <f t="shared" si="127"/>
        <v>577.81267773445802</v>
      </c>
      <c r="H333">
        <f t="shared" si="127"/>
        <v>389.51479962873071</v>
      </c>
      <c r="I333">
        <f t="shared" si="127"/>
        <v>361.41995478984092</v>
      </c>
      <c r="J333">
        <f t="shared" si="127"/>
        <v>332.96378698871496</v>
      </c>
      <c r="K333">
        <f t="shared" si="127"/>
        <v>332.00676462757735</v>
      </c>
      <c r="L333">
        <f t="shared" si="127"/>
        <v>242.22693863741003</v>
      </c>
      <c r="M333">
        <f t="shared" si="127"/>
        <v>576.12155180263687</v>
      </c>
      <c r="N333">
        <f t="shared" si="127"/>
        <v>714.49430160138593</v>
      </c>
      <c r="O333">
        <f t="shared" si="127"/>
        <v>409.64926089961148</v>
      </c>
      <c r="P333">
        <f t="shared" si="127"/>
        <v>372.76190067182159</v>
      </c>
      <c r="Q333">
        <f t="shared" si="127"/>
        <v>518.46778548894167</v>
      </c>
      <c r="R333">
        <f t="shared" si="127"/>
        <v>431.654647551062</v>
      </c>
      <c r="S333">
        <f t="shared" si="127"/>
        <v>532.89344844264735</v>
      </c>
      <c r="T333">
        <f t="shared" si="127"/>
        <v>734.03445160679667</v>
      </c>
      <c r="U333">
        <f t="shared" si="127"/>
        <v>566.49829335982577</v>
      </c>
      <c r="V333">
        <f t="shared" si="127"/>
        <v>415.87179134144463</v>
      </c>
      <c r="W333">
        <f t="shared" si="127"/>
        <v>443.88778215322884</v>
      </c>
      <c r="Y333" s="14">
        <f t="shared" si="125"/>
        <v>9571.4457039369991</v>
      </c>
      <c r="Z333">
        <f t="shared" si="126"/>
        <v>778.79776956383148</v>
      </c>
    </row>
    <row r="334" spans="1:26" x14ac:dyDescent="0.25">
      <c r="A334" t="s">
        <v>45</v>
      </c>
      <c r="D334">
        <f t="shared" ref="D334:W334" si="128">D4*D136</f>
        <v>493.06076858061033</v>
      </c>
      <c r="E334">
        <f t="shared" si="128"/>
        <v>568.2069675361879</v>
      </c>
      <c r="F334">
        <f t="shared" si="128"/>
        <v>492.07825795827955</v>
      </c>
      <c r="G334">
        <f t="shared" si="128"/>
        <v>530.00561499378875</v>
      </c>
      <c r="H334">
        <f t="shared" si="128"/>
        <v>587.93757498610182</v>
      </c>
      <c r="I334">
        <f t="shared" si="128"/>
        <v>515.72426043185055</v>
      </c>
      <c r="J334">
        <f t="shared" si="128"/>
        <v>518.88407109070988</v>
      </c>
      <c r="K334">
        <f t="shared" si="128"/>
        <v>415.6666414370564</v>
      </c>
      <c r="L334">
        <f t="shared" si="128"/>
        <v>400.32181197261087</v>
      </c>
      <c r="M334">
        <f t="shared" si="128"/>
        <v>425.31328968797669</v>
      </c>
      <c r="N334">
        <f t="shared" si="128"/>
        <v>437.46948787370479</v>
      </c>
      <c r="O334">
        <f t="shared" si="128"/>
        <v>499.51689825943077</v>
      </c>
      <c r="P334">
        <f t="shared" si="128"/>
        <v>427.35040071265399</v>
      </c>
      <c r="Q334">
        <f t="shared" si="128"/>
        <v>394.26711087424991</v>
      </c>
      <c r="R334">
        <f t="shared" si="128"/>
        <v>421.68269380186535</v>
      </c>
      <c r="S334">
        <f t="shared" si="128"/>
        <v>406.32392784203927</v>
      </c>
      <c r="T334">
        <f t="shared" si="128"/>
        <v>450.39937409835323</v>
      </c>
      <c r="U334">
        <f t="shared" si="128"/>
        <v>456.04608352610887</v>
      </c>
      <c r="V334">
        <f t="shared" si="128"/>
        <v>426.46523170153665</v>
      </c>
      <c r="W334">
        <f t="shared" si="128"/>
        <v>487.08326171391349</v>
      </c>
      <c r="Y334" s="14">
        <f t="shared" si="125"/>
        <v>9353.8037290790289</v>
      </c>
      <c r="Z334">
        <f t="shared" si="126"/>
        <v>1048.7035902737339</v>
      </c>
    </row>
    <row r="335" spans="1:26" x14ac:dyDescent="0.25">
      <c r="A335" t="s">
        <v>46</v>
      </c>
      <c r="D335">
        <f t="shared" ref="D335:W335" si="129">D5*D137</f>
        <v>462.2403235512507</v>
      </c>
      <c r="E335">
        <f t="shared" si="129"/>
        <v>424.77953088249865</v>
      </c>
      <c r="F335">
        <f t="shared" si="129"/>
        <v>428.75567628785547</v>
      </c>
      <c r="G335">
        <f t="shared" si="129"/>
        <v>445.20369527432263</v>
      </c>
      <c r="H335">
        <f t="shared" si="129"/>
        <v>420.01846519878393</v>
      </c>
      <c r="I335">
        <f t="shared" si="129"/>
        <v>446.94661427724742</v>
      </c>
      <c r="J335">
        <f t="shared" si="129"/>
        <v>435.92938687468484</v>
      </c>
      <c r="K335">
        <f t="shared" si="129"/>
        <v>465.14127754195016</v>
      </c>
      <c r="L335">
        <f t="shared" si="129"/>
        <v>328.83844701096422</v>
      </c>
      <c r="M335">
        <f t="shared" si="129"/>
        <v>616.59578506348987</v>
      </c>
      <c r="N335">
        <f t="shared" si="129"/>
        <v>693.52861796615866</v>
      </c>
      <c r="O335">
        <f t="shared" si="129"/>
        <v>498.3901405239335</v>
      </c>
      <c r="P335">
        <f t="shared" si="129"/>
        <v>325.10002632714873</v>
      </c>
      <c r="Q335">
        <f t="shared" si="129"/>
        <v>335.32324508602346</v>
      </c>
      <c r="R335">
        <f t="shared" si="129"/>
        <v>411.10724645377184</v>
      </c>
      <c r="S335">
        <f t="shared" si="129"/>
        <v>445.05211655731978</v>
      </c>
      <c r="T335">
        <f t="shared" si="129"/>
        <v>543.98004764171321</v>
      </c>
      <c r="U335">
        <f t="shared" si="129"/>
        <v>549.44091282634872</v>
      </c>
      <c r="V335">
        <f t="shared" si="129"/>
        <v>356.66941727684775</v>
      </c>
      <c r="W335">
        <f t="shared" si="129"/>
        <v>411.08063185450465</v>
      </c>
      <c r="Y335" s="14">
        <f t="shared" si="125"/>
        <v>9044.1216044768189</v>
      </c>
      <c r="Z335">
        <f t="shared" si="126"/>
        <v>886.11184017645405</v>
      </c>
    </row>
    <row r="336" spans="1:26" x14ac:dyDescent="0.25">
      <c r="A336" t="s">
        <v>47</v>
      </c>
      <c r="D336">
        <f t="shared" ref="D336:W336" si="130">D6*D138</f>
        <v>684.56750901887358</v>
      </c>
      <c r="E336">
        <f t="shared" si="130"/>
        <v>490.42231716079874</v>
      </c>
      <c r="F336">
        <f t="shared" si="130"/>
        <v>451.13482039582294</v>
      </c>
      <c r="G336">
        <f t="shared" si="130"/>
        <v>588.16100186362235</v>
      </c>
      <c r="H336">
        <f t="shared" si="130"/>
        <v>577.62786027674679</v>
      </c>
      <c r="I336">
        <f t="shared" si="130"/>
        <v>528.18762723134898</v>
      </c>
      <c r="J336">
        <f t="shared" si="130"/>
        <v>415.71848902907789</v>
      </c>
      <c r="K336">
        <f t="shared" si="130"/>
        <v>518.99629324156751</v>
      </c>
      <c r="L336">
        <f t="shared" si="130"/>
        <v>374.27342399516425</v>
      </c>
      <c r="M336">
        <f t="shared" si="130"/>
        <v>349.47728941897242</v>
      </c>
      <c r="N336">
        <f t="shared" si="130"/>
        <v>266.22528089787437</v>
      </c>
      <c r="O336">
        <f t="shared" si="130"/>
        <v>441.70411758729711</v>
      </c>
      <c r="P336">
        <f t="shared" si="130"/>
        <v>568.7354642325547</v>
      </c>
      <c r="Q336">
        <f t="shared" si="130"/>
        <v>375.67126745903738</v>
      </c>
      <c r="R336">
        <f t="shared" si="130"/>
        <v>309.74753566583041</v>
      </c>
      <c r="S336">
        <f t="shared" si="130"/>
        <v>270.2076767367513</v>
      </c>
      <c r="T336">
        <f t="shared" si="130"/>
        <v>280.64614500018769</v>
      </c>
      <c r="U336">
        <f t="shared" si="130"/>
        <v>405.45006854099682</v>
      </c>
      <c r="V336">
        <f t="shared" si="130"/>
        <v>426.26873912195487</v>
      </c>
      <c r="W336">
        <f t="shared" si="130"/>
        <v>486.6544063502281</v>
      </c>
      <c r="Y336" s="14">
        <f t="shared" si="125"/>
        <v>8809.8773332247092</v>
      </c>
      <c r="Z336">
        <f t="shared" si="126"/>
        <v>1182.588891075779</v>
      </c>
    </row>
    <row r="337" spans="1:26" x14ac:dyDescent="0.25">
      <c r="A337" t="s">
        <v>48</v>
      </c>
      <c r="D337">
        <f t="shared" ref="D337:W337" si="131">D7*D139</f>
        <v>308.2259912571339</v>
      </c>
      <c r="E337">
        <f t="shared" si="131"/>
        <v>369.70348084912098</v>
      </c>
      <c r="F337">
        <f t="shared" si="131"/>
        <v>309.0703677049251</v>
      </c>
      <c r="G337">
        <f t="shared" si="131"/>
        <v>330.64742802154467</v>
      </c>
      <c r="H337">
        <f t="shared" si="131"/>
        <v>369.58754377525361</v>
      </c>
      <c r="I337">
        <f t="shared" si="131"/>
        <v>465.00747451892738</v>
      </c>
      <c r="J337">
        <f t="shared" si="131"/>
        <v>568.24132979874105</v>
      </c>
      <c r="K337">
        <f t="shared" si="131"/>
        <v>592.31296319642729</v>
      </c>
      <c r="L337">
        <f t="shared" si="131"/>
        <v>271.04075233030034</v>
      </c>
      <c r="M337">
        <f t="shared" si="131"/>
        <v>455.70295022183194</v>
      </c>
      <c r="N337">
        <f t="shared" si="131"/>
        <v>405.06537833945123</v>
      </c>
      <c r="O337">
        <f t="shared" si="131"/>
        <v>374.85200796887551</v>
      </c>
      <c r="P337">
        <f t="shared" si="131"/>
        <v>344.16030792723001</v>
      </c>
      <c r="Q337">
        <f t="shared" si="131"/>
        <v>324.7582909230573</v>
      </c>
      <c r="R337">
        <f t="shared" si="131"/>
        <v>370.03266787484381</v>
      </c>
      <c r="S337">
        <f t="shared" si="131"/>
        <v>320.73711902016748</v>
      </c>
      <c r="T337">
        <f t="shared" si="131"/>
        <v>380.72815070287714</v>
      </c>
      <c r="U337">
        <f t="shared" si="131"/>
        <v>370.54634600585098</v>
      </c>
      <c r="V337">
        <f t="shared" si="131"/>
        <v>369.87922129736921</v>
      </c>
      <c r="W337">
        <f t="shared" si="131"/>
        <v>287.34654783133908</v>
      </c>
      <c r="Y337" s="14">
        <f t="shared" si="125"/>
        <v>7587.6463195652686</v>
      </c>
      <c r="Z337">
        <f t="shared" si="126"/>
        <v>825.38209536248019</v>
      </c>
    </row>
    <row r="338" spans="1:26" x14ac:dyDescent="0.25">
      <c r="A338" t="s">
        <v>49</v>
      </c>
      <c r="D338">
        <f t="shared" ref="D338:W338" si="132">D8*D140</f>
        <v>350.35574678386843</v>
      </c>
      <c r="E338">
        <f t="shared" si="132"/>
        <v>493.46214893009568</v>
      </c>
      <c r="F338">
        <f t="shared" si="132"/>
        <v>512.30308257890056</v>
      </c>
      <c r="G338">
        <f t="shared" si="132"/>
        <v>424.59032242362741</v>
      </c>
      <c r="H338">
        <f t="shared" si="132"/>
        <v>322.85031208227196</v>
      </c>
      <c r="I338">
        <f t="shared" si="132"/>
        <v>450.77206822980872</v>
      </c>
      <c r="J338">
        <f t="shared" si="132"/>
        <v>317.21249776431574</v>
      </c>
      <c r="K338">
        <f t="shared" si="132"/>
        <v>308.9266893086405</v>
      </c>
      <c r="L338">
        <f t="shared" si="132"/>
        <v>277.55263456150107</v>
      </c>
      <c r="M338">
        <f t="shared" si="132"/>
        <v>353.39211768177501</v>
      </c>
      <c r="N338">
        <f t="shared" si="132"/>
        <v>658.29259617214643</v>
      </c>
      <c r="O338">
        <f t="shared" si="132"/>
        <v>724.22673435897502</v>
      </c>
      <c r="P338">
        <f t="shared" si="132"/>
        <v>428.61211059541768</v>
      </c>
      <c r="Q338">
        <f t="shared" si="132"/>
        <v>344.62781427446151</v>
      </c>
      <c r="R338">
        <f t="shared" si="132"/>
        <v>371.54524611165522</v>
      </c>
      <c r="S338">
        <f t="shared" si="132"/>
        <v>309.05110531423247</v>
      </c>
      <c r="T338">
        <f t="shared" si="132"/>
        <v>303.62886660410925</v>
      </c>
      <c r="U338">
        <f t="shared" si="132"/>
        <v>582.65086649624675</v>
      </c>
      <c r="V338">
        <f t="shared" si="132"/>
        <v>623.78644745635665</v>
      </c>
      <c r="W338">
        <f t="shared" si="132"/>
        <v>644.57151584289386</v>
      </c>
      <c r="Y338" s="14">
        <f t="shared" si="125"/>
        <v>8802.4109235713004</v>
      </c>
      <c r="Z338">
        <f t="shared" si="126"/>
        <v>892.23532775857734</v>
      </c>
    </row>
    <row r="339" spans="1:26" x14ac:dyDescent="0.25">
      <c r="A339" t="s">
        <v>50</v>
      </c>
      <c r="D339">
        <f t="shared" ref="D339:W339" si="133">D9*D141</f>
        <v>521.38103431708691</v>
      </c>
      <c r="E339">
        <f t="shared" si="133"/>
        <v>445.66310744867673</v>
      </c>
      <c r="F339">
        <f t="shared" si="133"/>
        <v>553.95974065152859</v>
      </c>
      <c r="G339">
        <f t="shared" si="133"/>
        <v>513.3283655384173</v>
      </c>
      <c r="H339">
        <f t="shared" si="133"/>
        <v>521.06662193879436</v>
      </c>
      <c r="I339">
        <f t="shared" si="133"/>
        <v>510.77370368464432</v>
      </c>
      <c r="J339">
        <f t="shared" si="133"/>
        <v>537.4440787849386</v>
      </c>
      <c r="K339">
        <f t="shared" si="133"/>
        <v>477.32212314499441</v>
      </c>
      <c r="L339">
        <f t="shared" si="133"/>
        <v>247.67870136392716</v>
      </c>
      <c r="M339">
        <f t="shared" si="133"/>
        <v>430.88932971500219</v>
      </c>
      <c r="N339">
        <f t="shared" si="133"/>
        <v>468.10708675233474</v>
      </c>
      <c r="O339">
        <f t="shared" si="133"/>
        <v>536.02509950087301</v>
      </c>
      <c r="P339">
        <f t="shared" si="133"/>
        <v>496.46849472357422</v>
      </c>
      <c r="Q339">
        <f t="shared" si="133"/>
        <v>600.57615459657802</v>
      </c>
      <c r="R339">
        <f t="shared" si="133"/>
        <v>601.26654111228538</v>
      </c>
      <c r="S339">
        <f t="shared" si="133"/>
        <v>556.77795621359371</v>
      </c>
      <c r="T339">
        <f t="shared" si="133"/>
        <v>533.78617890764735</v>
      </c>
      <c r="U339">
        <f t="shared" si="133"/>
        <v>396.80511820145028</v>
      </c>
      <c r="V339">
        <f t="shared" si="133"/>
        <v>312.59838729135629</v>
      </c>
      <c r="W339">
        <f t="shared" si="133"/>
        <v>500.57803161340814</v>
      </c>
      <c r="Y339" s="14">
        <f t="shared" si="125"/>
        <v>9762.4958555011108</v>
      </c>
      <c r="Z339">
        <f t="shared" si="126"/>
        <v>1028.1603102145284</v>
      </c>
    </row>
    <row r="340" spans="1:26" x14ac:dyDescent="0.25">
      <c r="A340" t="s">
        <v>51</v>
      </c>
      <c r="D340">
        <f t="shared" ref="D340:W340" si="134">D10*D142</f>
        <v>496.78786173548099</v>
      </c>
      <c r="E340">
        <f t="shared" si="134"/>
        <v>380.37972564116922</v>
      </c>
      <c r="F340">
        <f t="shared" si="134"/>
        <v>415.76269810371366</v>
      </c>
      <c r="G340">
        <f t="shared" si="134"/>
        <v>485.83919642267432</v>
      </c>
      <c r="H340">
        <f t="shared" si="134"/>
        <v>472.2144573421794</v>
      </c>
      <c r="I340">
        <f t="shared" si="134"/>
        <v>432.44654836086977</v>
      </c>
      <c r="J340">
        <f t="shared" si="134"/>
        <v>462.44891402771043</v>
      </c>
      <c r="K340">
        <f t="shared" si="134"/>
        <v>437.3375330544747</v>
      </c>
      <c r="L340">
        <f t="shared" si="134"/>
        <v>366.01864932894426</v>
      </c>
      <c r="M340">
        <f t="shared" si="134"/>
        <v>303.06861548935547</v>
      </c>
      <c r="N340">
        <f t="shared" si="134"/>
        <v>287.24989282122584</v>
      </c>
      <c r="O340">
        <f t="shared" si="134"/>
        <v>305.23823290021465</v>
      </c>
      <c r="P340">
        <f t="shared" si="134"/>
        <v>433.71189337207608</v>
      </c>
      <c r="Q340">
        <f t="shared" si="134"/>
        <v>431.88216276647614</v>
      </c>
      <c r="R340">
        <f t="shared" si="134"/>
        <v>480.73891927041433</v>
      </c>
      <c r="S340">
        <f t="shared" si="134"/>
        <v>510.04711859887067</v>
      </c>
      <c r="T340">
        <f t="shared" si="134"/>
        <v>541.49656219883229</v>
      </c>
      <c r="U340">
        <f t="shared" si="134"/>
        <v>292.48484642694046</v>
      </c>
      <c r="V340">
        <f t="shared" si="134"/>
        <v>285.71292769347076</v>
      </c>
      <c r="W340">
        <f t="shared" si="134"/>
        <v>400.67622238473655</v>
      </c>
      <c r="Y340" s="14">
        <f t="shared" si="125"/>
        <v>8221.542977939831</v>
      </c>
      <c r="Z340">
        <f t="shared" si="126"/>
        <v>928.32295049455217</v>
      </c>
    </row>
    <row r="341" spans="1:26" x14ac:dyDescent="0.25">
      <c r="A341" t="s">
        <v>52</v>
      </c>
      <c r="D341">
        <f t="shared" ref="D341:W341" si="135">D11*D143</f>
        <v>408.97425797602534</v>
      </c>
      <c r="E341">
        <f t="shared" si="135"/>
        <v>366.59144499697004</v>
      </c>
      <c r="F341">
        <f t="shared" si="135"/>
        <v>371.62789519847763</v>
      </c>
      <c r="G341">
        <f t="shared" si="135"/>
        <v>444.11648141699948</v>
      </c>
      <c r="H341">
        <f t="shared" si="135"/>
        <v>372.85059022682668</v>
      </c>
      <c r="I341">
        <f t="shared" si="135"/>
        <v>422.64970776560614</v>
      </c>
      <c r="J341">
        <f t="shared" si="135"/>
        <v>487.06010444790013</v>
      </c>
      <c r="K341">
        <f t="shared" si="135"/>
        <v>507.59924486791726</v>
      </c>
      <c r="L341">
        <f t="shared" si="135"/>
        <v>426.29693713282268</v>
      </c>
      <c r="M341">
        <f t="shared" si="135"/>
        <v>435.02080213021657</v>
      </c>
      <c r="N341">
        <f t="shared" si="135"/>
        <v>343.04124748698462</v>
      </c>
      <c r="O341">
        <f t="shared" si="135"/>
        <v>623.22705711656101</v>
      </c>
      <c r="P341">
        <f t="shared" si="135"/>
        <v>377.56478880593909</v>
      </c>
      <c r="Q341">
        <f t="shared" si="135"/>
        <v>337.37344968017982</v>
      </c>
      <c r="R341">
        <f t="shared" si="135"/>
        <v>396.47753869146783</v>
      </c>
      <c r="S341">
        <f t="shared" si="135"/>
        <v>380.57003451717202</v>
      </c>
      <c r="T341">
        <f t="shared" si="135"/>
        <v>551.22436590375537</v>
      </c>
      <c r="U341">
        <f t="shared" si="135"/>
        <v>581.19511411898918</v>
      </c>
      <c r="V341">
        <f t="shared" si="135"/>
        <v>614.67463873570136</v>
      </c>
      <c r="W341">
        <f t="shared" si="135"/>
        <v>670.85089634406108</v>
      </c>
      <c r="Y341" s="14">
        <f t="shared" si="125"/>
        <v>9118.9865975605753</v>
      </c>
      <c r="Z341">
        <f t="shared" si="126"/>
        <v>992.54307107087811</v>
      </c>
    </row>
    <row r="342" spans="1:26" x14ac:dyDescent="0.25">
      <c r="A342" t="s">
        <v>53</v>
      </c>
      <c r="D342">
        <f t="shared" ref="D342:W342" si="136">D12*D144</f>
        <v>431.21103981353133</v>
      </c>
      <c r="E342">
        <f t="shared" si="136"/>
        <v>421.71042108308262</v>
      </c>
      <c r="F342">
        <f t="shared" si="136"/>
        <v>394.93797787492935</v>
      </c>
      <c r="G342">
        <f t="shared" si="136"/>
        <v>347.94950975351458</v>
      </c>
      <c r="H342">
        <f t="shared" si="136"/>
        <v>286.81185574208126</v>
      </c>
      <c r="I342">
        <f t="shared" si="136"/>
        <v>283.07609601209555</v>
      </c>
      <c r="J342">
        <f t="shared" si="136"/>
        <v>281.99941281882678</v>
      </c>
      <c r="K342">
        <f t="shared" si="136"/>
        <v>392.59725799601318</v>
      </c>
      <c r="L342">
        <f t="shared" si="136"/>
        <v>318.99335949340252</v>
      </c>
      <c r="M342">
        <f t="shared" si="136"/>
        <v>325.69084604034981</v>
      </c>
      <c r="N342">
        <f t="shared" si="136"/>
        <v>378.13171268017578</v>
      </c>
      <c r="O342">
        <f t="shared" si="136"/>
        <v>386.79803022032831</v>
      </c>
      <c r="P342">
        <f t="shared" si="136"/>
        <v>364.64415088191419</v>
      </c>
      <c r="Q342">
        <f t="shared" si="136"/>
        <v>366.36795644755557</v>
      </c>
      <c r="R342">
        <f t="shared" si="136"/>
        <v>405.67988347773678</v>
      </c>
      <c r="S342">
        <f t="shared" si="136"/>
        <v>394.80426817337991</v>
      </c>
      <c r="T342">
        <f t="shared" si="136"/>
        <v>327.85675988128241</v>
      </c>
      <c r="U342">
        <f t="shared" si="136"/>
        <v>300.21531588993241</v>
      </c>
      <c r="V342">
        <f t="shared" si="136"/>
        <v>194.94299540088153</v>
      </c>
      <c r="W342">
        <f t="shared" si="136"/>
        <v>207.27797253645747</v>
      </c>
      <c r="Y342" s="14">
        <f t="shared" si="125"/>
        <v>6811.6968222174719</v>
      </c>
      <c r="Z342">
        <f t="shared" si="126"/>
        <v>727.00264920709162</v>
      </c>
    </row>
    <row r="343" spans="1:26" x14ac:dyDescent="0.25">
      <c r="A343" t="s">
        <v>54</v>
      </c>
      <c r="D343">
        <f t="shared" ref="D343:W343" si="137">D13*D145</f>
        <v>227.1056056305917</v>
      </c>
      <c r="E343">
        <f t="shared" si="137"/>
        <v>329.27814200849809</v>
      </c>
      <c r="F343">
        <f t="shared" si="137"/>
        <v>345.80390143844448</v>
      </c>
      <c r="G343">
        <f t="shared" si="137"/>
        <v>285.71046148743096</v>
      </c>
      <c r="H343">
        <f t="shared" si="137"/>
        <v>239.48227137791801</v>
      </c>
      <c r="I343">
        <f t="shared" si="137"/>
        <v>207.82830057832462</v>
      </c>
      <c r="J343">
        <f t="shared" si="137"/>
        <v>267.66653404556712</v>
      </c>
      <c r="K343">
        <f t="shared" si="137"/>
        <v>254.92695303274854</v>
      </c>
      <c r="L343">
        <f t="shared" si="137"/>
        <v>212.53922144242082</v>
      </c>
      <c r="M343">
        <f t="shared" si="137"/>
        <v>223.56052999631231</v>
      </c>
      <c r="N343">
        <f t="shared" si="137"/>
        <v>257.82919567316532</v>
      </c>
      <c r="O343">
        <f t="shared" si="137"/>
        <v>250.38669294456955</v>
      </c>
      <c r="P343">
        <f t="shared" si="137"/>
        <v>281.18802313218163</v>
      </c>
      <c r="Q343">
        <f t="shared" si="137"/>
        <v>279.92385611841843</v>
      </c>
      <c r="R343">
        <f t="shared" si="137"/>
        <v>266.6313764353867</v>
      </c>
      <c r="S343">
        <f t="shared" si="137"/>
        <v>275.10860280496621</v>
      </c>
      <c r="T343">
        <f t="shared" si="137"/>
        <v>229.83374186539734</v>
      </c>
      <c r="U343">
        <f t="shared" si="137"/>
        <v>333.81764511881295</v>
      </c>
      <c r="V343">
        <f t="shared" si="137"/>
        <v>223.14675337984423</v>
      </c>
      <c r="W343">
        <f t="shared" si="137"/>
        <v>254.59518000382741</v>
      </c>
      <c r="Y343" s="14">
        <f t="shared" si="125"/>
        <v>5246.3629885148257</v>
      </c>
      <c r="Z343">
        <f t="shared" si="126"/>
        <v>533.97817820532669</v>
      </c>
    </row>
    <row r="344" spans="1:26" x14ac:dyDescent="0.25">
      <c r="A344" t="s">
        <v>55</v>
      </c>
      <c r="D344">
        <f t="shared" ref="D344:W344" si="138">D14*D146</f>
        <v>306.32781519257213</v>
      </c>
      <c r="E344">
        <f t="shared" si="138"/>
        <v>244.5737233553196</v>
      </c>
      <c r="F344">
        <f t="shared" si="138"/>
        <v>190.42739228932069</v>
      </c>
      <c r="G344">
        <f t="shared" si="138"/>
        <v>223.00507413567513</v>
      </c>
      <c r="H344">
        <f t="shared" si="138"/>
        <v>188.9000942614598</v>
      </c>
      <c r="I344">
        <f t="shared" si="138"/>
        <v>185.0204653878842</v>
      </c>
      <c r="J344">
        <f t="shared" si="138"/>
        <v>175.80769384229365</v>
      </c>
      <c r="K344">
        <f t="shared" si="138"/>
        <v>176.66242469090764</v>
      </c>
      <c r="L344">
        <f t="shared" si="138"/>
        <v>188.19743348948921</v>
      </c>
      <c r="M344">
        <f t="shared" si="138"/>
        <v>308.51182483082079</v>
      </c>
      <c r="N344">
        <f t="shared" si="138"/>
        <v>336.21462542251209</v>
      </c>
      <c r="O344">
        <f t="shared" si="138"/>
        <v>375.14226910729769</v>
      </c>
      <c r="P344">
        <f t="shared" si="138"/>
        <v>233.80382309573224</v>
      </c>
      <c r="Q344">
        <f t="shared" si="138"/>
        <v>226.18291376259134</v>
      </c>
      <c r="R344">
        <f t="shared" si="138"/>
        <v>231.19731579851069</v>
      </c>
      <c r="S344">
        <f t="shared" si="138"/>
        <v>195.92197655761618</v>
      </c>
      <c r="T344">
        <f t="shared" si="138"/>
        <v>170.85491758408591</v>
      </c>
      <c r="U344">
        <f t="shared" si="138"/>
        <v>183.35708151780395</v>
      </c>
      <c r="V344">
        <f t="shared" si="138"/>
        <v>200.10136733631384</v>
      </c>
      <c r="W344">
        <f t="shared" si="138"/>
        <v>334.8257622890784</v>
      </c>
      <c r="Y344" s="14">
        <f t="shared" si="125"/>
        <v>4675.0359939472855</v>
      </c>
      <c r="Z344">
        <f t="shared" si="126"/>
        <v>488.48489699968917</v>
      </c>
    </row>
    <row r="345" spans="1:26" x14ac:dyDescent="0.25">
      <c r="A345" t="s">
        <v>56</v>
      </c>
      <c r="D345">
        <f t="shared" ref="D345:W345" si="139">D15*D147</f>
        <v>415.60842314536109</v>
      </c>
      <c r="E345">
        <f t="shared" si="139"/>
        <v>320.60191517345987</v>
      </c>
      <c r="F345">
        <f t="shared" si="139"/>
        <v>246.68313187899207</v>
      </c>
      <c r="G345">
        <f t="shared" si="139"/>
        <v>282.41361643241771</v>
      </c>
      <c r="H345">
        <f t="shared" si="139"/>
        <v>239.36235473840858</v>
      </c>
      <c r="I345">
        <f t="shared" si="139"/>
        <v>290.04513645910885</v>
      </c>
      <c r="J345">
        <f t="shared" si="139"/>
        <v>346.63331435417251</v>
      </c>
      <c r="K345">
        <f t="shared" si="139"/>
        <v>343.18394260566811</v>
      </c>
      <c r="L345">
        <f t="shared" si="139"/>
        <v>272.22891781649997</v>
      </c>
      <c r="M345">
        <f t="shared" si="139"/>
        <v>289.70065123632605</v>
      </c>
      <c r="N345">
        <f t="shared" si="139"/>
        <v>469.31838038097544</v>
      </c>
      <c r="O345">
        <f t="shared" si="139"/>
        <v>403.60582908241668</v>
      </c>
      <c r="P345">
        <f t="shared" si="139"/>
        <v>462.60036850110538</v>
      </c>
      <c r="Q345">
        <f t="shared" si="139"/>
        <v>481.19011231785021</v>
      </c>
      <c r="R345">
        <f t="shared" si="139"/>
        <v>225.92957832716189</v>
      </c>
      <c r="S345">
        <f t="shared" si="139"/>
        <v>180.72389645530794</v>
      </c>
      <c r="T345">
        <f t="shared" si="139"/>
        <v>287.11300313738877</v>
      </c>
      <c r="U345">
        <f t="shared" si="139"/>
        <v>196.0120854408089</v>
      </c>
      <c r="V345">
        <f t="shared" si="139"/>
        <v>229.58872134715688</v>
      </c>
      <c r="W345">
        <f t="shared" si="139"/>
        <v>180.72389645530794</v>
      </c>
      <c r="Y345" s="14">
        <f t="shared" si="125"/>
        <v>6163.2672752858953</v>
      </c>
      <c r="Z345">
        <f t="shared" si="126"/>
        <v>692.18914825050115</v>
      </c>
    </row>
    <row r="346" spans="1:26" x14ac:dyDescent="0.25">
      <c r="A346" t="s">
        <v>57</v>
      </c>
      <c r="D346">
        <f t="shared" ref="D346:W346" si="140">D16*D148</f>
        <v>325.39989201023286</v>
      </c>
      <c r="E346">
        <f t="shared" si="140"/>
        <v>342.66022774307692</v>
      </c>
      <c r="F346">
        <f t="shared" si="140"/>
        <v>450.37156710693847</v>
      </c>
      <c r="G346">
        <f t="shared" si="140"/>
        <v>403.4650153830018</v>
      </c>
      <c r="H346">
        <f t="shared" si="140"/>
        <v>359.11492172384027</v>
      </c>
      <c r="I346">
        <f t="shared" si="140"/>
        <v>245.430174786078</v>
      </c>
      <c r="J346">
        <f t="shared" si="140"/>
        <v>254.01141839536098</v>
      </c>
      <c r="K346">
        <f t="shared" si="140"/>
        <v>333.59269099130609</v>
      </c>
      <c r="L346">
        <f t="shared" si="140"/>
        <v>213.07812825248595</v>
      </c>
      <c r="M346">
        <f t="shared" si="140"/>
        <v>292.44913498308495</v>
      </c>
      <c r="N346">
        <f t="shared" si="140"/>
        <v>265.83385676372762</v>
      </c>
      <c r="O346">
        <f t="shared" si="140"/>
        <v>311.24896073463657</v>
      </c>
      <c r="P346">
        <f t="shared" si="140"/>
        <v>312.32964809514141</v>
      </c>
      <c r="Q346">
        <f t="shared" si="140"/>
        <v>337.224460517382</v>
      </c>
      <c r="R346">
        <f t="shared" si="140"/>
        <v>420.15816655654322</v>
      </c>
      <c r="S346">
        <f t="shared" si="140"/>
        <v>307.93842613962386</v>
      </c>
      <c r="T346">
        <f t="shared" si="140"/>
        <v>342.24019312030129</v>
      </c>
      <c r="U346">
        <f t="shared" si="140"/>
        <v>242.08300123310354</v>
      </c>
      <c r="V346">
        <f t="shared" si="140"/>
        <v>411.5895083600056</v>
      </c>
      <c r="W346">
        <f t="shared" si="140"/>
        <v>420.03822694253773</v>
      </c>
      <c r="Y346" s="14">
        <f t="shared" si="125"/>
        <v>6590.2576198384086</v>
      </c>
      <c r="Z346">
        <f t="shared" si="126"/>
        <v>694.32048645970372</v>
      </c>
    </row>
    <row r="347" spans="1:26" x14ac:dyDescent="0.25">
      <c r="A347" t="s">
        <v>58</v>
      </c>
      <c r="D347">
        <f t="shared" ref="D347:W347" si="141">D17*D149</f>
        <v>270.45437378148972</v>
      </c>
      <c r="E347">
        <f t="shared" si="141"/>
        <v>288.72976705973957</v>
      </c>
      <c r="F347">
        <f t="shared" si="141"/>
        <v>222.86359537397539</v>
      </c>
      <c r="G347">
        <f t="shared" si="141"/>
        <v>235.58809030472963</v>
      </c>
      <c r="H347">
        <f t="shared" si="141"/>
        <v>277.71666355623563</v>
      </c>
      <c r="I347">
        <f t="shared" si="141"/>
        <v>163.50838370177016</v>
      </c>
      <c r="J347">
        <f t="shared" si="141"/>
        <v>266.49027052909071</v>
      </c>
      <c r="K347">
        <f t="shared" si="141"/>
        <v>310.42395817148463</v>
      </c>
      <c r="L347">
        <f t="shared" si="141"/>
        <v>242.7515304790241</v>
      </c>
      <c r="M347">
        <f t="shared" si="141"/>
        <v>185.34657969828686</v>
      </c>
      <c r="N347">
        <f t="shared" si="141"/>
        <v>281.04171008146818</v>
      </c>
      <c r="O347">
        <f t="shared" si="141"/>
        <v>229.8315564696492</v>
      </c>
      <c r="P347">
        <f t="shared" si="141"/>
        <v>306.7889380339891</v>
      </c>
      <c r="Q347">
        <f t="shared" si="141"/>
        <v>248.6196338672477</v>
      </c>
      <c r="R347">
        <f t="shared" si="141"/>
        <v>153.08835127458454</v>
      </c>
      <c r="S347">
        <f t="shared" si="141"/>
        <v>192.57855003401986</v>
      </c>
      <c r="T347">
        <f t="shared" si="141"/>
        <v>185.52856248890879</v>
      </c>
      <c r="U347">
        <f t="shared" si="141"/>
        <v>154.57750555074986</v>
      </c>
      <c r="V347">
        <f t="shared" si="141"/>
        <v>118.21727956846479</v>
      </c>
      <c r="W347">
        <f t="shared" si="141"/>
        <v>134.0074171165007</v>
      </c>
      <c r="Y347" s="14">
        <f t="shared" si="125"/>
        <v>4468.1527171414082</v>
      </c>
      <c r="Z347">
        <f t="shared" si="126"/>
        <v>542.85009015932269</v>
      </c>
    </row>
    <row r="348" spans="1:26" x14ac:dyDescent="0.25">
      <c r="A348" t="s">
        <v>59</v>
      </c>
      <c r="D348">
        <f t="shared" ref="D348:W348" si="142">D18*D150</f>
        <v>227.66518045450513</v>
      </c>
      <c r="E348">
        <f t="shared" si="142"/>
        <v>270.54664227519447</v>
      </c>
      <c r="F348">
        <f t="shared" si="142"/>
        <v>201.17578745158465</v>
      </c>
      <c r="G348">
        <f t="shared" si="142"/>
        <v>260.84237479049176</v>
      </c>
      <c r="H348">
        <f t="shared" si="142"/>
        <v>254.62732119777297</v>
      </c>
      <c r="I348">
        <f t="shared" si="142"/>
        <v>213.85123369548691</v>
      </c>
      <c r="J348">
        <f t="shared" si="142"/>
        <v>211.68423370902647</v>
      </c>
      <c r="K348">
        <f t="shared" si="142"/>
        <v>240.06661613123217</v>
      </c>
      <c r="L348">
        <f t="shared" si="142"/>
        <v>151.7782483392765</v>
      </c>
      <c r="M348">
        <f t="shared" si="142"/>
        <v>270.05822521254822</v>
      </c>
      <c r="N348">
        <f t="shared" si="142"/>
        <v>232.45397316397094</v>
      </c>
      <c r="O348">
        <f t="shared" si="142"/>
        <v>202.48953537029411</v>
      </c>
      <c r="P348">
        <f t="shared" si="142"/>
        <v>178.37813781941767</v>
      </c>
      <c r="Q348">
        <f t="shared" si="142"/>
        <v>223.21629926221459</v>
      </c>
      <c r="R348">
        <f t="shared" si="142"/>
        <v>254.72883704632426</v>
      </c>
      <c r="S348">
        <f t="shared" si="142"/>
        <v>280.48127854585982</v>
      </c>
      <c r="T348">
        <f t="shared" si="142"/>
        <v>179.08252855832876</v>
      </c>
      <c r="U348">
        <f t="shared" si="142"/>
        <v>159.32045405342581</v>
      </c>
      <c r="V348">
        <f t="shared" si="142"/>
        <v>226.85219101363049</v>
      </c>
      <c r="W348">
        <f t="shared" si="142"/>
        <v>160.61145085296749</v>
      </c>
      <c r="Y348" s="14">
        <f t="shared" si="125"/>
        <v>4399.9105489435533</v>
      </c>
      <c r="Z348">
        <f t="shared" si="126"/>
        <v>437.37142565895346</v>
      </c>
    </row>
    <row r="349" spans="1:26" x14ac:dyDescent="0.25">
      <c r="A349" t="s">
        <v>60</v>
      </c>
      <c r="D349">
        <f t="shared" ref="D349:W349" si="143">D19*D151</f>
        <v>257.61498303906916</v>
      </c>
      <c r="E349">
        <f t="shared" si="143"/>
        <v>243.7291770245121</v>
      </c>
      <c r="F349">
        <f t="shared" si="143"/>
        <v>226.24655883873686</v>
      </c>
      <c r="G349">
        <f t="shared" si="143"/>
        <v>148.11890117726639</v>
      </c>
      <c r="H349">
        <f t="shared" si="143"/>
        <v>124.10034326191195</v>
      </c>
      <c r="I349">
        <f t="shared" si="143"/>
        <v>196.53273906358336</v>
      </c>
      <c r="J349">
        <f t="shared" si="143"/>
        <v>159.72502758938654</v>
      </c>
      <c r="K349">
        <f t="shared" si="143"/>
        <v>287.28374736300248</v>
      </c>
      <c r="L349">
        <f t="shared" si="143"/>
        <v>-17.314967458912907</v>
      </c>
      <c r="M349">
        <f t="shared" si="143"/>
        <v>250.96898388853754</v>
      </c>
      <c r="N349">
        <f t="shared" si="143"/>
        <v>245.8339649602795</v>
      </c>
      <c r="O349">
        <f t="shared" si="143"/>
        <v>253.29940091712373</v>
      </c>
      <c r="P349">
        <f t="shared" si="143"/>
        <v>206.51665794412764</v>
      </c>
      <c r="Q349">
        <f t="shared" si="143"/>
        <v>170.60494141125793</v>
      </c>
      <c r="R349">
        <f t="shared" si="143"/>
        <v>140.739343164849</v>
      </c>
      <c r="S349">
        <f t="shared" si="143"/>
        <v>171.81359779952456</v>
      </c>
      <c r="T349">
        <f t="shared" si="143"/>
        <v>124.26436231831562</v>
      </c>
      <c r="U349">
        <f t="shared" si="143"/>
        <v>148.74526387860499</v>
      </c>
      <c r="V349">
        <f t="shared" si="143"/>
        <v>239.79052524691667</v>
      </c>
      <c r="W349">
        <f t="shared" si="143"/>
        <v>232.1185057641913</v>
      </c>
      <c r="Y349" s="14">
        <f t="shared" si="125"/>
        <v>3810.7320571922846</v>
      </c>
      <c r="Z349">
        <f t="shared" si="126"/>
        <v>415.9594316777011</v>
      </c>
    </row>
    <row r="350" spans="1:26" x14ac:dyDescent="0.25">
      <c r="A350" t="s">
        <v>61</v>
      </c>
      <c r="D350">
        <f t="shared" ref="D350:W350" si="144">D20*D152</f>
        <v>257.47292606591668</v>
      </c>
      <c r="E350">
        <f t="shared" si="144"/>
        <v>333.96502238757387</v>
      </c>
      <c r="F350">
        <f t="shared" si="144"/>
        <v>315.95968021699804</v>
      </c>
      <c r="G350">
        <f t="shared" si="144"/>
        <v>326.03841938322205</v>
      </c>
      <c r="H350">
        <f t="shared" si="144"/>
        <v>319.24792832788046</v>
      </c>
      <c r="I350">
        <f t="shared" si="144"/>
        <v>381.39329470398889</v>
      </c>
      <c r="J350">
        <f t="shared" si="144"/>
        <v>376.85742479417553</v>
      </c>
      <c r="K350">
        <f t="shared" si="144"/>
        <v>299.50027605042385</v>
      </c>
      <c r="L350">
        <f t="shared" si="144"/>
        <v>312.3993216132867</v>
      </c>
      <c r="M350">
        <f t="shared" si="144"/>
        <v>326.90063523064805</v>
      </c>
      <c r="N350">
        <f t="shared" si="144"/>
        <v>271.15467917359956</v>
      </c>
      <c r="O350">
        <f t="shared" si="144"/>
        <v>338.91527487077889</v>
      </c>
      <c r="P350">
        <f t="shared" si="144"/>
        <v>406.63778523723306</v>
      </c>
      <c r="Q350">
        <f t="shared" si="144"/>
        <v>347.0122481906734</v>
      </c>
      <c r="R350">
        <f t="shared" si="144"/>
        <v>357.25306791839944</v>
      </c>
      <c r="S350">
        <f t="shared" si="144"/>
        <v>383.42135298664323</v>
      </c>
      <c r="T350">
        <f t="shared" si="144"/>
        <v>284.68230715719091</v>
      </c>
      <c r="U350">
        <f t="shared" si="144"/>
        <v>350.78878243965636</v>
      </c>
      <c r="V350">
        <f t="shared" si="144"/>
        <v>307.12540057416658</v>
      </c>
      <c r="W350">
        <f t="shared" si="144"/>
        <v>290.31239709654278</v>
      </c>
      <c r="Y350" s="14">
        <f t="shared" si="125"/>
        <v>6587.0382244189987</v>
      </c>
      <c r="Z350">
        <f t="shared" si="126"/>
        <v>677.80453800147347</v>
      </c>
    </row>
    <row r="351" spans="1:26" x14ac:dyDescent="0.25">
      <c r="A351" t="s">
        <v>62</v>
      </c>
      <c r="D351">
        <f t="shared" ref="D351:W351" si="145">D21*D153</f>
        <v>415.31815597471859</v>
      </c>
      <c r="E351">
        <f t="shared" si="145"/>
        <v>213.02392209175582</v>
      </c>
      <c r="F351">
        <f t="shared" si="145"/>
        <v>252.99495944945923</v>
      </c>
      <c r="G351">
        <f t="shared" si="145"/>
        <v>284.11531936389559</v>
      </c>
      <c r="H351">
        <f t="shared" si="145"/>
        <v>365.99405178091087</v>
      </c>
      <c r="I351">
        <f t="shared" si="145"/>
        <v>389.7876433092963</v>
      </c>
      <c r="J351">
        <f t="shared" si="145"/>
        <v>457.39169660447197</v>
      </c>
      <c r="K351">
        <f t="shared" si="145"/>
        <v>374.79683334248955</v>
      </c>
      <c r="L351">
        <f t="shared" si="145"/>
        <v>436.83984619511364</v>
      </c>
      <c r="M351">
        <f t="shared" si="145"/>
        <v>419.24089979617327</v>
      </c>
      <c r="N351">
        <f t="shared" si="145"/>
        <v>364.94017691335199</v>
      </c>
      <c r="O351">
        <f t="shared" si="145"/>
        <v>350.6254294887583</v>
      </c>
      <c r="P351">
        <f t="shared" si="145"/>
        <v>321.72667410619391</v>
      </c>
      <c r="Q351">
        <f t="shared" si="145"/>
        <v>284.0849240098442</v>
      </c>
      <c r="R351">
        <f t="shared" si="145"/>
        <v>300.69478058672047</v>
      </c>
      <c r="S351">
        <f t="shared" si="145"/>
        <v>356.03474392649559</v>
      </c>
      <c r="T351">
        <f t="shared" si="145"/>
        <v>375.56151057519446</v>
      </c>
      <c r="U351">
        <f t="shared" si="145"/>
        <v>290.8217173763054</v>
      </c>
      <c r="V351">
        <f t="shared" si="145"/>
        <v>229.80196898677522</v>
      </c>
      <c r="W351">
        <f t="shared" si="145"/>
        <v>221.84616008048471</v>
      </c>
      <c r="Y351" s="14">
        <f t="shared" si="125"/>
        <v>6705.6414139584094</v>
      </c>
      <c r="Z351">
        <f t="shared" si="126"/>
        <v>757.57684563306259</v>
      </c>
    </row>
    <row r="352" spans="1:26" x14ac:dyDescent="0.25">
      <c r="A352" t="s">
        <v>63</v>
      </c>
      <c r="D352">
        <f t="shared" ref="D352:W352" si="146">D22*D154</f>
        <v>227.43549828160516</v>
      </c>
      <c r="E352">
        <f t="shared" si="146"/>
        <v>280.98072803709238</v>
      </c>
      <c r="F352">
        <f t="shared" si="146"/>
        <v>247.83409378841282</v>
      </c>
      <c r="G352">
        <f t="shared" si="146"/>
        <v>250.66782984686623</v>
      </c>
      <c r="H352">
        <f t="shared" si="146"/>
        <v>166.39128176854064</v>
      </c>
      <c r="I352">
        <f t="shared" si="146"/>
        <v>285.05252605786472</v>
      </c>
      <c r="J352">
        <f t="shared" si="146"/>
        <v>310.93854008407266</v>
      </c>
      <c r="K352">
        <f t="shared" si="146"/>
        <v>264.58989702072478</v>
      </c>
      <c r="L352">
        <f t="shared" si="146"/>
        <v>293.65935291641438</v>
      </c>
      <c r="M352">
        <f t="shared" si="146"/>
        <v>320.82088504603297</v>
      </c>
      <c r="N352">
        <f t="shared" si="146"/>
        <v>324.40939874046069</v>
      </c>
      <c r="O352">
        <f t="shared" si="146"/>
        <v>290.25471313599627</v>
      </c>
      <c r="P352">
        <f t="shared" si="146"/>
        <v>271.86638293676947</v>
      </c>
      <c r="Q352">
        <f t="shared" si="146"/>
        <v>363.76627710559757</v>
      </c>
      <c r="R352">
        <f t="shared" si="146"/>
        <v>465.32612294378384</v>
      </c>
      <c r="S352">
        <f t="shared" si="146"/>
        <v>455.75755429655567</v>
      </c>
      <c r="T352">
        <f t="shared" si="146"/>
        <v>255.07702808541995</v>
      </c>
      <c r="U352">
        <f t="shared" si="146"/>
        <v>181.78408507492014</v>
      </c>
      <c r="V352">
        <f t="shared" si="146"/>
        <v>231.05877480878831</v>
      </c>
      <c r="W352">
        <f t="shared" si="146"/>
        <v>228.19223576692488</v>
      </c>
      <c r="Y352" s="14">
        <f t="shared" si="125"/>
        <v>5715.8632057428431</v>
      </c>
      <c r="Z352">
        <f t="shared" si="126"/>
        <v>493.02589181833957</v>
      </c>
    </row>
    <row r="353" spans="1:26" x14ac:dyDescent="0.25">
      <c r="A353" t="s">
        <v>64</v>
      </c>
      <c r="D353">
        <f t="shared" ref="D353:W353" si="147">D23*D155</f>
        <v>200.22664569936364</v>
      </c>
      <c r="E353">
        <f t="shared" si="147"/>
        <v>308.27299737853502</v>
      </c>
      <c r="F353">
        <f t="shared" si="147"/>
        <v>263.53884961403134</v>
      </c>
      <c r="G353">
        <f t="shared" si="147"/>
        <v>329.69953601458479</v>
      </c>
      <c r="H353">
        <f t="shared" si="147"/>
        <v>304.75812614322086</v>
      </c>
      <c r="I353">
        <f t="shared" si="147"/>
        <v>298.33989218409431</v>
      </c>
      <c r="J353">
        <f t="shared" si="147"/>
        <v>286.52520284332354</v>
      </c>
      <c r="K353">
        <f t="shared" si="147"/>
        <v>295.5051551869978</v>
      </c>
      <c r="L353">
        <f t="shared" si="147"/>
        <v>312.83127983951505</v>
      </c>
      <c r="M353">
        <f t="shared" si="147"/>
        <v>242.67928372207135</v>
      </c>
      <c r="N353">
        <f t="shared" si="147"/>
        <v>273.11814952130277</v>
      </c>
      <c r="O353">
        <f t="shared" si="147"/>
        <v>310.84280027500836</v>
      </c>
      <c r="P353">
        <f t="shared" si="147"/>
        <v>280.50475919227728</v>
      </c>
      <c r="Q353">
        <f t="shared" si="147"/>
        <v>320.72977954428029</v>
      </c>
      <c r="R353">
        <f t="shared" si="147"/>
        <v>344.78182579165991</v>
      </c>
      <c r="S353">
        <f t="shared" si="147"/>
        <v>214.66506589292274</v>
      </c>
      <c r="T353">
        <f t="shared" si="147"/>
        <v>266.18732025423299</v>
      </c>
      <c r="U353">
        <f t="shared" si="147"/>
        <v>275.91323029855619</v>
      </c>
      <c r="V353">
        <f t="shared" si="147"/>
        <v>371.25126015320166</v>
      </c>
      <c r="W353">
        <f t="shared" si="147"/>
        <v>263.73224918966599</v>
      </c>
      <c r="Y353" s="14">
        <f t="shared" si="125"/>
        <v>5764.1034087388452</v>
      </c>
      <c r="Z353">
        <f t="shared" si="126"/>
        <v>597.4611673442505</v>
      </c>
    </row>
    <row r="354" spans="1:26" x14ac:dyDescent="0.25">
      <c r="A354" t="s">
        <v>65</v>
      </c>
      <c r="D354">
        <f t="shared" ref="D354:W354" si="148">D24*D156</f>
        <v>260.6488705969453</v>
      </c>
      <c r="E354">
        <f t="shared" si="148"/>
        <v>425.52220476712483</v>
      </c>
      <c r="F354">
        <f t="shared" si="148"/>
        <v>455.00306505280065</v>
      </c>
      <c r="G354">
        <f t="shared" si="148"/>
        <v>592.78202965313073</v>
      </c>
      <c r="H354">
        <f t="shared" si="148"/>
        <v>464.12303701497274</v>
      </c>
      <c r="I354">
        <f t="shared" si="148"/>
        <v>349.49677426470004</v>
      </c>
      <c r="J354">
        <f t="shared" si="148"/>
        <v>227.09133049430761</v>
      </c>
      <c r="K354">
        <f t="shared" si="148"/>
        <v>395.10866925930105</v>
      </c>
      <c r="L354">
        <f t="shared" si="148"/>
        <v>312.99451042782425</v>
      </c>
      <c r="M354">
        <f t="shared" si="148"/>
        <v>207.53960621824913</v>
      </c>
      <c r="N354">
        <f t="shared" si="148"/>
        <v>249.71111332257897</v>
      </c>
      <c r="O354">
        <f t="shared" si="148"/>
        <v>301.7299010690636</v>
      </c>
      <c r="P354">
        <f t="shared" si="148"/>
        <v>284.61692640672169</v>
      </c>
      <c r="Q354">
        <f t="shared" si="148"/>
        <v>235.60160816326734</v>
      </c>
      <c r="R354">
        <f t="shared" si="148"/>
        <v>224.93328389959041</v>
      </c>
      <c r="S354">
        <f t="shared" si="148"/>
        <v>269.46664448498115</v>
      </c>
      <c r="T354">
        <f t="shared" si="148"/>
        <v>263.32232072625055</v>
      </c>
      <c r="U354">
        <f t="shared" si="148"/>
        <v>282.19788733109272</v>
      </c>
      <c r="V354">
        <f t="shared" si="148"/>
        <v>348.74994577479902</v>
      </c>
      <c r="W354">
        <f t="shared" si="148"/>
        <v>420.24520230629298</v>
      </c>
      <c r="Y354" s="14">
        <f t="shared" si="125"/>
        <v>6570.8849312339962</v>
      </c>
      <c r="Z354">
        <f t="shared" si="126"/>
        <v>809.32154672263073</v>
      </c>
    </row>
    <row r="355" spans="1:26" x14ac:dyDescent="0.25">
      <c r="A355" t="s">
        <v>66</v>
      </c>
      <c r="D355">
        <f t="shared" ref="D355:W355" si="149">D25*D157</f>
        <v>245.68240452097601</v>
      </c>
      <c r="E355">
        <f t="shared" si="149"/>
        <v>353.86748878490022</v>
      </c>
      <c r="F355">
        <f t="shared" si="149"/>
        <v>384.4253909288264</v>
      </c>
      <c r="G355">
        <f t="shared" si="149"/>
        <v>384.5890533442747</v>
      </c>
      <c r="H355">
        <f t="shared" si="149"/>
        <v>363.30602031807109</v>
      </c>
      <c r="I355">
        <f t="shared" si="149"/>
        <v>368.12154841911348</v>
      </c>
      <c r="J355">
        <f t="shared" si="149"/>
        <v>378.52621305521421</v>
      </c>
      <c r="K355">
        <f t="shared" si="149"/>
        <v>383.38618588406115</v>
      </c>
      <c r="L355">
        <f t="shared" si="149"/>
        <v>302.35517641882035</v>
      </c>
      <c r="M355">
        <f t="shared" si="149"/>
        <v>456.74741960790396</v>
      </c>
      <c r="N355">
        <f t="shared" si="149"/>
        <v>557.55806487071391</v>
      </c>
      <c r="O355">
        <f t="shared" si="149"/>
        <v>539.1248902521271</v>
      </c>
      <c r="P355">
        <f t="shared" si="149"/>
        <v>476.95702205566653</v>
      </c>
      <c r="Q355">
        <f t="shared" si="149"/>
        <v>438.7145514752998</v>
      </c>
      <c r="R355">
        <f t="shared" si="149"/>
        <v>394.3954177400031</v>
      </c>
      <c r="S355">
        <f t="shared" si="149"/>
        <v>386.64023951691416</v>
      </c>
      <c r="T355">
        <f t="shared" si="149"/>
        <v>390.75783807004353</v>
      </c>
      <c r="U355">
        <f t="shared" si="149"/>
        <v>423.3641728830429</v>
      </c>
      <c r="V355">
        <f t="shared" si="149"/>
        <v>375.16082114680938</v>
      </c>
      <c r="W355">
        <f t="shared" si="149"/>
        <v>450.86545482809879</v>
      </c>
      <c r="Y355" s="14">
        <f t="shared" si="125"/>
        <v>8054.5453741208803</v>
      </c>
      <c r="Z355">
        <f t="shared" si="126"/>
        <v>780.92324118096371</v>
      </c>
    </row>
    <row r="356" spans="1:26" x14ac:dyDescent="0.25">
      <c r="Y356" s="14"/>
    </row>
    <row r="357" spans="1:26" x14ac:dyDescent="0.25">
      <c r="A357" t="s">
        <v>67</v>
      </c>
      <c r="D357">
        <f t="shared" ref="D357:W357" si="150">D27*D159</f>
        <v>557.43524236868291</v>
      </c>
      <c r="E357">
        <f t="shared" si="150"/>
        <v>454.88424631926461</v>
      </c>
      <c r="F357">
        <f t="shared" si="150"/>
        <v>463.0869927756865</v>
      </c>
      <c r="G357">
        <f t="shared" si="150"/>
        <v>492.92014661652433</v>
      </c>
      <c r="H357">
        <f t="shared" si="150"/>
        <v>483.08106725089419</v>
      </c>
      <c r="I357">
        <f t="shared" si="150"/>
        <v>481.76693426588827</v>
      </c>
      <c r="J357">
        <f t="shared" si="150"/>
        <v>479.12704716407887</v>
      </c>
      <c r="K357">
        <f t="shared" si="150"/>
        <v>501.8939277443983</v>
      </c>
      <c r="L357">
        <f t="shared" si="150"/>
        <v>357.73670231491627</v>
      </c>
      <c r="M357">
        <f t="shared" si="150"/>
        <v>280.79747447759007</v>
      </c>
      <c r="N357">
        <f t="shared" si="150"/>
        <v>283.63045929369275</v>
      </c>
      <c r="O357">
        <f t="shared" si="150"/>
        <v>289.68419744694324</v>
      </c>
      <c r="P357">
        <f t="shared" si="150"/>
        <v>284.27703313108117</v>
      </c>
      <c r="Q357">
        <f t="shared" si="150"/>
        <v>283.1173711596208</v>
      </c>
      <c r="R357">
        <f t="shared" si="150"/>
        <v>296.03894175393054</v>
      </c>
      <c r="S357">
        <f t="shared" si="150"/>
        <v>293.44421683831035</v>
      </c>
      <c r="T357">
        <f t="shared" si="150"/>
        <v>253.02127001704881</v>
      </c>
      <c r="U357">
        <f t="shared" si="150"/>
        <v>232.95777849736797</v>
      </c>
      <c r="V357">
        <f t="shared" si="150"/>
        <v>278.67745775753178</v>
      </c>
      <c r="W357">
        <f t="shared" si="150"/>
        <v>265.40023050734868</v>
      </c>
      <c r="Y357" s="14">
        <f t="shared" si="125"/>
        <v>7312.9787377008015</v>
      </c>
      <c r="Z357">
        <f>SUMPRODUCT($D$361:$W$361,D357:W357)</f>
        <v>965.49287469696696</v>
      </c>
    </row>
    <row r="358" spans="1:26" x14ac:dyDescent="0.25">
      <c r="A358" t="s">
        <v>311</v>
      </c>
      <c r="D358">
        <f t="shared" ref="D358:W358" si="151">D28*D160</f>
        <v>380.40000000000003</v>
      </c>
      <c r="E358">
        <f t="shared" si="151"/>
        <v>328.64285714285717</v>
      </c>
      <c r="F358">
        <f t="shared" si="151"/>
        <v>337.95306122448983</v>
      </c>
      <c r="G358">
        <f t="shared" si="151"/>
        <v>340.46938775510205</v>
      </c>
      <c r="H358">
        <f t="shared" si="151"/>
        <v>377.91020408163263</v>
      </c>
      <c r="I358">
        <f t="shared" si="151"/>
        <v>331.26938775510195</v>
      </c>
      <c r="J358">
        <f t="shared" si="151"/>
        <v>344.81632653061223</v>
      </c>
      <c r="K358">
        <f t="shared" si="151"/>
        <v>346.53265306122449</v>
      </c>
      <c r="L358">
        <f t="shared" si="151"/>
        <v>198.41249999999999</v>
      </c>
      <c r="M358">
        <f t="shared" si="151"/>
        <v>265.13877551020408</v>
      </c>
      <c r="N358">
        <f t="shared" si="151"/>
        <v>345.40408163265312</v>
      </c>
      <c r="O358">
        <f t="shared" si="151"/>
        <v>330.60000000000008</v>
      </c>
      <c r="P358">
        <f t="shared" si="151"/>
        <v>381.52912681144005</v>
      </c>
      <c r="Q358">
        <f t="shared" si="151"/>
        <v>349.87357725470184</v>
      </c>
      <c r="R358">
        <f t="shared" si="151"/>
        <v>363.96578479966877</v>
      </c>
      <c r="S358">
        <f t="shared" si="151"/>
        <v>402.18203080861969</v>
      </c>
      <c r="T358">
        <f t="shared" si="151"/>
        <v>265.58000000000004</v>
      </c>
      <c r="U358">
        <f t="shared" si="151"/>
        <v>228.41</v>
      </c>
      <c r="V358">
        <f t="shared" si="151"/>
        <v>260.01</v>
      </c>
      <c r="W358">
        <f t="shared" si="151"/>
        <v>264.81</v>
      </c>
      <c r="Y358" s="14">
        <f t="shared" si="125"/>
        <v>6443.9097543683083</v>
      </c>
      <c r="Z358">
        <f>SUMPRODUCT($D$361:$W$361,D358:W358)</f>
        <v>711.13936697522593</v>
      </c>
    </row>
    <row r="359" spans="1:26" x14ac:dyDescent="0.25">
      <c r="A359" t="s">
        <v>312</v>
      </c>
      <c r="D359">
        <f t="shared" ref="D359:W359" si="152">D29*D161</f>
        <v>274.16691479148841</v>
      </c>
      <c r="E359">
        <f t="shared" si="152"/>
        <v>303.89741691306358</v>
      </c>
      <c r="F359">
        <f t="shared" si="152"/>
        <v>313.57928505867994</v>
      </c>
      <c r="G359">
        <f t="shared" si="152"/>
        <v>317.57717137021712</v>
      </c>
      <c r="H359">
        <f t="shared" si="152"/>
        <v>291.55407484340191</v>
      </c>
      <c r="I359">
        <f t="shared" si="152"/>
        <v>285.22413140730271</v>
      </c>
      <c r="J359">
        <f t="shared" si="152"/>
        <v>288.43751392775931</v>
      </c>
      <c r="K359">
        <f t="shared" si="152"/>
        <v>314.78681851935028</v>
      </c>
      <c r="L359">
        <f t="shared" si="152"/>
        <v>237.94052497149514</v>
      </c>
      <c r="M359">
        <f t="shared" si="152"/>
        <v>280.17241160632153</v>
      </c>
      <c r="N359">
        <f t="shared" si="152"/>
        <v>281.72862402840337</v>
      </c>
      <c r="O359">
        <f t="shared" si="152"/>
        <v>288.14486273155109</v>
      </c>
      <c r="P359">
        <f t="shared" si="152"/>
        <v>282.42184455907454</v>
      </c>
      <c r="Q359">
        <f t="shared" si="152"/>
        <v>276.20868229622079</v>
      </c>
      <c r="R359">
        <f t="shared" si="152"/>
        <v>304.26056883031174</v>
      </c>
      <c r="S359">
        <f t="shared" si="152"/>
        <v>300.5914930840845</v>
      </c>
      <c r="T359">
        <f t="shared" si="152"/>
        <v>255.13637034057581</v>
      </c>
      <c r="U359">
        <f t="shared" si="152"/>
        <v>238.82568413030577</v>
      </c>
      <c r="V359">
        <f t="shared" si="152"/>
        <v>284.84634162276984</v>
      </c>
      <c r="W359">
        <f t="shared" si="152"/>
        <v>238.59830564763493</v>
      </c>
      <c r="Y359" s="14">
        <f t="shared" si="125"/>
        <v>5658.099040680012</v>
      </c>
      <c r="Z359">
        <f>SUMPRODUCT($D$361:$W$361,D359:W359)</f>
        <v>602.61494113371657</v>
      </c>
    </row>
    <row r="360" spans="1:26" x14ac:dyDescent="0.25">
      <c r="A360" t="s">
        <v>674</v>
      </c>
      <c r="D360">
        <f t="shared" ref="D360:W360" si="153">D30*D162</f>
        <v>356.01031290459963</v>
      </c>
      <c r="E360">
        <f t="shared" si="153"/>
        <v>314.92921805127077</v>
      </c>
      <c r="F360">
        <f t="shared" si="153"/>
        <v>237.12138792708595</v>
      </c>
      <c r="G360">
        <f t="shared" si="153"/>
        <v>223.58566795974147</v>
      </c>
      <c r="H360">
        <f t="shared" si="153"/>
        <v>235.50012808975342</v>
      </c>
      <c r="I360">
        <f t="shared" si="153"/>
        <v>260.35117672383819</v>
      </c>
      <c r="J360">
        <f t="shared" si="153"/>
        <v>273.03099625907396</v>
      </c>
      <c r="K360">
        <f t="shared" si="153"/>
        <v>283.85973882506164</v>
      </c>
      <c r="L360">
        <f t="shared" si="153"/>
        <v>217.1830130193398</v>
      </c>
      <c r="M360">
        <f t="shared" si="153"/>
        <v>291.13145634412825</v>
      </c>
      <c r="N360">
        <f t="shared" si="153"/>
        <v>297.95699864881578</v>
      </c>
      <c r="O360">
        <f t="shared" si="153"/>
        <v>302.06883018720708</v>
      </c>
      <c r="P360">
        <f t="shared" si="153"/>
        <v>286.07194778044266</v>
      </c>
      <c r="Q360">
        <f t="shared" si="153"/>
        <v>271.68858130763783</v>
      </c>
      <c r="R360">
        <f t="shared" si="153"/>
        <v>307.56812212698128</v>
      </c>
      <c r="S360">
        <f t="shared" si="153"/>
        <v>284.32556888365662</v>
      </c>
      <c r="T360">
        <f t="shared" si="153"/>
        <v>244.00753800143494</v>
      </c>
      <c r="U360">
        <f t="shared" si="153"/>
        <v>228.90422365572522</v>
      </c>
      <c r="V360">
        <f t="shared" si="153"/>
        <v>256.99870083809805</v>
      </c>
      <c r="W360">
        <f t="shared" si="153"/>
        <v>251.87096668042946</v>
      </c>
      <c r="Y360" s="14">
        <f t="shared" ref="Y360" si="154">SUM(D360:W360)</f>
        <v>5424.1645742143228</v>
      </c>
      <c r="Z360">
        <f>SUMPRODUCT($D$361:$W$361,D360:W360)</f>
        <v>573.60864418590813</v>
      </c>
    </row>
    <row r="361" spans="1:26" x14ac:dyDescent="0.25">
      <c r="A361" s="2" t="s">
        <v>68</v>
      </c>
      <c r="D361" s="3">
        <f>CORREL($B$2:$B$25,D332:D355)</f>
        <v>0.35890546408330343</v>
      </c>
      <c r="E361" s="3">
        <f t="shared" ref="E361:W361" si="155">CORREL($B$2:$B$25,E332:E355)</f>
        <v>2.2345699115552248E-2</v>
      </c>
      <c r="F361" s="3">
        <f t="shared" si="155"/>
        <v>0.14430731380451653</v>
      </c>
      <c r="G361" s="3">
        <f t="shared" si="155"/>
        <v>0.18488760862298134</v>
      </c>
      <c r="H361" s="3">
        <f t="shared" si="155"/>
        <v>0.25412892802074893</v>
      </c>
      <c r="I361" s="3">
        <f t="shared" si="155"/>
        <v>0.19877444078547674</v>
      </c>
      <c r="J361" s="3">
        <f t="shared" si="155"/>
        <v>0.1446680936347427</v>
      </c>
      <c r="K361" s="3">
        <f t="shared" si="155"/>
        <v>0.33035619264660826</v>
      </c>
      <c r="L361" s="3">
        <f t="shared" si="155"/>
        <v>0.1823647447276141</v>
      </c>
      <c r="M361" s="3">
        <f t="shared" si="155"/>
        <v>-0.10273536320358807</v>
      </c>
      <c r="N361" s="3">
        <f t="shared" si="155"/>
        <v>-3.2656795594095678E-2</v>
      </c>
      <c r="O361" s="3">
        <f t="shared" si="155"/>
        <v>0.1944746509228866</v>
      </c>
      <c r="P361" s="3">
        <f t="shared" si="155"/>
        <v>0.24443433640330742</v>
      </c>
      <c r="Q361" s="3">
        <f t="shared" si="155"/>
        <v>-9.5204216523702742E-2</v>
      </c>
      <c r="R361" s="3">
        <f t="shared" si="155"/>
        <v>-3.4825970043372755E-2</v>
      </c>
      <c r="S361" s="3">
        <f t="shared" si="155"/>
        <v>-7.4369254557670642E-2</v>
      </c>
      <c r="T361" s="3">
        <f t="shared" si="155"/>
        <v>2.4052801355104368E-2</v>
      </c>
      <c r="U361" s="3">
        <f t="shared" si="155"/>
        <v>1.2106821327002316E-2</v>
      </c>
      <c r="V361" s="3">
        <f t="shared" si="155"/>
        <v>-1.8879012301840853E-3</v>
      </c>
      <c r="W361" s="3">
        <f t="shared" si="155"/>
        <v>0.15602582821294247</v>
      </c>
    </row>
    <row r="364" spans="1:26" x14ac:dyDescent="0.25">
      <c r="D364" t="s">
        <v>137</v>
      </c>
      <c r="E364" t="s">
        <v>138</v>
      </c>
      <c r="F364" t="s">
        <v>139</v>
      </c>
      <c r="G364" t="s">
        <v>140</v>
      </c>
      <c r="H364" t="s">
        <v>141</v>
      </c>
      <c r="I364" t="s">
        <v>142</v>
      </c>
      <c r="J364" t="s">
        <v>143</v>
      </c>
      <c r="K364" t="s">
        <v>144</v>
      </c>
      <c r="L364" t="s">
        <v>348</v>
      </c>
      <c r="M364" t="s">
        <v>398</v>
      </c>
      <c r="N364" t="s">
        <v>399</v>
      </c>
      <c r="O364" t="s">
        <v>400</v>
      </c>
      <c r="P364" t="s">
        <v>494</v>
      </c>
      <c r="Q364" t="s">
        <v>495</v>
      </c>
      <c r="R364" t="s">
        <v>496</v>
      </c>
      <c r="S364" t="s">
        <v>497</v>
      </c>
      <c r="T364" t="s">
        <v>606</v>
      </c>
      <c r="U364" t="s">
        <v>607</v>
      </c>
      <c r="V364" t="s">
        <v>608</v>
      </c>
      <c r="W364" t="s">
        <v>609</v>
      </c>
      <c r="Y364" t="s">
        <v>145</v>
      </c>
      <c r="Z364" t="s">
        <v>146</v>
      </c>
    </row>
    <row r="365" spans="1:26" x14ac:dyDescent="0.25">
      <c r="A365" t="s">
        <v>43</v>
      </c>
      <c r="D365">
        <f t="shared" ref="D365:W365" si="156">D2*D167</f>
        <v>140.63620160657806</v>
      </c>
      <c r="E365">
        <f t="shared" si="156"/>
        <v>105.39560667429531</v>
      </c>
      <c r="F365">
        <f t="shared" si="156"/>
        <v>92.925377287501192</v>
      </c>
      <c r="G365">
        <f t="shared" si="156"/>
        <v>90.924957689641957</v>
      </c>
      <c r="H365">
        <f t="shared" si="156"/>
        <v>93.975625576263525</v>
      </c>
      <c r="I365">
        <f t="shared" si="156"/>
        <v>76.94291293097335</v>
      </c>
      <c r="J365">
        <f t="shared" si="156"/>
        <v>87.3692313150122</v>
      </c>
      <c r="K365">
        <f t="shared" si="156"/>
        <v>72.741999184104245</v>
      </c>
      <c r="L365">
        <f t="shared" si="156"/>
        <v>60.899723683440214</v>
      </c>
      <c r="M365">
        <f t="shared" si="156"/>
        <v>66.037979960286719</v>
      </c>
      <c r="N365">
        <f t="shared" si="156"/>
        <v>48.125280518479904</v>
      </c>
      <c r="O365">
        <f t="shared" si="156"/>
        <v>61.301762348372002</v>
      </c>
      <c r="P365">
        <f t="shared" si="156"/>
        <v>46.966499043933617</v>
      </c>
      <c r="Q365">
        <f t="shared" si="156"/>
        <v>82.392623637786386</v>
      </c>
      <c r="R365">
        <f t="shared" si="156"/>
        <v>75.862825641562083</v>
      </c>
      <c r="S365">
        <f t="shared" si="156"/>
        <v>35.432641396148874</v>
      </c>
      <c r="T365">
        <f t="shared" si="156"/>
        <v>65.14153446369518</v>
      </c>
      <c r="U365">
        <f t="shared" si="156"/>
        <v>78.355516186932832</v>
      </c>
      <c r="V365">
        <f t="shared" si="156"/>
        <v>77.346517024928858</v>
      </c>
      <c r="W365">
        <f t="shared" si="156"/>
        <v>114.60502404367871</v>
      </c>
      <c r="Y365" s="14">
        <f t="shared" ref="Y365:Y392" si="157">SUM(D365:W365)</f>
        <v>1573.3798402136151</v>
      </c>
      <c r="Z365">
        <f t="shared" ref="Z365:Z388" si="158">SUMPRODUCT($D$394:$W$394,D365:W365)</f>
        <v>-280.06080967324749</v>
      </c>
    </row>
    <row r="366" spans="1:26" x14ac:dyDescent="0.25">
      <c r="A366" t="s">
        <v>44</v>
      </c>
      <c r="D366">
        <f t="shared" ref="D366:W366" si="159">D3*D168</f>
        <v>134.89396643035801</v>
      </c>
      <c r="E366">
        <f t="shared" si="159"/>
        <v>117.74023886789513</v>
      </c>
      <c r="F366">
        <f t="shared" si="159"/>
        <v>113.30639747545382</v>
      </c>
      <c r="G366">
        <f t="shared" si="159"/>
        <v>111.73581558532095</v>
      </c>
      <c r="H366">
        <f t="shared" si="159"/>
        <v>117.94447659835095</v>
      </c>
      <c r="I366">
        <f t="shared" si="159"/>
        <v>87.377488581316115</v>
      </c>
      <c r="J366">
        <f t="shared" si="159"/>
        <v>78.347266804499128</v>
      </c>
      <c r="K366">
        <f t="shared" si="159"/>
        <v>83.734617634443097</v>
      </c>
      <c r="L366">
        <f t="shared" si="159"/>
        <v>64.26779612078434</v>
      </c>
      <c r="M366">
        <f t="shared" si="159"/>
        <v>77.017924844597999</v>
      </c>
      <c r="N366">
        <f t="shared" si="159"/>
        <v>87.872456771660012</v>
      </c>
      <c r="O366">
        <f t="shared" si="159"/>
        <v>72.819448261036769</v>
      </c>
      <c r="P366">
        <f t="shared" si="159"/>
        <v>92.487861618172147</v>
      </c>
      <c r="Q366">
        <f t="shared" si="159"/>
        <v>74.902089451479085</v>
      </c>
      <c r="R366">
        <f t="shared" si="159"/>
        <v>106.78524102125748</v>
      </c>
      <c r="S366">
        <f t="shared" si="159"/>
        <v>119.33543519551081</v>
      </c>
      <c r="T366">
        <f t="shared" si="159"/>
        <v>84.332871437751095</v>
      </c>
      <c r="U366">
        <f t="shared" si="159"/>
        <v>99.37368762243959</v>
      </c>
      <c r="V366">
        <f t="shared" si="159"/>
        <v>102.99415325895541</v>
      </c>
      <c r="W366">
        <f t="shared" si="159"/>
        <v>122.54737801299227</v>
      </c>
      <c r="Y366" s="14">
        <f t="shared" si="157"/>
        <v>1949.816611594274</v>
      </c>
      <c r="Z366">
        <f t="shared" si="158"/>
        <v>-371.43430155551255</v>
      </c>
    </row>
    <row r="367" spans="1:26" x14ac:dyDescent="0.25">
      <c r="A367" t="s">
        <v>45</v>
      </c>
      <c r="D367">
        <f t="shared" ref="D367:W367" si="160">D4*D169</f>
        <v>179.55498446674994</v>
      </c>
      <c r="E367">
        <f t="shared" si="160"/>
        <v>143.48436097069154</v>
      </c>
      <c r="F367">
        <f t="shared" si="160"/>
        <v>116.80917584434748</v>
      </c>
      <c r="G367">
        <f t="shared" si="160"/>
        <v>94.335837396452916</v>
      </c>
      <c r="H367">
        <f t="shared" si="160"/>
        <v>105.32343986515406</v>
      </c>
      <c r="I367">
        <f t="shared" si="160"/>
        <v>91.548500307067371</v>
      </c>
      <c r="J367">
        <f t="shared" si="160"/>
        <v>80.740533002695983</v>
      </c>
      <c r="K367">
        <f t="shared" si="160"/>
        <v>71.859096617174075</v>
      </c>
      <c r="L367">
        <f t="shared" si="160"/>
        <v>64.207126492410836</v>
      </c>
      <c r="M367">
        <f t="shared" si="160"/>
        <v>77.816893611371526</v>
      </c>
      <c r="N367">
        <f t="shared" si="160"/>
        <v>70.538519686327732</v>
      </c>
      <c r="O367">
        <f t="shared" si="160"/>
        <v>71.517785533804201</v>
      </c>
      <c r="P367">
        <f t="shared" si="160"/>
        <v>70.385564020276774</v>
      </c>
      <c r="Q367">
        <f t="shared" si="160"/>
        <v>77.850561432528082</v>
      </c>
      <c r="R367">
        <f t="shared" si="160"/>
        <v>89.534015136065364</v>
      </c>
      <c r="S367">
        <f t="shared" si="160"/>
        <v>90.890074144773919</v>
      </c>
      <c r="T367">
        <f t="shared" si="160"/>
        <v>102.56652921346027</v>
      </c>
      <c r="U367">
        <f t="shared" si="160"/>
        <v>105.62999968307444</v>
      </c>
      <c r="V367">
        <f t="shared" si="160"/>
        <v>102.24227201375118</v>
      </c>
      <c r="W367">
        <f t="shared" si="160"/>
        <v>120.31360396064191</v>
      </c>
      <c r="Y367" s="14">
        <f t="shared" si="157"/>
        <v>1927.1488733988199</v>
      </c>
      <c r="Z367">
        <f t="shared" si="158"/>
        <v>-358.6983337358069</v>
      </c>
    </row>
    <row r="368" spans="1:26" x14ac:dyDescent="0.25">
      <c r="A368" t="s">
        <v>46</v>
      </c>
      <c r="D368">
        <f t="shared" ref="D368:W368" si="161">D5*D170</f>
        <v>123.70787784382111</v>
      </c>
      <c r="E368">
        <f t="shared" si="161"/>
        <v>125.74940360515393</v>
      </c>
      <c r="F368">
        <f t="shared" si="161"/>
        <v>115.93644178587476</v>
      </c>
      <c r="G368">
        <f t="shared" si="161"/>
        <v>110.03883712563344</v>
      </c>
      <c r="H368">
        <f t="shared" si="161"/>
        <v>96.895000739594053</v>
      </c>
      <c r="I368">
        <f t="shared" si="161"/>
        <v>100.78456726712052</v>
      </c>
      <c r="J368">
        <f t="shared" si="161"/>
        <v>84.489521888777972</v>
      </c>
      <c r="K368">
        <f t="shared" si="161"/>
        <v>83.944303237347299</v>
      </c>
      <c r="L368">
        <f t="shared" si="161"/>
        <v>60.925676709206655</v>
      </c>
      <c r="M368">
        <f t="shared" si="161"/>
        <v>51.675270675808704</v>
      </c>
      <c r="N368">
        <f t="shared" si="161"/>
        <v>69.767461397398677</v>
      </c>
      <c r="O368">
        <f t="shared" si="161"/>
        <v>65.030040334566607</v>
      </c>
      <c r="P368">
        <f t="shared" si="161"/>
        <v>66.257066902704778</v>
      </c>
      <c r="Q368">
        <f t="shared" si="161"/>
        <v>58.082732129723532</v>
      </c>
      <c r="R368">
        <f t="shared" si="161"/>
        <v>103.97624537271119</v>
      </c>
      <c r="S368">
        <f t="shared" si="161"/>
        <v>81.372331893157849</v>
      </c>
      <c r="T368">
        <f t="shared" si="161"/>
        <v>104.60173184172962</v>
      </c>
      <c r="U368">
        <f t="shared" si="161"/>
        <v>111.81081576346666</v>
      </c>
      <c r="V368">
        <f t="shared" si="161"/>
        <v>88.556627073363558</v>
      </c>
      <c r="W368">
        <f t="shared" si="161"/>
        <v>104.0713981427419</v>
      </c>
      <c r="Y368" s="14">
        <f t="shared" si="157"/>
        <v>1807.6733517299031</v>
      </c>
      <c r="Z368">
        <f t="shared" si="158"/>
        <v>-343.98947381121292</v>
      </c>
    </row>
    <row r="369" spans="1:26" x14ac:dyDescent="0.25">
      <c r="A369" t="s">
        <v>47</v>
      </c>
      <c r="D369">
        <f t="shared" ref="D369:W369" si="162">D6*D171</f>
        <v>175.16080941445361</v>
      </c>
      <c r="E369">
        <f t="shared" si="162"/>
        <v>119.85613964127538</v>
      </c>
      <c r="F369">
        <f t="shared" si="162"/>
        <v>104.67068664691681</v>
      </c>
      <c r="G369">
        <f t="shared" si="162"/>
        <v>129.4368496446057</v>
      </c>
      <c r="H369">
        <f t="shared" si="162"/>
        <v>95.225324740623535</v>
      </c>
      <c r="I369">
        <f t="shared" si="162"/>
        <v>103.88148417789728</v>
      </c>
      <c r="J369">
        <f t="shared" si="162"/>
        <v>102.28310677784447</v>
      </c>
      <c r="K369">
        <f t="shared" si="162"/>
        <v>81.936157522818036</v>
      </c>
      <c r="L369">
        <f t="shared" si="162"/>
        <v>61.176793133333099</v>
      </c>
      <c r="M369">
        <f t="shared" si="162"/>
        <v>76.726303745794937</v>
      </c>
      <c r="N369">
        <f t="shared" si="162"/>
        <v>64.788311702337481</v>
      </c>
      <c r="O369">
        <f t="shared" si="162"/>
        <v>83.001593971333449</v>
      </c>
      <c r="P369">
        <f t="shared" si="162"/>
        <v>76.637838861299016</v>
      </c>
      <c r="Q369">
        <f t="shared" si="162"/>
        <v>81.488765022400543</v>
      </c>
      <c r="R369">
        <f t="shared" si="162"/>
        <v>77.433576023702301</v>
      </c>
      <c r="S369">
        <f t="shared" si="162"/>
        <v>104.56864266722805</v>
      </c>
      <c r="T369">
        <f t="shared" si="162"/>
        <v>98.337941203455543</v>
      </c>
      <c r="U369">
        <f t="shared" si="162"/>
        <v>131.98841582858725</v>
      </c>
      <c r="V369">
        <f t="shared" si="162"/>
        <v>147.28857858876063</v>
      </c>
      <c r="W369">
        <f t="shared" si="162"/>
        <v>151.17245269001788</v>
      </c>
      <c r="Y369" s="14">
        <f t="shared" si="157"/>
        <v>2067.0597720046849</v>
      </c>
      <c r="Z369">
        <f t="shared" si="158"/>
        <v>-399.2274430436326</v>
      </c>
    </row>
    <row r="370" spans="1:26" x14ac:dyDescent="0.25">
      <c r="A370" t="s">
        <v>48</v>
      </c>
      <c r="D370">
        <f t="shared" ref="D370:W370" si="163">D7*D172</f>
        <v>116.84108150871134</v>
      </c>
      <c r="E370">
        <f t="shared" si="163"/>
        <v>118.54454381976011</v>
      </c>
      <c r="F370">
        <f t="shared" si="163"/>
        <v>107.15713973692974</v>
      </c>
      <c r="G370">
        <f t="shared" si="163"/>
        <v>84.730820616322021</v>
      </c>
      <c r="H370">
        <f t="shared" si="163"/>
        <v>83.046340196733738</v>
      </c>
      <c r="I370">
        <f t="shared" si="163"/>
        <v>121.45312549233417</v>
      </c>
      <c r="J370">
        <f t="shared" si="163"/>
        <v>100.14252568433862</v>
      </c>
      <c r="K370">
        <f t="shared" si="163"/>
        <v>65.083241378241368</v>
      </c>
      <c r="L370">
        <f t="shared" si="163"/>
        <v>49.91948365253468</v>
      </c>
      <c r="M370">
        <f t="shared" si="163"/>
        <v>79.890311743688557</v>
      </c>
      <c r="N370">
        <f t="shared" si="163"/>
        <v>61.329420157453427</v>
      </c>
      <c r="O370">
        <f t="shared" si="163"/>
        <v>75.652220428156994</v>
      </c>
      <c r="P370">
        <f t="shared" si="163"/>
        <v>64.352826986003095</v>
      </c>
      <c r="Q370">
        <f t="shared" si="163"/>
        <v>74.825265719244896</v>
      </c>
      <c r="R370">
        <f t="shared" si="163"/>
        <v>89.828599774806449</v>
      </c>
      <c r="S370">
        <f t="shared" si="163"/>
        <v>99.823175728898732</v>
      </c>
      <c r="T370">
        <f t="shared" si="163"/>
        <v>98.509820274845353</v>
      </c>
      <c r="U370">
        <f t="shared" si="163"/>
        <v>104.33070217119331</v>
      </c>
      <c r="V370">
        <f t="shared" si="163"/>
        <v>79.124710450149209</v>
      </c>
      <c r="W370">
        <f t="shared" si="163"/>
        <v>98.980725074210071</v>
      </c>
      <c r="Y370" s="14">
        <f t="shared" si="157"/>
        <v>1773.5660805945563</v>
      </c>
      <c r="Z370">
        <f t="shared" si="158"/>
        <v>-353.28759920048969</v>
      </c>
    </row>
    <row r="371" spans="1:26" x14ac:dyDescent="0.25">
      <c r="A371" t="s">
        <v>49</v>
      </c>
      <c r="D371">
        <f t="shared" ref="D371:W371" si="164">D8*D173</f>
        <v>41.40186449320111</v>
      </c>
      <c r="E371">
        <f t="shared" si="164"/>
        <v>107.77924409002303</v>
      </c>
      <c r="F371">
        <f t="shared" si="164"/>
        <v>114.00115289735407</v>
      </c>
      <c r="G371">
        <f t="shared" si="164"/>
        <v>90.873376181344938</v>
      </c>
      <c r="H371">
        <f t="shared" si="164"/>
        <v>94.610301324286638</v>
      </c>
      <c r="I371">
        <f t="shared" si="164"/>
        <v>95.29777390533161</v>
      </c>
      <c r="J371">
        <f t="shared" si="164"/>
        <v>72.570545364338074</v>
      </c>
      <c r="K371">
        <f t="shared" si="164"/>
        <v>79.674711738250167</v>
      </c>
      <c r="L371">
        <f t="shared" si="164"/>
        <v>58.130037735758016</v>
      </c>
      <c r="M371">
        <f t="shared" si="164"/>
        <v>81.752086508418444</v>
      </c>
      <c r="N371">
        <f t="shared" si="164"/>
        <v>65.833721872882379</v>
      </c>
      <c r="O371">
        <f t="shared" si="164"/>
        <v>72.533754040591859</v>
      </c>
      <c r="P371">
        <f t="shared" si="164"/>
        <v>79.041895711210685</v>
      </c>
      <c r="Q371">
        <f t="shared" si="164"/>
        <v>88.712898590497247</v>
      </c>
      <c r="R371">
        <f t="shared" si="164"/>
        <v>89.201467872853186</v>
      </c>
      <c r="S371">
        <f t="shared" si="164"/>
        <v>100.50235166157611</v>
      </c>
      <c r="T371">
        <f t="shared" si="164"/>
        <v>104.54701759710575</v>
      </c>
      <c r="U371">
        <f t="shared" si="164"/>
        <v>92.992097937061203</v>
      </c>
      <c r="V371">
        <f t="shared" si="164"/>
        <v>96.379437284221439</v>
      </c>
      <c r="W371">
        <f t="shared" si="164"/>
        <v>130.73614576067683</v>
      </c>
      <c r="Y371" s="14">
        <f t="shared" si="157"/>
        <v>1756.5718825669824</v>
      </c>
      <c r="Z371">
        <f t="shared" si="158"/>
        <v>-322.77990889543634</v>
      </c>
    </row>
    <row r="372" spans="1:26" x14ac:dyDescent="0.25">
      <c r="A372" t="s">
        <v>50</v>
      </c>
      <c r="D372">
        <f t="shared" ref="D372:W372" si="165">D9*D174</f>
        <v>136.49725748616592</v>
      </c>
      <c r="E372">
        <f t="shared" si="165"/>
        <v>134.71499171274149</v>
      </c>
      <c r="F372">
        <f t="shared" si="165"/>
        <v>127.11049784809302</v>
      </c>
      <c r="G372">
        <f t="shared" si="165"/>
        <v>101.81090105716275</v>
      </c>
      <c r="H372">
        <f t="shared" si="165"/>
        <v>106.31983500909693</v>
      </c>
      <c r="I372">
        <f t="shared" si="165"/>
        <v>120.08302482622662</v>
      </c>
      <c r="J372">
        <f t="shared" si="165"/>
        <v>92.487422347361999</v>
      </c>
      <c r="K372">
        <f t="shared" si="165"/>
        <v>84.665945973164014</v>
      </c>
      <c r="L372">
        <f t="shared" si="165"/>
        <v>63.327638621466164</v>
      </c>
      <c r="M372">
        <f t="shared" si="165"/>
        <v>91.692021081241691</v>
      </c>
      <c r="N372">
        <f t="shared" si="165"/>
        <v>91.497598896695891</v>
      </c>
      <c r="O372">
        <f t="shared" si="165"/>
        <v>61.280888451645872</v>
      </c>
      <c r="P372">
        <f t="shared" si="165"/>
        <v>81.253298120870014</v>
      </c>
      <c r="Q372">
        <f t="shared" si="165"/>
        <v>86.601570172303425</v>
      </c>
      <c r="R372">
        <f t="shared" si="165"/>
        <v>103.28894116336279</v>
      </c>
      <c r="S372">
        <f t="shared" si="165"/>
        <v>93.112932853174755</v>
      </c>
      <c r="T372">
        <f t="shared" si="165"/>
        <v>133.88785899098735</v>
      </c>
      <c r="U372">
        <f t="shared" si="165"/>
        <v>127.22850545337735</v>
      </c>
      <c r="V372">
        <f t="shared" si="165"/>
        <v>96.600782655196198</v>
      </c>
      <c r="W372">
        <f t="shared" si="165"/>
        <v>107.52486899635903</v>
      </c>
      <c r="Y372" s="14">
        <f t="shared" si="157"/>
        <v>2040.9867817166933</v>
      </c>
      <c r="Z372">
        <f t="shared" si="158"/>
        <v>-393.73560698253743</v>
      </c>
    </row>
    <row r="373" spans="1:26" x14ac:dyDescent="0.25">
      <c r="A373" t="s">
        <v>51</v>
      </c>
      <c r="D373">
        <f t="shared" ref="D373:W373" si="166">D10*D175</f>
        <v>131.63094795361295</v>
      </c>
      <c r="E373">
        <f t="shared" si="166"/>
        <v>116.81423085528108</v>
      </c>
      <c r="F373">
        <f t="shared" si="166"/>
        <v>136.53237311174641</v>
      </c>
      <c r="G373">
        <f t="shared" si="166"/>
        <v>138.28258518743922</v>
      </c>
      <c r="H373">
        <f t="shared" si="166"/>
        <v>122.9749227117475</v>
      </c>
      <c r="I373">
        <f t="shared" si="166"/>
        <v>76.466533051040741</v>
      </c>
      <c r="J373">
        <f t="shared" si="166"/>
        <v>74.91774563635957</v>
      </c>
      <c r="K373">
        <f t="shared" si="166"/>
        <v>108.22030398910258</v>
      </c>
      <c r="L373">
        <f t="shared" si="166"/>
        <v>69.480183419233327</v>
      </c>
      <c r="M373">
        <f t="shared" si="166"/>
        <v>76.980609186607282</v>
      </c>
      <c r="N373">
        <f t="shared" si="166"/>
        <v>64.871363795990831</v>
      </c>
      <c r="O373">
        <f t="shared" si="166"/>
        <v>65.56381182961016</v>
      </c>
      <c r="P373">
        <f t="shared" si="166"/>
        <v>70.823300339447499</v>
      </c>
      <c r="Q373">
        <f t="shared" si="166"/>
        <v>83.902609552461968</v>
      </c>
      <c r="R373">
        <f t="shared" si="166"/>
        <v>85.844767603895789</v>
      </c>
      <c r="S373">
        <f t="shared" si="166"/>
        <v>82.395619005182127</v>
      </c>
      <c r="T373">
        <f t="shared" si="166"/>
        <v>92.709459829622759</v>
      </c>
      <c r="U373">
        <f t="shared" si="166"/>
        <v>97.804070831552849</v>
      </c>
      <c r="V373">
        <f t="shared" si="166"/>
        <v>101.65861534459036</v>
      </c>
      <c r="W373">
        <f t="shared" si="166"/>
        <v>132.77365820088079</v>
      </c>
      <c r="Y373" s="14">
        <f t="shared" si="157"/>
        <v>1930.6477114354057</v>
      </c>
      <c r="Z373">
        <f t="shared" si="158"/>
        <v>-321.77774102335718</v>
      </c>
    </row>
    <row r="374" spans="1:26" x14ac:dyDescent="0.25">
      <c r="A374" t="s">
        <v>52</v>
      </c>
      <c r="D374">
        <f t="shared" ref="D374:W374" si="167">D11*D176</f>
        <v>147.16106539972947</v>
      </c>
      <c r="E374">
        <f t="shared" si="167"/>
        <v>149.97969871882287</v>
      </c>
      <c r="F374">
        <f t="shared" si="167"/>
        <v>119.89547574254134</v>
      </c>
      <c r="G374">
        <f t="shared" si="167"/>
        <v>136.48770891213343</v>
      </c>
      <c r="H374">
        <f t="shared" si="167"/>
        <v>93.135247370525434</v>
      </c>
      <c r="I374">
        <f t="shared" si="167"/>
        <v>97.935184505654576</v>
      </c>
      <c r="J374">
        <f t="shared" si="167"/>
        <v>96.092672066888269</v>
      </c>
      <c r="K374">
        <f t="shared" si="167"/>
        <v>87.665357829790693</v>
      </c>
      <c r="L374">
        <f t="shared" si="167"/>
        <v>58.469849185076207</v>
      </c>
      <c r="M374">
        <f t="shared" si="167"/>
        <v>80.208798213917959</v>
      </c>
      <c r="N374">
        <f t="shared" si="167"/>
        <v>67.654562341586214</v>
      </c>
      <c r="O374">
        <f t="shared" si="167"/>
        <v>76.937223256089908</v>
      </c>
      <c r="P374">
        <f t="shared" si="167"/>
        <v>52.88218785346691</v>
      </c>
      <c r="Q374">
        <f t="shared" si="167"/>
        <v>71.064250644360826</v>
      </c>
      <c r="R374">
        <f t="shared" si="167"/>
        <v>76.874768688846927</v>
      </c>
      <c r="S374">
        <f t="shared" si="167"/>
        <v>73.45678026603494</v>
      </c>
      <c r="T374">
        <f t="shared" si="167"/>
        <v>81.380124475156762</v>
      </c>
      <c r="U374">
        <f t="shared" si="167"/>
        <v>73.768221734032792</v>
      </c>
      <c r="V374">
        <f t="shared" si="167"/>
        <v>104.21924979718443</v>
      </c>
      <c r="W374">
        <f t="shared" si="167"/>
        <v>115.57029981399849</v>
      </c>
      <c r="Y374" s="14">
        <f t="shared" si="157"/>
        <v>1860.8387268158381</v>
      </c>
      <c r="Z374">
        <f t="shared" si="158"/>
        <v>-324.84611082703373</v>
      </c>
    </row>
    <row r="375" spans="1:26" x14ac:dyDescent="0.25">
      <c r="A375" t="s">
        <v>53</v>
      </c>
      <c r="D375">
        <f t="shared" ref="D375:W375" si="168">D12*D177</f>
        <v>138.66485535339848</v>
      </c>
      <c r="E375">
        <f t="shared" si="168"/>
        <v>132.759871370274</v>
      </c>
      <c r="F375">
        <f t="shared" si="168"/>
        <v>101.01394930069695</v>
      </c>
      <c r="G375">
        <f t="shared" si="168"/>
        <v>93.204223706928886</v>
      </c>
      <c r="H375">
        <f t="shared" si="168"/>
        <v>75.869184938696392</v>
      </c>
      <c r="I375">
        <f t="shared" si="168"/>
        <v>80.784969433940716</v>
      </c>
      <c r="J375">
        <f t="shared" si="168"/>
        <v>55.571311833223767</v>
      </c>
      <c r="K375">
        <f t="shared" si="168"/>
        <v>78.401808810797959</v>
      </c>
      <c r="L375">
        <f t="shared" si="168"/>
        <v>63.208926702291464</v>
      </c>
      <c r="M375">
        <f t="shared" si="168"/>
        <v>69.260948901329044</v>
      </c>
      <c r="N375">
        <f t="shared" si="168"/>
        <v>77.367289103118907</v>
      </c>
      <c r="O375">
        <f t="shared" si="168"/>
        <v>87.282996351975626</v>
      </c>
      <c r="P375">
        <f t="shared" si="168"/>
        <v>86.331096458498152</v>
      </c>
      <c r="Q375">
        <f t="shared" si="168"/>
        <v>86.04453975073568</v>
      </c>
      <c r="R375">
        <f t="shared" si="168"/>
        <v>105.25466991185543</v>
      </c>
      <c r="S375">
        <f t="shared" si="168"/>
        <v>111.47061159143898</v>
      </c>
      <c r="T375">
        <f t="shared" si="168"/>
        <v>115.0439579504831</v>
      </c>
      <c r="U375">
        <f t="shared" si="168"/>
        <v>119.14638219639457</v>
      </c>
      <c r="V375">
        <f t="shared" si="168"/>
        <v>116.42043359283902</v>
      </c>
      <c r="W375">
        <f t="shared" si="168"/>
        <v>115.29592558846008</v>
      </c>
      <c r="Y375" s="14">
        <f t="shared" si="157"/>
        <v>1908.3979528473772</v>
      </c>
      <c r="Z375">
        <f t="shared" si="158"/>
        <v>-381.50057533324878</v>
      </c>
    </row>
    <row r="376" spans="1:26" x14ac:dyDescent="0.25">
      <c r="A376" t="s">
        <v>54</v>
      </c>
      <c r="D376">
        <f t="shared" ref="D376:W376" si="169">D13*D178</f>
        <v>133.12146857602539</v>
      </c>
      <c r="E376">
        <f t="shared" si="169"/>
        <v>123.22983387679446</v>
      </c>
      <c r="F376">
        <f t="shared" si="169"/>
        <v>102.86126928096485</v>
      </c>
      <c r="G376">
        <f t="shared" si="169"/>
        <v>101.520727056921</v>
      </c>
      <c r="H376">
        <f t="shared" si="169"/>
        <v>83.848932674362331</v>
      </c>
      <c r="I376">
        <f t="shared" si="169"/>
        <v>70.977087433549642</v>
      </c>
      <c r="J376">
        <f t="shared" si="169"/>
        <v>67.282623401316542</v>
      </c>
      <c r="K376">
        <f t="shared" si="169"/>
        <v>73.361894408687448</v>
      </c>
      <c r="L376">
        <f t="shared" si="169"/>
        <v>58.885827826648757</v>
      </c>
      <c r="M376">
        <f t="shared" si="169"/>
        <v>79.540323061380604</v>
      </c>
      <c r="N376">
        <f t="shared" si="169"/>
        <v>80.925180412224961</v>
      </c>
      <c r="O376">
        <f t="shared" si="169"/>
        <v>67.664426873464976</v>
      </c>
      <c r="P376">
        <f t="shared" si="169"/>
        <v>76.423578705186785</v>
      </c>
      <c r="Q376">
        <f t="shared" si="169"/>
        <v>88.623377710455514</v>
      </c>
      <c r="R376">
        <f t="shared" si="169"/>
        <v>74.897061917840276</v>
      </c>
      <c r="S376">
        <f t="shared" si="169"/>
        <v>63.635433397757893</v>
      </c>
      <c r="T376">
        <f t="shared" si="169"/>
        <v>73.159522976559728</v>
      </c>
      <c r="U376">
        <f t="shared" si="169"/>
        <v>91.425882292613764</v>
      </c>
      <c r="V376">
        <f t="shared" si="169"/>
        <v>85.308221089390386</v>
      </c>
      <c r="W376">
        <f t="shared" si="169"/>
        <v>130.42070543324999</v>
      </c>
      <c r="Y376" s="14">
        <f t="shared" si="157"/>
        <v>1727.1133784053955</v>
      </c>
      <c r="Z376">
        <f t="shared" si="158"/>
        <v>-314.82854108644983</v>
      </c>
    </row>
    <row r="377" spans="1:26" x14ac:dyDescent="0.25">
      <c r="A377" t="s">
        <v>55</v>
      </c>
      <c r="D377">
        <f t="shared" ref="D377:W377" si="170">D14*D179</f>
        <v>109.97912939888896</v>
      </c>
      <c r="E377">
        <f t="shared" si="170"/>
        <v>101.54534695426392</v>
      </c>
      <c r="F377">
        <f t="shared" si="170"/>
        <v>100.6726303807837</v>
      </c>
      <c r="G377">
        <f t="shared" si="170"/>
        <v>81.736480844044536</v>
      </c>
      <c r="H377">
        <f t="shared" si="170"/>
        <v>78.599051936409637</v>
      </c>
      <c r="I377">
        <f t="shared" si="170"/>
        <v>51.950539008415063</v>
      </c>
      <c r="J377">
        <f t="shared" si="170"/>
        <v>75.910491683653802</v>
      </c>
      <c r="K377">
        <f t="shared" si="170"/>
        <v>73.352122202470909</v>
      </c>
      <c r="L377">
        <f t="shared" si="170"/>
        <v>59.812664783768845</v>
      </c>
      <c r="M377">
        <f t="shared" si="170"/>
        <v>73.266419985089698</v>
      </c>
      <c r="N377">
        <f t="shared" si="170"/>
        <v>63.750076861964075</v>
      </c>
      <c r="O377">
        <f t="shared" si="170"/>
        <v>80.442092543622138</v>
      </c>
      <c r="P377">
        <f t="shared" si="170"/>
        <v>68.426815523815904</v>
      </c>
      <c r="Q377">
        <f t="shared" si="170"/>
        <v>53.568622155995705</v>
      </c>
      <c r="R377">
        <f t="shared" si="170"/>
        <v>61.869555145801307</v>
      </c>
      <c r="S377">
        <f t="shared" si="170"/>
        <v>69.153758871181182</v>
      </c>
      <c r="T377">
        <f t="shared" si="170"/>
        <v>71.619736144416365</v>
      </c>
      <c r="U377">
        <f t="shared" si="170"/>
        <v>70.212526824595912</v>
      </c>
      <c r="V377">
        <f t="shared" si="170"/>
        <v>59.44544136837699</v>
      </c>
      <c r="W377">
        <f t="shared" si="170"/>
        <v>127.68462722329913</v>
      </c>
      <c r="Y377" s="14">
        <f t="shared" si="157"/>
        <v>1532.9981298408579</v>
      </c>
      <c r="Z377">
        <f t="shared" si="158"/>
        <v>-278.38584573677042</v>
      </c>
    </row>
    <row r="378" spans="1:26" x14ac:dyDescent="0.25">
      <c r="A378" t="s">
        <v>56</v>
      </c>
      <c r="D378">
        <f t="shared" ref="D378:W378" si="171">D15*D180</f>
        <v>133.96578927251772</v>
      </c>
      <c r="E378">
        <f t="shared" si="171"/>
        <v>98.137078730146072</v>
      </c>
      <c r="F378">
        <f t="shared" si="171"/>
        <v>85.069634505346002</v>
      </c>
      <c r="G378">
        <f t="shared" si="171"/>
        <v>99.611163181823471</v>
      </c>
      <c r="H378">
        <f t="shared" si="171"/>
        <v>66.64869838147861</v>
      </c>
      <c r="I378">
        <f t="shared" si="171"/>
        <v>85.718930789686695</v>
      </c>
      <c r="J378">
        <f t="shared" si="171"/>
        <v>81.526747024356041</v>
      </c>
      <c r="K378">
        <f t="shared" si="171"/>
        <v>80.01463469348694</v>
      </c>
      <c r="L378">
        <f t="shared" si="171"/>
        <v>52.954007952253946</v>
      </c>
      <c r="M378">
        <f t="shared" si="171"/>
        <v>64.114969529332626</v>
      </c>
      <c r="N378">
        <f t="shared" si="171"/>
        <v>70.542538653190078</v>
      </c>
      <c r="O378">
        <f t="shared" si="171"/>
        <v>71.953478322091783</v>
      </c>
      <c r="P378">
        <f t="shared" si="171"/>
        <v>70.820402463191741</v>
      </c>
      <c r="Q378">
        <f t="shared" si="171"/>
        <v>65.286155647603621</v>
      </c>
      <c r="R378">
        <f t="shared" si="171"/>
        <v>102.94893163689017</v>
      </c>
      <c r="S378">
        <f t="shared" si="171"/>
        <v>77.455168671526422</v>
      </c>
      <c r="T378">
        <f t="shared" si="171"/>
        <v>119.15555616043054</v>
      </c>
      <c r="U378">
        <f t="shared" si="171"/>
        <v>109.87295629368569</v>
      </c>
      <c r="V378">
        <f t="shared" si="171"/>
        <v>102.94893163689017</v>
      </c>
      <c r="W378">
        <f t="shared" si="171"/>
        <v>77.455168671526422</v>
      </c>
      <c r="Y378" s="14">
        <f t="shared" si="157"/>
        <v>1716.2009422174551</v>
      </c>
      <c r="Z378">
        <f t="shared" si="158"/>
        <v>-356.88312737223339</v>
      </c>
    </row>
    <row r="379" spans="1:26" x14ac:dyDescent="0.25">
      <c r="A379" t="s">
        <v>57</v>
      </c>
      <c r="D379">
        <f t="shared" ref="D379:W379" si="172">D16*D181</f>
        <v>116.50536813305013</v>
      </c>
      <c r="E379">
        <f t="shared" si="172"/>
        <v>120.8420737591473</v>
      </c>
      <c r="F379">
        <f t="shared" si="172"/>
        <v>105.63327909965449</v>
      </c>
      <c r="G379">
        <f t="shared" si="172"/>
        <v>109.46828822858832</v>
      </c>
      <c r="H379">
        <f t="shared" si="172"/>
        <v>85.655807574966744</v>
      </c>
      <c r="I379">
        <f t="shared" si="172"/>
        <v>82.040255133472087</v>
      </c>
      <c r="J379">
        <f t="shared" si="172"/>
        <v>86.917087215020459</v>
      </c>
      <c r="K379">
        <f t="shared" si="172"/>
        <v>99.24275826819644</v>
      </c>
      <c r="L379">
        <f t="shared" si="172"/>
        <v>62.670693892230027</v>
      </c>
      <c r="M379">
        <f t="shared" si="172"/>
        <v>61.777134758771538</v>
      </c>
      <c r="N379">
        <f t="shared" si="172"/>
        <v>58.548953101411918</v>
      </c>
      <c r="O379">
        <f t="shared" si="172"/>
        <v>59.356555473619586</v>
      </c>
      <c r="P379">
        <f t="shared" si="172"/>
        <v>68.638212583314555</v>
      </c>
      <c r="Q379">
        <f t="shared" si="172"/>
        <v>96.962328456121639</v>
      </c>
      <c r="R379">
        <f t="shared" si="172"/>
        <v>136.27135230696169</v>
      </c>
      <c r="S379">
        <f t="shared" si="172"/>
        <v>112.85882234500225</v>
      </c>
      <c r="T379">
        <f t="shared" si="172"/>
        <v>109.07016640385595</v>
      </c>
      <c r="U379">
        <f t="shared" si="172"/>
        <v>102.59697081954253</v>
      </c>
      <c r="V379">
        <f t="shared" si="172"/>
        <v>107.93367656669093</v>
      </c>
      <c r="W379">
        <f t="shared" si="172"/>
        <v>109.01760033860465</v>
      </c>
      <c r="Y379" s="14">
        <f t="shared" si="157"/>
        <v>1892.0073844582232</v>
      </c>
      <c r="Z379">
        <f t="shared" si="158"/>
        <v>-368.30519860459583</v>
      </c>
    </row>
    <row r="380" spans="1:26" x14ac:dyDescent="0.25">
      <c r="A380" t="s">
        <v>58</v>
      </c>
      <c r="D380">
        <f t="shared" ref="D380:W380" si="173">D17*D182</f>
        <v>147.40783290805311</v>
      </c>
      <c r="E380">
        <f t="shared" si="173"/>
        <v>146.78525776013572</v>
      </c>
      <c r="F380">
        <f t="shared" si="173"/>
        <v>105.83606089465671</v>
      </c>
      <c r="G380">
        <f t="shared" si="173"/>
        <v>101.70468032869229</v>
      </c>
      <c r="H380">
        <f t="shared" si="173"/>
        <v>110.97996624916375</v>
      </c>
      <c r="I380">
        <f t="shared" si="173"/>
        <v>85.88884701175283</v>
      </c>
      <c r="J380">
        <f t="shared" si="173"/>
        <v>82.12232127782579</v>
      </c>
      <c r="K380">
        <f t="shared" si="173"/>
        <v>69.838362135679318</v>
      </c>
      <c r="L380">
        <f t="shared" si="173"/>
        <v>50.006083346140066</v>
      </c>
      <c r="M380">
        <f t="shared" si="173"/>
        <v>72.115644120865156</v>
      </c>
      <c r="N380">
        <f t="shared" si="173"/>
        <v>65.925343693401317</v>
      </c>
      <c r="O380">
        <f t="shared" si="173"/>
        <v>77.77470265586615</v>
      </c>
      <c r="P380">
        <f t="shared" si="173"/>
        <v>72.79532500217536</v>
      </c>
      <c r="Q380">
        <f t="shared" si="173"/>
        <v>74.413663959992292</v>
      </c>
      <c r="R380">
        <f t="shared" si="173"/>
        <v>56.712539179628195</v>
      </c>
      <c r="S380">
        <f t="shared" si="173"/>
        <v>80.797734237324718</v>
      </c>
      <c r="T380">
        <f t="shared" si="173"/>
        <v>86.403036641895326</v>
      </c>
      <c r="U380">
        <f t="shared" si="173"/>
        <v>89.618255789652096</v>
      </c>
      <c r="V380">
        <f t="shared" si="173"/>
        <v>93.283797330555032</v>
      </c>
      <c r="W380">
        <f t="shared" si="173"/>
        <v>111.70360288254911</v>
      </c>
      <c r="Y380" s="14">
        <f t="shared" si="157"/>
        <v>1782.1130574060044</v>
      </c>
      <c r="Z380">
        <f t="shared" si="158"/>
        <v>-316.70242979367492</v>
      </c>
    </row>
    <row r="381" spans="1:26" x14ac:dyDescent="0.25">
      <c r="A381" t="s">
        <v>59</v>
      </c>
      <c r="D381">
        <f t="shared" ref="D381:W381" si="174">D18*D183</f>
        <v>129.65209271228363</v>
      </c>
      <c r="E381">
        <f t="shared" si="174"/>
        <v>81.790235912503249</v>
      </c>
      <c r="F381">
        <f t="shared" si="174"/>
        <v>114.32685411268378</v>
      </c>
      <c r="G381">
        <f t="shared" si="174"/>
        <v>112.90066735578668</v>
      </c>
      <c r="H381">
        <f t="shared" si="174"/>
        <v>105.0063075101592</v>
      </c>
      <c r="I381">
        <f t="shared" si="174"/>
        <v>81.92684428431086</v>
      </c>
      <c r="J381">
        <f t="shared" si="174"/>
        <v>68.447996510177049</v>
      </c>
      <c r="K381">
        <f t="shared" si="174"/>
        <v>74.655497466784425</v>
      </c>
      <c r="L381">
        <f t="shared" si="174"/>
        <v>48.081580087931968</v>
      </c>
      <c r="M381">
        <f t="shared" si="174"/>
        <v>65.530740926760572</v>
      </c>
      <c r="N381">
        <f t="shared" si="174"/>
        <v>60.838566951922992</v>
      </c>
      <c r="O381">
        <f t="shared" si="174"/>
        <v>54.438661920964279</v>
      </c>
      <c r="P381">
        <f t="shared" si="174"/>
        <v>61.38111817012161</v>
      </c>
      <c r="Q381">
        <f t="shared" si="174"/>
        <v>77.216817862826559</v>
      </c>
      <c r="R381">
        <f t="shared" si="174"/>
        <v>98.038488800605677</v>
      </c>
      <c r="S381">
        <f t="shared" si="174"/>
        <v>102.87214000654681</v>
      </c>
      <c r="T381">
        <f t="shared" si="174"/>
        <v>36.214369272033437</v>
      </c>
      <c r="U381">
        <f t="shared" si="174"/>
        <v>91.969792237006786</v>
      </c>
      <c r="V381">
        <f t="shared" si="174"/>
        <v>81.771159784966855</v>
      </c>
      <c r="W381">
        <f t="shared" si="174"/>
        <v>112.95841831068202</v>
      </c>
      <c r="Y381" s="14">
        <f t="shared" si="157"/>
        <v>1660.018350197058</v>
      </c>
      <c r="Z381">
        <f t="shared" si="158"/>
        <v>-299.45125219463677</v>
      </c>
    </row>
    <row r="382" spans="1:26" x14ac:dyDescent="0.25">
      <c r="A382" t="s">
        <v>60</v>
      </c>
      <c r="D382">
        <f t="shared" ref="D382:W382" si="175">D19*D184</f>
        <v>121.5839992953595</v>
      </c>
      <c r="E382">
        <f t="shared" si="175"/>
        <v>106.68764379722458</v>
      </c>
      <c r="F382">
        <f t="shared" si="175"/>
        <v>107.10370381035756</v>
      </c>
      <c r="G382">
        <f t="shared" si="175"/>
        <v>112.67546058545146</v>
      </c>
      <c r="H382">
        <f t="shared" si="175"/>
        <v>62.094899341060476</v>
      </c>
      <c r="I382">
        <f t="shared" si="175"/>
        <v>79.02220508874413</v>
      </c>
      <c r="J382">
        <f t="shared" si="175"/>
        <v>69.987184364976898</v>
      </c>
      <c r="K382">
        <f t="shared" si="175"/>
        <v>76.910698988391019</v>
      </c>
      <c r="L382">
        <f t="shared" si="175"/>
        <v>-5.3448839498588896</v>
      </c>
      <c r="M382">
        <f t="shared" si="175"/>
        <v>47.285687077075764</v>
      </c>
      <c r="N382">
        <f t="shared" si="175"/>
        <v>73.369579946620732</v>
      </c>
      <c r="O382">
        <f t="shared" si="175"/>
        <v>88.224562832606111</v>
      </c>
      <c r="P382">
        <f t="shared" si="175"/>
        <v>49.11350944821892</v>
      </c>
      <c r="Q382">
        <f t="shared" si="175"/>
        <v>67.64856715080812</v>
      </c>
      <c r="R382">
        <f t="shared" si="175"/>
        <v>74.46294450424729</v>
      </c>
      <c r="S382">
        <f t="shared" si="175"/>
        <v>90.984705892064525</v>
      </c>
      <c r="T382">
        <f t="shared" si="175"/>
        <v>113.48631762503378</v>
      </c>
      <c r="U382">
        <f t="shared" si="175"/>
        <v>88.92879363371442</v>
      </c>
      <c r="V382">
        <f t="shared" si="175"/>
        <v>76.015540202429037</v>
      </c>
      <c r="W382">
        <f t="shared" si="175"/>
        <v>104.17079577491694</v>
      </c>
      <c r="Y382" s="14">
        <f t="shared" si="157"/>
        <v>1604.4119154094424</v>
      </c>
      <c r="Z382">
        <f t="shared" si="158"/>
        <v>-292.19100898967218</v>
      </c>
    </row>
    <row r="383" spans="1:26" x14ac:dyDescent="0.25">
      <c r="A383" t="s">
        <v>61</v>
      </c>
      <c r="D383">
        <f t="shared" ref="D383:W383" si="176">D20*D185</f>
        <v>142.74684027496133</v>
      </c>
      <c r="E383">
        <f t="shared" si="176"/>
        <v>132.2454027697944</v>
      </c>
      <c r="F383">
        <f t="shared" si="176"/>
        <v>126.49835025368228</v>
      </c>
      <c r="G383">
        <f t="shared" si="176"/>
        <v>119.97645524039058</v>
      </c>
      <c r="H383">
        <f t="shared" si="176"/>
        <v>106.06847000665445</v>
      </c>
      <c r="I383">
        <f t="shared" si="176"/>
        <v>119.25191686425518</v>
      </c>
      <c r="J383">
        <f t="shared" si="176"/>
        <v>88.185910493356985</v>
      </c>
      <c r="K383">
        <f t="shared" si="176"/>
        <v>94.592043331245705</v>
      </c>
      <c r="L383">
        <f t="shared" si="176"/>
        <v>92.582611313697598</v>
      </c>
      <c r="M383">
        <f t="shared" si="176"/>
        <v>85.229085312396037</v>
      </c>
      <c r="N383">
        <f t="shared" si="176"/>
        <v>75.564333734811456</v>
      </c>
      <c r="O383">
        <f t="shared" si="176"/>
        <v>86.234905921467785</v>
      </c>
      <c r="P383">
        <f t="shared" si="176"/>
        <v>90.768646278059052</v>
      </c>
      <c r="Q383">
        <f t="shared" si="176"/>
        <v>92.804465913198044</v>
      </c>
      <c r="R383">
        <f t="shared" si="176"/>
        <v>108.21359064414925</v>
      </c>
      <c r="S383">
        <f t="shared" si="176"/>
        <v>112.06539859293173</v>
      </c>
      <c r="T383">
        <f t="shared" si="176"/>
        <v>117.53841155513574</v>
      </c>
      <c r="U383">
        <f t="shared" si="176"/>
        <v>127.83728775151194</v>
      </c>
      <c r="V383">
        <f t="shared" si="176"/>
        <v>108.2950137537328</v>
      </c>
      <c r="W383">
        <f t="shared" si="176"/>
        <v>121.57941384944878</v>
      </c>
      <c r="Y383" s="14">
        <f t="shared" si="157"/>
        <v>2148.2785538548815</v>
      </c>
      <c r="Z383">
        <f t="shared" si="158"/>
        <v>-419.12921725895609</v>
      </c>
    </row>
    <row r="384" spans="1:26" x14ac:dyDescent="0.25">
      <c r="A384" t="s">
        <v>62</v>
      </c>
      <c r="D384">
        <f t="shared" ref="D384:W384" si="177">D21*D186</f>
        <v>145.63408890243639</v>
      </c>
      <c r="E384">
        <f t="shared" si="177"/>
        <v>140.54734873522469</v>
      </c>
      <c r="F384">
        <f t="shared" si="177"/>
        <v>121.55544312979771</v>
      </c>
      <c r="G384">
        <f t="shared" si="177"/>
        <v>90.828783734377367</v>
      </c>
      <c r="H384">
        <f t="shared" si="177"/>
        <v>100.16031168291265</v>
      </c>
      <c r="I384">
        <f t="shared" si="177"/>
        <v>95.567634708813031</v>
      </c>
      <c r="J384">
        <f t="shared" si="177"/>
        <v>92.096527676691935</v>
      </c>
      <c r="K384">
        <f t="shared" si="177"/>
        <v>93.394336060442328</v>
      </c>
      <c r="L384">
        <f t="shared" si="177"/>
        <v>96.533985111339291</v>
      </c>
      <c r="M384">
        <f t="shared" si="177"/>
        <v>88.676284412836537</v>
      </c>
      <c r="N384">
        <f t="shared" si="177"/>
        <v>94.394169857592999</v>
      </c>
      <c r="O384">
        <f t="shared" si="177"/>
        <v>73.942728756178255</v>
      </c>
      <c r="P384">
        <f t="shared" si="177"/>
        <v>59.953597944360183</v>
      </c>
      <c r="Q384">
        <f t="shared" si="177"/>
        <v>63.851060660706544</v>
      </c>
      <c r="R384">
        <f t="shared" si="177"/>
        <v>64.704889573816118</v>
      </c>
      <c r="S384">
        <f t="shared" si="177"/>
        <v>90.246808600919607</v>
      </c>
      <c r="T384">
        <f t="shared" si="177"/>
        <v>98.494115919035607</v>
      </c>
      <c r="U384">
        <f t="shared" si="177"/>
        <v>100.72201484894238</v>
      </c>
      <c r="V384">
        <f t="shared" si="177"/>
        <v>130.34898455332598</v>
      </c>
      <c r="W384">
        <f t="shared" si="177"/>
        <v>106.19090174502641</v>
      </c>
      <c r="Y384" s="14">
        <f t="shared" si="157"/>
        <v>1947.8440166147759</v>
      </c>
      <c r="Z384">
        <f t="shared" si="158"/>
        <v>-371.80351532020615</v>
      </c>
    </row>
    <row r="385" spans="1:26" x14ac:dyDescent="0.25">
      <c r="A385" t="s">
        <v>63</v>
      </c>
      <c r="D385">
        <f t="shared" ref="D385:W385" si="178">D22*D187</f>
        <v>136.25585983754249</v>
      </c>
      <c r="E385">
        <f t="shared" si="178"/>
        <v>116.84627303147919</v>
      </c>
      <c r="F385">
        <f t="shared" si="178"/>
        <v>105.24001475461358</v>
      </c>
      <c r="G385">
        <f t="shared" si="178"/>
        <v>91.145420955210696</v>
      </c>
      <c r="H385">
        <f t="shared" si="178"/>
        <v>54.242694227693313</v>
      </c>
      <c r="I385">
        <f t="shared" si="178"/>
        <v>114.24093421123328</v>
      </c>
      <c r="J385">
        <f t="shared" si="178"/>
        <v>102.07364024194139</v>
      </c>
      <c r="K385">
        <f t="shared" si="178"/>
        <v>91.311925367926264</v>
      </c>
      <c r="L385">
        <f t="shared" si="178"/>
        <v>95.837373720803924</v>
      </c>
      <c r="M385">
        <f t="shared" si="178"/>
        <v>77.389960199729828</v>
      </c>
      <c r="N385">
        <f t="shared" si="178"/>
        <v>83.407200970022515</v>
      </c>
      <c r="O385">
        <f t="shared" si="178"/>
        <v>96.727723445648749</v>
      </c>
      <c r="P385">
        <f t="shared" si="178"/>
        <v>82.062938357667704</v>
      </c>
      <c r="Q385">
        <f t="shared" si="178"/>
        <v>93.126087607860171</v>
      </c>
      <c r="R385">
        <f t="shared" si="178"/>
        <v>99.120216026121042</v>
      </c>
      <c r="S385">
        <f t="shared" si="178"/>
        <v>101.9495255804795</v>
      </c>
      <c r="T385">
        <f t="shared" si="178"/>
        <v>114.32736523039073</v>
      </c>
      <c r="U385">
        <f t="shared" si="178"/>
        <v>144.6698928588724</v>
      </c>
      <c r="V385">
        <f t="shared" si="178"/>
        <v>129.58194003927457</v>
      </c>
      <c r="W385">
        <f t="shared" si="178"/>
        <v>123.08670216541341</v>
      </c>
      <c r="Y385" s="14">
        <f t="shared" si="157"/>
        <v>2052.6436888299245</v>
      </c>
      <c r="Z385">
        <f t="shared" si="158"/>
        <v>-444.47801781390967</v>
      </c>
    </row>
    <row r="386" spans="1:26" x14ac:dyDescent="0.25">
      <c r="A386" t="s">
        <v>64</v>
      </c>
      <c r="D386">
        <f t="shared" ref="D386:W386" si="179">D23*D188</f>
        <v>107.38728037593096</v>
      </c>
      <c r="E386">
        <f t="shared" si="179"/>
        <v>111.76223947465994</v>
      </c>
      <c r="F386">
        <f t="shared" si="179"/>
        <v>67.617880923796889</v>
      </c>
      <c r="G386">
        <f t="shared" si="179"/>
        <v>110.81970046332081</v>
      </c>
      <c r="H386">
        <f t="shared" si="179"/>
        <v>108.07156250477155</v>
      </c>
      <c r="I386">
        <f t="shared" si="179"/>
        <v>110.85871849342058</v>
      </c>
      <c r="J386">
        <f t="shared" si="179"/>
        <v>104.88539268672555</v>
      </c>
      <c r="K386">
        <f t="shared" si="179"/>
        <v>105.09118431321987</v>
      </c>
      <c r="L386">
        <f t="shared" si="179"/>
        <v>99.948591497125321</v>
      </c>
      <c r="M386">
        <f t="shared" si="179"/>
        <v>71.580488503000666</v>
      </c>
      <c r="N386">
        <f t="shared" si="179"/>
        <v>77.830955969797259</v>
      </c>
      <c r="O386">
        <f t="shared" si="179"/>
        <v>87.492464801631769</v>
      </c>
      <c r="P386">
        <f t="shared" si="179"/>
        <v>90.973649052976015</v>
      </c>
      <c r="Q386">
        <f t="shared" si="179"/>
        <v>84.802727390967178</v>
      </c>
      <c r="R386">
        <f t="shared" si="179"/>
        <v>119.51678943859669</v>
      </c>
      <c r="S386">
        <f t="shared" si="179"/>
        <v>93.766468098579054</v>
      </c>
      <c r="T386">
        <f t="shared" si="179"/>
        <v>99.966700705370599</v>
      </c>
      <c r="U386">
        <f t="shared" si="179"/>
        <v>139.6275244803663</v>
      </c>
      <c r="V386">
        <f t="shared" si="179"/>
        <v>129.76436799466035</v>
      </c>
      <c r="W386">
        <f t="shared" si="179"/>
        <v>152.1535949691073</v>
      </c>
      <c r="Y386" s="14">
        <f t="shared" si="157"/>
        <v>2073.918282138025</v>
      </c>
      <c r="Z386">
        <f t="shared" si="158"/>
        <v>-437.62508346890689</v>
      </c>
    </row>
    <row r="387" spans="1:26" x14ac:dyDescent="0.25">
      <c r="A387" t="s">
        <v>65</v>
      </c>
      <c r="D387">
        <f t="shared" ref="D387:W387" si="180">D24*D189</f>
        <v>123.70787784382111</v>
      </c>
      <c r="E387">
        <f t="shared" si="180"/>
        <v>125.74940360515393</v>
      </c>
      <c r="F387">
        <f t="shared" si="180"/>
        <v>115.93644178587476</v>
      </c>
      <c r="G387">
        <f t="shared" si="180"/>
        <v>110.03883712563344</v>
      </c>
      <c r="H387">
        <f t="shared" si="180"/>
        <v>96.895000739594053</v>
      </c>
      <c r="I387">
        <f t="shared" si="180"/>
        <v>100.78456726712052</v>
      </c>
      <c r="J387">
        <f t="shared" si="180"/>
        <v>84.489521888777972</v>
      </c>
      <c r="K387">
        <f t="shared" si="180"/>
        <v>83.944303237347299</v>
      </c>
      <c r="L387">
        <f t="shared" si="180"/>
        <v>60.925676709206655</v>
      </c>
      <c r="M387">
        <f t="shared" si="180"/>
        <v>51.675270675808704</v>
      </c>
      <c r="N387">
        <f t="shared" si="180"/>
        <v>69.767461397398677</v>
      </c>
      <c r="O387">
        <f t="shared" si="180"/>
        <v>65.030040334566607</v>
      </c>
      <c r="P387">
        <f t="shared" si="180"/>
        <v>66.257066902704778</v>
      </c>
      <c r="Q387">
        <f t="shared" si="180"/>
        <v>86.373742364853044</v>
      </c>
      <c r="R387">
        <f t="shared" si="180"/>
        <v>104.18153326450319</v>
      </c>
      <c r="S387">
        <f t="shared" si="180"/>
        <v>94.570620643243288</v>
      </c>
      <c r="T387">
        <f t="shared" si="180"/>
        <v>112.82060819619602</v>
      </c>
      <c r="U387">
        <f t="shared" si="180"/>
        <v>122.33448531215751</v>
      </c>
      <c r="V387">
        <f t="shared" si="180"/>
        <v>91.450747449060728</v>
      </c>
      <c r="W387">
        <f t="shared" si="180"/>
        <v>118.17860306281742</v>
      </c>
      <c r="Y387" s="14">
        <f t="shared" si="157"/>
        <v>1885.11180980584</v>
      </c>
      <c r="Z387">
        <f t="shared" si="158"/>
        <v>-358.2432709648823</v>
      </c>
    </row>
    <row r="388" spans="1:26" x14ac:dyDescent="0.25">
      <c r="A388" t="s">
        <v>66</v>
      </c>
      <c r="D388">
        <f t="shared" ref="D388:W388" si="181">D25*D190</f>
        <v>41.40186449320111</v>
      </c>
      <c r="E388">
        <f t="shared" si="181"/>
        <v>107.77924409002303</v>
      </c>
      <c r="F388">
        <f t="shared" si="181"/>
        <v>114.00115289735407</v>
      </c>
      <c r="G388">
        <f t="shared" si="181"/>
        <v>90.873376181344938</v>
      </c>
      <c r="H388">
        <f t="shared" si="181"/>
        <v>94.610301324286638</v>
      </c>
      <c r="I388">
        <f t="shared" si="181"/>
        <v>95.29777390533161</v>
      </c>
      <c r="J388">
        <f t="shared" si="181"/>
        <v>72.570545364338074</v>
      </c>
      <c r="K388">
        <f t="shared" si="181"/>
        <v>79.674711738250167</v>
      </c>
      <c r="L388">
        <f t="shared" si="181"/>
        <v>58.130037735758016</v>
      </c>
      <c r="M388">
        <f t="shared" si="181"/>
        <v>81.752086508418444</v>
      </c>
      <c r="N388">
        <f t="shared" si="181"/>
        <v>65.833721872882379</v>
      </c>
      <c r="O388">
        <f t="shared" si="181"/>
        <v>72.533754040591859</v>
      </c>
      <c r="P388">
        <f t="shared" si="181"/>
        <v>79.041895711210685</v>
      </c>
      <c r="Q388">
        <f t="shared" si="181"/>
        <v>85.649648834651131</v>
      </c>
      <c r="R388">
        <f t="shared" si="181"/>
        <v>84.958153517192557</v>
      </c>
      <c r="S388">
        <f t="shared" si="181"/>
        <v>88.64598203320611</v>
      </c>
      <c r="T388">
        <f t="shared" si="181"/>
        <v>96.201250773833991</v>
      </c>
      <c r="U388">
        <f t="shared" si="181"/>
        <v>108.82257368458953</v>
      </c>
      <c r="V388">
        <f t="shared" si="181"/>
        <v>96.87132519546283</v>
      </c>
      <c r="W388">
        <f t="shared" si="181"/>
        <v>119.48467080588671</v>
      </c>
      <c r="Y388" s="14">
        <f t="shared" si="157"/>
        <v>1734.1340707078139</v>
      </c>
      <c r="Z388">
        <f t="shared" si="158"/>
        <v>-321.78304608452299</v>
      </c>
    </row>
    <row r="389" spans="1:26" x14ac:dyDescent="0.25">
      <c r="Y389" s="14"/>
    </row>
    <row r="390" spans="1:26" x14ac:dyDescent="0.25">
      <c r="A390" t="s">
        <v>67</v>
      </c>
      <c r="D390">
        <f t="shared" ref="D390:W390" si="182">D27*D192</f>
        <v>144.23628406161481</v>
      </c>
      <c r="E390">
        <f t="shared" si="182"/>
        <v>133.29183249525431</v>
      </c>
      <c r="F390">
        <f t="shared" si="182"/>
        <v>126.28763588856732</v>
      </c>
      <c r="G390">
        <f t="shared" si="182"/>
        <v>120.5093148694048</v>
      </c>
      <c r="H390">
        <f t="shared" si="182"/>
        <v>109.78841171194075</v>
      </c>
      <c r="I390">
        <f t="shared" si="182"/>
        <v>105.95008110975758</v>
      </c>
      <c r="J390">
        <f t="shared" si="182"/>
        <v>92.647261067356368</v>
      </c>
      <c r="K390">
        <f t="shared" si="182"/>
        <v>89.244205095823489</v>
      </c>
      <c r="L390">
        <f t="shared" si="182"/>
        <v>65.584789302491373</v>
      </c>
      <c r="M390">
        <f t="shared" si="182"/>
        <v>69.610633040346301</v>
      </c>
      <c r="N390">
        <f t="shared" si="182"/>
        <v>74.761531262741741</v>
      </c>
      <c r="O390">
        <f t="shared" si="182"/>
        <v>79.073566789540621</v>
      </c>
      <c r="P390">
        <f t="shared" si="182"/>
        <v>73.832483440844143</v>
      </c>
      <c r="Q390">
        <f t="shared" si="182"/>
        <v>82.175971255901231</v>
      </c>
      <c r="R390">
        <f t="shared" si="182"/>
        <v>96.167547899290739</v>
      </c>
      <c r="S390">
        <f t="shared" si="182"/>
        <v>98.27691563597206</v>
      </c>
      <c r="T390">
        <f t="shared" si="182"/>
        <v>98.917810414588004</v>
      </c>
      <c r="U390">
        <f t="shared" si="182"/>
        <v>112.41908781720689</v>
      </c>
      <c r="V390">
        <f t="shared" si="182"/>
        <v>105.07454555366431</v>
      </c>
      <c r="W390">
        <f t="shared" si="182"/>
        <v>117.90605454281732</v>
      </c>
      <c r="Y390" s="14">
        <f t="shared" si="157"/>
        <v>1995.755963255124</v>
      </c>
      <c r="Z390">
        <f>SUMPRODUCT($D$394:$W$394,D390:W390)</f>
        <v>-372.360177716934</v>
      </c>
    </row>
    <row r="391" spans="1:26" x14ac:dyDescent="0.25">
      <c r="A391" t="s">
        <v>311</v>
      </c>
      <c r="D391">
        <f t="shared" ref="D391:W391" si="183">D28*D193</f>
        <v>145.55999999999997</v>
      </c>
      <c r="E391">
        <f t="shared" si="183"/>
        <v>128.83673469387756</v>
      </c>
      <c r="F391">
        <f t="shared" si="183"/>
        <v>101.26897959183675</v>
      </c>
      <c r="G391">
        <f t="shared" si="183"/>
        <v>116.4979591836735</v>
      </c>
      <c r="H391">
        <f t="shared" si="183"/>
        <v>115.3077551020408</v>
      </c>
      <c r="I391">
        <f t="shared" si="183"/>
        <v>105.59959183673469</v>
      </c>
      <c r="J391">
        <f t="shared" si="183"/>
        <v>98.742857142857133</v>
      </c>
      <c r="K391">
        <f t="shared" si="183"/>
        <v>91.324489795918382</v>
      </c>
      <c r="L391">
        <f t="shared" si="183"/>
        <v>39.536250000000003</v>
      </c>
      <c r="M391">
        <f t="shared" si="183"/>
        <v>62.491836734693877</v>
      </c>
      <c r="N391">
        <f t="shared" si="183"/>
        <v>71.088979591836747</v>
      </c>
      <c r="O391">
        <f t="shared" si="183"/>
        <v>85.236326530612246</v>
      </c>
      <c r="P391">
        <f t="shared" si="183"/>
        <v>70.640946224852414</v>
      </c>
      <c r="Q391">
        <f t="shared" si="183"/>
        <v>64.020258499711943</v>
      </c>
      <c r="R391">
        <f t="shared" si="183"/>
        <v>54.237193672834252</v>
      </c>
      <c r="S391">
        <f t="shared" si="183"/>
        <v>82.236269564992213</v>
      </c>
      <c r="T391">
        <f t="shared" si="183"/>
        <v>108.78</v>
      </c>
      <c r="U391">
        <f t="shared" si="183"/>
        <v>94.64</v>
      </c>
      <c r="V391">
        <f t="shared" si="183"/>
        <v>90.719999999999985</v>
      </c>
      <c r="W391">
        <f t="shared" si="183"/>
        <v>118.3</v>
      </c>
      <c r="Y391" s="14">
        <f t="shared" si="157"/>
        <v>1845.0664281664722</v>
      </c>
      <c r="Z391">
        <f>SUMPRODUCT($D$394:$W$394,D391:W391)</f>
        <v>-335.52609662838722</v>
      </c>
    </row>
    <row r="392" spans="1:26" x14ac:dyDescent="0.25">
      <c r="A392" t="s">
        <v>312</v>
      </c>
      <c r="D392">
        <f t="shared" ref="D392:W392" si="184">D29*D194</f>
        <v>132.71580451217696</v>
      </c>
      <c r="E392">
        <f t="shared" si="184"/>
        <v>121.72096531359072</v>
      </c>
      <c r="F392">
        <f t="shared" si="184"/>
        <v>114.33967071337628</v>
      </c>
      <c r="G392">
        <f t="shared" si="184"/>
        <v>108.66319968580723</v>
      </c>
      <c r="H392">
        <f t="shared" si="184"/>
        <v>94.554191644666602</v>
      </c>
      <c r="I392">
        <f t="shared" si="184"/>
        <v>99.769064354793969</v>
      </c>
      <c r="J392">
        <f t="shared" si="184"/>
        <v>89.642786183679959</v>
      </c>
      <c r="K392">
        <f t="shared" si="184"/>
        <v>89.750181783086148</v>
      </c>
      <c r="L392">
        <f t="shared" si="184"/>
        <v>65.306496895632961</v>
      </c>
      <c r="M392">
        <f t="shared" si="184"/>
        <v>69.57576906169534</v>
      </c>
      <c r="N392">
        <f t="shared" si="184"/>
        <v>76.163324834200452</v>
      </c>
      <c r="O392">
        <f t="shared" si="184"/>
        <v>80.484654151155979</v>
      </c>
      <c r="P392">
        <f t="shared" si="184"/>
        <v>73.772777482256217</v>
      </c>
      <c r="Q392">
        <f t="shared" si="184"/>
        <v>78.459181380868543</v>
      </c>
      <c r="R392">
        <f t="shared" si="184"/>
        <v>95.293813062524237</v>
      </c>
      <c r="S392">
        <f t="shared" si="184"/>
        <v>98.741089098944528</v>
      </c>
      <c r="T392">
        <f t="shared" si="184"/>
        <v>97.222832201523232</v>
      </c>
      <c r="U392">
        <f t="shared" si="184"/>
        <v>118.30030241858583</v>
      </c>
      <c r="V392">
        <f t="shared" si="184"/>
        <v>117.08296303259701</v>
      </c>
      <c r="W392">
        <f t="shared" si="184"/>
        <v>118.15644188818747</v>
      </c>
      <c r="Y392" s="14">
        <f t="shared" si="157"/>
        <v>1939.7155096993499</v>
      </c>
      <c r="Z392">
        <f>SUMPRODUCT($D$394:$W$394,D392:W392)</f>
        <v>-376.86092053994952</v>
      </c>
    </row>
    <row r="393" spans="1:26" x14ac:dyDescent="0.25">
      <c r="A393" t="s">
        <v>674</v>
      </c>
      <c r="D393">
        <f t="shared" ref="D393:W393" si="185">D30*D195</f>
        <v>130.15693791486103</v>
      </c>
      <c r="E393">
        <f t="shared" si="185"/>
        <v>126.91649729522346</v>
      </c>
      <c r="F393">
        <f t="shared" si="185"/>
        <v>116.9201808944141</v>
      </c>
      <c r="G393">
        <f t="shared" si="185"/>
        <v>60.285530453267654</v>
      </c>
      <c r="H393">
        <f t="shared" si="185"/>
        <v>75.376311003983631</v>
      </c>
      <c r="I393">
        <f t="shared" si="185"/>
        <v>85.41721409006368</v>
      </c>
      <c r="J393">
        <f t="shared" si="185"/>
        <v>79.514961376606166</v>
      </c>
      <c r="K393">
        <f t="shared" si="185"/>
        <v>80.905100981176858</v>
      </c>
      <c r="L393">
        <f t="shared" si="185"/>
        <v>57.615817300705977</v>
      </c>
      <c r="M393">
        <f t="shared" si="185"/>
        <v>69.627143239409989</v>
      </c>
      <c r="N393">
        <f t="shared" si="185"/>
        <v>71.738064304775818</v>
      </c>
      <c r="O393">
        <f t="shared" si="185"/>
        <v>77.598307675564385</v>
      </c>
      <c r="P393">
        <f t="shared" si="185"/>
        <v>67.088896334135171</v>
      </c>
      <c r="Q393">
        <f t="shared" si="185"/>
        <v>79.333713876440342</v>
      </c>
      <c r="R393">
        <f t="shared" si="185"/>
        <v>95.738867811439974</v>
      </c>
      <c r="S393">
        <f t="shared" si="185"/>
        <v>94.680560794938387</v>
      </c>
      <c r="T393">
        <f t="shared" si="185"/>
        <v>95.41290891326743</v>
      </c>
      <c r="U393">
        <f t="shared" si="185"/>
        <v>103.97468457514468</v>
      </c>
      <c r="V393">
        <f t="shared" si="185"/>
        <v>101.97493163834304</v>
      </c>
      <c r="W393">
        <f t="shared" si="185"/>
        <v>116.24250973944471</v>
      </c>
      <c r="Y393" s="14">
        <f t="shared" ref="Y393" si="186">SUM(D393:W393)</f>
        <v>1786.5191402132068</v>
      </c>
      <c r="Z393">
        <f>SUMPRODUCT($D$394:$W$394,D393:W393)</f>
        <v>-351.12166221026212</v>
      </c>
    </row>
    <row r="394" spans="1:26" x14ac:dyDescent="0.25">
      <c r="A394" s="2" t="s">
        <v>68</v>
      </c>
      <c r="D394" s="3">
        <f>CORREL($B$2:$B$25,D365:D388)</f>
        <v>-0.24656372432274637</v>
      </c>
      <c r="E394" s="3">
        <f t="shared" ref="E394:W394" si="187">CORREL($B$2:$B$25,E365:E388)</f>
        <v>-5.1180530447281956E-2</v>
      </c>
      <c r="F394" s="3">
        <f t="shared" si="187"/>
        <v>0.24017124932856804</v>
      </c>
      <c r="G394" s="3">
        <f t="shared" si="187"/>
        <v>5.2762277912319841E-2</v>
      </c>
      <c r="H394" s="3">
        <f t="shared" si="187"/>
        <v>0.18259296899131081</v>
      </c>
      <c r="I394" s="3">
        <f t="shared" si="187"/>
        <v>-0.37388465577926328</v>
      </c>
      <c r="J394" s="3">
        <f t="shared" si="187"/>
        <v>-0.45304160797188203</v>
      </c>
      <c r="K394" s="3">
        <f t="shared" si="187"/>
        <v>-0.15324794551303558</v>
      </c>
      <c r="L394" s="3">
        <f t="shared" si="187"/>
        <v>-0.38440106410921276</v>
      </c>
      <c r="M394" s="3">
        <f t="shared" si="187"/>
        <v>-9.7151683663957503E-2</v>
      </c>
      <c r="N394" s="3">
        <f t="shared" si="187"/>
        <v>-0.42805449284885477</v>
      </c>
      <c r="O394" s="3">
        <f t="shared" si="187"/>
        <v>-0.31859708379558455</v>
      </c>
      <c r="P394" s="3">
        <f t="shared" si="187"/>
        <v>-0.42498880306933851</v>
      </c>
      <c r="Q394" s="3">
        <f t="shared" si="187"/>
        <v>-0.10257160517074217</v>
      </c>
      <c r="R394" s="3">
        <f t="shared" si="187"/>
        <v>-0.40439445307342575</v>
      </c>
      <c r="S394" s="3">
        <f t="shared" si="187"/>
        <v>-0.34520067698893425</v>
      </c>
      <c r="T394" s="3">
        <f t="shared" si="187"/>
        <v>-0.16430210225931943</v>
      </c>
      <c r="U394" s="3">
        <f t="shared" si="187"/>
        <v>-0.41856242186000381</v>
      </c>
      <c r="V394" s="3">
        <f t="shared" si="187"/>
        <v>-0.22682255433176507</v>
      </c>
      <c r="W394" s="3">
        <f t="shared" si="187"/>
        <v>-2.1352512758277993E-2</v>
      </c>
    </row>
    <row r="397" spans="1:26" x14ac:dyDescent="0.25">
      <c r="D397" t="s">
        <v>147</v>
      </c>
      <c r="E397" t="s">
        <v>148</v>
      </c>
      <c r="F397" t="s">
        <v>149</v>
      </c>
      <c r="G397" t="s">
        <v>150</v>
      </c>
      <c r="H397" t="s">
        <v>151</v>
      </c>
      <c r="I397" t="s">
        <v>152</v>
      </c>
      <c r="J397" t="s">
        <v>153</v>
      </c>
      <c r="K397" t="s">
        <v>154</v>
      </c>
      <c r="L397" t="s">
        <v>349</v>
      </c>
      <c r="M397" t="s">
        <v>401</v>
      </c>
      <c r="N397" t="s">
        <v>402</v>
      </c>
      <c r="O397" t="s">
        <v>403</v>
      </c>
      <c r="P397" t="s">
        <v>498</v>
      </c>
      <c r="Q397" t="s">
        <v>499</v>
      </c>
      <c r="R397" t="s">
        <v>500</v>
      </c>
      <c r="S397" t="s">
        <v>501</v>
      </c>
      <c r="T397" t="s">
        <v>610</v>
      </c>
      <c r="U397" t="s">
        <v>611</v>
      </c>
      <c r="V397" t="s">
        <v>612</v>
      </c>
      <c r="W397" t="s">
        <v>613</v>
      </c>
      <c r="Y397" t="s">
        <v>155</v>
      </c>
      <c r="Z397" t="s">
        <v>156</v>
      </c>
    </row>
    <row r="398" spans="1:26" x14ac:dyDescent="0.25">
      <c r="A398" t="s">
        <v>43</v>
      </c>
      <c r="D398">
        <f t="shared" ref="D398:W398" si="188">D2*D200</f>
        <v>171.573309690591</v>
      </c>
      <c r="E398">
        <f t="shared" si="188"/>
        <v>122.50900811365025</v>
      </c>
      <c r="F398">
        <f t="shared" si="188"/>
        <v>201.89812883166096</v>
      </c>
      <c r="G398">
        <f t="shared" si="188"/>
        <v>140.87666270742827</v>
      </c>
      <c r="H398">
        <f t="shared" si="188"/>
        <v>103.65593638568971</v>
      </c>
      <c r="I398">
        <f t="shared" si="188"/>
        <v>136.34888907561518</v>
      </c>
      <c r="J398">
        <f t="shared" si="188"/>
        <v>113.79354400657131</v>
      </c>
      <c r="K398">
        <f t="shared" si="188"/>
        <v>142.23453476281733</v>
      </c>
      <c r="L398">
        <f t="shared" si="188"/>
        <v>112.40512375568767</v>
      </c>
      <c r="M398">
        <f t="shared" si="188"/>
        <v>72.154092972549918</v>
      </c>
      <c r="N398">
        <f t="shared" si="188"/>
        <v>48.729648053721974</v>
      </c>
      <c r="O398">
        <f t="shared" si="188"/>
        <v>69.678921106028213</v>
      </c>
      <c r="P398">
        <f t="shared" si="188"/>
        <v>101.01123934826148</v>
      </c>
      <c r="Q398">
        <f t="shared" si="188"/>
        <v>100.04883699832951</v>
      </c>
      <c r="R398">
        <f t="shared" si="188"/>
        <v>137.5261366353194</v>
      </c>
      <c r="S398">
        <f t="shared" si="188"/>
        <v>79.492833818142358</v>
      </c>
      <c r="T398">
        <f t="shared" si="188"/>
        <v>115.02857142857142</v>
      </c>
      <c r="U398">
        <f t="shared" si="188"/>
        <v>56.150380052293976</v>
      </c>
      <c r="V398">
        <f t="shared" si="188"/>
        <v>43.897400801282004</v>
      </c>
      <c r="W398">
        <f t="shared" si="188"/>
        <v>71.548468922306412</v>
      </c>
      <c r="Y398" s="14">
        <f t="shared" ref="Y398:Y425" si="189">SUM(D398:W398)</f>
        <v>2140.5616674665184</v>
      </c>
      <c r="Z398">
        <f t="shared" ref="Z398:Z421" si="190">SUMPRODUCT($D$427:$W$427,D398:W398)</f>
        <v>117.70509078414923</v>
      </c>
    </row>
    <row r="399" spans="1:26" x14ac:dyDescent="0.25">
      <c r="A399" t="s">
        <v>44</v>
      </c>
      <c r="D399">
        <f t="shared" ref="D399:W399" si="191">D3*D201</f>
        <v>122.69547436724308</v>
      </c>
      <c r="E399">
        <f t="shared" si="191"/>
        <v>227.37118024133551</v>
      </c>
      <c r="F399">
        <f t="shared" si="191"/>
        <v>270.05689715699287</v>
      </c>
      <c r="G399">
        <f t="shared" si="191"/>
        <v>226.52220528995448</v>
      </c>
      <c r="H399">
        <f t="shared" si="191"/>
        <v>134.93031400827741</v>
      </c>
      <c r="I399">
        <f t="shared" si="191"/>
        <v>118.72560541502199</v>
      </c>
      <c r="J399">
        <f t="shared" si="191"/>
        <v>107.30376418874638</v>
      </c>
      <c r="K399">
        <f t="shared" si="191"/>
        <v>102.02888968313917</v>
      </c>
      <c r="L399">
        <f t="shared" si="191"/>
        <v>61.808454922412281</v>
      </c>
      <c r="M399">
        <f t="shared" si="191"/>
        <v>121.13456785171049</v>
      </c>
      <c r="N399">
        <f t="shared" si="191"/>
        <v>126.06631847845809</v>
      </c>
      <c r="O399">
        <f t="shared" si="191"/>
        <v>103.50022854694454</v>
      </c>
      <c r="P399">
        <f t="shared" si="191"/>
        <v>139.75111538718124</v>
      </c>
      <c r="Q399">
        <f t="shared" si="191"/>
        <v>186.39299106730735</v>
      </c>
      <c r="R399">
        <f t="shared" si="191"/>
        <v>160.04938312523348</v>
      </c>
      <c r="S399">
        <f t="shared" si="191"/>
        <v>205.13776907069627</v>
      </c>
      <c r="T399">
        <f t="shared" si="191"/>
        <v>221.89777103948381</v>
      </c>
      <c r="U399">
        <f t="shared" si="191"/>
        <v>158.91961088636498</v>
      </c>
      <c r="V399">
        <f t="shared" si="191"/>
        <v>144.47672509865129</v>
      </c>
      <c r="W399">
        <f t="shared" si="191"/>
        <v>199.06588716092017</v>
      </c>
      <c r="Y399" s="14">
        <f t="shared" si="189"/>
        <v>3137.8351529860747</v>
      </c>
      <c r="Z399">
        <f t="shared" si="190"/>
        <v>64.83455970532053</v>
      </c>
    </row>
    <row r="400" spans="1:26" x14ac:dyDescent="0.25">
      <c r="A400" t="s">
        <v>45</v>
      </c>
      <c r="D400">
        <f t="shared" ref="D400:W400" si="192">D4*D202</f>
        <v>188.36747636535443</v>
      </c>
      <c r="E400">
        <f t="shared" si="192"/>
        <v>192.35742384992056</v>
      </c>
      <c r="F400">
        <f t="shared" si="192"/>
        <v>175.54737946192944</v>
      </c>
      <c r="G400">
        <f t="shared" si="192"/>
        <v>145.28463948938406</v>
      </c>
      <c r="H400">
        <f t="shared" si="192"/>
        <v>163.87388902236339</v>
      </c>
      <c r="I400">
        <f t="shared" si="192"/>
        <v>146.41859521648345</v>
      </c>
      <c r="J400">
        <f t="shared" si="192"/>
        <v>138.49418323020424</v>
      </c>
      <c r="K400">
        <f t="shared" si="192"/>
        <v>101.23572658357116</v>
      </c>
      <c r="L400">
        <f t="shared" si="192"/>
        <v>73.23907217862326</v>
      </c>
      <c r="M400">
        <f t="shared" si="192"/>
        <v>106.9791062427737</v>
      </c>
      <c r="N400">
        <f t="shared" si="192"/>
        <v>107.28298109578287</v>
      </c>
      <c r="O400">
        <f t="shared" si="192"/>
        <v>113.74840583998264</v>
      </c>
      <c r="P400">
        <f t="shared" si="192"/>
        <v>114.50681810596157</v>
      </c>
      <c r="Q400">
        <f t="shared" si="192"/>
        <v>117.80605796993039</v>
      </c>
      <c r="R400">
        <f t="shared" si="192"/>
        <v>128.75672231153717</v>
      </c>
      <c r="S400">
        <f t="shared" si="192"/>
        <v>128.05852606463165</v>
      </c>
      <c r="T400">
        <f t="shared" si="192"/>
        <v>135.22757875413291</v>
      </c>
      <c r="U400">
        <f t="shared" si="192"/>
        <v>148.14295999945671</v>
      </c>
      <c r="V400">
        <f t="shared" si="192"/>
        <v>150.41525518469919</v>
      </c>
      <c r="W400">
        <f t="shared" si="192"/>
        <v>181.2878471941211</v>
      </c>
      <c r="Y400" s="14">
        <f t="shared" si="189"/>
        <v>2757.0306441608445</v>
      </c>
      <c r="Z400">
        <f t="shared" si="190"/>
        <v>113.95295822068938</v>
      </c>
    </row>
    <row r="401" spans="1:26" x14ac:dyDescent="0.25">
      <c r="A401" t="s">
        <v>46</v>
      </c>
      <c r="D401">
        <f t="shared" ref="D401:W401" si="193">D5*D203</f>
        <v>149.8543469524474</v>
      </c>
      <c r="E401">
        <f t="shared" si="193"/>
        <v>135.85941388151372</v>
      </c>
      <c r="F401">
        <f t="shared" si="193"/>
        <v>134.51655639073456</v>
      </c>
      <c r="G401">
        <f t="shared" si="193"/>
        <v>137.44926061833024</v>
      </c>
      <c r="H401">
        <f t="shared" si="193"/>
        <v>125.05997294393246</v>
      </c>
      <c r="I401">
        <f t="shared" si="193"/>
        <v>132.67811933621689</v>
      </c>
      <c r="J401">
        <f t="shared" si="193"/>
        <v>121.81294427763984</v>
      </c>
      <c r="K401">
        <f t="shared" si="193"/>
        <v>126.0348309146332</v>
      </c>
      <c r="L401">
        <f t="shared" si="193"/>
        <v>86.511795274694251</v>
      </c>
      <c r="M401">
        <f t="shared" si="193"/>
        <v>88.670357996907512</v>
      </c>
      <c r="N401">
        <f t="shared" si="193"/>
        <v>120.84947319492802</v>
      </c>
      <c r="O401">
        <f t="shared" si="193"/>
        <v>117.23155010747706</v>
      </c>
      <c r="P401">
        <f t="shared" si="193"/>
        <v>109.6320879484349</v>
      </c>
      <c r="Q401">
        <f t="shared" si="193"/>
        <v>103.62835328358852</v>
      </c>
      <c r="R401">
        <f t="shared" si="193"/>
        <v>138.85940525063259</v>
      </c>
      <c r="S401">
        <f t="shared" si="193"/>
        <v>142.13619841995524</v>
      </c>
      <c r="T401">
        <f t="shared" si="193"/>
        <v>179.94471034087084</v>
      </c>
      <c r="U401">
        <f t="shared" si="193"/>
        <v>195.71749036268346</v>
      </c>
      <c r="V401">
        <f t="shared" si="193"/>
        <v>130.93525170362801</v>
      </c>
      <c r="W401">
        <f t="shared" si="193"/>
        <v>154.45842058481395</v>
      </c>
      <c r="Y401" s="14">
        <f t="shared" si="189"/>
        <v>2631.8405397840629</v>
      </c>
      <c r="Z401">
        <f t="shared" si="190"/>
        <v>86.824502275478636</v>
      </c>
    </row>
    <row r="402" spans="1:26" x14ac:dyDescent="0.25">
      <c r="A402" t="s">
        <v>47</v>
      </c>
      <c r="D402">
        <f t="shared" ref="D402:W402" si="194">D6*D204</f>
        <v>189.81884358701421</v>
      </c>
      <c r="E402">
        <f t="shared" si="194"/>
        <v>138.95614400260908</v>
      </c>
      <c r="F402">
        <f t="shared" si="194"/>
        <v>143.59846391863096</v>
      </c>
      <c r="G402">
        <f t="shared" si="194"/>
        <v>176.88481423022284</v>
      </c>
      <c r="H402">
        <f t="shared" si="194"/>
        <v>168.34453469781937</v>
      </c>
      <c r="I402">
        <f t="shared" si="194"/>
        <v>152.94326320626405</v>
      </c>
      <c r="J402">
        <f t="shared" si="194"/>
        <v>121.82165076266139</v>
      </c>
      <c r="K402">
        <f t="shared" si="194"/>
        <v>123.49312121114112</v>
      </c>
      <c r="L402">
        <f t="shared" si="194"/>
        <v>83.578417708285755</v>
      </c>
      <c r="M402">
        <f t="shared" si="194"/>
        <v>105.66923794645078</v>
      </c>
      <c r="N402">
        <f t="shared" si="194"/>
        <v>77.337040531622989</v>
      </c>
      <c r="O402">
        <f t="shared" si="194"/>
        <v>125.08842402031962</v>
      </c>
      <c r="P402">
        <f t="shared" si="194"/>
        <v>156.82801307523769</v>
      </c>
      <c r="Q402">
        <f t="shared" si="194"/>
        <v>113.63882863456953</v>
      </c>
      <c r="R402">
        <f t="shared" si="194"/>
        <v>98.364713005975389</v>
      </c>
      <c r="S402">
        <f t="shared" si="194"/>
        <v>80.254778567471021</v>
      </c>
      <c r="T402">
        <f t="shared" si="194"/>
        <v>80.294522696532525</v>
      </c>
      <c r="U402">
        <f t="shared" si="194"/>
        <v>124.65707146948584</v>
      </c>
      <c r="V402">
        <f t="shared" si="194"/>
        <v>162.76984949610292</v>
      </c>
      <c r="W402">
        <f t="shared" si="194"/>
        <v>191.02928367012845</v>
      </c>
      <c r="Y402" s="14">
        <f t="shared" si="189"/>
        <v>2615.3710164385452</v>
      </c>
      <c r="Z402">
        <f t="shared" si="190"/>
        <v>133.01911852435228</v>
      </c>
    </row>
    <row r="403" spans="1:26" x14ac:dyDescent="0.25">
      <c r="A403" t="s">
        <v>48</v>
      </c>
      <c r="D403">
        <f t="shared" ref="D403:W403" si="195">D7*D205</f>
        <v>97.908249963514365</v>
      </c>
      <c r="E403">
        <f t="shared" si="195"/>
        <v>112.01534113453985</v>
      </c>
      <c r="F403">
        <f t="shared" si="195"/>
        <v>94.966018725911042</v>
      </c>
      <c r="G403">
        <f t="shared" si="195"/>
        <v>103.93928357786729</v>
      </c>
      <c r="H403">
        <f t="shared" si="195"/>
        <v>99.874083961288576</v>
      </c>
      <c r="I403">
        <f t="shared" si="195"/>
        <v>135.60462767431733</v>
      </c>
      <c r="J403">
        <f t="shared" si="195"/>
        <v>175.06070713605882</v>
      </c>
      <c r="K403">
        <f t="shared" si="195"/>
        <v>178.2440700658847</v>
      </c>
      <c r="L403">
        <f t="shared" si="195"/>
        <v>80.657206391892984</v>
      </c>
      <c r="M403">
        <f t="shared" si="195"/>
        <v>135.91613032512382</v>
      </c>
      <c r="N403">
        <f t="shared" si="195"/>
        <v>120.76581707436547</v>
      </c>
      <c r="O403">
        <f t="shared" si="195"/>
        <v>93.483647697036048</v>
      </c>
      <c r="P403">
        <f t="shared" si="195"/>
        <v>89.356838538190644</v>
      </c>
      <c r="Q403">
        <f t="shared" si="195"/>
        <v>85.322204080118865</v>
      </c>
      <c r="R403">
        <f t="shared" si="195"/>
        <v>92.44204422286505</v>
      </c>
      <c r="S403">
        <f t="shared" si="195"/>
        <v>85.578082559579869</v>
      </c>
      <c r="T403">
        <f t="shared" si="195"/>
        <v>97.725553231631068</v>
      </c>
      <c r="U403">
        <f t="shared" si="195"/>
        <v>100.89017986491605</v>
      </c>
      <c r="V403">
        <f t="shared" si="195"/>
        <v>126.03979494850191</v>
      </c>
      <c r="W403">
        <f t="shared" si="195"/>
        <v>122.2430986059659</v>
      </c>
      <c r="Y403" s="14">
        <f t="shared" si="189"/>
        <v>2228.0329797795694</v>
      </c>
      <c r="Z403">
        <f t="shared" si="190"/>
        <v>71.830709213585749</v>
      </c>
    </row>
    <row r="404" spans="1:26" x14ac:dyDescent="0.25">
      <c r="A404" t="s">
        <v>49</v>
      </c>
      <c r="D404">
        <f t="shared" ref="D404:W404" si="196">D8*D206</f>
        <v>116.18136680286872</v>
      </c>
      <c r="E404">
        <f t="shared" si="196"/>
        <v>160.94327839710823</v>
      </c>
      <c r="F404">
        <f t="shared" si="196"/>
        <v>169.11915396206911</v>
      </c>
      <c r="G404">
        <f t="shared" si="196"/>
        <v>133.82360505240663</v>
      </c>
      <c r="H404">
        <f t="shared" si="196"/>
        <v>100.68235233512075</v>
      </c>
      <c r="I404">
        <f t="shared" si="196"/>
        <v>129.59657690570126</v>
      </c>
      <c r="J404">
        <f t="shared" si="196"/>
        <v>80.540685448541311</v>
      </c>
      <c r="K404">
        <f t="shared" si="196"/>
        <v>80.963706647992709</v>
      </c>
      <c r="L404">
        <f t="shared" si="196"/>
        <v>71.839856019642937</v>
      </c>
      <c r="M404">
        <f t="shared" si="196"/>
        <v>82.082901094417807</v>
      </c>
      <c r="N404">
        <f t="shared" si="196"/>
        <v>133.46650947136268</v>
      </c>
      <c r="O404">
        <f t="shared" si="196"/>
        <v>139.21818635861487</v>
      </c>
      <c r="P404">
        <f t="shared" si="196"/>
        <v>103.05692857026946</v>
      </c>
      <c r="Q404">
        <f t="shared" si="196"/>
        <v>97.779691502183837</v>
      </c>
      <c r="R404">
        <f t="shared" si="196"/>
        <v>110.22144939712256</v>
      </c>
      <c r="S404">
        <f t="shared" si="196"/>
        <v>88.848998395975016</v>
      </c>
      <c r="T404">
        <f t="shared" si="196"/>
        <v>84.555430256444893</v>
      </c>
      <c r="U404">
        <f t="shared" si="196"/>
        <v>160.28235378291302</v>
      </c>
      <c r="V404">
        <f t="shared" si="196"/>
        <v>170.26743620278592</v>
      </c>
      <c r="W404">
        <f t="shared" si="196"/>
        <v>233.14509571388075</v>
      </c>
      <c r="Y404" s="14">
        <f t="shared" si="189"/>
        <v>2446.6155623174232</v>
      </c>
      <c r="Z404">
        <f t="shared" si="190"/>
        <v>94.582502408331152</v>
      </c>
    </row>
    <row r="405" spans="1:26" x14ac:dyDescent="0.25">
      <c r="A405" t="s">
        <v>50</v>
      </c>
      <c r="D405">
        <f t="shared" ref="D405:W405" si="197">D9*D207</f>
        <v>169.40995061562228</v>
      </c>
      <c r="E405">
        <f t="shared" si="197"/>
        <v>127.26188643377431</v>
      </c>
      <c r="F405">
        <f t="shared" si="197"/>
        <v>143.07656706240368</v>
      </c>
      <c r="G405">
        <f t="shared" si="197"/>
        <v>147.9480047581481</v>
      </c>
      <c r="H405">
        <f t="shared" si="197"/>
        <v>166.76352397051892</v>
      </c>
      <c r="I405">
        <f t="shared" si="197"/>
        <v>163.71550798868526</v>
      </c>
      <c r="J405">
        <f t="shared" si="197"/>
        <v>169.62025967532449</v>
      </c>
      <c r="K405">
        <f t="shared" si="197"/>
        <v>150.72963133913962</v>
      </c>
      <c r="L405">
        <f t="shared" si="197"/>
        <v>70.09456373096711</v>
      </c>
      <c r="M405">
        <f t="shared" si="197"/>
        <v>114.84124386352217</v>
      </c>
      <c r="N405">
        <f t="shared" si="197"/>
        <v>123.18558389138228</v>
      </c>
      <c r="O405">
        <f t="shared" si="197"/>
        <v>104.24384304479223</v>
      </c>
      <c r="P405">
        <f t="shared" si="197"/>
        <v>143.40234951112322</v>
      </c>
      <c r="Q405">
        <f t="shared" si="197"/>
        <v>183.12682029828224</v>
      </c>
      <c r="R405">
        <f t="shared" si="197"/>
        <v>191.44687786201462</v>
      </c>
      <c r="S405">
        <f t="shared" si="197"/>
        <v>185.07162684527799</v>
      </c>
      <c r="T405">
        <f t="shared" si="197"/>
        <v>182.77159775098369</v>
      </c>
      <c r="U405">
        <f t="shared" si="197"/>
        <v>151.93578166209502</v>
      </c>
      <c r="V405">
        <f t="shared" si="197"/>
        <v>129.49294917124936</v>
      </c>
      <c r="W405">
        <f t="shared" si="197"/>
        <v>185.12152040898999</v>
      </c>
      <c r="Y405" s="14">
        <f t="shared" si="189"/>
        <v>3003.2600898842957</v>
      </c>
      <c r="Z405">
        <f t="shared" si="190"/>
        <v>74.242474612108651</v>
      </c>
    </row>
    <row r="406" spans="1:26" x14ac:dyDescent="0.25">
      <c r="A406" t="s">
        <v>51</v>
      </c>
      <c r="D406">
        <f t="shared" ref="D406:W406" si="198">D10*D208</f>
        <v>150.35894161964626</v>
      </c>
      <c r="E406">
        <f t="shared" si="198"/>
        <v>129.15322211071438</v>
      </c>
      <c r="F406">
        <f t="shared" si="198"/>
        <v>140.03010731771673</v>
      </c>
      <c r="G406">
        <f t="shared" si="198"/>
        <v>150.68652156041557</v>
      </c>
      <c r="H406">
        <f t="shared" si="198"/>
        <v>138.41371987795901</v>
      </c>
      <c r="I406">
        <f t="shared" si="198"/>
        <v>127.00126817457053</v>
      </c>
      <c r="J406">
        <f t="shared" si="198"/>
        <v>130.39184411953195</v>
      </c>
      <c r="K406">
        <f t="shared" si="198"/>
        <v>123.70189138961014</v>
      </c>
      <c r="L406">
        <f t="shared" si="198"/>
        <v>102.8255067826712</v>
      </c>
      <c r="M406">
        <f t="shared" si="198"/>
        <v>85.125810533635445</v>
      </c>
      <c r="N406">
        <f t="shared" si="198"/>
        <v>64.711913290209267</v>
      </c>
      <c r="O406">
        <f t="shared" si="198"/>
        <v>70.284488969110029</v>
      </c>
      <c r="P406">
        <f t="shared" si="198"/>
        <v>107.69888233430724</v>
      </c>
      <c r="Q406">
        <f t="shared" si="198"/>
        <v>128.86003998442757</v>
      </c>
      <c r="R406">
        <f t="shared" si="198"/>
        <v>138.26324965447847</v>
      </c>
      <c r="S406">
        <f t="shared" si="198"/>
        <v>153.12817345225216</v>
      </c>
      <c r="T406">
        <f t="shared" si="198"/>
        <v>159.51793771887904</v>
      </c>
      <c r="U406">
        <f t="shared" si="198"/>
        <v>107.19085322824755</v>
      </c>
      <c r="V406">
        <f t="shared" si="198"/>
        <v>117.00268817645201</v>
      </c>
      <c r="W406">
        <f t="shared" si="198"/>
        <v>159.80315636088395</v>
      </c>
      <c r="Y406" s="14">
        <f t="shared" si="189"/>
        <v>2484.1502166557184</v>
      </c>
      <c r="Z406">
        <f t="shared" si="190"/>
        <v>83.166751337629009</v>
      </c>
    </row>
    <row r="407" spans="1:26" x14ac:dyDescent="0.25">
      <c r="A407" t="s">
        <v>52</v>
      </c>
      <c r="D407">
        <f t="shared" ref="D407:W407" si="199">D11*D209</f>
        <v>150.9830397583718</v>
      </c>
      <c r="E407">
        <f t="shared" si="199"/>
        <v>140.07455337477248</v>
      </c>
      <c r="F407">
        <f t="shared" si="199"/>
        <v>125.84304704452187</v>
      </c>
      <c r="G407">
        <f t="shared" si="199"/>
        <v>143.83951630193317</v>
      </c>
      <c r="H407">
        <f t="shared" si="199"/>
        <v>105.58873486319861</v>
      </c>
      <c r="I407">
        <f t="shared" si="199"/>
        <v>119.86784982214256</v>
      </c>
      <c r="J407">
        <f t="shared" si="199"/>
        <v>114.96106533395151</v>
      </c>
      <c r="K407">
        <f t="shared" si="199"/>
        <v>113.74420551025989</v>
      </c>
      <c r="L407">
        <f t="shared" si="199"/>
        <v>98.13552351562376</v>
      </c>
      <c r="M407">
        <f t="shared" si="199"/>
        <v>127.38603077252569</v>
      </c>
      <c r="N407">
        <f t="shared" si="199"/>
        <v>109.8148835665108</v>
      </c>
      <c r="O407">
        <f t="shared" si="199"/>
        <v>150.54352396968076</v>
      </c>
      <c r="P407">
        <f t="shared" si="199"/>
        <v>89.308431501077777</v>
      </c>
      <c r="Q407">
        <f t="shared" si="199"/>
        <v>107.51874308446723</v>
      </c>
      <c r="R407">
        <f t="shared" si="199"/>
        <v>127.61866624262059</v>
      </c>
      <c r="S407">
        <f t="shared" si="199"/>
        <v>138.68136638941755</v>
      </c>
      <c r="T407">
        <f t="shared" si="199"/>
        <v>155.04745054265948</v>
      </c>
      <c r="U407">
        <f t="shared" si="199"/>
        <v>189.03596506627829</v>
      </c>
      <c r="V407">
        <f t="shared" si="199"/>
        <v>214.31435969827771</v>
      </c>
      <c r="W407">
        <f t="shared" si="199"/>
        <v>220.241846452884</v>
      </c>
      <c r="Y407" s="14">
        <f t="shared" si="189"/>
        <v>2742.5488028111754</v>
      </c>
      <c r="Z407">
        <f t="shared" si="190"/>
        <v>85.240535075842985</v>
      </c>
    </row>
    <row r="408" spans="1:26" x14ac:dyDescent="0.25">
      <c r="A408" t="s">
        <v>53</v>
      </c>
      <c r="D408">
        <f t="shared" ref="D408:W408" si="200">D12*D210</f>
        <v>153.85642937885078</v>
      </c>
      <c r="E408">
        <f t="shared" si="200"/>
        <v>140.26825739763774</v>
      </c>
      <c r="F408">
        <f t="shared" si="200"/>
        <v>126.60033290490402</v>
      </c>
      <c r="G408">
        <f t="shared" si="200"/>
        <v>110.3132255493923</v>
      </c>
      <c r="H408">
        <f t="shared" si="200"/>
        <v>92.237572622170404</v>
      </c>
      <c r="I408">
        <f t="shared" si="200"/>
        <v>91.661052187489716</v>
      </c>
      <c r="J408">
        <f t="shared" si="200"/>
        <v>69.301250549843758</v>
      </c>
      <c r="K408">
        <f t="shared" si="200"/>
        <v>109.4239486332561</v>
      </c>
      <c r="L408">
        <f t="shared" si="200"/>
        <v>92.484550514284805</v>
      </c>
      <c r="M408">
        <f t="shared" si="200"/>
        <v>91.057804798996756</v>
      </c>
      <c r="N408">
        <f t="shared" si="200"/>
        <v>86.558865160652786</v>
      </c>
      <c r="O408">
        <f t="shared" si="200"/>
        <v>110.18693189205462</v>
      </c>
      <c r="P408">
        <f t="shared" si="200"/>
        <v>100.07922105415177</v>
      </c>
      <c r="Q408">
        <f t="shared" si="200"/>
        <v>89.199272539173734</v>
      </c>
      <c r="R408">
        <f t="shared" si="200"/>
        <v>111.4453278547073</v>
      </c>
      <c r="S408">
        <f t="shared" si="200"/>
        <v>130.61644499368154</v>
      </c>
      <c r="T408">
        <f t="shared" si="200"/>
        <v>120.98387213056562</v>
      </c>
      <c r="U408">
        <f t="shared" si="200"/>
        <v>123.8566576308769</v>
      </c>
      <c r="V408">
        <f t="shared" si="200"/>
        <v>79.590976258634456</v>
      </c>
      <c r="W408">
        <f t="shared" si="200"/>
        <v>88.691752739283984</v>
      </c>
      <c r="Y408" s="14">
        <f t="shared" si="189"/>
        <v>2118.4137467906098</v>
      </c>
      <c r="Z408">
        <f t="shared" si="190"/>
        <v>85.267997995626132</v>
      </c>
    </row>
    <row r="409" spans="1:26" x14ac:dyDescent="0.25">
      <c r="A409" t="s">
        <v>54</v>
      </c>
      <c r="D409">
        <f t="shared" ref="D409:W409" si="201">D13*D211</f>
        <v>91.762771146198432</v>
      </c>
      <c r="E409">
        <f t="shared" si="201"/>
        <v>115.58052874557822</v>
      </c>
      <c r="F409">
        <f t="shared" si="201"/>
        <v>114.11237956165814</v>
      </c>
      <c r="G409">
        <f t="shared" si="201"/>
        <v>88.327786661646684</v>
      </c>
      <c r="H409">
        <f t="shared" si="201"/>
        <v>80.316658894713711</v>
      </c>
      <c r="I409">
        <f t="shared" si="201"/>
        <v>64.362984405695755</v>
      </c>
      <c r="J409">
        <f t="shared" si="201"/>
        <v>75.437659118152496</v>
      </c>
      <c r="K409">
        <f t="shared" si="201"/>
        <v>75.272106581974413</v>
      </c>
      <c r="L409">
        <f t="shared" si="201"/>
        <v>60.553956301098459</v>
      </c>
      <c r="M409">
        <f t="shared" si="201"/>
        <v>71.2421992586535</v>
      </c>
      <c r="N409">
        <f t="shared" si="201"/>
        <v>77.81598846069862</v>
      </c>
      <c r="O409">
        <f t="shared" si="201"/>
        <v>72.853771318265657</v>
      </c>
      <c r="P409">
        <f t="shared" si="201"/>
        <v>74.866516449740956</v>
      </c>
      <c r="Q409">
        <f t="shared" si="201"/>
        <v>75.956126120199855</v>
      </c>
      <c r="R409">
        <f t="shared" si="201"/>
        <v>69.593578912343673</v>
      </c>
      <c r="S409">
        <f t="shared" si="201"/>
        <v>72.97478897025313</v>
      </c>
      <c r="T409">
        <f t="shared" si="201"/>
        <v>75.447458077199599</v>
      </c>
      <c r="U409">
        <f t="shared" si="201"/>
        <v>106.59742570693406</v>
      </c>
      <c r="V409">
        <f t="shared" si="201"/>
        <v>76.567781089255774</v>
      </c>
      <c r="W409">
        <f t="shared" si="201"/>
        <v>87.846798277351098</v>
      </c>
      <c r="Y409" s="14">
        <f t="shared" si="189"/>
        <v>1627.489264057612</v>
      </c>
      <c r="Z409">
        <f t="shared" si="190"/>
        <v>59.654978880626317</v>
      </c>
    </row>
    <row r="410" spans="1:26" x14ac:dyDescent="0.25">
      <c r="A410" t="s">
        <v>55</v>
      </c>
      <c r="D410">
        <f t="shared" ref="D410:W410" si="202">D14*D212</f>
        <v>129.24306470187631</v>
      </c>
      <c r="E410">
        <f t="shared" si="202"/>
        <v>102.79578923281969</v>
      </c>
      <c r="F410">
        <f t="shared" si="202"/>
        <v>79.032245038203556</v>
      </c>
      <c r="G410">
        <f t="shared" si="202"/>
        <v>88.116650404839561</v>
      </c>
      <c r="H410">
        <f t="shared" si="202"/>
        <v>61.849314609433314</v>
      </c>
      <c r="I410">
        <f t="shared" si="202"/>
        <v>64.960845771225792</v>
      </c>
      <c r="J410">
        <f t="shared" si="202"/>
        <v>64.40656230944154</v>
      </c>
      <c r="K410">
        <f t="shared" si="202"/>
        <v>63.370293263014034</v>
      </c>
      <c r="L410">
        <f t="shared" si="202"/>
        <v>62.254211108111257</v>
      </c>
      <c r="M410">
        <f t="shared" si="202"/>
        <v>78.475397562447327</v>
      </c>
      <c r="N410">
        <f t="shared" si="202"/>
        <v>97.076225672063529</v>
      </c>
      <c r="O410">
        <f t="shared" si="202"/>
        <v>124.53371029438266</v>
      </c>
      <c r="P410">
        <f t="shared" si="202"/>
        <v>70.616884816355707</v>
      </c>
      <c r="Q410">
        <f t="shared" si="202"/>
        <v>72.236698242662698</v>
      </c>
      <c r="R410">
        <f t="shared" si="202"/>
        <v>78.444366609154201</v>
      </c>
      <c r="S410">
        <f t="shared" si="202"/>
        <v>70.988621487371745</v>
      </c>
      <c r="T410">
        <f t="shared" si="202"/>
        <v>66.837207326329988</v>
      </c>
      <c r="U410">
        <f t="shared" si="202"/>
        <v>70.452144976403275</v>
      </c>
      <c r="V410">
        <f t="shared" si="202"/>
        <v>83.136488969532067</v>
      </c>
      <c r="W410">
        <f t="shared" si="202"/>
        <v>145.85204875475253</v>
      </c>
      <c r="Y410" s="14">
        <f t="shared" si="189"/>
        <v>1674.678771150421</v>
      </c>
      <c r="Z410">
        <f t="shared" si="190"/>
        <v>72.74715496853328</v>
      </c>
    </row>
    <row r="411" spans="1:26" x14ac:dyDescent="0.25">
      <c r="A411" t="s">
        <v>56</v>
      </c>
      <c r="D411">
        <f t="shared" ref="D411:W411" si="203">D15*D213</f>
        <v>178.98646657379555</v>
      </c>
      <c r="E411">
        <f t="shared" si="203"/>
        <v>120.4272120135</v>
      </c>
      <c r="F411">
        <f t="shared" si="203"/>
        <v>97.418931720933358</v>
      </c>
      <c r="G411">
        <f t="shared" si="203"/>
        <v>108.23994489683791</v>
      </c>
      <c r="H411">
        <f t="shared" si="203"/>
        <v>78.877766856291288</v>
      </c>
      <c r="I411">
        <f t="shared" si="203"/>
        <v>97.908959862426926</v>
      </c>
      <c r="J411">
        <f t="shared" si="203"/>
        <v>118.61306307407216</v>
      </c>
      <c r="K411">
        <f t="shared" si="203"/>
        <v>113.96208189871875</v>
      </c>
      <c r="L411">
        <f t="shared" si="203"/>
        <v>85.132291598702906</v>
      </c>
      <c r="M411">
        <f t="shared" si="203"/>
        <v>84.411357227589662</v>
      </c>
      <c r="N411">
        <f t="shared" si="203"/>
        <v>143.90465783817081</v>
      </c>
      <c r="O411">
        <f t="shared" si="203"/>
        <v>105.63737492136018</v>
      </c>
      <c r="P411">
        <f t="shared" si="203"/>
        <v>116.91207038199275</v>
      </c>
      <c r="Q411">
        <f t="shared" si="203"/>
        <v>137.87892088185802</v>
      </c>
      <c r="R411">
        <f t="shared" si="203"/>
        <v>85.075269885845856</v>
      </c>
      <c r="S411">
        <f t="shared" si="203"/>
        <v>77.100099553435001</v>
      </c>
      <c r="T411">
        <f t="shared" si="203"/>
        <v>132.62142747216026</v>
      </c>
      <c r="U411">
        <f t="shared" si="203"/>
        <v>92.609040031235907</v>
      </c>
      <c r="V411">
        <f t="shared" si="203"/>
        <v>86.450959881608114</v>
      </c>
      <c r="W411">
        <f t="shared" si="203"/>
        <v>77.100099553435001</v>
      </c>
      <c r="Y411" s="14">
        <f t="shared" si="189"/>
        <v>2139.2679961239705</v>
      </c>
      <c r="Z411">
        <f t="shared" si="190"/>
        <v>81.447009640156637</v>
      </c>
    </row>
    <row r="412" spans="1:26" x14ac:dyDescent="0.25">
      <c r="A412" t="s">
        <v>57</v>
      </c>
      <c r="D412">
        <f t="shared" ref="D412:W412" si="204">D16*D214</f>
        <v>130.60741590257609</v>
      </c>
      <c r="E412">
        <f t="shared" si="204"/>
        <v>129.57155103276224</v>
      </c>
      <c r="F412">
        <f t="shared" si="204"/>
        <v>158.86972961164673</v>
      </c>
      <c r="G412">
        <f t="shared" si="204"/>
        <v>153.62046998829084</v>
      </c>
      <c r="H412">
        <f t="shared" si="204"/>
        <v>126.07042602145539</v>
      </c>
      <c r="I412">
        <f t="shared" si="204"/>
        <v>85.112271058713844</v>
      </c>
      <c r="J412">
        <f t="shared" si="204"/>
        <v>90.446242010464502</v>
      </c>
      <c r="K412">
        <f t="shared" si="204"/>
        <v>112.85143413240692</v>
      </c>
      <c r="L412">
        <f t="shared" si="204"/>
        <v>57.712254466117031</v>
      </c>
      <c r="M412">
        <f t="shared" si="204"/>
        <v>77.570553245838326</v>
      </c>
      <c r="N412">
        <f t="shared" si="204"/>
        <v>78.804771993121463</v>
      </c>
      <c r="O412">
        <f t="shared" si="204"/>
        <v>97.347054596303863</v>
      </c>
      <c r="P412">
        <f t="shared" si="204"/>
        <v>114.64564063207379</v>
      </c>
      <c r="Q412">
        <f t="shared" si="204"/>
        <v>98.049626599731312</v>
      </c>
      <c r="R412">
        <f t="shared" si="204"/>
        <v>145.91226837395163</v>
      </c>
      <c r="S412">
        <f t="shared" si="204"/>
        <v>106.73192442434991</v>
      </c>
      <c r="T412">
        <f t="shared" si="204"/>
        <v>112.19383728125628</v>
      </c>
      <c r="U412">
        <f t="shared" si="204"/>
        <v>86.407272658150305</v>
      </c>
      <c r="V412">
        <f t="shared" si="204"/>
        <v>157.84738861452792</v>
      </c>
      <c r="W412">
        <f t="shared" si="204"/>
        <v>169.78259122495876</v>
      </c>
      <c r="Y412" s="14">
        <f t="shared" si="189"/>
        <v>2290.1547238686967</v>
      </c>
      <c r="Z412">
        <f t="shared" si="190"/>
        <v>79.480363281329602</v>
      </c>
    </row>
    <row r="413" spans="1:26" x14ac:dyDescent="0.25">
      <c r="A413" t="s">
        <v>58</v>
      </c>
      <c r="D413">
        <f t="shared" ref="D413:W413" si="205">D17*D215</f>
        <v>107.46662414063708</v>
      </c>
      <c r="E413">
        <f t="shared" si="205"/>
        <v>113.95817585187224</v>
      </c>
      <c r="F413">
        <f t="shared" si="205"/>
        <v>84.110754795572589</v>
      </c>
      <c r="G413">
        <f t="shared" si="205"/>
        <v>86.962197992534442</v>
      </c>
      <c r="H413">
        <f t="shared" si="205"/>
        <v>98.374796184690069</v>
      </c>
      <c r="I413">
        <f t="shared" si="205"/>
        <v>58.008560990641314</v>
      </c>
      <c r="J413">
        <f t="shared" si="205"/>
        <v>87.769041500155325</v>
      </c>
      <c r="K413">
        <f t="shared" si="205"/>
        <v>82.964495135175994</v>
      </c>
      <c r="L413">
        <f t="shared" si="205"/>
        <v>62.197799078361093</v>
      </c>
      <c r="M413">
        <f t="shared" si="205"/>
        <v>49.036910162091104</v>
      </c>
      <c r="N413">
        <f t="shared" si="205"/>
        <v>86.437955940234147</v>
      </c>
      <c r="O413">
        <f t="shared" si="205"/>
        <v>74.510649626657909</v>
      </c>
      <c r="P413">
        <f t="shared" si="205"/>
        <v>84.896647421274565</v>
      </c>
      <c r="Q413">
        <f t="shared" si="205"/>
        <v>65.870625935909445</v>
      </c>
      <c r="R413">
        <f t="shared" si="205"/>
        <v>45.899807841404659</v>
      </c>
      <c r="S413">
        <f t="shared" si="205"/>
        <v>61.833832821396491</v>
      </c>
      <c r="T413">
        <f t="shared" si="205"/>
        <v>72.556782476198705</v>
      </c>
      <c r="U413">
        <f t="shared" si="205"/>
        <v>62.287295477816286</v>
      </c>
      <c r="V413">
        <f t="shared" si="205"/>
        <v>55.001193384947037</v>
      </c>
      <c r="W413">
        <f t="shared" si="205"/>
        <v>68.049279979099936</v>
      </c>
      <c r="Y413" s="14">
        <f t="shared" si="189"/>
        <v>1508.1934267366707</v>
      </c>
      <c r="Z413">
        <f t="shared" si="190"/>
        <v>70.939912208349526</v>
      </c>
    </row>
    <row r="414" spans="1:26" x14ac:dyDescent="0.25">
      <c r="A414" t="s">
        <v>59</v>
      </c>
      <c r="D414">
        <f t="shared" ref="D414:W414" si="206">D18*D216</f>
        <v>89.08870612075772</v>
      </c>
      <c r="E414">
        <f t="shared" si="206"/>
        <v>98.052129820982103</v>
      </c>
      <c r="F414">
        <f t="shared" si="206"/>
        <v>74.657134842892987</v>
      </c>
      <c r="G414">
        <f t="shared" si="206"/>
        <v>94.922246601508945</v>
      </c>
      <c r="H414">
        <f t="shared" si="206"/>
        <v>91.251976541261172</v>
      </c>
      <c r="I414">
        <f t="shared" si="206"/>
        <v>69.878042188392982</v>
      </c>
      <c r="J414">
        <f t="shared" si="206"/>
        <v>71.100341518979363</v>
      </c>
      <c r="K414">
        <f t="shared" si="206"/>
        <v>72.796341184252398</v>
      </c>
      <c r="L414">
        <f t="shared" si="206"/>
        <v>43.990867220434922</v>
      </c>
      <c r="M414">
        <f t="shared" si="206"/>
        <v>69.030118352397238</v>
      </c>
      <c r="N414">
        <f t="shared" si="206"/>
        <v>58.350823929138116</v>
      </c>
      <c r="O414">
        <f t="shared" si="206"/>
        <v>48.249827896315942</v>
      </c>
      <c r="P414">
        <f t="shared" si="206"/>
        <v>43.152237617645191</v>
      </c>
      <c r="Q414">
        <f t="shared" si="206"/>
        <v>58.976406610492113</v>
      </c>
      <c r="R414">
        <f t="shared" si="206"/>
        <v>75.650244880858963</v>
      </c>
      <c r="S414">
        <f t="shared" si="206"/>
        <v>89.574767027366832</v>
      </c>
      <c r="T414">
        <f t="shared" si="206"/>
        <v>45.94665025080873</v>
      </c>
      <c r="U414">
        <f t="shared" si="206"/>
        <v>66.934475623491593</v>
      </c>
      <c r="V414">
        <f t="shared" si="206"/>
        <v>79.714063133865849</v>
      </c>
      <c r="W414">
        <f t="shared" si="206"/>
        <v>67.226816350161798</v>
      </c>
      <c r="Y414" s="14">
        <f t="shared" si="189"/>
        <v>1408.5442177120046</v>
      </c>
      <c r="Z414">
        <f t="shared" si="190"/>
        <v>52.745079720009279</v>
      </c>
    </row>
    <row r="415" spans="1:26" x14ac:dyDescent="0.25">
      <c r="A415" t="s">
        <v>60</v>
      </c>
      <c r="D415">
        <f t="shared" ref="D415:W415" si="207">D19*D217</f>
        <v>94.109534928353469</v>
      </c>
      <c r="E415">
        <f t="shared" si="207"/>
        <v>87.887871715917896</v>
      </c>
      <c r="F415">
        <f t="shared" si="207"/>
        <v>86.790402283990417</v>
      </c>
      <c r="G415">
        <f t="shared" si="207"/>
        <v>54.609968190980759</v>
      </c>
      <c r="H415">
        <f t="shared" si="207"/>
        <v>36.428049979458045</v>
      </c>
      <c r="I415">
        <f t="shared" si="207"/>
        <v>65.234117841447613</v>
      </c>
      <c r="J415">
        <f t="shared" si="207"/>
        <v>48.311536474303693</v>
      </c>
      <c r="K415">
        <f t="shared" si="207"/>
        <v>72.913452999324903</v>
      </c>
      <c r="L415">
        <f t="shared" si="207"/>
        <v>-4.9946960810976009</v>
      </c>
      <c r="M415">
        <f t="shared" si="207"/>
        <v>59.068894180388391</v>
      </c>
      <c r="N415">
        <f t="shared" si="207"/>
        <v>75.004247025511162</v>
      </c>
      <c r="O415">
        <f t="shared" si="207"/>
        <v>82.178013399268906</v>
      </c>
      <c r="P415">
        <f t="shared" si="207"/>
        <v>54.271349441425158</v>
      </c>
      <c r="Q415">
        <f t="shared" si="207"/>
        <v>60.252429659100606</v>
      </c>
      <c r="R415">
        <f t="shared" si="207"/>
        <v>50.890803603223631</v>
      </c>
      <c r="S415">
        <f t="shared" si="207"/>
        <v>62.335622828299066</v>
      </c>
      <c r="T415">
        <f t="shared" si="207"/>
        <v>53.351343382278195</v>
      </c>
      <c r="U415">
        <f t="shared" si="207"/>
        <v>61.855517266035363</v>
      </c>
      <c r="V415">
        <f t="shared" si="207"/>
        <v>62.923899350085478</v>
      </c>
      <c r="W415">
        <f t="shared" si="207"/>
        <v>81.877789967456124</v>
      </c>
      <c r="Y415" s="14">
        <f t="shared" si="189"/>
        <v>1245.3001484357515</v>
      </c>
      <c r="Z415">
        <f t="shared" si="190"/>
        <v>50.84637641941687</v>
      </c>
    </row>
    <row r="416" spans="1:26" x14ac:dyDescent="0.25">
      <c r="A416" t="s">
        <v>61</v>
      </c>
      <c r="D416">
        <f t="shared" ref="D416:W416" si="208">D20*D218</f>
        <v>91.672526675612502</v>
      </c>
      <c r="E416">
        <f t="shared" si="208"/>
        <v>120.46352237123095</v>
      </c>
      <c r="F416">
        <f t="shared" si="208"/>
        <v>110.7065270814296</v>
      </c>
      <c r="G416">
        <f t="shared" si="208"/>
        <v>105.3258708656971</v>
      </c>
      <c r="H416">
        <f t="shared" si="208"/>
        <v>97.903435219309017</v>
      </c>
      <c r="I416">
        <f t="shared" si="208"/>
        <v>117.58402346368401</v>
      </c>
      <c r="J416">
        <f t="shared" si="208"/>
        <v>109.61033360839487</v>
      </c>
      <c r="K416">
        <f t="shared" si="208"/>
        <v>84.668154454453401</v>
      </c>
      <c r="L416">
        <f t="shared" si="208"/>
        <v>91.740135311611198</v>
      </c>
      <c r="M416">
        <f t="shared" si="208"/>
        <v>85.889367093035901</v>
      </c>
      <c r="N416">
        <f t="shared" si="208"/>
        <v>71.634687898696143</v>
      </c>
      <c r="O416">
        <f t="shared" si="208"/>
        <v>94.353240390622787</v>
      </c>
      <c r="P416">
        <f t="shared" si="208"/>
        <v>128.16237657271259</v>
      </c>
      <c r="Q416">
        <f t="shared" si="208"/>
        <v>100.87162138076367</v>
      </c>
      <c r="R416">
        <f t="shared" si="208"/>
        <v>105.20261934341474</v>
      </c>
      <c r="S416">
        <f t="shared" si="208"/>
        <v>104.94508236501203</v>
      </c>
      <c r="T416">
        <f t="shared" si="208"/>
        <v>112.95756144624748</v>
      </c>
      <c r="U416">
        <f t="shared" si="208"/>
        <v>113.10074220549321</v>
      </c>
      <c r="V416">
        <f t="shared" si="208"/>
        <v>111.26986660257793</v>
      </c>
      <c r="W416">
        <f t="shared" si="208"/>
        <v>112.40585632578906</v>
      </c>
      <c r="Y416" s="14">
        <f t="shared" si="189"/>
        <v>2070.4675506757881</v>
      </c>
      <c r="Z416">
        <f t="shared" si="190"/>
        <v>56.224454152018424</v>
      </c>
    </row>
    <row r="417" spans="1:26" x14ac:dyDescent="0.25">
      <c r="A417" t="s">
        <v>62</v>
      </c>
      <c r="D417">
        <f t="shared" ref="D417:W417" si="209">D21*D219</f>
        <v>159.1962997514978</v>
      </c>
      <c r="E417">
        <f t="shared" si="209"/>
        <v>85.263866604055053</v>
      </c>
      <c r="F417">
        <f t="shared" si="209"/>
        <v>89.827177043954165</v>
      </c>
      <c r="G417">
        <f t="shared" si="209"/>
        <v>94.628983847112096</v>
      </c>
      <c r="H417">
        <f t="shared" si="209"/>
        <v>118.50786447388536</v>
      </c>
      <c r="I417">
        <f t="shared" si="209"/>
        <v>116.6631362662374</v>
      </c>
      <c r="J417">
        <f t="shared" si="209"/>
        <v>121.45581890654465</v>
      </c>
      <c r="K417">
        <f t="shared" si="209"/>
        <v>114.65098074529583</v>
      </c>
      <c r="L417">
        <f t="shared" si="209"/>
        <v>126.72577837231817</v>
      </c>
      <c r="M417">
        <f t="shared" si="209"/>
        <v>118.05692893990853</v>
      </c>
      <c r="N417">
        <f t="shared" si="209"/>
        <v>101.59217072562966</v>
      </c>
      <c r="O417">
        <f t="shared" si="209"/>
        <v>98.057262934635233</v>
      </c>
      <c r="P417">
        <f t="shared" si="209"/>
        <v>75.355267040064817</v>
      </c>
      <c r="Q417">
        <f t="shared" si="209"/>
        <v>58.969014917601726</v>
      </c>
      <c r="R417">
        <f t="shared" si="209"/>
        <v>62.708783076117676</v>
      </c>
      <c r="S417">
        <f t="shared" si="209"/>
        <v>120.80556300665224</v>
      </c>
      <c r="T417">
        <f t="shared" si="209"/>
        <v>128.02300959536569</v>
      </c>
      <c r="U417">
        <f t="shared" si="209"/>
        <v>113.27898152541131</v>
      </c>
      <c r="V417">
        <f t="shared" si="209"/>
        <v>92.825628914089464</v>
      </c>
      <c r="W417">
        <f t="shared" si="209"/>
        <v>91.354046346524783</v>
      </c>
      <c r="Y417" s="14">
        <f t="shared" si="189"/>
        <v>2087.9465630329018</v>
      </c>
      <c r="Z417">
        <f t="shared" si="190"/>
        <v>97.496254587760717</v>
      </c>
    </row>
    <row r="418" spans="1:26" x14ac:dyDescent="0.25">
      <c r="A418" t="s">
        <v>63</v>
      </c>
      <c r="D418">
        <f t="shared" ref="D418:W418" si="210">D22*D220</f>
        <v>92.661853632405354</v>
      </c>
      <c r="E418">
        <f t="shared" si="210"/>
        <v>105.39464512845487</v>
      </c>
      <c r="F418">
        <f t="shared" si="210"/>
        <v>88.272614693012173</v>
      </c>
      <c r="G418">
        <f t="shared" si="210"/>
        <v>82.8244489459818</v>
      </c>
      <c r="H418">
        <f t="shared" si="210"/>
        <v>51.678339158364402</v>
      </c>
      <c r="I418">
        <f t="shared" si="210"/>
        <v>106.37773637923468</v>
      </c>
      <c r="J418">
        <f t="shared" si="210"/>
        <v>101.56776860839787</v>
      </c>
      <c r="K418">
        <f t="shared" si="210"/>
        <v>83.564704312518856</v>
      </c>
      <c r="L418">
        <f t="shared" si="210"/>
        <v>83.337524954200745</v>
      </c>
      <c r="M418">
        <f t="shared" si="210"/>
        <v>87.239228417505387</v>
      </c>
      <c r="N418">
        <f t="shared" si="210"/>
        <v>89.583060277027755</v>
      </c>
      <c r="O418">
        <f t="shared" si="210"/>
        <v>94.832891935969386</v>
      </c>
      <c r="P418">
        <f t="shared" si="210"/>
        <v>83.143672663729859</v>
      </c>
      <c r="Q418">
        <f t="shared" si="210"/>
        <v>117.23013273378828</v>
      </c>
      <c r="R418">
        <f t="shared" si="210"/>
        <v>139.59788132282432</v>
      </c>
      <c r="S418">
        <f t="shared" si="210"/>
        <v>148.93246659404824</v>
      </c>
      <c r="T418">
        <f t="shared" si="210"/>
        <v>103.07675802445272</v>
      </c>
      <c r="U418">
        <f t="shared" si="210"/>
        <v>79.178270372068368</v>
      </c>
      <c r="V418">
        <f t="shared" si="210"/>
        <v>91.978775824676433</v>
      </c>
      <c r="W418">
        <f t="shared" si="210"/>
        <v>100.23158221732007</v>
      </c>
      <c r="Y418" s="14">
        <f t="shared" si="189"/>
        <v>1930.7043561959815</v>
      </c>
      <c r="Z418">
        <f t="shared" si="190"/>
        <v>29.739202812107003</v>
      </c>
    </row>
    <row r="419" spans="1:26" x14ac:dyDescent="0.25">
      <c r="A419" t="s">
        <v>64</v>
      </c>
      <c r="D419">
        <f t="shared" ref="D419:W419" si="211">D23*D221</f>
        <v>82.325281668435139</v>
      </c>
      <c r="E419">
        <f t="shared" si="211"/>
        <v>99.336910856386268</v>
      </c>
      <c r="F419">
        <f t="shared" si="211"/>
        <v>73.884458738193786</v>
      </c>
      <c r="G419">
        <f t="shared" si="211"/>
        <v>100.90744838391889</v>
      </c>
      <c r="H419">
        <f t="shared" si="211"/>
        <v>97.217513293719477</v>
      </c>
      <c r="I419">
        <f t="shared" si="211"/>
        <v>92.412561428249219</v>
      </c>
      <c r="J419">
        <f t="shared" si="211"/>
        <v>95.288405528114609</v>
      </c>
      <c r="K419">
        <f t="shared" si="211"/>
        <v>89.974601391314224</v>
      </c>
      <c r="L419">
        <f t="shared" si="211"/>
        <v>88.995692432531087</v>
      </c>
      <c r="M419">
        <f t="shared" si="211"/>
        <v>65.685746732204649</v>
      </c>
      <c r="N419">
        <f t="shared" si="211"/>
        <v>76.840468718406697</v>
      </c>
      <c r="O419">
        <f t="shared" si="211"/>
        <v>93.575499168895746</v>
      </c>
      <c r="P419">
        <f t="shared" si="211"/>
        <v>92.040477780090242</v>
      </c>
      <c r="Q419">
        <f t="shared" si="211"/>
        <v>103.77852009498289</v>
      </c>
      <c r="R419">
        <f t="shared" si="211"/>
        <v>115.44626711758401</v>
      </c>
      <c r="S419">
        <f t="shared" si="211"/>
        <v>69.098890470940859</v>
      </c>
      <c r="T419">
        <f t="shared" si="211"/>
        <v>94.210471674085142</v>
      </c>
      <c r="U419">
        <f t="shared" si="211"/>
        <v>108.98317866864453</v>
      </c>
      <c r="V419">
        <f t="shared" si="211"/>
        <v>147.39769637842059</v>
      </c>
      <c r="W419">
        <f t="shared" si="211"/>
        <v>129.06876590483088</v>
      </c>
      <c r="Y419" s="14">
        <f t="shared" si="189"/>
        <v>1916.4688564299488</v>
      </c>
      <c r="Z419">
        <f t="shared" si="190"/>
        <v>50.244140198920817</v>
      </c>
    </row>
    <row r="420" spans="1:26" x14ac:dyDescent="0.25">
      <c r="A420" t="s">
        <v>65</v>
      </c>
      <c r="D420">
        <f t="shared" ref="D420:W420" si="212">D24*D222</f>
        <v>149.8543469524474</v>
      </c>
      <c r="E420">
        <f t="shared" si="212"/>
        <v>135.85941388151372</v>
      </c>
      <c r="F420">
        <f t="shared" si="212"/>
        <v>134.51655639073456</v>
      </c>
      <c r="G420">
        <f t="shared" si="212"/>
        <v>137.44926061833024</v>
      </c>
      <c r="H420">
        <f t="shared" si="212"/>
        <v>125.05997294393246</v>
      </c>
      <c r="I420">
        <f t="shared" si="212"/>
        <v>132.67811933621689</v>
      </c>
      <c r="J420">
        <f t="shared" si="212"/>
        <v>121.81294427763984</v>
      </c>
      <c r="K420">
        <f t="shared" si="212"/>
        <v>126.0348309146332</v>
      </c>
      <c r="L420">
        <f t="shared" si="212"/>
        <v>86.511795274694251</v>
      </c>
      <c r="M420">
        <f t="shared" si="212"/>
        <v>88.670357996907512</v>
      </c>
      <c r="N420">
        <f t="shared" si="212"/>
        <v>120.84947319492802</v>
      </c>
      <c r="O420">
        <f t="shared" si="212"/>
        <v>117.23155010747706</v>
      </c>
      <c r="P420">
        <f t="shared" si="212"/>
        <v>86.085265150436271</v>
      </c>
      <c r="Q420">
        <f t="shared" si="212"/>
        <v>75.011267146345148</v>
      </c>
      <c r="R420">
        <f t="shared" si="212"/>
        <v>74.554923093911853</v>
      </c>
      <c r="S420">
        <f t="shared" si="212"/>
        <v>89.953782880469618</v>
      </c>
      <c r="T420">
        <f t="shared" si="212"/>
        <v>89.258395508144517</v>
      </c>
      <c r="U420">
        <f t="shared" si="212"/>
        <v>106.55477896032779</v>
      </c>
      <c r="V420">
        <f t="shared" si="212"/>
        <v>121.91685286158049</v>
      </c>
      <c r="W420">
        <f t="shared" si="212"/>
        <v>155.48496897822017</v>
      </c>
      <c r="Y420" s="14">
        <f t="shared" si="189"/>
        <v>2275.348856468891</v>
      </c>
      <c r="Z420">
        <f t="shared" si="190"/>
        <v>115.13747591944494</v>
      </c>
    </row>
    <row r="421" spans="1:26" x14ac:dyDescent="0.25">
      <c r="A421" t="s">
        <v>66</v>
      </c>
      <c r="D421">
        <f t="shared" ref="D421:W421" si="213">D25*D223</f>
        <v>116.18136680286872</v>
      </c>
      <c r="E421">
        <f t="shared" si="213"/>
        <v>160.94327839710823</v>
      </c>
      <c r="F421">
        <f t="shared" si="213"/>
        <v>169.11915396206911</v>
      </c>
      <c r="G421">
        <f t="shared" si="213"/>
        <v>133.82360505240663</v>
      </c>
      <c r="H421">
        <f t="shared" si="213"/>
        <v>100.68235233512075</v>
      </c>
      <c r="I421">
        <f t="shared" si="213"/>
        <v>129.59657690570126</v>
      </c>
      <c r="J421">
        <f t="shared" si="213"/>
        <v>80.540685448541311</v>
      </c>
      <c r="K421">
        <f t="shared" si="213"/>
        <v>80.963706647992709</v>
      </c>
      <c r="L421">
        <f t="shared" si="213"/>
        <v>71.839856019642937</v>
      </c>
      <c r="M421">
        <f t="shared" si="213"/>
        <v>82.082901094417807</v>
      </c>
      <c r="N421">
        <f t="shared" si="213"/>
        <v>133.46650947136268</v>
      </c>
      <c r="O421">
        <f t="shared" si="213"/>
        <v>139.21818635861487</v>
      </c>
      <c r="P421">
        <f t="shared" si="213"/>
        <v>130.73403420811059</v>
      </c>
      <c r="Q421">
        <f t="shared" si="213"/>
        <v>129.61186129147185</v>
      </c>
      <c r="R421">
        <f t="shared" si="213"/>
        <v>119.33180150487195</v>
      </c>
      <c r="S421">
        <f t="shared" si="213"/>
        <v>118.38889184504167</v>
      </c>
      <c r="T421">
        <f t="shared" si="213"/>
        <v>119.02936032411939</v>
      </c>
      <c r="U421">
        <f t="shared" si="213"/>
        <v>137.48416900623891</v>
      </c>
      <c r="V421">
        <f t="shared" si="213"/>
        <v>132.71879990202083</v>
      </c>
      <c r="W421">
        <f t="shared" si="213"/>
        <v>172.57481447142075</v>
      </c>
      <c r="Y421" s="14">
        <f t="shared" si="189"/>
        <v>2458.3319110491429</v>
      </c>
      <c r="Z421">
        <f t="shared" si="190"/>
        <v>76.460184971026891</v>
      </c>
    </row>
    <row r="422" spans="1:26" x14ac:dyDescent="0.25">
      <c r="Y422" s="14"/>
    </row>
    <row r="423" spans="1:26" x14ac:dyDescent="0.25">
      <c r="A423" t="s">
        <v>67</v>
      </c>
      <c r="D423">
        <f t="shared" ref="D423:W423" si="214">D27*D225</f>
        <v>177.72445620672417</v>
      </c>
      <c r="E423">
        <f t="shared" si="214"/>
        <v>144.55567385059263</v>
      </c>
      <c r="F423">
        <f t="shared" si="214"/>
        <v>144.7897141740782</v>
      </c>
      <c r="G423">
        <f t="shared" si="214"/>
        <v>151.65005456683534</v>
      </c>
      <c r="H423">
        <f t="shared" si="214"/>
        <v>142.6705271401695</v>
      </c>
      <c r="I423">
        <f t="shared" si="214"/>
        <v>141.8058431086798</v>
      </c>
      <c r="J423">
        <f t="shared" si="214"/>
        <v>136.10991456537019</v>
      </c>
      <c r="K423">
        <f t="shared" si="214"/>
        <v>135.45563068685337</v>
      </c>
      <c r="L423">
        <f t="shared" si="214"/>
        <v>92.665461928680301</v>
      </c>
      <c r="M423">
        <f t="shared" si="214"/>
        <v>73.79043003954321</v>
      </c>
      <c r="N423">
        <f t="shared" si="214"/>
        <v>79.814148285244002</v>
      </c>
      <c r="O423">
        <f t="shared" si="214"/>
        <v>85.921010815963001</v>
      </c>
      <c r="P423">
        <f t="shared" si="214"/>
        <v>83.928842013216681</v>
      </c>
      <c r="Q423">
        <f t="shared" si="214"/>
        <v>82.61005345416477</v>
      </c>
      <c r="R423">
        <f t="shared" si="214"/>
        <v>90.746417870981205</v>
      </c>
      <c r="S423">
        <f t="shared" si="214"/>
        <v>95.208392530832626</v>
      </c>
      <c r="T423">
        <f t="shared" si="214"/>
        <v>90.255835438712822</v>
      </c>
      <c r="U423">
        <f t="shared" si="214"/>
        <v>88.993356743586759</v>
      </c>
      <c r="V423">
        <f t="shared" si="214"/>
        <v>102.06390689825683</v>
      </c>
      <c r="W423">
        <f t="shared" si="214"/>
        <v>108.98241205682066</v>
      </c>
      <c r="Y423" s="14">
        <f t="shared" si="189"/>
        <v>2249.7420823753059</v>
      </c>
      <c r="Z423">
        <f>SUMPRODUCT($D$427:$W$427,D423:W423)</f>
        <v>126.57138434748497</v>
      </c>
    </row>
    <row r="424" spans="1:26" x14ac:dyDescent="0.25">
      <c r="A424" t="s">
        <v>311</v>
      </c>
      <c r="D424">
        <f t="shared" ref="D424:W424" si="215">D28*D226</f>
        <v>141.72</v>
      </c>
      <c r="E424">
        <f t="shared" si="215"/>
        <v>118.24591836734695</v>
      </c>
      <c r="F424">
        <f t="shared" si="215"/>
        <v>107.11591836734695</v>
      </c>
      <c r="G424">
        <f t="shared" si="215"/>
        <v>121.14693877551024</v>
      </c>
      <c r="H424">
        <f t="shared" si="215"/>
        <v>127.17387755102041</v>
      </c>
      <c r="I424">
        <f t="shared" si="215"/>
        <v>105.12122448979588</v>
      </c>
      <c r="J424">
        <f t="shared" si="215"/>
        <v>101.48571428571428</v>
      </c>
      <c r="K424">
        <f t="shared" si="215"/>
        <v>93.451224489795933</v>
      </c>
      <c r="L424">
        <f t="shared" si="215"/>
        <v>48.896249999999995</v>
      </c>
      <c r="M424">
        <f t="shared" si="215"/>
        <v>67.260000000000005</v>
      </c>
      <c r="N424">
        <f t="shared" si="215"/>
        <v>86.652244897959179</v>
      </c>
      <c r="O424">
        <f t="shared" si="215"/>
        <v>73.878979591836753</v>
      </c>
      <c r="P424">
        <f t="shared" si="215"/>
        <v>101.97021838035472</v>
      </c>
      <c r="Q424">
        <f t="shared" si="215"/>
        <v>121.80240950501729</v>
      </c>
      <c r="R424">
        <f t="shared" si="215"/>
        <v>129.89842456525011</v>
      </c>
      <c r="S424">
        <f t="shared" si="215"/>
        <v>152.02015483103474</v>
      </c>
      <c r="T424">
        <f t="shared" si="215"/>
        <v>96.04000000000002</v>
      </c>
      <c r="U424">
        <f t="shared" si="215"/>
        <v>82.809999999999988</v>
      </c>
      <c r="V424">
        <f t="shared" si="215"/>
        <v>89.1</v>
      </c>
      <c r="W424">
        <f t="shared" si="215"/>
        <v>109.19999999999999</v>
      </c>
      <c r="Y424" s="14">
        <f t="shared" si="189"/>
        <v>2074.989498097983</v>
      </c>
      <c r="Z424">
        <f>SUMPRODUCT($D$427:$W$427,D424:W424)</f>
        <v>64.154886109987444</v>
      </c>
    </row>
    <row r="425" spans="1:26" x14ac:dyDescent="0.25">
      <c r="A425" t="s">
        <v>312</v>
      </c>
      <c r="D425">
        <f t="shared" ref="D425:W425" si="216">D29*D227</f>
        <v>110.23105683743815</v>
      </c>
      <c r="E425">
        <f t="shared" si="216"/>
        <v>106.93473161058479</v>
      </c>
      <c r="F425">
        <f t="shared" si="216"/>
        <v>100.64027250278833</v>
      </c>
      <c r="G425">
        <f t="shared" si="216"/>
        <v>97.356939329534356</v>
      </c>
      <c r="H425">
        <f t="shared" si="216"/>
        <v>90.129018145232067</v>
      </c>
      <c r="I425">
        <f t="shared" si="216"/>
        <v>96.502745159464908</v>
      </c>
      <c r="J425">
        <f t="shared" si="216"/>
        <v>97.795791142398954</v>
      </c>
      <c r="K425">
        <f t="shared" si="216"/>
        <v>93.960747680269108</v>
      </c>
      <c r="L425">
        <f t="shared" si="216"/>
        <v>69.385576197685452</v>
      </c>
      <c r="M425">
        <f t="shared" si="216"/>
        <v>77.291695167529014</v>
      </c>
      <c r="N425">
        <f t="shared" si="216"/>
        <v>86.12226014443236</v>
      </c>
      <c r="O425">
        <f t="shared" si="216"/>
        <v>89.352995269367085</v>
      </c>
      <c r="P425">
        <f t="shared" si="216"/>
        <v>85.674816995666092</v>
      </c>
      <c r="Q425">
        <f t="shared" si="216"/>
        <v>91.435561889134377</v>
      </c>
      <c r="R425">
        <f t="shared" si="216"/>
        <v>104.58811166316177</v>
      </c>
      <c r="S425">
        <f t="shared" si="216"/>
        <v>111.58938506909239</v>
      </c>
      <c r="T425">
        <f t="shared" si="216"/>
        <v>108.3908294800944</v>
      </c>
      <c r="U425">
        <f t="shared" si="216"/>
        <v>99.598480810328383</v>
      </c>
      <c r="V425">
        <f t="shared" si="216"/>
        <v>112.55171677178799</v>
      </c>
      <c r="W425">
        <f t="shared" si="216"/>
        <v>108.5507711520836</v>
      </c>
      <c r="Y425" s="14">
        <f t="shared" si="189"/>
        <v>1938.0835030180735</v>
      </c>
      <c r="Z425">
        <f>SUMPRODUCT($D$427:$W$427,D425:W425)</f>
        <v>58.260388507803931</v>
      </c>
    </row>
    <row r="426" spans="1:26" x14ac:dyDescent="0.25">
      <c r="A426" t="s">
        <v>674</v>
      </c>
      <c r="D426">
        <f t="shared" ref="D426:W426" si="217">D30*D228</f>
        <v>127.35788358321579</v>
      </c>
      <c r="E426">
        <f t="shared" si="217"/>
        <v>131.90641995384519</v>
      </c>
      <c r="F426">
        <f t="shared" si="217"/>
        <v>95.128116821079018</v>
      </c>
      <c r="G426">
        <f t="shared" si="217"/>
        <v>77.349391436075749</v>
      </c>
      <c r="H426">
        <f t="shared" si="217"/>
        <v>80.322783808943299</v>
      </c>
      <c r="I426">
        <f t="shared" si="217"/>
        <v>90.982824381771351</v>
      </c>
      <c r="J426">
        <f t="shared" si="217"/>
        <v>89.942958113199538</v>
      </c>
      <c r="K426">
        <f t="shared" si="217"/>
        <v>91.069575451035007</v>
      </c>
      <c r="L426">
        <f t="shared" si="217"/>
        <v>67.720032650587655</v>
      </c>
      <c r="M426">
        <f t="shared" si="217"/>
        <v>81.922733690361142</v>
      </c>
      <c r="N426">
        <f t="shared" si="217"/>
        <v>90.462180180408595</v>
      </c>
      <c r="O426">
        <f t="shared" si="217"/>
        <v>95.99732563665836</v>
      </c>
      <c r="P426">
        <f t="shared" si="217"/>
        <v>82.021767159445147</v>
      </c>
      <c r="Q426">
        <f t="shared" si="217"/>
        <v>74.572315978454554</v>
      </c>
      <c r="R426">
        <f t="shared" si="217"/>
        <v>93.528591604051698</v>
      </c>
      <c r="S426">
        <f t="shared" si="217"/>
        <v>91.933080420931631</v>
      </c>
      <c r="T426">
        <f t="shared" si="217"/>
        <v>93.41418045407346</v>
      </c>
      <c r="U426">
        <f t="shared" si="217"/>
        <v>90.243533861477928</v>
      </c>
      <c r="V426">
        <f t="shared" si="217"/>
        <v>93.954565894839689</v>
      </c>
      <c r="W426">
        <f t="shared" si="217"/>
        <v>103.06995451946494</v>
      </c>
      <c r="Y426" s="14">
        <f t="shared" ref="Y426" si="218">SUM(D426:W426)</f>
        <v>1842.9002155999196</v>
      </c>
      <c r="Z426">
        <f>SUMPRODUCT($D$427:$W$427,D426:W426)</f>
        <v>70.534315677549884</v>
      </c>
    </row>
    <row r="427" spans="1:26" x14ac:dyDescent="0.25">
      <c r="A427" s="2" t="s">
        <v>68</v>
      </c>
      <c r="D427" s="3">
        <f>CORREL($B$2:$B$25,D398:D421)</f>
        <v>0.38403520159412946</v>
      </c>
      <c r="E427" s="3">
        <f t="shared" ref="E427:W427" si="219">CORREL($B$2:$B$25,E398:E421)</f>
        <v>4.4983389369381302E-2</v>
      </c>
      <c r="F427" s="3">
        <f t="shared" si="219"/>
        <v>0.13918710105982929</v>
      </c>
      <c r="G427" s="3">
        <f t="shared" si="219"/>
        <v>6.9863209223801598E-2</v>
      </c>
      <c r="H427" s="3">
        <f t="shared" si="219"/>
        <v>0.15901590078220063</v>
      </c>
      <c r="I427" s="3">
        <f t="shared" si="219"/>
        <v>0.16537916276926612</v>
      </c>
      <c r="J427" s="3">
        <f t="shared" si="219"/>
        <v>-7.4637996321597816E-2</v>
      </c>
      <c r="K427" s="3">
        <f t="shared" si="219"/>
        <v>0.16390019902031727</v>
      </c>
      <c r="L427" s="3">
        <f t="shared" si="219"/>
        <v>0.12852725016883615</v>
      </c>
      <c r="M427" s="3">
        <f t="shared" si="219"/>
        <v>-9.6621891678597943E-2</v>
      </c>
      <c r="N427" s="3">
        <f t="shared" si="219"/>
        <v>-2.9720004331830353E-2</v>
      </c>
      <c r="O427" s="3">
        <f t="shared" si="219"/>
        <v>9.8698789917820995E-2</v>
      </c>
      <c r="P427" s="3">
        <f t="shared" si="219"/>
        <v>-5.2344897297208572E-2</v>
      </c>
      <c r="Q427" s="3">
        <f t="shared" si="219"/>
        <v>-0.18003507892149026</v>
      </c>
      <c r="R427" s="3">
        <f t="shared" si="219"/>
        <v>-0.1418686556202885</v>
      </c>
      <c r="S427" s="3">
        <f t="shared" si="219"/>
        <v>-0.13325130446575048</v>
      </c>
      <c r="T427" s="3">
        <f t="shared" si="219"/>
        <v>-8.0058480963226444E-2</v>
      </c>
      <c r="U427" s="3">
        <f t="shared" si="219"/>
        <v>2.37975427606919E-2</v>
      </c>
      <c r="V427" s="3">
        <f t="shared" si="219"/>
        <v>-6.9701033303801313E-2</v>
      </c>
      <c r="W427" s="3">
        <f t="shared" si="219"/>
        <v>8.3021898501219327E-2</v>
      </c>
    </row>
    <row r="430" spans="1:26" x14ac:dyDescent="0.25">
      <c r="D430" t="s">
        <v>157</v>
      </c>
      <c r="E430" t="s">
        <v>158</v>
      </c>
      <c r="F430" t="s">
        <v>159</v>
      </c>
      <c r="G430" t="s">
        <v>160</v>
      </c>
      <c r="H430" t="s">
        <v>161</v>
      </c>
      <c r="I430" t="s">
        <v>162</v>
      </c>
      <c r="J430" t="s">
        <v>163</v>
      </c>
      <c r="K430" t="s">
        <v>164</v>
      </c>
      <c r="L430" t="s">
        <v>350</v>
      </c>
      <c r="M430" t="s">
        <v>404</v>
      </c>
      <c r="N430" t="s">
        <v>405</v>
      </c>
      <c r="O430" t="s">
        <v>406</v>
      </c>
      <c r="P430" t="s">
        <v>502</v>
      </c>
      <c r="Q430" t="s">
        <v>503</v>
      </c>
      <c r="R430" t="s">
        <v>504</v>
      </c>
      <c r="S430" t="s">
        <v>505</v>
      </c>
      <c r="T430" t="s">
        <v>614</v>
      </c>
      <c r="U430" t="s">
        <v>615</v>
      </c>
      <c r="V430" t="s">
        <v>616</v>
      </c>
      <c r="W430" t="s">
        <v>617</v>
      </c>
      <c r="Y430" t="s">
        <v>165</v>
      </c>
      <c r="Z430" t="s">
        <v>166</v>
      </c>
    </row>
    <row r="431" spans="1:26" x14ac:dyDescent="0.25">
      <c r="A431" t="s">
        <v>43</v>
      </c>
      <c r="D431">
        <f t="shared" ref="D431:W431" si="220">D35*D68</f>
        <v>511.02285714285705</v>
      </c>
      <c r="E431">
        <f t="shared" si="220"/>
        <v>383.41224489795917</v>
      </c>
      <c r="F431">
        <f t="shared" si="220"/>
        <v>330.79959183673463</v>
      </c>
      <c r="G431">
        <f t="shared" si="220"/>
        <v>384.33673469387759</v>
      </c>
      <c r="H431">
        <f t="shared" si="220"/>
        <v>334.56</v>
      </c>
      <c r="I431">
        <f t="shared" si="220"/>
        <v>287.46734693877551</v>
      </c>
      <c r="J431">
        <f t="shared" si="220"/>
        <v>346.70204081632653</v>
      </c>
      <c r="K431">
        <f t="shared" si="220"/>
        <v>308.41163265306113</v>
      </c>
      <c r="L431">
        <f t="shared" si="220"/>
        <v>195.90530864197532</v>
      </c>
      <c r="M431">
        <f t="shared" si="220"/>
        <v>218.86632653061227</v>
      </c>
      <c r="N431">
        <f t="shared" si="220"/>
        <v>163.57142857142856</v>
      </c>
      <c r="O431">
        <f t="shared" si="220"/>
        <v>159.14693877551019</v>
      </c>
      <c r="P431">
        <f t="shared" si="220"/>
        <v>189.16326530612244</v>
      </c>
      <c r="Q431">
        <f t="shared" si="220"/>
        <v>346.83673469387753</v>
      </c>
      <c r="R431">
        <f t="shared" si="220"/>
        <v>262.28571428571428</v>
      </c>
      <c r="S431">
        <f t="shared" si="220"/>
        <v>321.75</v>
      </c>
      <c r="T431">
        <f t="shared" si="220"/>
        <v>304.09734693877556</v>
      </c>
      <c r="U431">
        <f t="shared" si="220"/>
        <v>319.17040816326528</v>
      </c>
      <c r="V431">
        <f t="shared" si="220"/>
        <v>388.84224489795918</v>
      </c>
      <c r="W431">
        <f t="shared" si="220"/>
        <v>528.01224489795925</v>
      </c>
      <c r="Y431" s="14">
        <f t="shared" ref="Y431:Y458" si="221">SUM(D431:W431)</f>
        <v>6284.3604106827906</v>
      </c>
      <c r="Z431">
        <f t="shared" ref="Z431:Z454" si="222">SUMPRODUCT($D$460:$W$460,D431:W431)</f>
        <v>-1586.365404797946</v>
      </c>
    </row>
    <row r="432" spans="1:26" x14ac:dyDescent="0.25">
      <c r="A432" t="s">
        <v>44</v>
      </c>
      <c r="D432">
        <f t="shared" ref="D432:W432" si="223">D36*D69</f>
        <v>188.31857142857143</v>
      </c>
      <c r="E432">
        <f t="shared" si="223"/>
        <v>427.94080799666807</v>
      </c>
      <c r="F432">
        <f t="shared" si="223"/>
        <v>387.77359433569342</v>
      </c>
      <c r="G432">
        <f t="shared" si="223"/>
        <v>359.75835068721369</v>
      </c>
      <c r="H432">
        <f t="shared" si="223"/>
        <v>352.23773427738439</v>
      </c>
      <c r="I432">
        <f t="shared" si="223"/>
        <v>309.61657642648902</v>
      </c>
      <c r="J432">
        <f t="shared" si="223"/>
        <v>278.98213244481468</v>
      </c>
      <c r="K432">
        <f t="shared" si="223"/>
        <v>264.1060599750104</v>
      </c>
      <c r="L432">
        <f t="shared" si="223"/>
        <v>-4.8987654320987648</v>
      </c>
      <c r="M432">
        <f t="shared" si="223"/>
        <v>221.40000000000003</v>
      </c>
      <c r="N432">
        <f t="shared" si="223"/>
        <v>310.24489795918367</v>
      </c>
      <c r="O432">
        <f t="shared" si="223"/>
        <v>266.98775510204081</v>
      </c>
      <c r="P432">
        <f t="shared" si="223"/>
        <v>295.44795918367345</v>
      </c>
      <c r="Q432">
        <f t="shared" si="223"/>
        <v>321.44489795918366</v>
      </c>
      <c r="R432">
        <f t="shared" si="223"/>
        <v>365.96326530612248</v>
      </c>
      <c r="S432">
        <f t="shared" si="223"/>
        <v>381.07612244897962</v>
      </c>
      <c r="T432">
        <f t="shared" si="223"/>
        <v>421.25510204081633</v>
      </c>
      <c r="U432">
        <f t="shared" si="223"/>
        <v>405.4457142857143</v>
      </c>
      <c r="V432">
        <f t="shared" si="223"/>
        <v>404.20102040816323</v>
      </c>
      <c r="W432">
        <f t="shared" si="223"/>
        <v>560.87244897959181</v>
      </c>
      <c r="Y432" s="14">
        <f t="shared" si="221"/>
        <v>6518.1742458132157</v>
      </c>
      <c r="Z432">
        <f t="shared" si="222"/>
        <v>-1899.7412804939872</v>
      </c>
    </row>
    <row r="433" spans="1:26" x14ac:dyDescent="0.25">
      <c r="A433" t="s">
        <v>45</v>
      </c>
      <c r="D433">
        <f t="shared" ref="D433:W433" si="224">D37*D70</f>
        <v>631.34183673469386</v>
      </c>
      <c r="E433">
        <f t="shared" si="224"/>
        <v>484.04081632653066</v>
      </c>
      <c r="F433">
        <f t="shared" si="224"/>
        <v>378.84183673469386</v>
      </c>
      <c r="G433">
        <f t="shared" si="224"/>
        <v>378.08163265306121</v>
      </c>
      <c r="H433">
        <f t="shared" si="224"/>
        <v>384.5204081632653</v>
      </c>
      <c r="I433">
        <f t="shared" si="224"/>
        <v>376.42857142857144</v>
      </c>
      <c r="J433">
        <f t="shared" si="224"/>
        <v>343.86734693877554</v>
      </c>
      <c r="K433">
        <f t="shared" si="224"/>
        <v>277.57142857142861</v>
      </c>
      <c r="L433">
        <f t="shared" si="224"/>
        <v>186.88888888888889</v>
      </c>
      <c r="M433">
        <f t="shared" si="224"/>
        <v>281.45568513119531</v>
      </c>
      <c r="N433">
        <f t="shared" si="224"/>
        <v>281.35514369012907</v>
      </c>
      <c r="O433">
        <f t="shared" si="224"/>
        <v>224.44752186588923</v>
      </c>
      <c r="P433">
        <f t="shared" si="224"/>
        <v>258.84577259475219</v>
      </c>
      <c r="Q433">
        <f t="shared" si="224"/>
        <v>297.80466472303203</v>
      </c>
      <c r="R433">
        <f t="shared" si="224"/>
        <v>311.59423157017915</v>
      </c>
      <c r="S433">
        <f t="shared" si="224"/>
        <v>336.16750520616409</v>
      </c>
      <c r="T433">
        <f t="shared" si="224"/>
        <v>366.61516034985419</v>
      </c>
      <c r="U433">
        <f t="shared" si="224"/>
        <v>380.32823823406915</v>
      </c>
      <c r="V433">
        <f t="shared" si="224"/>
        <v>418.04687630154098</v>
      </c>
      <c r="W433">
        <f t="shared" si="224"/>
        <v>503.99795918367334</v>
      </c>
      <c r="Y433" s="14">
        <f t="shared" si="221"/>
        <v>7102.2415252903875</v>
      </c>
      <c r="Z433">
        <f t="shared" si="222"/>
        <v>-1805.8117710827983</v>
      </c>
    </row>
    <row r="434" spans="1:26" x14ac:dyDescent="0.25">
      <c r="A434" t="s">
        <v>46</v>
      </c>
      <c r="D434">
        <f t="shared" ref="D434:W434" si="225">D38*D71</f>
        <v>584.48822990420661</v>
      </c>
      <c r="E434">
        <f t="shared" si="225"/>
        <v>510.62218242399007</v>
      </c>
      <c r="F434">
        <f t="shared" si="225"/>
        <v>474.92086630570594</v>
      </c>
      <c r="G434">
        <f t="shared" si="225"/>
        <v>434.39025406080799</v>
      </c>
      <c r="H434">
        <f t="shared" si="225"/>
        <v>363.5773511037068</v>
      </c>
      <c r="I434">
        <f t="shared" si="225"/>
        <v>335.94184506455645</v>
      </c>
      <c r="J434">
        <f t="shared" si="225"/>
        <v>290.94942107455233</v>
      </c>
      <c r="K434">
        <f t="shared" si="225"/>
        <v>315.20431070387332</v>
      </c>
      <c r="L434">
        <f t="shared" si="225"/>
        <v>243.26822373393804</v>
      </c>
      <c r="M434">
        <f t="shared" si="225"/>
        <v>164.64489795918368</v>
      </c>
      <c r="N434">
        <f t="shared" si="225"/>
        <v>231.22448979591834</v>
      </c>
      <c r="O434">
        <f t="shared" si="225"/>
        <v>218.08673469387753</v>
      </c>
      <c r="P434">
        <f t="shared" si="225"/>
        <v>291.21428571428567</v>
      </c>
      <c r="Q434">
        <f t="shared" si="225"/>
        <v>268.51020408163265</v>
      </c>
      <c r="R434">
        <f t="shared" si="225"/>
        <v>273.92857142857144</v>
      </c>
      <c r="S434">
        <f t="shared" si="225"/>
        <v>246.91836734693877</v>
      </c>
      <c r="T434">
        <f t="shared" si="225"/>
        <v>294.32142857142861</v>
      </c>
      <c r="U434">
        <f t="shared" si="225"/>
        <v>308.41836734693879</v>
      </c>
      <c r="V434">
        <f t="shared" si="225"/>
        <v>369.91836734693879</v>
      </c>
      <c r="W434">
        <f t="shared" si="225"/>
        <v>369.4591836734694</v>
      </c>
      <c r="Y434" s="14">
        <f t="shared" si="221"/>
        <v>6590.0075823345214</v>
      </c>
      <c r="Z434">
        <f t="shared" si="222"/>
        <v>-1621.7883782731769</v>
      </c>
    </row>
    <row r="435" spans="1:26" x14ac:dyDescent="0.25">
      <c r="A435" t="s">
        <v>47</v>
      </c>
      <c r="D435">
        <f t="shared" ref="D435:W435" si="226">D39*D72</f>
        <v>511.98979591836741</v>
      </c>
      <c r="E435">
        <f t="shared" si="226"/>
        <v>393.42857142857144</v>
      </c>
      <c r="F435">
        <f t="shared" si="226"/>
        <v>337.39285714285711</v>
      </c>
      <c r="G435">
        <f t="shared" si="226"/>
        <v>364.57142857142861</v>
      </c>
      <c r="H435">
        <f t="shared" si="226"/>
        <v>310.16326530612241</v>
      </c>
      <c r="I435">
        <f t="shared" si="226"/>
        <v>318.57142857142856</v>
      </c>
      <c r="J435">
        <f t="shared" si="226"/>
        <v>348.22448979591837</v>
      </c>
      <c r="K435">
        <f t="shared" si="226"/>
        <v>283.5</v>
      </c>
      <c r="L435">
        <f t="shared" si="226"/>
        <v>294.36728395061726</v>
      </c>
      <c r="M435">
        <f t="shared" si="226"/>
        <v>293.14285714285711</v>
      </c>
      <c r="N435">
        <f t="shared" si="226"/>
        <v>246.85714285714286</v>
      </c>
      <c r="O435">
        <f t="shared" si="226"/>
        <v>240.79591836734696</v>
      </c>
      <c r="P435">
        <f t="shared" si="226"/>
        <v>263.84693877551024</v>
      </c>
      <c r="Q435">
        <f t="shared" si="226"/>
        <v>293.52551020408157</v>
      </c>
      <c r="R435">
        <f t="shared" si="226"/>
        <v>295.81632653061229</v>
      </c>
      <c r="S435">
        <f t="shared" si="226"/>
        <v>402.5</v>
      </c>
      <c r="T435">
        <f t="shared" si="226"/>
        <v>418.39285714285717</v>
      </c>
      <c r="U435">
        <f t="shared" si="226"/>
        <v>405.00510204081633</v>
      </c>
      <c r="V435">
        <f t="shared" si="226"/>
        <v>391.77551020408157</v>
      </c>
      <c r="W435">
        <f t="shared" si="226"/>
        <v>430.35714285714289</v>
      </c>
      <c r="Y435" s="14">
        <f t="shared" si="221"/>
        <v>6844.2244268077602</v>
      </c>
      <c r="Z435">
        <f t="shared" si="222"/>
        <v>-1810.3432896467318</v>
      </c>
    </row>
    <row r="436" spans="1:26" x14ac:dyDescent="0.25">
      <c r="A436" t="s">
        <v>48</v>
      </c>
      <c r="D436">
        <f t="shared" ref="D436:W436" si="227">D40*D73</f>
        <v>503.84693877551013</v>
      </c>
      <c r="E436">
        <f t="shared" si="227"/>
        <v>458</v>
      </c>
      <c r="F436">
        <f t="shared" si="227"/>
        <v>401.78571428571433</v>
      </c>
      <c r="G436">
        <f t="shared" si="227"/>
        <v>360.36734693877548</v>
      </c>
      <c r="H436">
        <f t="shared" si="227"/>
        <v>277.74489795918362</v>
      </c>
      <c r="I436">
        <f t="shared" si="227"/>
        <v>311.5510204081632</v>
      </c>
      <c r="J436">
        <f t="shared" si="227"/>
        <v>293.41326530612247</v>
      </c>
      <c r="K436">
        <f t="shared" si="227"/>
        <v>293.51020408163265</v>
      </c>
      <c r="L436">
        <f t="shared" si="227"/>
        <v>224.87222222222223</v>
      </c>
      <c r="M436">
        <f t="shared" si="227"/>
        <v>328.5</v>
      </c>
      <c r="N436">
        <f t="shared" si="227"/>
        <v>327.64795918367344</v>
      </c>
      <c r="O436">
        <f t="shared" si="227"/>
        <v>276.20408163265307</v>
      </c>
      <c r="P436">
        <f t="shared" si="227"/>
        <v>254.32653061224491</v>
      </c>
      <c r="Q436">
        <f t="shared" si="227"/>
        <v>291.35204081632651</v>
      </c>
      <c r="R436">
        <f t="shared" si="227"/>
        <v>306.27551020408168</v>
      </c>
      <c r="S436">
        <f t="shared" si="227"/>
        <v>367.66836734693874</v>
      </c>
      <c r="T436">
        <f t="shared" si="227"/>
        <v>335.6122448979591</v>
      </c>
      <c r="U436">
        <f t="shared" si="227"/>
        <v>382.57346938775504</v>
      </c>
      <c r="V436">
        <f t="shared" si="227"/>
        <v>459.53061224489795</v>
      </c>
      <c r="W436">
        <f t="shared" si="227"/>
        <v>551.3112244897959</v>
      </c>
      <c r="Y436" s="14">
        <f t="shared" si="221"/>
        <v>7006.0936507936512</v>
      </c>
      <c r="Z436">
        <f t="shared" si="222"/>
        <v>-1852.0771809830792</v>
      </c>
    </row>
    <row r="437" spans="1:26" x14ac:dyDescent="0.25">
      <c r="A437" t="s">
        <v>49</v>
      </c>
      <c r="D437">
        <f t="shared" ref="D437:W437" si="228">D41*D74</f>
        <v>670.91326530612241</v>
      </c>
      <c r="E437">
        <f t="shared" si="228"/>
        <v>556.34693877551024</v>
      </c>
      <c r="F437">
        <f t="shared" si="228"/>
        <v>571.91326530612241</v>
      </c>
      <c r="G437">
        <f t="shared" si="228"/>
        <v>423.62244897959187</v>
      </c>
      <c r="H437">
        <f t="shared" si="228"/>
        <v>353.46938775510205</v>
      </c>
      <c r="I437">
        <f t="shared" si="228"/>
        <v>372.34183673469391</v>
      </c>
      <c r="J437">
        <f t="shared" si="228"/>
        <v>205.17857142857144</v>
      </c>
      <c r="K437">
        <f t="shared" si="228"/>
        <v>262.66836734693879</v>
      </c>
      <c r="L437">
        <f t="shared" si="228"/>
        <v>194.76543209876544</v>
      </c>
      <c r="M437">
        <f t="shared" si="228"/>
        <v>222.15306122448982</v>
      </c>
      <c r="N437">
        <f t="shared" si="228"/>
        <v>189.13265306122449</v>
      </c>
      <c r="O437">
        <f t="shared" si="228"/>
        <v>201.67346938775509</v>
      </c>
      <c r="P437">
        <f t="shared" si="228"/>
        <v>260.57142857142856</v>
      </c>
      <c r="Q437">
        <f t="shared" si="228"/>
        <v>286.06122448979596</v>
      </c>
      <c r="R437">
        <f t="shared" si="228"/>
        <v>359.5408163265306</v>
      </c>
      <c r="S437">
        <f t="shared" si="228"/>
        <v>365.69591836734691</v>
      </c>
      <c r="T437">
        <f t="shared" si="228"/>
        <v>367.85714285714283</v>
      </c>
      <c r="U437">
        <f t="shared" si="228"/>
        <v>348</v>
      </c>
      <c r="V437">
        <f t="shared" si="228"/>
        <v>371.80612244897964</v>
      </c>
      <c r="W437">
        <f t="shared" si="228"/>
        <v>578.9571428571428</v>
      </c>
      <c r="Y437" s="14">
        <f t="shared" si="221"/>
        <v>7162.6684933232555</v>
      </c>
      <c r="Z437">
        <f t="shared" si="222"/>
        <v>-1664.9933971323019</v>
      </c>
    </row>
    <row r="438" spans="1:26" x14ac:dyDescent="0.25">
      <c r="A438" t="s">
        <v>50</v>
      </c>
      <c r="D438">
        <f t="shared" ref="D438:W438" si="229">D42*D75</f>
        <v>627.55102040816337</v>
      </c>
      <c r="E438">
        <f t="shared" si="229"/>
        <v>633.61224489795916</v>
      </c>
      <c r="F438">
        <f t="shared" si="229"/>
        <v>585.24489795918362</v>
      </c>
      <c r="G438">
        <f t="shared" si="229"/>
        <v>470</v>
      </c>
      <c r="H438">
        <f t="shared" si="229"/>
        <v>437.38775510204079</v>
      </c>
      <c r="I438">
        <f t="shared" si="229"/>
        <v>381.63265306122446</v>
      </c>
      <c r="J438">
        <f t="shared" si="229"/>
        <v>349.24489795918362</v>
      </c>
      <c r="K438">
        <f t="shared" si="229"/>
        <v>320.33163265306121</v>
      </c>
      <c r="L438">
        <f t="shared" si="229"/>
        <v>263.45061728395063</v>
      </c>
      <c r="M438">
        <f t="shared" si="229"/>
        <v>391.90816326530614</v>
      </c>
      <c r="N438">
        <f t="shared" si="229"/>
        <v>323.26530612244898</v>
      </c>
      <c r="O438">
        <f t="shared" si="229"/>
        <v>159.85204081632654</v>
      </c>
      <c r="P438">
        <f t="shared" si="229"/>
        <v>299.9387755102041</v>
      </c>
      <c r="Q438">
        <f t="shared" si="229"/>
        <v>302.83673469387753</v>
      </c>
      <c r="R438">
        <f t="shared" si="229"/>
        <v>372.09183673469391</v>
      </c>
      <c r="S438">
        <f t="shared" si="229"/>
        <v>353.08163265306126</v>
      </c>
      <c r="T438">
        <f t="shared" si="229"/>
        <v>496.25510204081627</v>
      </c>
      <c r="U438">
        <f t="shared" si="229"/>
        <v>510.70408163265307</v>
      </c>
      <c r="V438">
        <f t="shared" si="229"/>
        <v>479.90306122448982</v>
      </c>
      <c r="W438">
        <f t="shared" si="229"/>
        <v>505.17857142857139</v>
      </c>
      <c r="Y438" s="14">
        <f t="shared" si="221"/>
        <v>8263.4710254472175</v>
      </c>
      <c r="Z438">
        <f t="shared" si="222"/>
        <v>-2065.8979199901291</v>
      </c>
    </row>
    <row r="439" spans="1:26" x14ac:dyDescent="0.25">
      <c r="A439" t="s">
        <v>51</v>
      </c>
      <c r="D439">
        <f t="shared" ref="D439:W439" si="230">D43*D76</f>
        <v>488.27387755102041</v>
      </c>
      <c r="E439">
        <f t="shared" si="230"/>
        <v>454.3471428571429</v>
      </c>
      <c r="F439">
        <f t="shared" si="230"/>
        <v>532.41632653061231</v>
      </c>
      <c r="G439">
        <f t="shared" si="230"/>
        <v>533.80000000000007</v>
      </c>
      <c r="H439">
        <f t="shared" si="230"/>
        <v>464.00857142857149</v>
      </c>
      <c r="I439">
        <f t="shared" si="230"/>
        <v>266.96428571428572</v>
      </c>
      <c r="J439">
        <f t="shared" si="230"/>
        <v>241.76653061224485</v>
      </c>
      <c r="K439">
        <f t="shared" si="230"/>
        <v>390.71836734693875</v>
      </c>
      <c r="L439">
        <f t="shared" si="230"/>
        <v>286.46851851851852</v>
      </c>
      <c r="M439">
        <f t="shared" si="230"/>
        <v>237.97959183673467</v>
      </c>
      <c r="N439">
        <f t="shared" si="230"/>
        <v>297.39489795918371</v>
      </c>
      <c r="O439">
        <f t="shared" si="230"/>
        <v>202.28571428571428</v>
      </c>
      <c r="P439">
        <f t="shared" si="230"/>
        <v>186.9061224489796</v>
      </c>
      <c r="Q439">
        <f t="shared" si="230"/>
        <v>300.70408163265307</v>
      </c>
      <c r="R439">
        <f t="shared" si="230"/>
        <v>274.03061224489795</v>
      </c>
      <c r="S439">
        <f t="shared" si="230"/>
        <v>252.60000000000002</v>
      </c>
      <c r="T439">
        <f t="shared" si="230"/>
        <v>296.9795918367347</v>
      </c>
      <c r="U439">
        <f t="shared" si="230"/>
        <v>413.54081632653066</v>
      </c>
      <c r="V439">
        <f t="shared" si="230"/>
        <v>431.41836734693874</v>
      </c>
      <c r="W439">
        <f t="shared" si="230"/>
        <v>615.7908163265306</v>
      </c>
      <c r="Y439" s="14">
        <f t="shared" si="221"/>
        <v>7168.394232804234</v>
      </c>
      <c r="Z439">
        <f t="shared" si="222"/>
        <v>-1747.5236084424282</v>
      </c>
    </row>
    <row r="440" spans="1:26" x14ac:dyDescent="0.25">
      <c r="A440" t="s">
        <v>52</v>
      </c>
      <c r="D440">
        <f t="shared" ref="D440:W440" si="231">D44*D77</f>
        <v>671.53265306122455</v>
      </c>
      <c r="E440">
        <f t="shared" si="231"/>
        <v>564.66836734693879</v>
      </c>
      <c r="F440">
        <f t="shared" si="231"/>
        <v>457.90306122448976</v>
      </c>
      <c r="G440">
        <f t="shared" si="231"/>
        <v>490.94489795918372</v>
      </c>
      <c r="H440">
        <f t="shared" si="231"/>
        <v>397.93244897959187</v>
      </c>
      <c r="I440">
        <f t="shared" si="231"/>
        <v>380.46938775510205</v>
      </c>
      <c r="J440">
        <f t="shared" si="231"/>
        <v>283.08673469387753</v>
      </c>
      <c r="K440">
        <f t="shared" si="231"/>
        <v>357.47448979591837</v>
      </c>
      <c r="L440">
        <f t="shared" si="231"/>
        <v>240.98148148148147</v>
      </c>
      <c r="M440">
        <f t="shared" si="231"/>
        <v>333.41326530612247</v>
      </c>
      <c r="N440">
        <f t="shared" si="231"/>
        <v>354.05102040816325</v>
      </c>
      <c r="O440">
        <f t="shared" si="231"/>
        <v>279.64285714285711</v>
      </c>
      <c r="P440">
        <f t="shared" si="231"/>
        <v>254.28571428571428</v>
      </c>
      <c r="Q440">
        <f t="shared" si="231"/>
        <v>338.64285714285711</v>
      </c>
      <c r="R440">
        <f t="shared" si="231"/>
        <v>298.57142857142856</v>
      </c>
      <c r="S440">
        <f t="shared" si="231"/>
        <v>371.57142857142856</v>
      </c>
      <c r="T440">
        <f t="shared" si="231"/>
        <v>353.38775510204084</v>
      </c>
      <c r="U440">
        <f t="shared" si="231"/>
        <v>300.12244897959181</v>
      </c>
      <c r="V440">
        <f t="shared" si="231"/>
        <v>425.92857142857139</v>
      </c>
      <c r="W440">
        <f t="shared" si="231"/>
        <v>479.25</v>
      </c>
      <c r="Y440" s="14">
        <f t="shared" si="221"/>
        <v>7633.8608692365824</v>
      </c>
      <c r="Z440">
        <f t="shared" si="222"/>
        <v>-1889.170651027639</v>
      </c>
    </row>
    <row r="441" spans="1:26" x14ac:dyDescent="0.25">
      <c r="A441" t="s">
        <v>53</v>
      </c>
      <c r="D441">
        <f t="shared" ref="D441:W441" si="232">D45*D78</f>
        <v>624.87755102040819</v>
      </c>
      <c r="E441">
        <f t="shared" si="232"/>
        <v>520.01530612244903</v>
      </c>
      <c r="F441">
        <f t="shared" si="232"/>
        <v>440.96938775510205</v>
      </c>
      <c r="G441">
        <f t="shared" si="232"/>
        <v>394.89795918367349</v>
      </c>
      <c r="H441">
        <f t="shared" si="232"/>
        <v>301.68367346938771</v>
      </c>
      <c r="I441">
        <f t="shared" si="232"/>
        <v>317.6571428571429</v>
      </c>
      <c r="J441">
        <f t="shared" si="232"/>
        <v>325.53061224489795</v>
      </c>
      <c r="K441">
        <f t="shared" si="232"/>
        <v>294.89795918367344</v>
      </c>
      <c r="L441">
        <f t="shared" si="232"/>
        <v>200.71333333333331</v>
      </c>
      <c r="M441">
        <f t="shared" si="232"/>
        <v>285</v>
      </c>
      <c r="N441">
        <f t="shared" si="232"/>
        <v>217.96428571428572</v>
      </c>
      <c r="O441">
        <f t="shared" si="232"/>
        <v>363.9795918367347</v>
      </c>
      <c r="P441">
        <f t="shared" si="232"/>
        <v>322.44897959183675</v>
      </c>
      <c r="Q441">
        <f t="shared" si="232"/>
        <v>277.84693877551018</v>
      </c>
      <c r="R441">
        <f t="shared" si="232"/>
        <v>393.87755102040819</v>
      </c>
      <c r="S441">
        <f t="shared" si="232"/>
        <v>520.03061224489795</v>
      </c>
      <c r="T441">
        <f t="shared" si="232"/>
        <v>560.76428571428573</v>
      </c>
      <c r="U441">
        <f t="shared" si="232"/>
        <v>603.02448979591838</v>
      </c>
      <c r="V441">
        <f t="shared" si="232"/>
        <v>576.99693877551022</v>
      </c>
      <c r="W441">
        <f t="shared" si="232"/>
        <v>563.85428571428577</v>
      </c>
      <c r="Y441" s="14">
        <f t="shared" si="221"/>
        <v>8107.0308843537423</v>
      </c>
      <c r="Z441">
        <f t="shared" si="222"/>
        <v>-2125.4802373663597</v>
      </c>
    </row>
    <row r="442" spans="1:26" x14ac:dyDescent="0.25">
      <c r="A442" t="s">
        <v>54</v>
      </c>
      <c r="D442">
        <f t="shared" ref="D442:W442" si="233">D46*D79</f>
        <v>617.34693877551024</v>
      </c>
      <c r="E442">
        <f t="shared" si="233"/>
        <v>507.27551020408163</v>
      </c>
      <c r="F442">
        <f t="shared" si="233"/>
        <v>471.5204081632653</v>
      </c>
      <c r="G442">
        <f t="shared" si="233"/>
        <v>421.22448979591837</v>
      </c>
      <c r="H442">
        <f t="shared" si="233"/>
        <v>330.73469387755102</v>
      </c>
      <c r="I442">
        <f t="shared" si="233"/>
        <v>312.39999999999998</v>
      </c>
      <c r="J442">
        <f t="shared" si="233"/>
        <v>275.98775510204081</v>
      </c>
      <c r="K442">
        <f t="shared" si="233"/>
        <v>350.07142857142856</v>
      </c>
      <c r="L442">
        <f t="shared" si="233"/>
        <v>281.83111111111111</v>
      </c>
      <c r="M442">
        <f t="shared" si="233"/>
        <v>337.38571428571436</v>
      </c>
      <c r="N442">
        <f t="shared" si="233"/>
        <v>346.95714285714286</v>
      </c>
      <c r="O442">
        <f t="shared" si="233"/>
        <v>329.31102040816324</v>
      </c>
      <c r="P442">
        <f t="shared" si="233"/>
        <v>349.89795918367349</v>
      </c>
      <c r="Q442">
        <f t="shared" si="233"/>
        <v>338.73469387755108</v>
      </c>
      <c r="R442">
        <f t="shared" si="233"/>
        <v>307.2918367346939</v>
      </c>
      <c r="S442">
        <f t="shared" si="233"/>
        <v>266.97755102040816</v>
      </c>
      <c r="T442">
        <f t="shared" si="233"/>
        <v>434.5204081632653</v>
      </c>
      <c r="U442">
        <f t="shared" si="233"/>
        <v>426.41326530612241</v>
      </c>
      <c r="V442">
        <f t="shared" si="233"/>
        <v>507.2</v>
      </c>
      <c r="W442">
        <f t="shared" si="233"/>
        <v>621.84285714285716</v>
      </c>
      <c r="Y442" s="14">
        <f t="shared" si="221"/>
        <v>7834.9247845804985</v>
      </c>
      <c r="Z442">
        <f t="shared" si="222"/>
        <v>-2057.6575540307604</v>
      </c>
    </row>
    <row r="443" spans="1:26" x14ac:dyDescent="0.25">
      <c r="A443" t="s">
        <v>55</v>
      </c>
      <c r="D443">
        <f t="shared" ref="D443:W443" si="234">D47*D80</f>
        <v>599.14285714285711</v>
      </c>
      <c r="E443">
        <f t="shared" si="234"/>
        <v>581.86530612244894</v>
      </c>
      <c r="F443">
        <f t="shared" si="234"/>
        <v>598.13265306122446</v>
      </c>
      <c r="G443">
        <f t="shared" si="234"/>
        <v>485.4</v>
      </c>
      <c r="H443">
        <f t="shared" si="234"/>
        <v>378.69979591836733</v>
      </c>
      <c r="I443">
        <f t="shared" si="234"/>
        <v>297.50020408163272</v>
      </c>
      <c r="J443">
        <f t="shared" si="234"/>
        <v>355.62040816326538</v>
      </c>
      <c r="K443">
        <f t="shared" si="234"/>
        <v>350.91020408163268</v>
      </c>
      <c r="L443">
        <f t="shared" si="234"/>
        <v>374.36790123456791</v>
      </c>
      <c r="M443">
        <f t="shared" si="234"/>
        <v>281.78571428571428</v>
      </c>
      <c r="N443">
        <f t="shared" si="234"/>
        <v>279.23877551020411</v>
      </c>
      <c r="O443">
        <f t="shared" si="234"/>
        <v>361.17367346938778</v>
      </c>
      <c r="P443">
        <f t="shared" si="234"/>
        <v>277.24489795918367</v>
      </c>
      <c r="Q443">
        <f t="shared" si="234"/>
        <v>364.58775510204083</v>
      </c>
      <c r="R443">
        <f t="shared" si="234"/>
        <v>268.77551020408163</v>
      </c>
      <c r="S443">
        <f t="shared" si="234"/>
        <v>398.52734693877551</v>
      </c>
      <c r="T443">
        <f t="shared" si="234"/>
        <v>490.91428571428571</v>
      </c>
      <c r="U443">
        <f t="shared" si="234"/>
        <v>467.67857142857144</v>
      </c>
      <c r="V443">
        <f t="shared" si="234"/>
        <v>426.66122448979593</v>
      </c>
      <c r="W443">
        <f t="shared" si="234"/>
        <v>698.87346938775511</v>
      </c>
      <c r="Y443" s="14">
        <f t="shared" si="221"/>
        <v>8337.1005542957955</v>
      </c>
      <c r="Z443">
        <f t="shared" si="222"/>
        <v>-2107.722392226241</v>
      </c>
    </row>
    <row r="444" spans="1:26" x14ac:dyDescent="0.25">
      <c r="A444" t="s">
        <v>56</v>
      </c>
      <c r="D444">
        <f t="shared" ref="D444:W444" si="235">D48*D81</f>
        <v>659.35346938775501</v>
      </c>
      <c r="E444">
        <f t="shared" si="235"/>
        <v>500.39081632653063</v>
      </c>
      <c r="F444">
        <f t="shared" si="235"/>
        <v>477.18428571428569</v>
      </c>
      <c r="G444">
        <f t="shared" si="235"/>
        <v>514.5</v>
      </c>
      <c r="H444">
        <f t="shared" si="235"/>
        <v>429.49469387755101</v>
      </c>
      <c r="I444">
        <f t="shared" si="235"/>
        <v>310.79795918367347</v>
      </c>
      <c r="J444">
        <f t="shared" si="235"/>
        <v>341.44489795918366</v>
      </c>
      <c r="K444">
        <f t="shared" si="235"/>
        <v>338.73142857142858</v>
      </c>
      <c r="L444">
        <f t="shared" si="235"/>
        <v>289.61913580246909</v>
      </c>
      <c r="M444">
        <f t="shared" si="235"/>
        <v>417.8857142857143</v>
      </c>
      <c r="N444">
        <f t="shared" si="235"/>
        <v>365.35714285714289</v>
      </c>
      <c r="O444">
        <f t="shared" si="235"/>
        <v>285.56122448979596</v>
      </c>
      <c r="P444">
        <f t="shared" si="235"/>
        <v>297</v>
      </c>
      <c r="Q444">
        <f t="shared" si="235"/>
        <v>315.54693877551023</v>
      </c>
      <c r="R444">
        <f t="shared" si="235"/>
        <v>600.0612244897959</v>
      </c>
      <c r="S444">
        <f t="shared" si="235"/>
        <v>695.82653061224494</v>
      </c>
      <c r="T444">
        <f t="shared" si="235"/>
        <v>817.92653061224496</v>
      </c>
      <c r="U444">
        <f t="shared" si="235"/>
        <v>747.11836734693873</v>
      </c>
      <c r="V444">
        <f t="shared" si="235"/>
        <v>600.0612244897959</v>
      </c>
      <c r="W444">
        <f t="shared" si="235"/>
        <v>695.82653061224494</v>
      </c>
      <c r="Y444" s="14">
        <f t="shared" si="221"/>
        <v>9699.6881153943068</v>
      </c>
      <c r="Z444">
        <f t="shared" si="222"/>
        <v>-2524.0061285629117</v>
      </c>
    </row>
    <row r="445" spans="1:26" x14ac:dyDescent="0.25">
      <c r="A445" t="s">
        <v>57</v>
      </c>
      <c r="D445">
        <f t="shared" ref="D445:W445" si="236">D49*D82</f>
        <v>589.05918367346942</v>
      </c>
      <c r="E445">
        <f t="shared" si="236"/>
        <v>616.85714285714289</v>
      </c>
      <c r="F445">
        <f t="shared" si="236"/>
        <v>559.20979591836738</v>
      </c>
      <c r="G445">
        <f t="shared" si="236"/>
        <v>546.28571428571433</v>
      </c>
      <c r="H445">
        <f t="shared" si="236"/>
        <v>392.60204081632656</v>
      </c>
      <c r="I445">
        <f t="shared" si="236"/>
        <v>501.62244897959187</v>
      </c>
      <c r="J445">
        <f t="shared" si="236"/>
        <v>415.00000000000006</v>
      </c>
      <c r="K445">
        <f t="shared" si="236"/>
        <v>424.82142857142856</v>
      </c>
      <c r="L445">
        <f t="shared" si="236"/>
        <v>225.74814814814815</v>
      </c>
      <c r="M445">
        <f t="shared" si="236"/>
        <v>380.05102040816325</v>
      </c>
      <c r="N445">
        <f t="shared" si="236"/>
        <v>457.47142857142853</v>
      </c>
      <c r="O445">
        <f t="shared" si="236"/>
        <v>398.9795918367347</v>
      </c>
      <c r="P445">
        <f t="shared" si="236"/>
        <v>458.61877551020416</v>
      </c>
      <c r="Q445">
        <f t="shared" si="236"/>
        <v>452.52571428571434</v>
      </c>
      <c r="R445">
        <f t="shared" si="236"/>
        <v>548</v>
      </c>
      <c r="S445">
        <f t="shared" si="236"/>
        <v>545.04816326530613</v>
      </c>
      <c r="T445">
        <f t="shared" si="236"/>
        <v>541.55755102040825</v>
      </c>
      <c r="U445">
        <f t="shared" si="236"/>
        <v>696.95918367346928</v>
      </c>
      <c r="V445">
        <f t="shared" si="236"/>
        <v>504.55653061224501</v>
      </c>
      <c r="W445">
        <f t="shared" si="236"/>
        <v>616.33877551020396</v>
      </c>
      <c r="Y445" s="14">
        <f t="shared" si="221"/>
        <v>9871.3126379440655</v>
      </c>
      <c r="Z445">
        <f t="shared" si="222"/>
        <v>-2736.43889229259</v>
      </c>
    </row>
    <row r="446" spans="1:26" x14ac:dyDescent="0.25">
      <c r="A446" t="s">
        <v>58</v>
      </c>
      <c r="D446">
        <f t="shared" ref="D446:W446" si="237">D50*D83</f>
        <v>523.06163265306122</v>
      </c>
      <c r="E446">
        <f t="shared" si="237"/>
        <v>570.16326530612241</v>
      </c>
      <c r="F446">
        <f t="shared" si="237"/>
        <v>397.48163265306124</v>
      </c>
      <c r="G446">
        <f t="shared" si="237"/>
        <v>462.03061224489795</v>
      </c>
      <c r="H446">
        <f t="shared" si="237"/>
        <v>419.4489795918368</v>
      </c>
      <c r="I446">
        <f t="shared" si="237"/>
        <v>328.53306122448987</v>
      </c>
      <c r="J446">
        <f t="shared" si="237"/>
        <v>290.96938775510199</v>
      </c>
      <c r="K446">
        <f t="shared" si="237"/>
        <v>199.70612244897961</v>
      </c>
      <c r="L446">
        <f t="shared" si="237"/>
        <v>155.90617283950616</v>
      </c>
      <c r="M446">
        <f t="shared" si="237"/>
        <v>102.50653061224489</v>
      </c>
      <c r="N446">
        <f t="shared" si="237"/>
        <v>227.23932944606412</v>
      </c>
      <c r="O446">
        <f t="shared" si="237"/>
        <v>266.24781341107871</v>
      </c>
      <c r="P446">
        <f t="shared" si="237"/>
        <v>260.23524781341109</v>
      </c>
      <c r="Q446">
        <f t="shared" si="237"/>
        <v>282.88206997084552</v>
      </c>
      <c r="R446">
        <f t="shared" si="237"/>
        <v>336.11941690962095</v>
      </c>
      <c r="S446">
        <f t="shared" si="237"/>
        <v>365.9584548104956</v>
      </c>
      <c r="T446">
        <f t="shared" si="237"/>
        <v>395.91603498542275</v>
      </c>
      <c r="U446">
        <f t="shared" si="237"/>
        <v>524.68163265306123</v>
      </c>
      <c r="V446">
        <f t="shared" si="237"/>
        <v>534.17827988338195</v>
      </c>
      <c r="W446">
        <f t="shared" si="237"/>
        <v>619.00309620991254</v>
      </c>
      <c r="Y446" s="14">
        <f t="shared" si="221"/>
        <v>7262.2687734225974</v>
      </c>
      <c r="Z446">
        <f t="shared" si="222"/>
        <v>-1845.5803174516691</v>
      </c>
    </row>
    <row r="447" spans="1:26" x14ac:dyDescent="0.25">
      <c r="A447" t="s">
        <v>59</v>
      </c>
      <c r="D447">
        <f t="shared" ref="D447:W447" si="238">D51*D84</f>
        <v>527.24244897959193</v>
      </c>
      <c r="E447">
        <f t="shared" si="238"/>
        <v>487.14285714285711</v>
      </c>
      <c r="F447">
        <f t="shared" si="238"/>
        <v>386.78571428571433</v>
      </c>
      <c r="G447">
        <f t="shared" si="238"/>
        <v>388.46326530612248</v>
      </c>
      <c r="H447">
        <f t="shared" si="238"/>
        <v>291.134693877551</v>
      </c>
      <c r="I447">
        <f t="shared" si="238"/>
        <v>194.88857142857142</v>
      </c>
      <c r="J447">
        <f t="shared" si="238"/>
        <v>100.5061224489796</v>
      </c>
      <c r="K447">
        <f t="shared" si="238"/>
        <v>133.67346938775512</v>
      </c>
      <c r="L447">
        <f t="shared" si="238"/>
        <v>193.22222222222223</v>
      </c>
      <c r="M447">
        <f t="shared" si="238"/>
        <v>274.32108843537418</v>
      </c>
      <c r="N447">
        <f t="shared" si="238"/>
        <v>210.20501700680271</v>
      </c>
      <c r="O447">
        <f t="shared" si="238"/>
        <v>177.15707908163265</v>
      </c>
      <c r="P447">
        <f t="shared" si="238"/>
        <v>236.18477891156465</v>
      </c>
      <c r="Q447">
        <f t="shared" si="238"/>
        <v>277.66301020408162</v>
      </c>
      <c r="R447">
        <f t="shared" si="238"/>
        <v>351.05552721088435</v>
      </c>
      <c r="S447">
        <f t="shared" si="238"/>
        <v>388.16145833333337</v>
      </c>
      <c r="T447">
        <f t="shared" si="238"/>
        <v>220.50529336734695</v>
      </c>
      <c r="U447">
        <f t="shared" si="238"/>
        <v>534.64934098639446</v>
      </c>
      <c r="V447">
        <f t="shared" si="238"/>
        <v>471.89650935374146</v>
      </c>
      <c r="W447">
        <f t="shared" si="238"/>
        <v>460.10349489795908</v>
      </c>
      <c r="Y447" s="14">
        <f t="shared" si="221"/>
        <v>6304.9619628684814</v>
      </c>
      <c r="Z447">
        <f t="shared" si="222"/>
        <v>-1489.5658860874419</v>
      </c>
    </row>
    <row r="448" spans="1:26" x14ac:dyDescent="0.25">
      <c r="A448" t="s">
        <v>60</v>
      </c>
      <c r="D448">
        <f t="shared" ref="D448:W448" si="239">D52*D85</f>
        <v>314.38775510204084</v>
      </c>
      <c r="E448">
        <f t="shared" si="239"/>
        <v>277.02857142857141</v>
      </c>
      <c r="F448">
        <f t="shared" si="239"/>
        <v>310.69387755102042</v>
      </c>
      <c r="G448">
        <f t="shared" si="239"/>
        <v>340.18367346938777</v>
      </c>
      <c r="H448">
        <f t="shared" si="239"/>
        <v>352.74489795918367</v>
      </c>
      <c r="I448">
        <f t="shared" si="239"/>
        <v>391.22448979591837</v>
      </c>
      <c r="J448">
        <f t="shared" si="239"/>
        <v>266.14285714285717</v>
      </c>
      <c r="K448">
        <f t="shared" si="239"/>
        <v>160.77551020408163</v>
      </c>
      <c r="L448">
        <f t="shared" si="239"/>
        <v>77.125925925925927</v>
      </c>
      <c r="M448">
        <f t="shared" si="239"/>
        <v>193.67346938775512</v>
      </c>
      <c r="N448">
        <f t="shared" si="239"/>
        <v>153.4</v>
      </c>
      <c r="O448">
        <f t="shared" si="239"/>
        <v>285.05102040816325</v>
      </c>
      <c r="P448">
        <f t="shared" si="239"/>
        <v>181.83673469387753</v>
      </c>
      <c r="Q448">
        <f t="shared" si="239"/>
        <v>282.40816326530614</v>
      </c>
      <c r="R448">
        <f t="shared" si="239"/>
        <v>330.73469387755102</v>
      </c>
      <c r="S448">
        <f t="shared" si="239"/>
        <v>369.68163265306123</v>
      </c>
      <c r="T448">
        <f t="shared" si="239"/>
        <v>497.5</v>
      </c>
      <c r="U448">
        <f t="shared" si="239"/>
        <v>486.97959183673476</v>
      </c>
      <c r="V448">
        <f t="shared" si="239"/>
        <v>384.7285714285714</v>
      </c>
      <c r="W448">
        <f t="shared" si="239"/>
        <v>370.53061224489795</v>
      </c>
      <c r="Y448" s="14">
        <f t="shared" si="221"/>
        <v>6026.8320483749058</v>
      </c>
      <c r="Z448">
        <f t="shared" si="222"/>
        <v>-1693.0367499605941</v>
      </c>
    </row>
    <row r="449" spans="1:26" x14ac:dyDescent="0.25">
      <c r="A449" t="s">
        <v>61</v>
      </c>
      <c r="D449">
        <f t="shared" ref="D449:W449" si="240">D53*D86</f>
        <v>510.98877551020405</v>
      </c>
      <c r="E449">
        <f t="shared" si="240"/>
        <v>498.12244897959181</v>
      </c>
      <c r="F449">
        <f t="shared" si="240"/>
        <v>496.47448979591837</v>
      </c>
      <c r="G449">
        <f t="shared" si="240"/>
        <v>462.01591836734684</v>
      </c>
      <c r="H449">
        <f t="shared" si="240"/>
        <v>407.74530612244899</v>
      </c>
      <c r="I449">
        <f t="shared" si="240"/>
        <v>442.95306122448972</v>
      </c>
      <c r="J449">
        <f t="shared" si="240"/>
        <v>334.71224489795918</v>
      </c>
      <c r="K449">
        <f t="shared" si="240"/>
        <v>285.6563265306122</v>
      </c>
      <c r="L449">
        <f t="shared" si="240"/>
        <v>367.02612244897966</v>
      </c>
      <c r="M449">
        <f t="shared" si="240"/>
        <v>275.92897959183676</v>
      </c>
      <c r="N449">
        <f t="shared" si="240"/>
        <v>267.47755102040816</v>
      </c>
      <c r="O449">
        <f t="shared" si="240"/>
        <v>258.14142857142861</v>
      </c>
      <c r="P449">
        <f t="shared" si="240"/>
        <v>380.58428571428567</v>
      </c>
      <c r="Q449">
        <f t="shared" si="240"/>
        <v>402.95428571428562</v>
      </c>
      <c r="R449">
        <f t="shared" si="240"/>
        <v>416.36571428571438</v>
      </c>
      <c r="S449">
        <f t="shared" si="240"/>
        <v>377.18448979591841</v>
      </c>
      <c r="T449">
        <f t="shared" si="240"/>
        <v>519.3257142857143</v>
      </c>
      <c r="U449">
        <f t="shared" si="240"/>
        <v>454.6685714285714</v>
      </c>
      <c r="V449">
        <f t="shared" si="240"/>
        <v>414.30408163265298</v>
      </c>
      <c r="W449">
        <f t="shared" si="240"/>
        <v>529.48040816326522</v>
      </c>
      <c r="Y449" s="14">
        <f t="shared" si="221"/>
        <v>8102.1102040816331</v>
      </c>
      <c r="Z449">
        <f t="shared" si="222"/>
        <v>-2165.7155675074246</v>
      </c>
    </row>
    <row r="450" spans="1:26" x14ac:dyDescent="0.25">
      <c r="A450" t="s">
        <v>62</v>
      </c>
      <c r="D450">
        <f t="shared" ref="D450:W450" si="241">D54*D87</f>
        <v>625.11020408163267</v>
      </c>
      <c r="E450">
        <f t="shared" si="241"/>
        <v>625.29306122448975</v>
      </c>
      <c r="F450">
        <f t="shared" si="241"/>
        <v>485.13591836734696</v>
      </c>
      <c r="G450">
        <f t="shared" si="241"/>
        <v>350.17489795918368</v>
      </c>
      <c r="H450">
        <f t="shared" si="241"/>
        <v>390.35571428571433</v>
      </c>
      <c r="I450">
        <f t="shared" si="241"/>
        <v>410.51102040816323</v>
      </c>
      <c r="J450">
        <f t="shared" si="241"/>
        <v>309.05632653061224</v>
      </c>
      <c r="K450">
        <f t="shared" si="241"/>
        <v>362.9387755102041</v>
      </c>
      <c r="L450">
        <f t="shared" si="241"/>
        <v>319.57968749999998</v>
      </c>
      <c r="M450">
        <f t="shared" si="241"/>
        <v>298.41632653061225</v>
      </c>
      <c r="N450">
        <f t="shared" si="241"/>
        <v>310.50612244897957</v>
      </c>
      <c r="O450">
        <f t="shared" si="241"/>
        <v>285.46408163265306</v>
      </c>
      <c r="P450">
        <f t="shared" si="241"/>
        <v>159.12</v>
      </c>
      <c r="Q450">
        <f t="shared" si="241"/>
        <v>160.19591836734693</v>
      </c>
      <c r="R450">
        <f t="shared" si="241"/>
        <v>119.47591836734694</v>
      </c>
      <c r="S450">
        <f t="shared" si="241"/>
        <v>296.98897959183671</v>
      </c>
      <c r="T450">
        <f t="shared" si="241"/>
        <v>337.23897959183671</v>
      </c>
      <c r="U450">
        <f t="shared" si="241"/>
        <v>360.58499999999998</v>
      </c>
      <c r="V450">
        <f t="shared" si="241"/>
        <v>520.91836734693868</v>
      </c>
      <c r="W450">
        <f t="shared" si="241"/>
        <v>638.43265306122441</v>
      </c>
      <c r="Y450" s="14">
        <f t="shared" si="221"/>
        <v>7365.4979528061231</v>
      </c>
      <c r="Z450">
        <f t="shared" si="222"/>
        <v>-1805.2916123690547</v>
      </c>
    </row>
    <row r="451" spans="1:26" x14ac:dyDescent="0.25">
      <c r="A451" t="s">
        <v>63</v>
      </c>
      <c r="D451">
        <f t="shared" ref="D451:W451" si="242">D55*D88</f>
        <v>584.90816326530614</v>
      </c>
      <c r="E451">
        <f t="shared" si="242"/>
        <v>493.62612244897957</v>
      </c>
      <c r="F451">
        <f t="shared" si="242"/>
        <v>489.35714285714289</v>
      </c>
      <c r="G451">
        <f t="shared" si="242"/>
        <v>477.41448979591831</v>
      </c>
      <c r="H451">
        <f t="shared" si="242"/>
        <v>396.46857142857141</v>
      </c>
      <c r="I451">
        <f t="shared" si="242"/>
        <v>553.96571428571428</v>
      </c>
      <c r="J451">
        <f t="shared" si="242"/>
        <v>489.6157142857142</v>
      </c>
      <c r="K451">
        <f t="shared" si="242"/>
        <v>519.87755102040808</v>
      </c>
      <c r="L451">
        <f t="shared" si="242"/>
        <v>323.578125</v>
      </c>
      <c r="M451">
        <f t="shared" si="242"/>
        <v>285.59693877551018</v>
      </c>
      <c r="N451">
        <f t="shared" si="242"/>
        <v>344.0383673469388</v>
      </c>
      <c r="O451">
        <f t="shared" si="242"/>
        <v>495.66857142857145</v>
      </c>
      <c r="P451">
        <f t="shared" si="242"/>
        <v>349.21469387755104</v>
      </c>
      <c r="Q451">
        <f t="shared" si="242"/>
        <v>359.04489795918369</v>
      </c>
      <c r="R451">
        <f t="shared" si="242"/>
        <v>327.24</v>
      </c>
      <c r="S451">
        <f t="shared" si="242"/>
        <v>382.95469387755099</v>
      </c>
      <c r="T451">
        <f t="shared" si="242"/>
        <v>567.44081632653058</v>
      </c>
      <c r="U451">
        <f t="shared" si="242"/>
        <v>626.30408163265315</v>
      </c>
      <c r="V451">
        <f t="shared" si="242"/>
        <v>607.50653061224466</v>
      </c>
      <c r="W451">
        <f t="shared" si="242"/>
        <v>681.73469387755108</v>
      </c>
      <c r="Y451" s="14">
        <f t="shared" si="221"/>
        <v>9355.5558801020416</v>
      </c>
      <c r="Z451">
        <f t="shared" si="222"/>
        <v>-2648.2233498856667</v>
      </c>
    </row>
    <row r="452" spans="1:26" x14ac:dyDescent="0.25">
      <c r="A452" t="s">
        <v>64</v>
      </c>
      <c r="D452">
        <f t="shared" ref="D452:W452" si="243">D56*D89</f>
        <v>545.98204081632662</v>
      </c>
      <c r="E452">
        <f t="shared" si="243"/>
        <v>580.38612244897956</v>
      </c>
      <c r="F452">
        <f t="shared" si="243"/>
        <v>539.01795918367361</v>
      </c>
      <c r="G452">
        <f t="shared" si="243"/>
        <v>386.99142857142851</v>
      </c>
      <c r="H452">
        <f t="shared" si="243"/>
        <v>399.33510204081625</v>
      </c>
      <c r="I452">
        <f t="shared" si="243"/>
        <v>359.96734693877556</v>
      </c>
      <c r="J452">
        <f t="shared" si="243"/>
        <v>441.72408163265305</v>
      </c>
      <c r="K452">
        <f t="shared" si="243"/>
        <v>472.56999999999994</v>
      </c>
      <c r="L452">
        <f t="shared" si="243"/>
        <v>345.14857142857153</v>
      </c>
      <c r="M452">
        <f t="shared" si="243"/>
        <v>281.32163265306127</v>
      </c>
      <c r="N452">
        <f t="shared" si="243"/>
        <v>325.56102040816324</v>
      </c>
      <c r="O452">
        <f t="shared" si="243"/>
        <v>320.14857142857147</v>
      </c>
      <c r="P452">
        <f t="shared" si="243"/>
        <v>381.80612244897958</v>
      </c>
      <c r="Q452">
        <f t="shared" si="243"/>
        <v>367.8685714285715</v>
      </c>
      <c r="R452">
        <f t="shared" si="243"/>
        <v>483.47999999999996</v>
      </c>
      <c r="S452">
        <f t="shared" si="243"/>
        <v>337.27714285714291</v>
      </c>
      <c r="T452">
        <f t="shared" si="243"/>
        <v>418.25367346938776</v>
      </c>
      <c r="U452">
        <f t="shared" si="243"/>
        <v>546.23081632653066</v>
      </c>
      <c r="V452">
        <f t="shared" si="243"/>
        <v>595.61142857142852</v>
      </c>
      <c r="W452">
        <f t="shared" si="243"/>
        <v>635.39755102040806</v>
      </c>
      <c r="Y452" s="14">
        <f t="shared" si="221"/>
        <v>8764.0791836734679</v>
      </c>
      <c r="Z452">
        <f t="shared" si="222"/>
        <v>-2391.7219759690142</v>
      </c>
    </row>
    <row r="453" spans="1:26" x14ac:dyDescent="0.25">
      <c r="A453" t="s">
        <v>65</v>
      </c>
      <c r="D453">
        <f t="shared" ref="D453:W453" si="244">D57*D90</f>
        <v>596.11405247813423</v>
      </c>
      <c r="E453">
        <f t="shared" si="244"/>
        <v>517.83632653061227</v>
      </c>
      <c r="F453">
        <f t="shared" si="244"/>
        <v>476.10787172011669</v>
      </c>
      <c r="G453">
        <f t="shared" si="244"/>
        <v>380.72536443148681</v>
      </c>
      <c r="H453">
        <f t="shared" si="244"/>
        <v>357.2930612244898</v>
      </c>
      <c r="I453">
        <f t="shared" si="244"/>
        <v>313.89655976676386</v>
      </c>
      <c r="J453">
        <f t="shared" si="244"/>
        <v>254.68478134110791</v>
      </c>
      <c r="K453">
        <f t="shared" si="244"/>
        <v>284.65218658892127</v>
      </c>
      <c r="L453">
        <f t="shared" si="244"/>
        <v>255.66511904761904</v>
      </c>
      <c r="M453">
        <f t="shared" si="244"/>
        <v>152.95714285714286</v>
      </c>
      <c r="N453">
        <f t="shared" si="244"/>
        <v>221.34693877551021</v>
      </c>
      <c r="O453">
        <f t="shared" si="244"/>
        <v>208.73265306122448</v>
      </c>
      <c r="P453">
        <f t="shared" si="244"/>
        <v>403.07224489795914</v>
      </c>
      <c r="Q453">
        <f t="shared" si="244"/>
        <v>360.60020408163263</v>
      </c>
      <c r="R453">
        <f t="shared" si="244"/>
        <v>474.78714285714284</v>
      </c>
      <c r="S453">
        <f t="shared" si="244"/>
        <v>441.53836734693874</v>
      </c>
      <c r="T453">
        <f t="shared" si="244"/>
        <v>451.67346938775506</v>
      </c>
      <c r="U453">
        <f t="shared" si="244"/>
        <v>525.78367346938671</v>
      </c>
      <c r="V453">
        <f t="shared" si="244"/>
        <v>455.99836734693883</v>
      </c>
      <c r="W453">
        <f t="shared" si="244"/>
        <v>552.0448622448979</v>
      </c>
      <c r="Y453" s="14">
        <f t="shared" si="221"/>
        <v>7685.5103894557815</v>
      </c>
      <c r="Z453">
        <f t="shared" si="222"/>
        <v>-1966.1926997888945</v>
      </c>
    </row>
    <row r="454" spans="1:26" x14ac:dyDescent="0.25">
      <c r="A454" t="s">
        <v>66</v>
      </c>
      <c r="D454">
        <f t="shared" ref="D454:W454" si="245">D58*D91</f>
        <v>692.32461734693879</v>
      </c>
      <c r="E454">
        <f t="shared" si="245"/>
        <v>557.92882653061224</v>
      </c>
      <c r="F454">
        <f t="shared" si="245"/>
        <v>553.71874999999989</v>
      </c>
      <c r="G454">
        <f t="shared" si="245"/>
        <v>437.87244897959192</v>
      </c>
      <c r="H454">
        <f t="shared" si="245"/>
        <v>355.63265306122446</v>
      </c>
      <c r="I454">
        <f t="shared" si="245"/>
        <v>369.06147959183676</v>
      </c>
      <c r="J454">
        <f t="shared" si="245"/>
        <v>224.07589285714283</v>
      </c>
      <c r="K454">
        <f t="shared" si="245"/>
        <v>282.6358418367347</v>
      </c>
      <c r="L454">
        <f t="shared" si="245"/>
        <v>203.66419753086419</v>
      </c>
      <c r="M454">
        <f t="shared" si="245"/>
        <v>245.47210884353743</v>
      </c>
      <c r="N454">
        <f t="shared" si="245"/>
        <v>222.48809523809521</v>
      </c>
      <c r="O454">
        <f t="shared" si="245"/>
        <v>213.3</v>
      </c>
      <c r="P454">
        <f t="shared" si="245"/>
        <v>258.8354308390023</v>
      </c>
      <c r="Q454">
        <f t="shared" si="245"/>
        <v>290.99829931972778</v>
      </c>
      <c r="R454">
        <f t="shared" si="245"/>
        <v>313.74886621315198</v>
      </c>
      <c r="S454">
        <f t="shared" si="245"/>
        <v>330.43814058956917</v>
      </c>
      <c r="T454">
        <f t="shared" si="245"/>
        <v>300.33741496598674</v>
      </c>
      <c r="U454">
        <f t="shared" si="245"/>
        <v>394.14841269841298</v>
      </c>
      <c r="V454">
        <f t="shared" si="245"/>
        <v>347.68293650793527</v>
      </c>
      <c r="W454">
        <f t="shared" si="245"/>
        <v>508.11666666666662</v>
      </c>
      <c r="Y454" s="14">
        <f t="shared" si="221"/>
        <v>7102.4810796170332</v>
      </c>
      <c r="Z454">
        <f t="shared" si="222"/>
        <v>-1652.3087373453786</v>
      </c>
    </row>
    <row r="455" spans="1:26" x14ac:dyDescent="0.25">
      <c r="Y455" s="14"/>
    </row>
    <row r="456" spans="1:26" x14ac:dyDescent="0.25">
      <c r="A456" t="s">
        <v>67</v>
      </c>
      <c r="D456">
        <f t="shared" ref="D456:W456" si="246">D60*D93</f>
        <v>577.70719387755105</v>
      </c>
      <c r="E456">
        <f t="shared" si="246"/>
        <v>508.93744897959186</v>
      </c>
      <c r="F456">
        <f t="shared" si="246"/>
        <v>480.64897959183668</v>
      </c>
      <c r="G456">
        <f t="shared" si="246"/>
        <v>441.14285714285711</v>
      </c>
      <c r="H456">
        <f t="shared" si="246"/>
        <v>373.74893424036287</v>
      </c>
      <c r="I456">
        <f t="shared" si="246"/>
        <v>338.97242063492064</v>
      </c>
      <c r="J456">
        <f t="shared" si="246"/>
        <v>284.97724489795922</v>
      </c>
      <c r="K456">
        <f t="shared" si="246"/>
        <v>318.5266439909297</v>
      </c>
      <c r="L456">
        <f t="shared" si="246"/>
        <v>250.58165637860085</v>
      </c>
      <c r="M456">
        <f t="shared" si="246"/>
        <v>254.16410514823215</v>
      </c>
      <c r="N456">
        <f t="shared" si="246"/>
        <v>304.20896285498333</v>
      </c>
      <c r="O456">
        <f t="shared" si="246"/>
        <v>290.24300615484287</v>
      </c>
      <c r="P456">
        <f t="shared" si="246"/>
        <v>305.35610301263353</v>
      </c>
      <c r="Q456">
        <f t="shared" si="246"/>
        <v>343.68837058632982</v>
      </c>
      <c r="R456">
        <f t="shared" si="246"/>
        <v>385.68746355685124</v>
      </c>
      <c r="S456">
        <f t="shared" si="246"/>
        <v>404.35791383219959</v>
      </c>
      <c r="T456">
        <f t="shared" si="246"/>
        <v>405.10712018140589</v>
      </c>
      <c r="U456">
        <f t="shared" si="246"/>
        <v>418.68801965230551</v>
      </c>
      <c r="V456">
        <f t="shared" si="246"/>
        <v>436.16836086815653</v>
      </c>
      <c r="W456">
        <f t="shared" si="246"/>
        <v>576.7938632977</v>
      </c>
      <c r="Y456" s="14">
        <f t="shared" si="221"/>
        <v>7699.7066688802506</v>
      </c>
      <c r="Z456">
        <f>SUMPRODUCT($D$460:$W$460,D456:W456)</f>
        <v>-1975.991618626834</v>
      </c>
    </row>
    <row r="457" spans="1:26" x14ac:dyDescent="0.25">
      <c r="A457" t="s">
        <v>311</v>
      </c>
      <c r="D457">
        <f t="shared" ref="D457:W457" si="247">D61*D94</f>
        <v>617.23428571428553</v>
      </c>
      <c r="E457">
        <f t="shared" si="247"/>
        <v>636.87102040816319</v>
      </c>
      <c r="F457">
        <f t="shared" si="247"/>
        <v>487.97816326530608</v>
      </c>
      <c r="G457">
        <f t="shared" si="247"/>
        <v>472.69897959183669</v>
      </c>
      <c r="H457">
        <f t="shared" si="247"/>
        <v>534.14081632653063</v>
      </c>
      <c r="I457">
        <f t="shared" si="247"/>
        <v>426.22489795918369</v>
      </c>
      <c r="J457">
        <f t="shared" si="247"/>
        <v>333.68</v>
      </c>
      <c r="K457">
        <f t="shared" si="247"/>
        <v>288.06530612244904</v>
      </c>
      <c r="L457">
        <f t="shared" si="247"/>
        <v>291.22828124999995</v>
      </c>
      <c r="M457">
        <f t="shared" si="247"/>
        <v>344.52204081632664</v>
      </c>
      <c r="N457">
        <f t="shared" si="247"/>
        <v>289.22326530612253</v>
      </c>
      <c r="O457">
        <f t="shared" si="247"/>
        <v>294.24</v>
      </c>
      <c r="P457">
        <f t="shared" si="247"/>
        <v>349.21469387755104</v>
      </c>
      <c r="Q457">
        <f t="shared" si="247"/>
        <v>359.04489795918369</v>
      </c>
      <c r="R457">
        <f t="shared" si="247"/>
        <v>327.24</v>
      </c>
      <c r="S457">
        <f t="shared" si="247"/>
        <v>382.95469387755099</v>
      </c>
      <c r="T457">
        <f t="shared" si="247"/>
        <v>444.15</v>
      </c>
      <c r="U457">
        <f t="shared" si="247"/>
        <v>406.09999999999997</v>
      </c>
      <c r="V457">
        <f t="shared" si="247"/>
        <v>456.94000000000005</v>
      </c>
      <c r="W457">
        <f t="shared" si="247"/>
        <v>545.11</v>
      </c>
      <c r="Y457" s="14">
        <f t="shared" si="221"/>
        <v>8286.8613424744908</v>
      </c>
      <c r="Z457">
        <f>SUMPRODUCT($D$460:$W$460,D457:W457)</f>
        <v>-2107.9223761387316</v>
      </c>
    </row>
    <row r="458" spans="1:26" x14ac:dyDescent="0.25">
      <c r="A458" t="s">
        <v>312</v>
      </c>
      <c r="D458">
        <f t="shared" ref="D458:W458" si="248">D62*D95</f>
        <v>542.82088416685372</v>
      </c>
      <c r="E458">
        <f t="shared" si="248"/>
        <v>505.51504597443363</v>
      </c>
      <c r="F458">
        <f t="shared" si="248"/>
        <v>448.37872000448527</v>
      </c>
      <c r="G458">
        <f t="shared" si="248"/>
        <v>413.45276771697689</v>
      </c>
      <c r="H458">
        <f t="shared" si="248"/>
        <v>361.61424899080504</v>
      </c>
      <c r="I458">
        <f t="shared" si="248"/>
        <v>347.39517268445832</v>
      </c>
      <c r="J458">
        <f t="shared" si="248"/>
        <v>299.61861403902225</v>
      </c>
      <c r="K458">
        <f t="shared" si="248"/>
        <v>289.54246467817887</v>
      </c>
      <c r="L458">
        <f t="shared" si="248"/>
        <v>246.01009098230639</v>
      </c>
      <c r="M458">
        <f t="shared" si="248"/>
        <v>261.57552721088439</v>
      </c>
      <c r="N458">
        <f t="shared" si="248"/>
        <v>272.31632501214773</v>
      </c>
      <c r="O458">
        <f t="shared" si="248"/>
        <v>304.21110587435521</v>
      </c>
      <c r="P458">
        <f t="shared" si="248"/>
        <v>299.3271428571428</v>
      </c>
      <c r="Q458">
        <f t="shared" si="248"/>
        <v>310.82320408163264</v>
      </c>
      <c r="R458">
        <f t="shared" si="248"/>
        <v>330.54610204081632</v>
      </c>
      <c r="S458">
        <f t="shared" si="248"/>
        <v>355.20541836734697</v>
      </c>
      <c r="T458">
        <f t="shared" si="248"/>
        <v>462.37998979591833</v>
      </c>
      <c r="U458">
        <f t="shared" si="248"/>
        <v>497.90619642857138</v>
      </c>
      <c r="V458">
        <f t="shared" si="248"/>
        <v>514.11285714285714</v>
      </c>
      <c r="W458">
        <f t="shared" si="248"/>
        <v>584.72193877551001</v>
      </c>
      <c r="Y458" s="14">
        <f t="shared" si="221"/>
        <v>7647.473816824704</v>
      </c>
      <c r="Z458">
        <f>SUMPRODUCT($D$460:$W$460,D458:W458)</f>
        <v>-2011.7235401538012</v>
      </c>
    </row>
    <row r="459" spans="1:26" x14ac:dyDescent="0.25">
      <c r="A459" t="s">
        <v>674</v>
      </c>
      <c r="D459">
        <f t="shared" ref="D459:W459" si="249">D63*D96</f>
        <v>624.77530612244902</v>
      </c>
      <c r="E459">
        <f t="shared" si="249"/>
        <v>645.01530612244892</v>
      </c>
      <c r="F459">
        <f t="shared" si="249"/>
        <v>632.05714285714282</v>
      </c>
      <c r="G459">
        <f t="shared" si="249"/>
        <v>688.58693877551025</v>
      </c>
      <c r="H459">
        <f t="shared" si="249"/>
        <v>494.1551020408163</v>
      </c>
      <c r="I459">
        <f t="shared" si="249"/>
        <v>376.84692244897951</v>
      </c>
      <c r="J459">
        <f t="shared" si="249"/>
        <v>327.31929183673469</v>
      </c>
      <c r="K459">
        <f t="shared" si="249"/>
        <v>315.6002448979591</v>
      </c>
      <c r="L459">
        <f t="shared" si="249"/>
        <v>259.60809794855447</v>
      </c>
      <c r="M459">
        <f t="shared" si="249"/>
        <v>276.17681020408162</v>
      </c>
      <c r="N459">
        <f t="shared" si="249"/>
        <v>290.09853437803702</v>
      </c>
      <c r="O459">
        <f t="shared" si="249"/>
        <v>310.9857418549563</v>
      </c>
      <c r="P459">
        <f t="shared" si="249"/>
        <v>274.45093966923497</v>
      </c>
      <c r="Q459">
        <f t="shared" si="249"/>
        <v>310.87258577155353</v>
      </c>
      <c r="R459">
        <f t="shared" si="249"/>
        <v>359.43407476919333</v>
      </c>
      <c r="S459">
        <f t="shared" si="249"/>
        <v>383.88800873724489</v>
      </c>
      <c r="T459">
        <f t="shared" si="249"/>
        <v>460.47988609100292</v>
      </c>
      <c r="U459">
        <f t="shared" si="249"/>
        <v>503.09348441969121</v>
      </c>
      <c r="V459">
        <f t="shared" si="249"/>
        <v>487.73115612093051</v>
      </c>
      <c r="W459">
        <f t="shared" si="249"/>
        <v>577.6737402923527</v>
      </c>
      <c r="Y459" s="14">
        <f t="shared" ref="Y459" si="250">SUM(D459:W459)</f>
        <v>8598.8493153588715</v>
      </c>
      <c r="Z459">
        <f>SUMPRODUCT($D$460:$W$460,D459:W459)</f>
        <v>-2095.7936540878563</v>
      </c>
    </row>
    <row r="460" spans="1:26" x14ac:dyDescent="0.25">
      <c r="A460" s="2" t="s">
        <v>68</v>
      </c>
      <c r="D460" s="3">
        <f>CORREL($B$2:$B$25,D431:D454)</f>
        <v>0.22440183514799378</v>
      </c>
      <c r="E460" s="3">
        <f t="shared" ref="E460:W460" si="251">CORREL($B$2:$B$25,E431:E454)</f>
        <v>-0.1136821051824897</v>
      </c>
      <c r="F460" s="3">
        <f t="shared" si="251"/>
        <v>-6.7585412949305146E-2</v>
      </c>
      <c r="G460" s="3">
        <f t="shared" si="251"/>
        <v>-5.6477011117500309E-2</v>
      </c>
      <c r="H460" s="3">
        <f t="shared" si="251"/>
        <v>-0.10030707352115482</v>
      </c>
      <c r="I460" s="3">
        <f t="shared" si="251"/>
        <v>-0.47985707013644852</v>
      </c>
      <c r="J460" s="3">
        <f t="shared" si="251"/>
        <v>-0.54137783849541388</v>
      </c>
      <c r="K460" s="3">
        <f t="shared" si="251"/>
        <v>-0.352785852090642</v>
      </c>
      <c r="L460" s="3">
        <f t="shared" si="251"/>
        <v>-0.18931071987336764</v>
      </c>
      <c r="M460" s="3">
        <f t="shared" si="251"/>
        <v>-0.27360149738291906</v>
      </c>
      <c r="N460" s="3">
        <f t="shared" si="251"/>
        <v>-0.51310965573125333</v>
      </c>
      <c r="O460" s="3">
        <f t="shared" si="251"/>
        <v>-0.52878255725835066</v>
      </c>
      <c r="P460" s="3">
        <f t="shared" si="251"/>
        <v>-0.57445890480527817</v>
      </c>
      <c r="Q460" s="3">
        <f t="shared" si="251"/>
        <v>-0.43549457143575049</v>
      </c>
      <c r="R460" s="3">
        <f t="shared" si="251"/>
        <v>-0.29957591926970006</v>
      </c>
      <c r="S460" s="3">
        <f t="shared" si="251"/>
        <v>-0.1431813280257368</v>
      </c>
      <c r="T460" s="3">
        <f t="shared" si="251"/>
        <v>-0.40162106983529744</v>
      </c>
      <c r="U460" s="3">
        <f t="shared" si="251"/>
        <v>-0.32929409857578429</v>
      </c>
      <c r="V460" s="3">
        <f t="shared" si="251"/>
        <v>-0.38189475905116366</v>
      </c>
      <c r="W460" s="3">
        <f t="shared" si="251"/>
        <v>-0.22773943635549695</v>
      </c>
    </row>
    <row r="463" spans="1:26" x14ac:dyDescent="0.25">
      <c r="D463" t="s">
        <v>167</v>
      </c>
      <c r="E463" t="s">
        <v>168</v>
      </c>
      <c r="F463" t="s">
        <v>169</v>
      </c>
      <c r="G463" t="s">
        <v>170</v>
      </c>
      <c r="H463" t="s">
        <v>171</v>
      </c>
      <c r="I463" t="s">
        <v>172</v>
      </c>
      <c r="J463" t="s">
        <v>173</v>
      </c>
      <c r="K463" t="s">
        <v>174</v>
      </c>
      <c r="L463" t="s">
        <v>351</v>
      </c>
      <c r="M463" t="s">
        <v>407</v>
      </c>
      <c r="N463" t="s">
        <v>408</v>
      </c>
      <c r="O463" t="s">
        <v>409</v>
      </c>
      <c r="P463" t="s">
        <v>506</v>
      </c>
      <c r="Q463" t="s">
        <v>507</v>
      </c>
      <c r="R463" t="s">
        <v>508</v>
      </c>
      <c r="S463" t="s">
        <v>509</v>
      </c>
      <c r="T463" t="s">
        <v>618</v>
      </c>
      <c r="U463" t="s">
        <v>619</v>
      </c>
      <c r="V463" t="s">
        <v>620</v>
      </c>
      <c r="W463" t="s">
        <v>621</v>
      </c>
      <c r="Y463" t="s">
        <v>175</v>
      </c>
      <c r="Z463" t="s">
        <v>176</v>
      </c>
    </row>
    <row r="464" spans="1:26" x14ac:dyDescent="0.25">
      <c r="A464" t="s">
        <v>43</v>
      </c>
      <c r="D464">
        <f t="shared" ref="D464:W464" si="252">D35*D101</f>
        <v>3381.3850483602073</v>
      </c>
      <c r="E464">
        <f t="shared" si="252"/>
        <v>2260.2221344577993</v>
      </c>
      <c r="F464">
        <f t="shared" si="252"/>
        <v>2384.0958307815822</v>
      </c>
      <c r="G464">
        <f t="shared" si="252"/>
        <v>2287.8078671641874</v>
      </c>
      <c r="H464">
        <f t="shared" si="252"/>
        <v>2444.5881639710051</v>
      </c>
      <c r="I464">
        <f t="shared" si="252"/>
        <v>1950.9263411568643</v>
      </c>
      <c r="J464">
        <f t="shared" si="252"/>
        <v>2755.2552026649068</v>
      </c>
      <c r="K464">
        <f t="shared" si="252"/>
        <v>2326.5853800860823</v>
      </c>
      <c r="L464">
        <f t="shared" si="252"/>
        <v>1884.9876039122923</v>
      </c>
      <c r="M464">
        <f t="shared" si="252"/>
        <v>2443.4578687225394</v>
      </c>
      <c r="N464">
        <f t="shared" si="252"/>
        <v>1495.0954579346355</v>
      </c>
      <c r="O464">
        <f t="shared" si="252"/>
        <v>2052.8283800524646</v>
      </c>
      <c r="P464">
        <f t="shared" si="252"/>
        <v>1573.1192850082932</v>
      </c>
      <c r="Q464">
        <f t="shared" si="252"/>
        <v>2604.3073989190034</v>
      </c>
      <c r="R464">
        <f t="shared" si="252"/>
        <v>2149.8818869705729</v>
      </c>
      <c r="S464">
        <f t="shared" si="252"/>
        <v>2391.7563077032692</v>
      </c>
      <c r="T464">
        <f t="shared" si="252"/>
        <v>1795.738107912038</v>
      </c>
      <c r="U464">
        <f t="shared" si="252"/>
        <v>2260.680976128911</v>
      </c>
      <c r="V464">
        <f t="shared" si="252"/>
        <v>2449.0238259066505</v>
      </c>
      <c r="W464">
        <f t="shared" si="252"/>
        <v>2525.8598971511592</v>
      </c>
      <c r="Y464" s="14">
        <f t="shared" ref="Y464:Y491" si="253">SUM(D464:W464)</f>
        <v>45417.60296496447</v>
      </c>
      <c r="Z464">
        <f t="shared" ref="Z464:Z487" si="254">SUMPRODUCT($D$493:$W$493,D464:W464)</f>
        <v>2762.9288089980655</v>
      </c>
    </row>
    <row r="465" spans="1:26" x14ac:dyDescent="0.25">
      <c r="A465" t="s">
        <v>44</v>
      </c>
      <c r="D465">
        <f t="shared" ref="D465:W465" si="255">D36*D102</f>
        <v>1311.9263410728988</v>
      </c>
      <c r="E465">
        <f t="shared" si="255"/>
        <v>2764.1291583509737</v>
      </c>
      <c r="F465">
        <f t="shared" si="255"/>
        <v>2375.4276686778176</v>
      </c>
      <c r="G465">
        <f t="shared" si="255"/>
        <v>2483.5907750587335</v>
      </c>
      <c r="H465">
        <f t="shared" si="255"/>
        <v>2428.3877511899882</v>
      </c>
      <c r="I465">
        <f t="shared" si="255"/>
        <v>1991.0875732779045</v>
      </c>
      <c r="J465">
        <f t="shared" si="255"/>
        <v>2267.0299260743163</v>
      </c>
      <c r="K465">
        <f t="shared" si="255"/>
        <v>2602.8282884956475</v>
      </c>
      <c r="L465">
        <f t="shared" si="255"/>
        <v>-65.312830630378159</v>
      </c>
      <c r="M465">
        <f t="shared" si="255"/>
        <v>2008.9590214093907</v>
      </c>
      <c r="N465">
        <f t="shared" si="255"/>
        <v>2321.4756715133231</v>
      </c>
      <c r="O465">
        <f t="shared" si="255"/>
        <v>2501.7900492877288</v>
      </c>
      <c r="P465">
        <f t="shared" si="255"/>
        <v>2988.7953307421512</v>
      </c>
      <c r="Q465">
        <f t="shared" si="255"/>
        <v>2571.5731024205907</v>
      </c>
      <c r="R465">
        <f t="shared" si="255"/>
        <v>2792.8305892292128</v>
      </c>
      <c r="S465">
        <f t="shared" si="255"/>
        <v>2869.7458082244066</v>
      </c>
      <c r="T465">
        <f t="shared" si="255"/>
        <v>2764.4207292619767</v>
      </c>
      <c r="U465">
        <f t="shared" si="255"/>
        <v>2631.1673142961718</v>
      </c>
      <c r="V465">
        <f t="shared" si="255"/>
        <v>2502.9275400223742</v>
      </c>
      <c r="W465">
        <f t="shared" si="255"/>
        <v>3016.3906757130881</v>
      </c>
      <c r="Y465" s="14">
        <f t="shared" si="253"/>
        <v>47129.170483688315</v>
      </c>
      <c r="Z465">
        <f t="shared" si="254"/>
        <v>1965.8748619405915</v>
      </c>
    </row>
    <row r="466" spans="1:26" x14ac:dyDescent="0.25">
      <c r="A466" t="s">
        <v>45</v>
      </c>
      <c r="D466">
        <f t="shared" ref="D466:W466" si="256">D37*D103</f>
        <v>2852.696940845748</v>
      </c>
      <c r="E466">
        <f t="shared" si="256"/>
        <v>2643.9284775038063</v>
      </c>
      <c r="F466">
        <f t="shared" si="256"/>
        <v>2857.7121508504933</v>
      </c>
      <c r="G466">
        <f t="shared" si="256"/>
        <v>2733.3964912884612</v>
      </c>
      <c r="H466">
        <f t="shared" si="256"/>
        <v>2937.4218563753934</v>
      </c>
      <c r="I466">
        <f t="shared" si="256"/>
        <v>2472.4380272815715</v>
      </c>
      <c r="J466">
        <f t="shared" si="256"/>
        <v>2443.720392948801</v>
      </c>
      <c r="K466">
        <f t="shared" si="256"/>
        <v>2473.127166767023</v>
      </c>
      <c r="L466">
        <f t="shared" si="256"/>
        <v>1990.0585100710759</v>
      </c>
      <c r="M466">
        <f t="shared" si="256"/>
        <v>2313.1370691354537</v>
      </c>
      <c r="N466">
        <f t="shared" si="256"/>
        <v>2318.1463690830769</v>
      </c>
      <c r="O466">
        <f t="shared" si="256"/>
        <v>2238.6769268726166</v>
      </c>
      <c r="P466">
        <f t="shared" si="256"/>
        <v>2338.2452128507684</v>
      </c>
      <c r="Q466">
        <f t="shared" si="256"/>
        <v>2489.4025904024147</v>
      </c>
      <c r="R466">
        <f t="shared" si="256"/>
        <v>2422.5313796681558</v>
      </c>
      <c r="S466">
        <f t="shared" si="256"/>
        <v>2547.7178971486724</v>
      </c>
      <c r="T466">
        <f t="shared" si="256"/>
        <v>2622.3454492000274</v>
      </c>
      <c r="U466">
        <f t="shared" si="256"/>
        <v>2671.1652697985796</v>
      </c>
      <c r="V466">
        <f t="shared" si="256"/>
        <v>2500.586682301946</v>
      </c>
      <c r="W466">
        <f t="shared" si="256"/>
        <v>2646.4204844871169</v>
      </c>
      <c r="Y466" s="14">
        <f t="shared" si="253"/>
        <v>50512.875344881206</v>
      </c>
      <c r="Z466">
        <f t="shared" si="254"/>
        <v>2896.3847201174276</v>
      </c>
    </row>
    <row r="467" spans="1:26" x14ac:dyDescent="0.25">
      <c r="A467" t="s">
        <v>46</v>
      </c>
      <c r="D467">
        <f t="shared" ref="D467:W467" si="257">D38*D104</f>
        <v>2416.9793327005627</v>
      </c>
      <c r="E467">
        <f t="shared" si="257"/>
        <v>2513.5198763895369</v>
      </c>
      <c r="F467">
        <f t="shared" si="257"/>
        <v>2544.1286420488809</v>
      </c>
      <c r="G467">
        <f t="shared" si="257"/>
        <v>2453.0692223696037</v>
      </c>
      <c r="H467">
        <f t="shared" si="257"/>
        <v>2436.4582370184471</v>
      </c>
      <c r="I467">
        <f t="shared" si="257"/>
        <v>2577.9997199060017</v>
      </c>
      <c r="J467">
        <f t="shared" si="257"/>
        <v>2481.2469577882762</v>
      </c>
      <c r="K467">
        <f t="shared" si="257"/>
        <v>2385.786159088078</v>
      </c>
      <c r="L467">
        <f t="shared" si="257"/>
        <v>1977.9611688088157</v>
      </c>
      <c r="M467">
        <f t="shared" si="257"/>
        <v>1938.9645747032318</v>
      </c>
      <c r="N467">
        <f t="shared" si="257"/>
        <v>2294.968666838729</v>
      </c>
      <c r="O467">
        <f t="shared" si="257"/>
        <v>2090.1799000794699</v>
      </c>
      <c r="P467">
        <f t="shared" si="257"/>
        <v>1995.5752527990965</v>
      </c>
      <c r="Q467">
        <f t="shared" si="257"/>
        <v>2138.4220957443404</v>
      </c>
      <c r="R467">
        <f t="shared" si="257"/>
        <v>2479.8827748993417</v>
      </c>
      <c r="S467">
        <f t="shared" si="257"/>
        <v>2312.2417774308633</v>
      </c>
      <c r="T467">
        <f t="shared" si="257"/>
        <v>2599.72255303568</v>
      </c>
      <c r="U467">
        <f t="shared" si="257"/>
        <v>2730.2508054452719</v>
      </c>
      <c r="V467">
        <f t="shared" si="257"/>
        <v>2285.7493208556166</v>
      </c>
      <c r="W467">
        <f t="shared" si="257"/>
        <v>2399.9632581084079</v>
      </c>
      <c r="Y467" s="14">
        <f t="shared" si="253"/>
        <v>47053.070296058249</v>
      </c>
      <c r="Z467">
        <f t="shared" si="254"/>
        <v>2446.8952378422923</v>
      </c>
    </row>
    <row r="468" spans="1:26" x14ac:dyDescent="0.25">
      <c r="A468" t="s">
        <v>47</v>
      </c>
      <c r="D468">
        <f t="shared" ref="D468:W468" si="258">D39*D105</f>
        <v>2434.4473224082681</v>
      </c>
      <c r="E468">
        <f t="shared" si="258"/>
        <v>2360.1975232142358</v>
      </c>
      <c r="F468">
        <f t="shared" si="258"/>
        <v>2453.8676842220329</v>
      </c>
      <c r="G468">
        <f t="shared" si="258"/>
        <v>2576.0063050927806</v>
      </c>
      <c r="H468">
        <f t="shared" si="258"/>
        <v>2021.3824641291899</v>
      </c>
      <c r="I468">
        <f t="shared" si="258"/>
        <v>2370.6090684029041</v>
      </c>
      <c r="J468">
        <f t="shared" si="258"/>
        <v>2587.7215823912443</v>
      </c>
      <c r="K468">
        <f t="shared" si="258"/>
        <v>2299.7042757293993</v>
      </c>
      <c r="L468">
        <f t="shared" si="258"/>
        <v>2172.3123266343387</v>
      </c>
      <c r="M468">
        <f t="shared" si="258"/>
        <v>2356.3848246687162</v>
      </c>
      <c r="N468">
        <f t="shared" si="258"/>
        <v>2391.9994560427076</v>
      </c>
      <c r="O468">
        <f t="shared" si="258"/>
        <v>2645.3510002906046</v>
      </c>
      <c r="P468">
        <f t="shared" si="258"/>
        <v>2490.219335594812</v>
      </c>
      <c r="Q468">
        <f t="shared" si="258"/>
        <v>2353.1752311669493</v>
      </c>
      <c r="R468">
        <f t="shared" si="258"/>
        <v>1878.1699800139895</v>
      </c>
      <c r="S468">
        <f t="shared" si="258"/>
        <v>2445.4354693116788</v>
      </c>
      <c r="T468">
        <f t="shared" si="258"/>
        <v>2511.1709006152159</v>
      </c>
      <c r="U468">
        <f t="shared" si="258"/>
        <v>2835.1095232973084</v>
      </c>
      <c r="V468">
        <f t="shared" si="258"/>
        <v>2591.2881479066555</v>
      </c>
      <c r="W468">
        <f t="shared" si="258"/>
        <v>2659.9746567442685</v>
      </c>
      <c r="Y468" s="14">
        <f t="shared" si="253"/>
        <v>48434.527077877305</v>
      </c>
      <c r="Z468">
        <f t="shared" si="254"/>
        <v>2453.8107617097508</v>
      </c>
    </row>
    <row r="469" spans="1:26" x14ac:dyDescent="0.25">
      <c r="A469" t="s">
        <v>48</v>
      </c>
      <c r="D469">
        <f t="shared" ref="D469:W469" si="259">D40*D106</f>
        <v>2680.7362604101445</v>
      </c>
      <c r="E469">
        <f t="shared" si="259"/>
        <v>2649.282160599857</v>
      </c>
      <c r="F469">
        <f t="shared" si="259"/>
        <v>2554.7027889658443</v>
      </c>
      <c r="G469">
        <f t="shared" si="259"/>
        <v>2175.2970621657469</v>
      </c>
      <c r="H469">
        <f t="shared" si="259"/>
        <v>2207.9621678660301</v>
      </c>
      <c r="I469">
        <f t="shared" si="259"/>
        <v>2743.4592526077377</v>
      </c>
      <c r="J469">
        <f t="shared" si="259"/>
        <v>2597.3982161519239</v>
      </c>
      <c r="K469">
        <f t="shared" si="259"/>
        <v>1934.1677447739135</v>
      </c>
      <c r="L469">
        <f t="shared" si="259"/>
        <v>1962.0003255613553</v>
      </c>
      <c r="M469">
        <f t="shared" si="259"/>
        <v>2638.2410552805427</v>
      </c>
      <c r="N469">
        <f t="shared" si="259"/>
        <v>2556.2772749990172</v>
      </c>
      <c r="O469">
        <f t="shared" si="259"/>
        <v>2492.849648519948</v>
      </c>
      <c r="P469">
        <f t="shared" si="259"/>
        <v>2502.3567108042371</v>
      </c>
      <c r="Q469">
        <f t="shared" si="259"/>
        <v>2625.1986186236677</v>
      </c>
      <c r="R469">
        <f t="shared" si="259"/>
        <v>2680.6232734470473</v>
      </c>
      <c r="S469">
        <f t="shared" si="259"/>
        <v>2727.7360912632521</v>
      </c>
      <c r="T469">
        <f t="shared" si="259"/>
        <v>2849.5681906531754</v>
      </c>
      <c r="U469">
        <f t="shared" si="259"/>
        <v>2761.5013101233703</v>
      </c>
      <c r="V469">
        <f t="shared" si="259"/>
        <v>1918.753758189134</v>
      </c>
      <c r="W469">
        <f t="shared" si="259"/>
        <v>2404.6087121786268</v>
      </c>
      <c r="Y469" s="14">
        <f t="shared" si="253"/>
        <v>49662.72062318457</v>
      </c>
      <c r="Z469">
        <f t="shared" si="254"/>
        <v>2359.4128574104293</v>
      </c>
    </row>
    <row r="470" spans="1:26" x14ac:dyDescent="0.25">
      <c r="A470" t="s">
        <v>49</v>
      </c>
      <c r="D470">
        <f t="shared" ref="D470:W470" si="260">D41*D107</f>
        <v>1197.7997632743745</v>
      </c>
      <c r="E470">
        <f t="shared" si="260"/>
        <v>2075.664041276043</v>
      </c>
      <c r="F470">
        <f t="shared" si="260"/>
        <v>2414.2754092232913</v>
      </c>
      <c r="G470">
        <f t="shared" si="260"/>
        <v>2080.453420978401</v>
      </c>
      <c r="H470">
        <f t="shared" si="260"/>
        <v>2722.140613910206</v>
      </c>
      <c r="I470">
        <f t="shared" si="260"/>
        <v>2602.0572654424955</v>
      </c>
      <c r="J470">
        <f t="shared" si="260"/>
        <v>2070.8503145991053</v>
      </c>
      <c r="K470">
        <f t="shared" si="260"/>
        <v>2253.8395264965175</v>
      </c>
      <c r="L470">
        <f t="shared" si="260"/>
        <v>1815.7928039387702</v>
      </c>
      <c r="M470">
        <f t="shared" si="260"/>
        <v>2247.7161077799851</v>
      </c>
      <c r="N470">
        <f t="shared" si="260"/>
        <v>1762.1944122528198</v>
      </c>
      <c r="O470">
        <f t="shared" si="260"/>
        <v>2000.5442415517653</v>
      </c>
      <c r="P470">
        <f t="shared" si="260"/>
        <v>2252.9877003836004</v>
      </c>
      <c r="Q470">
        <f t="shared" si="260"/>
        <v>2393.8192894460462</v>
      </c>
      <c r="R470">
        <f t="shared" si="260"/>
        <v>2498.1793840875284</v>
      </c>
      <c r="S470">
        <f t="shared" si="260"/>
        <v>2447.6248701270811</v>
      </c>
      <c r="T470">
        <f t="shared" si="260"/>
        <v>2418.7057224031473</v>
      </c>
      <c r="U470">
        <f t="shared" si="260"/>
        <v>1922.3788643687351</v>
      </c>
      <c r="V470">
        <f t="shared" si="260"/>
        <v>2273.0379689810725</v>
      </c>
      <c r="W470">
        <f t="shared" si="260"/>
        <v>2361.8784139919121</v>
      </c>
      <c r="Y470" s="14">
        <f t="shared" si="253"/>
        <v>43811.940134512894</v>
      </c>
      <c r="Z470">
        <f t="shared" si="254"/>
        <v>2685.7931805937728</v>
      </c>
    </row>
    <row r="471" spans="1:26" x14ac:dyDescent="0.25">
      <c r="A471" t="s">
        <v>50</v>
      </c>
      <c r="D471">
        <f t="shared" ref="D471:W471" si="261">D42*D108</f>
        <v>2047.8573519947361</v>
      </c>
      <c r="E471">
        <f t="shared" si="261"/>
        <v>2078.352313437973</v>
      </c>
      <c r="F471">
        <f t="shared" si="261"/>
        <v>2112.1328553213139</v>
      </c>
      <c r="G471">
        <f t="shared" si="261"/>
        <v>2086.2195639978363</v>
      </c>
      <c r="H471">
        <f t="shared" si="261"/>
        <v>2317.7348360221672</v>
      </c>
      <c r="I471">
        <f t="shared" si="261"/>
        <v>2658.9438155828584</v>
      </c>
      <c r="J471">
        <f t="shared" si="261"/>
        <v>2763.6899166935304</v>
      </c>
      <c r="K471">
        <f t="shared" si="261"/>
        <v>2653.2941543020133</v>
      </c>
      <c r="L471">
        <f t="shared" si="261"/>
        <v>1990.2640412205221</v>
      </c>
      <c r="M471">
        <f t="shared" si="261"/>
        <v>2271.5075550521005</v>
      </c>
      <c r="N471">
        <f t="shared" si="261"/>
        <v>2272.0493284073204</v>
      </c>
      <c r="O471">
        <f t="shared" si="261"/>
        <v>1978.8788784729857</v>
      </c>
      <c r="P471">
        <f t="shared" si="261"/>
        <v>2662.6414661220469</v>
      </c>
      <c r="Q471">
        <f t="shared" si="261"/>
        <v>2561.1163679707656</v>
      </c>
      <c r="R471">
        <f t="shared" si="261"/>
        <v>2671.0047036064166</v>
      </c>
      <c r="S471">
        <f t="shared" si="261"/>
        <v>2782.0689173810479</v>
      </c>
      <c r="T471">
        <f t="shared" si="261"/>
        <v>2878.9723291076416</v>
      </c>
      <c r="U471">
        <f t="shared" si="261"/>
        <v>2997.1175779953196</v>
      </c>
      <c r="V471">
        <f t="shared" si="261"/>
        <v>3120.8920003031199</v>
      </c>
      <c r="W471">
        <f t="shared" si="261"/>
        <v>2903.9765649981573</v>
      </c>
      <c r="Y471" s="14">
        <f t="shared" si="253"/>
        <v>49808.714537989872</v>
      </c>
      <c r="Z471">
        <f t="shared" si="254"/>
        <v>2500.97102143958</v>
      </c>
    </row>
    <row r="472" spans="1:26" x14ac:dyDescent="0.25">
      <c r="A472" t="s">
        <v>51</v>
      </c>
      <c r="D472">
        <f t="shared" ref="D472:W472" si="262">D43*D109</f>
        <v>2783.145424797166</v>
      </c>
      <c r="E472">
        <f t="shared" si="262"/>
        <v>2698.4857420885583</v>
      </c>
      <c r="F472">
        <f t="shared" si="262"/>
        <v>2870.8803871335781</v>
      </c>
      <c r="G472">
        <f t="shared" si="262"/>
        <v>2857.608527208959</v>
      </c>
      <c r="H472">
        <f t="shared" si="262"/>
        <v>2670.681472024472</v>
      </c>
      <c r="I472">
        <f t="shared" si="262"/>
        <v>2528.1969982603632</v>
      </c>
      <c r="J472">
        <f t="shared" si="262"/>
        <v>2429.5873124505947</v>
      </c>
      <c r="K472">
        <f t="shared" si="262"/>
        <v>2451.2134158598178</v>
      </c>
      <c r="L472">
        <f t="shared" si="262"/>
        <v>2263.655295898111</v>
      </c>
      <c r="M472">
        <f t="shared" si="262"/>
        <v>2385.3619862198111</v>
      </c>
      <c r="N472">
        <f t="shared" si="262"/>
        <v>2344.6444233994494</v>
      </c>
      <c r="O472">
        <f t="shared" si="262"/>
        <v>2014.4850636247181</v>
      </c>
      <c r="P472">
        <f t="shared" si="262"/>
        <v>2321.3751538245128</v>
      </c>
      <c r="Q472">
        <f t="shared" si="262"/>
        <v>2596.4617717214501</v>
      </c>
      <c r="R472">
        <f t="shared" si="262"/>
        <v>2472.5946997623851</v>
      </c>
      <c r="S472">
        <f t="shared" si="262"/>
        <v>2560.4205981737332</v>
      </c>
      <c r="T472">
        <f t="shared" si="262"/>
        <v>2649.7654741008969</v>
      </c>
      <c r="U472">
        <f t="shared" si="262"/>
        <v>2946.7370619899702</v>
      </c>
      <c r="V472">
        <f t="shared" si="262"/>
        <v>2708.4406157890817</v>
      </c>
      <c r="W472">
        <f t="shared" si="262"/>
        <v>3013.1426921800248</v>
      </c>
      <c r="Y472" s="14">
        <f t="shared" si="253"/>
        <v>51566.884116507645</v>
      </c>
      <c r="Z472">
        <f t="shared" si="254"/>
        <v>2909.9109296667766</v>
      </c>
    </row>
    <row r="473" spans="1:26" x14ac:dyDescent="0.25">
      <c r="A473" t="s">
        <v>52</v>
      </c>
      <c r="D473">
        <f t="shared" ref="D473:W473" si="263">D44*D110</f>
        <v>2954.2776629807854</v>
      </c>
      <c r="E473">
        <f t="shared" si="263"/>
        <v>3050.3503022744489</v>
      </c>
      <c r="F473">
        <f t="shared" si="263"/>
        <v>2794.1233028829433</v>
      </c>
      <c r="G473">
        <f t="shared" si="263"/>
        <v>2797.9038551558588</v>
      </c>
      <c r="H473">
        <f t="shared" si="263"/>
        <v>2572.1584759373013</v>
      </c>
      <c r="I473">
        <f t="shared" si="263"/>
        <v>2625.0848102878822</v>
      </c>
      <c r="J473">
        <f t="shared" si="263"/>
        <v>2644.3563959514104</v>
      </c>
      <c r="K473">
        <f t="shared" si="263"/>
        <v>2598.1024672433873</v>
      </c>
      <c r="L473">
        <f t="shared" si="263"/>
        <v>1698.9881186064522</v>
      </c>
      <c r="M473">
        <f t="shared" si="263"/>
        <v>2331.4341509542214</v>
      </c>
      <c r="N473">
        <f t="shared" si="263"/>
        <v>2602.9994558605827</v>
      </c>
      <c r="O473">
        <f t="shared" si="263"/>
        <v>2441.7105784623845</v>
      </c>
      <c r="P473">
        <f t="shared" si="263"/>
        <v>2068.3402388056793</v>
      </c>
      <c r="Q473">
        <f t="shared" si="263"/>
        <v>2716.9956230868429</v>
      </c>
      <c r="R473">
        <f t="shared" si="263"/>
        <v>2250.0413249901276</v>
      </c>
      <c r="S473">
        <f t="shared" si="263"/>
        <v>2505.3291335304243</v>
      </c>
      <c r="T473">
        <f t="shared" si="263"/>
        <v>2391.5262465378964</v>
      </c>
      <c r="U473">
        <f t="shared" si="263"/>
        <v>2580.4934541223993</v>
      </c>
      <c r="V473">
        <f t="shared" si="263"/>
        <v>2593.6057899606349</v>
      </c>
      <c r="W473">
        <f t="shared" si="263"/>
        <v>2744.1768490320455</v>
      </c>
      <c r="Y473" s="14">
        <f t="shared" si="253"/>
        <v>50961.998236663705</v>
      </c>
      <c r="Z473">
        <f t="shared" si="254"/>
        <v>2742.9948643825828</v>
      </c>
    </row>
    <row r="474" spans="1:26" x14ac:dyDescent="0.25">
      <c r="A474" t="s">
        <v>53</v>
      </c>
      <c r="D474">
        <f t="shared" ref="D474:W474" si="264">D45*D111</f>
        <v>2754.8641915307667</v>
      </c>
      <c r="E474">
        <f t="shared" si="264"/>
        <v>2662.4114571411906</v>
      </c>
      <c r="F474">
        <f t="shared" si="264"/>
        <v>2555.348832036153</v>
      </c>
      <c r="G474">
        <f t="shared" si="264"/>
        <v>2567.4530936678193</v>
      </c>
      <c r="H474">
        <f t="shared" si="264"/>
        <v>2498.6640347817611</v>
      </c>
      <c r="I474">
        <f t="shared" si="264"/>
        <v>2501.9321423304173</v>
      </c>
      <c r="J474">
        <f t="shared" si="264"/>
        <v>2292.5320037494143</v>
      </c>
      <c r="K474">
        <f t="shared" si="264"/>
        <v>2490.532779562905</v>
      </c>
      <c r="L474">
        <f t="shared" si="264"/>
        <v>1949.5859749469109</v>
      </c>
      <c r="M474">
        <f t="shared" si="264"/>
        <v>2507.4514405584855</v>
      </c>
      <c r="N474">
        <f t="shared" si="264"/>
        <v>2245.2740243633011</v>
      </c>
      <c r="O474">
        <f t="shared" si="264"/>
        <v>2479.9228318153469</v>
      </c>
      <c r="P474">
        <f t="shared" si="264"/>
        <v>2398.6328379888869</v>
      </c>
      <c r="Q474">
        <f t="shared" si="264"/>
        <v>2177.0748419371498</v>
      </c>
      <c r="R474">
        <f t="shared" si="264"/>
        <v>2432.7928324611212</v>
      </c>
      <c r="S474">
        <f t="shared" si="264"/>
        <v>2581.9198808259716</v>
      </c>
      <c r="T474">
        <f t="shared" si="264"/>
        <v>2889.3980552477838</v>
      </c>
      <c r="U474">
        <f t="shared" si="264"/>
        <v>2783.2233923485869</v>
      </c>
      <c r="V474">
        <f t="shared" si="264"/>
        <v>2684.6246725263422</v>
      </c>
      <c r="W474">
        <f t="shared" si="264"/>
        <v>2651.7679802336052</v>
      </c>
      <c r="Y474" s="14">
        <f t="shared" si="253"/>
        <v>50105.407300053914</v>
      </c>
      <c r="Z474">
        <f t="shared" si="254"/>
        <v>2677.8953606523328</v>
      </c>
    </row>
    <row r="475" spans="1:26" x14ac:dyDescent="0.25">
      <c r="A475" t="s">
        <v>54</v>
      </c>
      <c r="D475">
        <f t="shared" ref="D475:W475" si="265">D46*D112</f>
        <v>2778.432203884744</v>
      </c>
      <c r="E475">
        <f t="shared" si="265"/>
        <v>2548.5903022318594</v>
      </c>
      <c r="F475">
        <f t="shared" si="265"/>
        <v>2145.8599950862899</v>
      </c>
      <c r="G475">
        <f t="shared" si="265"/>
        <v>2095.592020186627</v>
      </c>
      <c r="H475">
        <f t="shared" si="265"/>
        <v>1869.3558265282802</v>
      </c>
      <c r="I475">
        <f t="shared" si="265"/>
        <v>2250.4650595151193</v>
      </c>
      <c r="J475">
        <f t="shared" si="265"/>
        <v>2155.8420697673391</v>
      </c>
      <c r="K475">
        <f t="shared" si="265"/>
        <v>2042.4973901835028</v>
      </c>
      <c r="L475">
        <f t="shared" si="265"/>
        <v>1380.5400631634816</v>
      </c>
      <c r="M475">
        <f t="shared" si="265"/>
        <v>1873.6800626851636</v>
      </c>
      <c r="N475">
        <f t="shared" si="265"/>
        <v>1963.0732782207708</v>
      </c>
      <c r="O475">
        <f t="shared" si="265"/>
        <v>1997.9883200478175</v>
      </c>
      <c r="P475">
        <f t="shared" si="265"/>
        <v>1856.8861053973615</v>
      </c>
      <c r="Q475">
        <f t="shared" si="265"/>
        <v>2077.0466129535866</v>
      </c>
      <c r="R475">
        <f t="shared" si="265"/>
        <v>1747.8896402522462</v>
      </c>
      <c r="S475">
        <f t="shared" si="265"/>
        <v>1679.1395480518643</v>
      </c>
      <c r="T475">
        <f t="shared" si="265"/>
        <v>2070.1168394188535</v>
      </c>
      <c r="U475">
        <f t="shared" si="265"/>
        <v>1961.9412734622474</v>
      </c>
      <c r="V475">
        <f t="shared" si="265"/>
        <v>1985.119475821419</v>
      </c>
      <c r="W475">
        <f t="shared" si="265"/>
        <v>2709.9317189814669</v>
      </c>
      <c r="Y475" s="14">
        <f t="shared" si="253"/>
        <v>41189.98780584005</v>
      </c>
      <c r="Z475">
        <f t="shared" si="254"/>
        <v>2014.2248886368795</v>
      </c>
    </row>
    <row r="476" spans="1:26" x14ac:dyDescent="0.25">
      <c r="A476" t="s">
        <v>55</v>
      </c>
      <c r="D476">
        <f t="shared" ref="D476:W476" si="266">D47*D113</f>
        <v>2676.5129737619054</v>
      </c>
      <c r="E476">
        <f t="shared" si="266"/>
        <v>2414.0136945732056</v>
      </c>
      <c r="F476">
        <f t="shared" si="266"/>
        <v>2428.9366856237793</v>
      </c>
      <c r="G476">
        <f t="shared" si="266"/>
        <v>2240.9382744431323</v>
      </c>
      <c r="H476">
        <f t="shared" si="266"/>
        <v>2152.4297350893548</v>
      </c>
      <c r="I476">
        <f t="shared" si="266"/>
        <v>1774.887742656033</v>
      </c>
      <c r="J476">
        <f t="shared" si="266"/>
        <v>2444.3934269509205</v>
      </c>
      <c r="K476">
        <f t="shared" si="266"/>
        <v>2306.8329793655416</v>
      </c>
      <c r="L476">
        <f t="shared" si="266"/>
        <v>1591.0144158991568</v>
      </c>
      <c r="M476">
        <f t="shared" si="266"/>
        <v>1911.2284426085346</v>
      </c>
      <c r="N476">
        <f t="shared" si="266"/>
        <v>1727.5255752037006</v>
      </c>
      <c r="O476">
        <f t="shared" si="266"/>
        <v>2064.1201763291924</v>
      </c>
      <c r="P476">
        <f t="shared" si="266"/>
        <v>2016.1375442461022</v>
      </c>
      <c r="Q476">
        <f t="shared" si="266"/>
        <v>1513.8475317158454</v>
      </c>
      <c r="R476">
        <f t="shared" si="266"/>
        <v>2133.5700582329673</v>
      </c>
      <c r="S476">
        <f t="shared" si="266"/>
        <v>2206.1987716627027</v>
      </c>
      <c r="T476">
        <f t="shared" si="266"/>
        <v>2316.7403080075687</v>
      </c>
      <c r="U476">
        <f t="shared" si="266"/>
        <v>2132.1383361746293</v>
      </c>
      <c r="V476">
        <f t="shared" si="266"/>
        <v>1595.5145086521241</v>
      </c>
      <c r="W476">
        <f t="shared" si="266"/>
        <v>2767.9489737861923</v>
      </c>
      <c r="Y476" s="14">
        <f t="shared" si="253"/>
        <v>42414.930154982583</v>
      </c>
      <c r="Z476">
        <f t="shared" si="254"/>
        <v>2060.8742327972541</v>
      </c>
    </row>
    <row r="477" spans="1:26" x14ac:dyDescent="0.25">
      <c r="A477" t="s">
        <v>56</v>
      </c>
      <c r="D477">
        <f t="shared" ref="D477:W477" si="267">D48*D114</f>
        <v>2951.8576656436048</v>
      </c>
      <c r="E477">
        <f t="shared" si="267"/>
        <v>2497.1314207828109</v>
      </c>
      <c r="F477">
        <f t="shared" si="267"/>
        <v>2247.148501976259</v>
      </c>
      <c r="G477">
        <f t="shared" si="267"/>
        <v>2383.1856818936121</v>
      </c>
      <c r="H477">
        <f t="shared" si="267"/>
        <v>2015.4610480468882</v>
      </c>
      <c r="I477">
        <f t="shared" si="267"/>
        <v>2714.8390638472538</v>
      </c>
      <c r="J477">
        <f t="shared" si="267"/>
        <v>2523.0889062587007</v>
      </c>
      <c r="K477">
        <f t="shared" si="267"/>
        <v>2289.0935002303463</v>
      </c>
      <c r="L477">
        <f t="shared" si="267"/>
        <v>1589.5767107705415</v>
      </c>
      <c r="M477">
        <f t="shared" si="267"/>
        <v>1665.0842352266911</v>
      </c>
      <c r="N477">
        <f t="shared" si="267"/>
        <v>2209.5030041225846</v>
      </c>
      <c r="O477">
        <f t="shared" si="267"/>
        <v>1962.8916570846759</v>
      </c>
      <c r="P477">
        <f t="shared" si="267"/>
        <v>2007.4070679908391</v>
      </c>
      <c r="Q477">
        <f t="shared" si="267"/>
        <v>1773.6293990002</v>
      </c>
      <c r="R477">
        <f t="shared" si="267"/>
        <v>2023.2576705914428</v>
      </c>
      <c r="S477">
        <f t="shared" si="267"/>
        <v>2312.2708414585372</v>
      </c>
      <c r="T477">
        <f t="shared" si="267"/>
        <v>2511.575297488449</v>
      </c>
      <c r="U477">
        <f t="shared" si="267"/>
        <v>2502.5148917373122</v>
      </c>
      <c r="V477">
        <f t="shared" si="267"/>
        <v>2023.2576705914428</v>
      </c>
      <c r="W477">
        <f t="shared" si="267"/>
        <v>2312.2708414585372</v>
      </c>
      <c r="Y477" s="14">
        <f t="shared" si="253"/>
        <v>44515.045076200724</v>
      </c>
      <c r="Z477">
        <f t="shared" si="254"/>
        <v>2072.0584382398024</v>
      </c>
    </row>
    <row r="478" spans="1:26" x14ac:dyDescent="0.25">
      <c r="A478" t="s">
        <v>57</v>
      </c>
      <c r="D478">
        <f t="shared" ref="D478:W478" si="268">D49*D115</f>
        <v>2959.1843853129858</v>
      </c>
      <c r="E478">
        <f t="shared" si="268"/>
        <v>2837.9308549826592</v>
      </c>
      <c r="F478">
        <f t="shared" si="268"/>
        <v>2450.9849690363676</v>
      </c>
      <c r="G478">
        <f t="shared" si="268"/>
        <v>2766.6841010877533</v>
      </c>
      <c r="H478">
        <f t="shared" si="268"/>
        <v>2655.4917447070466</v>
      </c>
      <c r="I478">
        <f t="shared" si="268"/>
        <v>2189.9794845954725</v>
      </c>
      <c r="J478">
        <f t="shared" si="268"/>
        <v>2445.2571945342638</v>
      </c>
      <c r="K478">
        <f t="shared" si="268"/>
        <v>2600.5697663751967</v>
      </c>
      <c r="L478">
        <f t="shared" si="268"/>
        <v>1846.712032539614</v>
      </c>
      <c r="M478">
        <f t="shared" si="268"/>
        <v>1594.2387962123657</v>
      </c>
      <c r="N478">
        <f t="shared" si="268"/>
        <v>1373.5017403639729</v>
      </c>
      <c r="O478">
        <f t="shared" si="268"/>
        <v>1345.2460671758836</v>
      </c>
      <c r="P478">
        <f t="shared" si="268"/>
        <v>1836.5244420033544</v>
      </c>
      <c r="Q478">
        <f t="shared" si="268"/>
        <v>2327.2913143965593</v>
      </c>
      <c r="R478">
        <f t="shared" si="268"/>
        <v>2531.6958528774721</v>
      </c>
      <c r="S478">
        <f t="shared" si="268"/>
        <v>2814.2813525290576</v>
      </c>
      <c r="T478">
        <f t="shared" si="268"/>
        <v>2119.8971462037325</v>
      </c>
      <c r="U478">
        <f t="shared" si="268"/>
        <v>2511.4141376704379</v>
      </c>
      <c r="V478">
        <f t="shared" si="268"/>
        <v>2337.6763366797736</v>
      </c>
      <c r="W478">
        <f t="shared" si="268"/>
        <v>2231.1397859638705</v>
      </c>
      <c r="Y478" s="14">
        <f t="shared" si="253"/>
        <v>45775.701505247831</v>
      </c>
      <c r="Z478">
        <f t="shared" si="254"/>
        <v>2495.6419105340174</v>
      </c>
    </row>
    <row r="479" spans="1:26" x14ac:dyDescent="0.25">
      <c r="A479" t="s">
        <v>58</v>
      </c>
      <c r="D479">
        <f t="shared" ref="D479:W479" si="269">D50*D116</f>
        <v>2263.2314048237045</v>
      </c>
      <c r="E479">
        <f t="shared" si="269"/>
        <v>2592.8983545253136</v>
      </c>
      <c r="F479">
        <f t="shared" si="269"/>
        <v>1607.8689414128326</v>
      </c>
      <c r="G479">
        <f t="shared" si="269"/>
        <v>1735.4676406937556</v>
      </c>
      <c r="H479">
        <f t="shared" si="269"/>
        <v>2043.5484498382359</v>
      </c>
      <c r="I479">
        <f t="shared" si="269"/>
        <v>1947.7232178760291</v>
      </c>
      <c r="J479">
        <f t="shared" si="269"/>
        <v>2236.6123258605016</v>
      </c>
      <c r="K479">
        <f t="shared" si="269"/>
        <v>1441.270705986195</v>
      </c>
      <c r="L479">
        <f t="shared" si="269"/>
        <v>1256.6366074192483</v>
      </c>
      <c r="M479">
        <f t="shared" si="269"/>
        <v>1920.4244967617667</v>
      </c>
      <c r="N479">
        <f t="shared" si="269"/>
        <v>1634.1591177686073</v>
      </c>
      <c r="O479">
        <f t="shared" si="269"/>
        <v>2003.9733865295875</v>
      </c>
      <c r="P479">
        <f t="shared" si="269"/>
        <v>1927.6764020268181</v>
      </c>
      <c r="Q479">
        <f t="shared" si="269"/>
        <v>1654.2809702218406</v>
      </c>
      <c r="R479">
        <f t="shared" si="269"/>
        <v>1897.2411525541152</v>
      </c>
      <c r="S479">
        <f t="shared" si="269"/>
        <v>1925.3045856840022</v>
      </c>
      <c r="T479">
        <f t="shared" si="269"/>
        <v>2120.5253530531791</v>
      </c>
      <c r="U479">
        <f t="shared" si="269"/>
        <v>2286.7546777283846</v>
      </c>
      <c r="V479">
        <f t="shared" si="269"/>
        <v>2370.8075676932526</v>
      </c>
      <c r="W479">
        <f t="shared" si="269"/>
        <v>2634.8658107146089</v>
      </c>
      <c r="Y479" s="14">
        <f t="shared" si="253"/>
        <v>39501.271169171974</v>
      </c>
      <c r="Z479">
        <f t="shared" si="254"/>
        <v>1944.5756510003143</v>
      </c>
    </row>
    <row r="480" spans="1:26" x14ac:dyDescent="0.25">
      <c r="A480" t="s">
        <v>59</v>
      </c>
      <c r="D480">
        <f t="shared" ref="D480:W480" si="270">D51*D117</f>
        <v>2558.9332037563477</v>
      </c>
      <c r="E480">
        <f t="shared" si="270"/>
        <v>1582.7602732035091</v>
      </c>
      <c r="F480">
        <f t="shared" si="270"/>
        <v>1878.1006483360698</v>
      </c>
      <c r="G480">
        <f t="shared" si="270"/>
        <v>2219.8810311664665</v>
      </c>
      <c r="H480">
        <f t="shared" si="270"/>
        <v>1522.3774169606054</v>
      </c>
      <c r="I480">
        <f t="shared" si="270"/>
        <v>1293.3107212942507</v>
      </c>
      <c r="J480">
        <f t="shared" si="270"/>
        <v>968.81678714122165</v>
      </c>
      <c r="K480">
        <f t="shared" si="270"/>
        <v>1136.7403245521557</v>
      </c>
      <c r="L480">
        <f t="shared" si="270"/>
        <v>1035.8287083379714</v>
      </c>
      <c r="M480">
        <f t="shared" si="270"/>
        <v>1928.4709440668869</v>
      </c>
      <c r="N480">
        <f t="shared" si="270"/>
        <v>1700.8791450754657</v>
      </c>
      <c r="O480">
        <f t="shared" si="270"/>
        <v>1913.270840907106</v>
      </c>
      <c r="P480">
        <f t="shared" si="270"/>
        <v>2232.5329395802746</v>
      </c>
      <c r="Q480">
        <f t="shared" si="270"/>
        <v>2097.079892513992</v>
      </c>
      <c r="R480">
        <f t="shared" si="270"/>
        <v>3396.1553845010226</v>
      </c>
      <c r="S480">
        <f t="shared" si="270"/>
        <v>1929.5819451539085</v>
      </c>
      <c r="T480">
        <f t="shared" si="270"/>
        <v>1059.6179863049529</v>
      </c>
      <c r="U480">
        <f t="shared" si="270"/>
        <v>2015.6456988984166</v>
      </c>
      <c r="V480">
        <f t="shared" si="270"/>
        <v>2041.2965733525698</v>
      </c>
      <c r="W480">
        <f t="shared" si="270"/>
        <v>2408.7824059423347</v>
      </c>
      <c r="Y480" s="14">
        <f t="shared" si="253"/>
        <v>36920.062871045528</v>
      </c>
      <c r="Z480">
        <f t="shared" si="254"/>
        <v>1689.9261195504469</v>
      </c>
    </row>
    <row r="481" spans="1:26" x14ac:dyDescent="0.25">
      <c r="A481" t="s">
        <v>60</v>
      </c>
      <c r="D481">
        <f t="shared" ref="D481:W481" si="271">D52*D118</f>
        <v>1495.5301210227221</v>
      </c>
      <c r="E481">
        <f t="shared" si="271"/>
        <v>1346.7638257503943</v>
      </c>
      <c r="F481">
        <f t="shared" si="271"/>
        <v>1924.967293912561</v>
      </c>
      <c r="G481">
        <f t="shared" si="271"/>
        <v>2065.335889999455</v>
      </c>
      <c r="H481">
        <f t="shared" si="271"/>
        <v>1981.7609589282952</v>
      </c>
      <c r="I481">
        <f t="shared" si="271"/>
        <v>1839.0825933578301</v>
      </c>
      <c r="J481">
        <f t="shared" si="271"/>
        <v>1933.929329852228</v>
      </c>
      <c r="K481">
        <f t="shared" si="271"/>
        <v>1773.8586540323854</v>
      </c>
      <c r="L481">
        <f t="shared" si="271"/>
        <v>749.42449232431341</v>
      </c>
      <c r="M481">
        <f t="shared" si="271"/>
        <v>1330.8049213134182</v>
      </c>
      <c r="N481">
        <f t="shared" si="271"/>
        <v>1261.9728525697817</v>
      </c>
      <c r="O481">
        <f t="shared" si="271"/>
        <v>1879.9742166078895</v>
      </c>
      <c r="P481">
        <f t="shared" si="271"/>
        <v>1285.7274874063273</v>
      </c>
      <c r="Q481">
        <f t="shared" si="271"/>
        <v>1423.6798961508402</v>
      </c>
      <c r="R481">
        <f t="shared" si="271"/>
        <v>1801.1906616154597</v>
      </c>
      <c r="S481">
        <f t="shared" si="271"/>
        <v>2017.6256230338711</v>
      </c>
      <c r="T481">
        <f t="shared" si="271"/>
        <v>2478.7913914199703</v>
      </c>
      <c r="U481">
        <f t="shared" si="271"/>
        <v>2287.8113911681421</v>
      </c>
      <c r="V481">
        <f t="shared" si="271"/>
        <v>2119.3052012972416</v>
      </c>
      <c r="W481">
        <f t="shared" si="271"/>
        <v>1792.6163107980722</v>
      </c>
      <c r="Y481" s="14">
        <f t="shared" si="253"/>
        <v>34790.153112561202</v>
      </c>
      <c r="Z481">
        <f t="shared" si="254"/>
        <v>1984.1024118678586</v>
      </c>
    </row>
    <row r="482" spans="1:26" x14ac:dyDescent="0.25">
      <c r="A482" t="s">
        <v>61</v>
      </c>
      <c r="D482">
        <f t="shared" ref="D482:W482" si="272">D53*D119</f>
        <v>2508.6361220045792</v>
      </c>
      <c r="E482">
        <f t="shared" si="272"/>
        <v>2454.8923885963773</v>
      </c>
      <c r="F482">
        <f t="shared" si="272"/>
        <v>2091.8276438149505</v>
      </c>
      <c r="G482">
        <f t="shared" si="272"/>
        <v>2211.2690252862694</v>
      </c>
      <c r="H482">
        <f t="shared" si="272"/>
        <v>2140.7615068224541</v>
      </c>
      <c r="I482">
        <f t="shared" si="272"/>
        <v>2257.624238263079</v>
      </c>
      <c r="J482">
        <f t="shared" si="272"/>
        <v>1869.7478429098082</v>
      </c>
      <c r="K482">
        <f t="shared" si="272"/>
        <v>2053.4542832563593</v>
      </c>
      <c r="L482">
        <f t="shared" si="272"/>
        <v>2237.5454342263943</v>
      </c>
      <c r="M482">
        <f t="shared" si="272"/>
        <v>2082.5503194509793</v>
      </c>
      <c r="N482">
        <f t="shared" si="272"/>
        <v>1947.0324737839678</v>
      </c>
      <c r="O482">
        <f t="shared" si="272"/>
        <v>2011.92235249741</v>
      </c>
      <c r="P482">
        <f t="shared" si="272"/>
        <v>2075.4701103993802</v>
      </c>
      <c r="Q482">
        <f t="shared" si="272"/>
        <v>2257.8688771543812</v>
      </c>
      <c r="R482">
        <f t="shared" si="272"/>
        <v>2501.6557997071027</v>
      </c>
      <c r="S482">
        <f t="shared" si="272"/>
        <v>2240.208511491247</v>
      </c>
      <c r="T482">
        <f t="shared" si="272"/>
        <v>2324.5369295937853</v>
      </c>
      <c r="U482">
        <f t="shared" si="272"/>
        <v>2334.0780296104108</v>
      </c>
      <c r="V482">
        <f t="shared" si="272"/>
        <v>2036.4078145342139</v>
      </c>
      <c r="W482">
        <f t="shared" si="272"/>
        <v>2399.1415198825503</v>
      </c>
      <c r="Y482" s="14">
        <f t="shared" si="253"/>
        <v>44036.631223285702</v>
      </c>
      <c r="Z482">
        <f t="shared" si="254"/>
        <v>2227.0316647858363</v>
      </c>
    </row>
    <row r="483" spans="1:26" x14ac:dyDescent="0.25">
      <c r="A483" t="s">
        <v>62</v>
      </c>
      <c r="D483">
        <f t="shared" ref="D483:W483" si="273">D54*D120</f>
        <v>2601.9477418660163</v>
      </c>
      <c r="E483">
        <f t="shared" si="273"/>
        <v>2782.2926262984306</v>
      </c>
      <c r="F483">
        <f t="shared" si="273"/>
        <v>2720.13428955161</v>
      </c>
      <c r="G483">
        <f t="shared" si="273"/>
        <v>2129.7007628597576</v>
      </c>
      <c r="H483">
        <f t="shared" si="273"/>
        <v>2562.9298717817665</v>
      </c>
      <c r="I483">
        <f t="shared" si="273"/>
        <v>2417.0478893334353</v>
      </c>
      <c r="J483">
        <f t="shared" si="273"/>
        <v>2193.4736556727094</v>
      </c>
      <c r="K483">
        <f t="shared" si="273"/>
        <v>2211.4858139800494</v>
      </c>
      <c r="L483">
        <f t="shared" si="273"/>
        <v>2518.5261694070491</v>
      </c>
      <c r="M483">
        <f t="shared" si="273"/>
        <v>2039.6120303070704</v>
      </c>
      <c r="N483">
        <f t="shared" si="273"/>
        <v>2468.873872101482</v>
      </c>
      <c r="O483">
        <f t="shared" si="273"/>
        <v>2236.0645237288186</v>
      </c>
      <c r="P483">
        <f t="shared" si="273"/>
        <v>1553.0437850884066</v>
      </c>
      <c r="Q483">
        <f t="shared" si="273"/>
        <v>1904.9817329743187</v>
      </c>
      <c r="R483">
        <f t="shared" si="273"/>
        <v>1485.9951213419276</v>
      </c>
      <c r="S483">
        <f t="shared" si="273"/>
        <v>1848.3306308950284</v>
      </c>
      <c r="T483">
        <f t="shared" si="273"/>
        <v>2245.4213519201985</v>
      </c>
      <c r="U483">
        <f t="shared" si="273"/>
        <v>2145.4794284990362</v>
      </c>
      <c r="V483">
        <f t="shared" si="273"/>
        <v>2719.8207717025471</v>
      </c>
      <c r="W483">
        <f t="shared" si="273"/>
        <v>2366.5976769904655</v>
      </c>
      <c r="Y483" s="14">
        <f t="shared" si="253"/>
        <v>45151.759746300129</v>
      </c>
      <c r="Z483">
        <f t="shared" si="254"/>
        <v>2790.5822171687773</v>
      </c>
    </row>
    <row r="484" spans="1:26" x14ac:dyDescent="0.25">
      <c r="A484" t="s">
        <v>63</v>
      </c>
      <c r="D484">
        <f t="shared" ref="D484:W484" si="274">D55*D121</f>
        <v>2464.3350070790962</v>
      </c>
      <c r="E484">
        <f t="shared" si="274"/>
        <v>2384.0386140613896</v>
      </c>
      <c r="F484">
        <f t="shared" si="274"/>
        <v>2446.3732493183206</v>
      </c>
      <c r="G484">
        <f t="shared" si="274"/>
        <v>2044.998222491058</v>
      </c>
      <c r="H484">
        <f t="shared" si="274"/>
        <v>1753.7784314445282</v>
      </c>
      <c r="I484">
        <f t="shared" si="274"/>
        <v>2282.7778828626078</v>
      </c>
      <c r="J484">
        <f t="shared" si="274"/>
        <v>2526.3974640762049</v>
      </c>
      <c r="K484">
        <f t="shared" si="274"/>
        <v>2320.6383562345595</v>
      </c>
      <c r="L484">
        <f t="shared" si="274"/>
        <v>2334.1285652965612</v>
      </c>
      <c r="M484">
        <f t="shared" si="274"/>
        <v>1972.3520114550754</v>
      </c>
      <c r="N484">
        <f t="shared" si="274"/>
        <v>2130.0131437866507</v>
      </c>
      <c r="O484">
        <f t="shared" si="274"/>
        <v>2588.3047245250918</v>
      </c>
      <c r="P484">
        <f t="shared" si="274"/>
        <v>2384.9475989537386</v>
      </c>
      <c r="Q484">
        <f t="shared" si="274"/>
        <v>2568.2528151992756</v>
      </c>
      <c r="R484">
        <f t="shared" si="274"/>
        <v>2444.9815852901766</v>
      </c>
      <c r="S484">
        <f t="shared" si="274"/>
        <v>2282.5117855996991</v>
      </c>
      <c r="T484">
        <f t="shared" si="274"/>
        <v>2518.7652240016519</v>
      </c>
      <c r="U484">
        <f t="shared" si="274"/>
        <v>2839.8953427901374</v>
      </c>
      <c r="V484">
        <f t="shared" si="274"/>
        <v>2708.9958028014453</v>
      </c>
      <c r="W484">
        <f t="shared" si="274"/>
        <v>2561.752661426538</v>
      </c>
      <c r="Y484" s="14">
        <f t="shared" si="253"/>
        <v>47558.238488693802</v>
      </c>
      <c r="Z484">
        <f t="shared" si="254"/>
        <v>2055.0010542478162</v>
      </c>
    </row>
    <row r="485" spans="1:26" x14ac:dyDescent="0.25">
      <c r="A485" t="s">
        <v>64</v>
      </c>
      <c r="D485">
        <f t="shared" ref="D485:W485" si="275">D56*D122</f>
        <v>2122.7652775562779</v>
      </c>
      <c r="E485">
        <f t="shared" si="275"/>
        <v>2537.9101059563045</v>
      </c>
      <c r="F485">
        <f t="shared" si="275"/>
        <v>2709.6869178010425</v>
      </c>
      <c r="G485">
        <f t="shared" si="275"/>
        <v>2120.0544526382268</v>
      </c>
      <c r="H485">
        <f t="shared" si="275"/>
        <v>2140.9484003846474</v>
      </c>
      <c r="I485">
        <f t="shared" si="275"/>
        <v>2482.096937332065</v>
      </c>
      <c r="J485">
        <f t="shared" si="275"/>
        <v>2558.9842883939045</v>
      </c>
      <c r="K485">
        <f t="shared" si="275"/>
        <v>2366.6363121656582</v>
      </c>
      <c r="L485">
        <f t="shared" si="275"/>
        <v>2437.0866222835239</v>
      </c>
      <c r="M485">
        <f t="shared" si="275"/>
        <v>1907.691348479706</v>
      </c>
      <c r="N485">
        <f t="shared" si="275"/>
        <v>1977.8442310784699</v>
      </c>
      <c r="O485">
        <f t="shared" si="275"/>
        <v>1996.516018977404</v>
      </c>
      <c r="P485">
        <f t="shared" si="275"/>
        <v>2228.3698398195211</v>
      </c>
      <c r="Q485">
        <f t="shared" si="275"/>
        <v>2122.1003968308391</v>
      </c>
      <c r="R485">
        <f t="shared" si="275"/>
        <v>2280.2411245503995</v>
      </c>
      <c r="S485">
        <f t="shared" si="275"/>
        <v>2183.7098742893954</v>
      </c>
      <c r="T485">
        <f t="shared" si="275"/>
        <v>2037.4909801829938</v>
      </c>
      <c r="U485">
        <f t="shared" si="275"/>
        <v>2710.4739115608245</v>
      </c>
      <c r="V485">
        <f t="shared" si="275"/>
        <v>2284.7383377083502</v>
      </c>
      <c r="W485">
        <f t="shared" si="275"/>
        <v>2800.300101821922</v>
      </c>
      <c r="Y485" s="14">
        <f t="shared" si="253"/>
        <v>46005.645479811479</v>
      </c>
      <c r="Z485">
        <f t="shared" si="254"/>
        <v>2306.6895984575694</v>
      </c>
    </row>
    <row r="486" spans="1:26" x14ac:dyDescent="0.25">
      <c r="A486" t="s">
        <v>65</v>
      </c>
      <c r="D486">
        <f t="shared" ref="D486:W486" si="276">D57*D123</f>
        <v>2465.0545059019664</v>
      </c>
      <c r="E486">
        <f t="shared" si="276"/>
        <v>2549.0312490389861</v>
      </c>
      <c r="F486">
        <f t="shared" si="276"/>
        <v>2550.4873739710229</v>
      </c>
      <c r="G486">
        <f t="shared" si="276"/>
        <v>2150.0152568606964</v>
      </c>
      <c r="H486">
        <f t="shared" si="276"/>
        <v>2394.3450256383949</v>
      </c>
      <c r="I486">
        <f t="shared" si="276"/>
        <v>2408.8253816748238</v>
      </c>
      <c r="J486">
        <f t="shared" si="276"/>
        <v>2171.9783341162597</v>
      </c>
      <c r="K486">
        <f t="shared" si="276"/>
        <v>2154.5366730597193</v>
      </c>
      <c r="L486">
        <f t="shared" si="276"/>
        <v>2078.7576360493017</v>
      </c>
      <c r="M486">
        <f t="shared" si="276"/>
        <v>1801.3220277335579</v>
      </c>
      <c r="N486">
        <f t="shared" si="276"/>
        <v>2196.9311703912495</v>
      </c>
      <c r="O486">
        <f t="shared" si="276"/>
        <v>2000.5288103893145</v>
      </c>
      <c r="P486">
        <f t="shared" si="276"/>
        <v>2074.5123353290296</v>
      </c>
      <c r="Q486">
        <f t="shared" si="276"/>
        <v>2087.2023652586449</v>
      </c>
      <c r="R486">
        <f t="shared" si="276"/>
        <v>2538.0692358057395</v>
      </c>
      <c r="S486">
        <f t="shared" si="276"/>
        <v>2048.6089762189154</v>
      </c>
      <c r="T486">
        <f t="shared" si="276"/>
        <v>2241.4952502271226</v>
      </c>
      <c r="U486">
        <f t="shared" si="276"/>
        <v>2347.5360326001419</v>
      </c>
      <c r="V486">
        <f t="shared" si="276"/>
        <v>2477.3166999359405</v>
      </c>
      <c r="W486">
        <f t="shared" si="276"/>
        <v>2698.4290959141099</v>
      </c>
      <c r="Y486" s="14">
        <f t="shared" si="253"/>
        <v>45434.983436114926</v>
      </c>
      <c r="Z486">
        <f t="shared" si="254"/>
        <v>2355.6243235668981</v>
      </c>
    </row>
    <row r="487" spans="1:26" x14ac:dyDescent="0.25">
      <c r="A487" t="s">
        <v>66</v>
      </c>
      <c r="D487">
        <f t="shared" ref="D487:W487" si="277">D58*D124</f>
        <v>1236.0260344365227</v>
      </c>
      <c r="E487">
        <f t="shared" si="277"/>
        <v>2081.565875728169</v>
      </c>
      <c r="F487">
        <f t="shared" si="277"/>
        <v>2337.4690584162399</v>
      </c>
      <c r="G487">
        <f t="shared" si="277"/>
        <v>2150.4366367412904</v>
      </c>
      <c r="H487">
        <f t="shared" si="277"/>
        <v>2738.8003659352917</v>
      </c>
      <c r="I487">
        <f t="shared" si="277"/>
        <v>2579.1329623030138</v>
      </c>
      <c r="J487">
        <f t="shared" si="277"/>
        <v>2261.5794134175994</v>
      </c>
      <c r="K487">
        <f t="shared" si="277"/>
        <v>2425.1714752346429</v>
      </c>
      <c r="L487">
        <f t="shared" si="277"/>
        <v>1898.7557510152831</v>
      </c>
      <c r="M487">
        <f t="shared" si="277"/>
        <v>2483.6552330952823</v>
      </c>
      <c r="N487">
        <f t="shared" si="277"/>
        <v>2072.975088518574</v>
      </c>
      <c r="O487">
        <f t="shared" si="277"/>
        <v>2115.8761636740119</v>
      </c>
      <c r="P487">
        <f t="shared" si="277"/>
        <v>2382.6165011824914</v>
      </c>
      <c r="Q487">
        <f t="shared" si="277"/>
        <v>2451.4704182883429</v>
      </c>
      <c r="R487">
        <f t="shared" si="277"/>
        <v>2451.080170253947</v>
      </c>
      <c r="S487">
        <f t="shared" si="277"/>
        <v>2552.9114204248413</v>
      </c>
      <c r="T487">
        <f t="shared" si="277"/>
        <v>2166.1723109950449</v>
      </c>
      <c r="U487">
        <f t="shared" si="277"/>
        <v>2686.2885426473845</v>
      </c>
      <c r="V487">
        <f t="shared" si="277"/>
        <v>2484.3307283975096</v>
      </c>
      <c r="W487">
        <f t="shared" si="277"/>
        <v>2630.149953689503</v>
      </c>
      <c r="Y487" s="14">
        <f t="shared" si="253"/>
        <v>46186.464104394996</v>
      </c>
      <c r="Z487">
        <f t="shared" si="254"/>
        <v>2784.9788307353811</v>
      </c>
    </row>
    <row r="488" spans="1:26" x14ac:dyDescent="0.25">
      <c r="Y488" s="14"/>
    </row>
    <row r="489" spans="1:26" x14ac:dyDescent="0.25">
      <c r="A489" t="s">
        <v>67</v>
      </c>
      <c r="D489">
        <f t="shared" ref="D489:W489" si="278">D60*D126</f>
        <v>2360.267393869734</v>
      </c>
      <c r="E489">
        <f t="shared" si="278"/>
        <v>2487.5805146526004</v>
      </c>
      <c r="F489">
        <f t="shared" si="278"/>
        <v>2540.2510696504969</v>
      </c>
      <c r="G489">
        <f t="shared" si="278"/>
        <v>2432.6144140093693</v>
      </c>
      <c r="H489">
        <f t="shared" si="278"/>
        <v>2426.1659990420799</v>
      </c>
      <c r="I489">
        <f t="shared" si="278"/>
        <v>2590.6030032681401</v>
      </c>
      <c r="J489">
        <f t="shared" si="278"/>
        <v>2513.3310182947635</v>
      </c>
      <c r="K489">
        <f t="shared" si="278"/>
        <v>2368.514071065953</v>
      </c>
      <c r="L489">
        <f t="shared" si="278"/>
        <v>1982.4747976979581</v>
      </c>
      <c r="M489">
        <f t="shared" si="278"/>
        <v>1797.1374602432734</v>
      </c>
      <c r="N489">
        <f t="shared" si="278"/>
        <v>1984.07279704032</v>
      </c>
      <c r="O489">
        <f t="shared" si="278"/>
        <v>1920.7227483726231</v>
      </c>
      <c r="P489">
        <f t="shared" si="278"/>
        <v>1949.9064798772517</v>
      </c>
      <c r="Q489">
        <f t="shared" si="278"/>
        <v>2164.6560373067978</v>
      </c>
      <c r="R489">
        <f t="shared" si="278"/>
        <v>2417.570330991337</v>
      </c>
      <c r="S489">
        <f t="shared" si="278"/>
        <v>2231.7261483954144</v>
      </c>
      <c r="T489">
        <f t="shared" si="278"/>
        <v>1964.6751437793066</v>
      </c>
      <c r="U489">
        <f t="shared" si="278"/>
        <v>2351.4816988200241</v>
      </c>
      <c r="V489">
        <f t="shared" si="278"/>
        <v>2380.3472715006324</v>
      </c>
      <c r="W489">
        <f t="shared" si="278"/>
        <v>2486.697168072149</v>
      </c>
      <c r="Y489" s="14">
        <f t="shared" si="253"/>
        <v>45350.795565950233</v>
      </c>
      <c r="Z489">
        <f>SUMPRODUCT($D$493:$W$493,D489:W489)</f>
        <v>2477.536796396329</v>
      </c>
    </row>
    <row r="490" spans="1:26" x14ac:dyDescent="0.25">
      <c r="A490" t="s">
        <v>311</v>
      </c>
      <c r="D490">
        <f t="shared" ref="D490:W490" si="279">D61*D127</f>
        <v>3228.6857142857143</v>
      </c>
      <c r="E490">
        <f t="shared" si="279"/>
        <v>2967.8959183673469</v>
      </c>
      <c r="F490">
        <f t="shared" si="279"/>
        <v>2341.9469387755103</v>
      </c>
      <c r="G490">
        <f t="shared" si="279"/>
        <v>2629.1326530612241</v>
      </c>
      <c r="H490">
        <f t="shared" si="279"/>
        <v>2515.4836734693872</v>
      </c>
      <c r="I490">
        <f t="shared" si="279"/>
        <v>2857.7448979591832</v>
      </c>
      <c r="J490">
        <f t="shared" si="279"/>
        <v>2846.6</v>
      </c>
      <c r="K490">
        <f t="shared" si="279"/>
        <v>2725.1632653061224</v>
      </c>
      <c r="L490">
        <f t="shared" si="279"/>
        <v>1774.3515625</v>
      </c>
      <c r="M490">
        <f t="shared" si="279"/>
        <v>2495.3346938775512</v>
      </c>
      <c r="N490">
        <f t="shared" si="279"/>
        <v>2391.5102040816332</v>
      </c>
      <c r="O490">
        <f t="shared" si="279"/>
        <v>2446.9959183673468</v>
      </c>
      <c r="P490">
        <f t="shared" si="279"/>
        <v>2292.8743136983762</v>
      </c>
      <c r="Q490">
        <f t="shared" si="279"/>
        <v>1947.4787356757927</v>
      </c>
      <c r="R490">
        <f t="shared" si="279"/>
        <v>2016.0563549936264</v>
      </c>
      <c r="S490">
        <f t="shared" si="279"/>
        <v>1945.2371508063779</v>
      </c>
      <c r="T490">
        <f t="shared" si="279"/>
        <v>2047.5</v>
      </c>
      <c r="U490">
        <f t="shared" si="279"/>
        <v>2111.1</v>
      </c>
      <c r="V490">
        <f t="shared" si="279"/>
        <v>2390.41</v>
      </c>
      <c r="W490">
        <f t="shared" si="279"/>
        <v>2570.3200000000002</v>
      </c>
      <c r="Y490" s="14">
        <f t="shared" si="253"/>
        <v>48541.821995225204</v>
      </c>
      <c r="Z490">
        <f>SUMPRODUCT($D$493:$W$493,D490:W490)</f>
        <v>2661.6666960665784</v>
      </c>
    </row>
    <row r="491" spans="1:26" x14ac:dyDescent="0.25">
      <c r="A491" t="s">
        <v>312</v>
      </c>
      <c r="D491">
        <f t="shared" ref="D491:W491" si="280">D62*D128</f>
        <v>2290.6563759928831</v>
      </c>
      <c r="E491">
        <f t="shared" si="280"/>
        <v>2238.0697080810628</v>
      </c>
      <c r="F491">
        <f t="shared" si="280"/>
        <v>2281.4414380691683</v>
      </c>
      <c r="G491">
        <f t="shared" si="280"/>
        <v>2122.9415512811438</v>
      </c>
      <c r="H491">
        <f t="shared" si="280"/>
        <v>2048.2978744623279</v>
      </c>
      <c r="I491">
        <f t="shared" si="280"/>
        <v>2129.0696332431471</v>
      </c>
      <c r="J491">
        <f t="shared" si="280"/>
        <v>2041.8475744268123</v>
      </c>
      <c r="K491">
        <f t="shared" si="280"/>
        <v>1970.0776166017522</v>
      </c>
      <c r="L491">
        <f t="shared" si="280"/>
        <v>1830.5045160986988</v>
      </c>
      <c r="M491">
        <f t="shared" si="280"/>
        <v>1846.9761378055832</v>
      </c>
      <c r="N491">
        <f t="shared" si="280"/>
        <v>1911.5851816212967</v>
      </c>
      <c r="O491">
        <f t="shared" si="280"/>
        <v>2060.5855321942618</v>
      </c>
      <c r="P491">
        <f t="shared" si="280"/>
        <v>1965.9238813275488</v>
      </c>
      <c r="Q491">
        <f t="shared" si="280"/>
        <v>2173.8556246680205</v>
      </c>
      <c r="R491">
        <f t="shared" si="280"/>
        <v>2209.2258344344136</v>
      </c>
      <c r="S491">
        <f t="shared" si="280"/>
        <v>2177.3584762891342</v>
      </c>
      <c r="T491">
        <f t="shared" si="280"/>
        <v>2298.7259479853724</v>
      </c>
      <c r="U491">
        <f t="shared" si="280"/>
        <v>2519.5742207049907</v>
      </c>
      <c r="V491">
        <f t="shared" si="280"/>
        <v>2343.294317126436</v>
      </c>
      <c r="W491">
        <f t="shared" si="280"/>
        <v>2382.5560288380975</v>
      </c>
      <c r="Y491" s="14">
        <f t="shared" si="253"/>
        <v>42842.56747125215</v>
      </c>
      <c r="Z491">
        <f>SUMPRODUCT($D$493:$W$493,D491:W491)</f>
        <v>2175.1495173450535</v>
      </c>
    </row>
    <row r="492" spans="1:26" x14ac:dyDescent="0.25">
      <c r="A492" t="s">
        <v>674</v>
      </c>
      <c r="D492">
        <f t="shared" ref="D492:W492" si="281">D63*D129</f>
        <v>2250.8316218950099</v>
      </c>
      <c r="E492">
        <f t="shared" si="281"/>
        <v>2419.4801897098437</v>
      </c>
      <c r="F492">
        <f t="shared" si="281"/>
        <v>2113.6335520948264</v>
      </c>
      <c r="G492">
        <f t="shared" si="281"/>
        <v>1588.6803048647528</v>
      </c>
      <c r="H492">
        <f t="shared" si="281"/>
        <v>1596.5717363986455</v>
      </c>
      <c r="I492">
        <f t="shared" si="281"/>
        <v>2166.0767300389916</v>
      </c>
      <c r="J492">
        <f t="shared" si="281"/>
        <v>2206.419886305714</v>
      </c>
      <c r="K492">
        <f t="shared" si="281"/>
        <v>2086.2533773165787</v>
      </c>
      <c r="L492">
        <f t="shared" si="281"/>
        <v>1688.3617912126558</v>
      </c>
      <c r="M492">
        <f t="shared" si="281"/>
        <v>1875.834263114215</v>
      </c>
      <c r="N492">
        <f t="shared" si="281"/>
        <v>1915.3162129675297</v>
      </c>
      <c r="O492">
        <f t="shared" si="281"/>
        <v>2079.6068740282717</v>
      </c>
      <c r="P492">
        <f t="shared" si="281"/>
        <v>1835.5356976822454</v>
      </c>
      <c r="Q492">
        <f t="shared" si="281"/>
        <v>1969.832382809002</v>
      </c>
      <c r="R492">
        <f t="shared" si="281"/>
        <v>2327.5126652701615</v>
      </c>
      <c r="S492">
        <f t="shared" si="281"/>
        <v>2162.0487262061238</v>
      </c>
      <c r="T492">
        <f t="shared" si="281"/>
        <v>2245.7453458319342</v>
      </c>
      <c r="U492">
        <f t="shared" si="281"/>
        <v>2400.4034971399406</v>
      </c>
      <c r="V492">
        <f t="shared" si="281"/>
        <v>2277.3910361431667</v>
      </c>
      <c r="W492">
        <f t="shared" si="281"/>
        <v>2491.9781756477414</v>
      </c>
      <c r="Y492" s="14">
        <f t="shared" ref="Y492" si="282">SUM(D492:W492)</f>
        <v>41697.514066677351</v>
      </c>
      <c r="Z492">
        <f>SUMPRODUCT($D$493:$W$493,D492:W492)</f>
        <v>1807.0780684307279</v>
      </c>
    </row>
    <row r="493" spans="1:26" x14ac:dyDescent="0.25">
      <c r="A493" s="2" t="s">
        <v>68</v>
      </c>
      <c r="D493" s="3">
        <f>CORREL($B$2:$B$25,D464:D487)</f>
        <v>-3.8199719663087931E-3</v>
      </c>
      <c r="E493" s="3">
        <f t="shared" ref="E493:W493" si="283">CORREL($B$2:$B$25,E464:E487)</f>
        <v>-0.15156931292671105</v>
      </c>
      <c r="F493" s="3">
        <f t="shared" si="283"/>
        <v>0.16117031078537103</v>
      </c>
      <c r="G493" s="3">
        <f t="shared" si="283"/>
        <v>0.19838458196320055</v>
      </c>
      <c r="H493" s="3">
        <f t="shared" si="283"/>
        <v>0.46077346482106396</v>
      </c>
      <c r="I493" s="3">
        <f t="shared" si="283"/>
        <v>0.12132735529808859</v>
      </c>
      <c r="J493" s="3">
        <f t="shared" si="283"/>
        <v>-1.322687847019713E-2</v>
      </c>
      <c r="K493" s="3">
        <f t="shared" si="283"/>
        <v>-1.2161058894622842E-2</v>
      </c>
      <c r="L493" s="3">
        <f t="shared" si="283"/>
        <v>0.105139929820957</v>
      </c>
      <c r="M493" s="3">
        <f t="shared" si="283"/>
        <v>0.40057311532937923</v>
      </c>
      <c r="N493" s="3">
        <f t="shared" si="283"/>
        <v>-1.2532140703630722E-2</v>
      </c>
      <c r="O493" s="3">
        <f t="shared" si="283"/>
        <v>-7.9461566312089102E-2</v>
      </c>
      <c r="P493" s="3">
        <f t="shared" si="283"/>
        <v>-0.18405184338203368</v>
      </c>
      <c r="Q493" s="3">
        <f t="shared" si="283"/>
        <v>1.3016854550501097E-2</v>
      </c>
      <c r="R493" s="3">
        <f t="shared" si="283"/>
        <v>-0.10938205632185311</v>
      </c>
      <c r="S493" s="3">
        <f t="shared" si="283"/>
        <v>4.3579129730430474E-2</v>
      </c>
      <c r="T493" s="3">
        <f t="shared" si="283"/>
        <v>-3.6363548258736077E-2</v>
      </c>
      <c r="U493" s="3">
        <f t="shared" si="283"/>
        <v>-4.6614996603933152E-2</v>
      </c>
      <c r="V493" s="3">
        <f t="shared" si="283"/>
        <v>0.19939101226621905</v>
      </c>
      <c r="W493" s="3">
        <f t="shared" si="283"/>
        <v>2.2078657736126255E-2</v>
      </c>
    </row>
    <row r="496" spans="1:26" x14ac:dyDescent="0.25">
      <c r="D496" t="s">
        <v>177</v>
      </c>
      <c r="E496" t="s">
        <v>178</v>
      </c>
      <c r="F496" t="s">
        <v>179</v>
      </c>
      <c r="G496" t="s">
        <v>180</v>
      </c>
      <c r="H496" t="s">
        <v>181</v>
      </c>
      <c r="I496" t="s">
        <v>182</v>
      </c>
      <c r="J496" t="s">
        <v>183</v>
      </c>
      <c r="K496" t="s">
        <v>184</v>
      </c>
      <c r="L496" t="s">
        <v>352</v>
      </c>
      <c r="M496" t="s">
        <v>410</v>
      </c>
      <c r="N496" t="s">
        <v>411</v>
      </c>
      <c r="O496" t="s">
        <v>412</v>
      </c>
      <c r="P496" t="s">
        <v>510</v>
      </c>
      <c r="Q496" t="s">
        <v>511</v>
      </c>
      <c r="R496" t="s">
        <v>512</v>
      </c>
      <c r="S496" t="s">
        <v>513</v>
      </c>
      <c r="T496" t="s">
        <v>622</v>
      </c>
      <c r="U496" t="s">
        <v>623</v>
      </c>
      <c r="V496" t="s">
        <v>624</v>
      </c>
      <c r="W496" t="s">
        <v>625</v>
      </c>
      <c r="Y496" t="s">
        <v>185</v>
      </c>
      <c r="Z496" t="s">
        <v>186</v>
      </c>
    </row>
    <row r="497" spans="1:26" x14ac:dyDescent="0.25">
      <c r="A497" t="s">
        <v>43</v>
      </c>
      <c r="D497">
        <f t="shared" ref="D497:W497" si="284">D35*D134</f>
        <v>1506.3397975611347</v>
      </c>
      <c r="E497">
        <f t="shared" si="284"/>
        <v>1077.6291471430231</v>
      </c>
      <c r="F497">
        <f t="shared" si="284"/>
        <v>1837.127868576476</v>
      </c>
      <c r="G497">
        <f t="shared" si="284"/>
        <v>1639.394352533596</v>
      </c>
      <c r="H497">
        <f t="shared" si="284"/>
        <v>1182.8362459889888</v>
      </c>
      <c r="I497">
        <f t="shared" si="284"/>
        <v>1305.9068317585725</v>
      </c>
      <c r="J497">
        <f t="shared" si="284"/>
        <v>1834.8831924496578</v>
      </c>
      <c r="K497">
        <f t="shared" si="284"/>
        <v>1536.1003697684816</v>
      </c>
      <c r="L497">
        <f t="shared" si="284"/>
        <v>1139.07920027621</v>
      </c>
      <c r="M497">
        <f t="shared" si="284"/>
        <v>838.42974633926883</v>
      </c>
      <c r="N497">
        <f t="shared" si="284"/>
        <v>594.38842937454774</v>
      </c>
      <c r="O497">
        <f t="shared" si="284"/>
        <v>773.08113489153334</v>
      </c>
      <c r="P497">
        <f t="shared" si="284"/>
        <v>1133.3287312081018</v>
      </c>
      <c r="Q497">
        <f t="shared" si="284"/>
        <v>1030.6326865825977</v>
      </c>
      <c r="R497">
        <f t="shared" si="284"/>
        <v>1430.2512295551444</v>
      </c>
      <c r="S497">
        <f t="shared" si="284"/>
        <v>2128.3657572197353</v>
      </c>
      <c r="T497">
        <f t="shared" si="284"/>
        <v>974.07610253157918</v>
      </c>
      <c r="U497">
        <f t="shared" si="284"/>
        <v>491.14207590078854</v>
      </c>
      <c r="V497">
        <f t="shared" si="284"/>
        <v>504.46673129020729</v>
      </c>
      <c r="W497">
        <f t="shared" si="284"/>
        <v>665.57193782623938</v>
      </c>
      <c r="Y497" s="14">
        <f t="shared" ref="Y497:Y524" si="285">SUM(D497:W497)</f>
        <v>23623.031568775885</v>
      </c>
      <c r="Z497">
        <f t="shared" ref="Z497:Z520" si="286">SUMPRODUCT($D$526:$W$526,D497:W497)</f>
        <v>1949.0953088385611</v>
      </c>
    </row>
    <row r="498" spans="1:26" x14ac:dyDescent="0.25">
      <c r="A498" t="s">
        <v>44</v>
      </c>
      <c r="D498">
        <f t="shared" ref="D498:W498" si="287">D36*D135</f>
        <v>478.80734844089091</v>
      </c>
      <c r="E498">
        <f t="shared" si="287"/>
        <v>2292.7512994561766</v>
      </c>
      <c r="F498">
        <f t="shared" si="287"/>
        <v>2243.6668860486084</v>
      </c>
      <c r="G498">
        <f t="shared" si="287"/>
        <v>1917.5748073059315</v>
      </c>
      <c r="H498">
        <f t="shared" si="287"/>
        <v>1280.6965965534996</v>
      </c>
      <c r="I498">
        <f t="shared" si="287"/>
        <v>1185.8726885446015</v>
      </c>
      <c r="J498">
        <f t="shared" si="287"/>
        <v>1107.8767950759102</v>
      </c>
      <c r="K498">
        <f t="shared" si="287"/>
        <v>1127.2635251347674</v>
      </c>
      <c r="L498">
        <f t="shared" si="287"/>
        <v>-26.472889468569402</v>
      </c>
      <c r="M498">
        <f t="shared" si="287"/>
        <v>1849.1237579691622</v>
      </c>
      <c r="N498">
        <f t="shared" si="287"/>
        <v>2255.2187425007874</v>
      </c>
      <c r="O498">
        <f t="shared" si="287"/>
        <v>1350.3042396830028</v>
      </c>
      <c r="P498">
        <f t="shared" si="287"/>
        <v>1231.3533699477762</v>
      </c>
      <c r="Q498">
        <f t="shared" si="287"/>
        <v>1784.3869131303306</v>
      </c>
      <c r="R498">
        <f t="shared" si="287"/>
        <v>1565.6196467711059</v>
      </c>
      <c r="S498">
        <f t="shared" si="287"/>
        <v>1898.7712858152381</v>
      </c>
      <c r="T498">
        <f t="shared" si="287"/>
        <v>2562.3910687261232</v>
      </c>
      <c r="U498">
        <f t="shared" si="287"/>
        <v>1852.7733583386212</v>
      </c>
      <c r="V498">
        <f t="shared" si="287"/>
        <v>1325.5913349008545</v>
      </c>
      <c r="W498">
        <f t="shared" si="287"/>
        <v>1581.8436012437228</v>
      </c>
      <c r="Y498" s="14">
        <f t="shared" si="285"/>
        <v>30865.414376118541</v>
      </c>
      <c r="Z498">
        <f t="shared" si="286"/>
        <v>494.65254552843692</v>
      </c>
    </row>
    <row r="499" spans="1:26" x14ac:dyDescent="0.25">
      <c r="A499" t="s">
        <v>45</v>
      </c>
      <c r="D499">
        <f t="shared" ref="D499:W499" si="288">D37*D136</f>
        <v>1841.5072644715219</v>
      </c>
      <c r="E499">
        <f t="shared" si="288"/>
        <v>1902.0828984190121</v>
      </c>
      <c r="F499">
        <f t="shared" si="288"/>
        <v>1665.2213512066414</v>
      </c>
      <c r="G499">
        <f t="shared" si="288"/>
        <v>2501.6265027706827</v>
      </c>
      <c r="H499">
        <f t="shared" si="288"/>
        <v>2738.7326491051813</v>
      </c>
      <c r="I499">
        <f t="shared" si="288"/>
        <v>2168.5931799077812</v>
      </c>
      <c r="J499">
        <f t="shared" si="288"/>
        <v>1904.9660981671225</v>
      </c>
      <c r="K499">
        <f t="shared" si="288"/>
        <v>1513.5687487110204</v>
      </c>
      <c r="L499">
        <f t="shared" si="288"/>
        <v>1423.4876420279486</v>
      </c>
      <c r="M499">
        <f t="shared" si="288"/>
        <v>1413.4568433989582</v>
      </c>
      <c r="N499">
        <f t="shared" si="288"/>
        <v>1630.0217139981135</v>
      </c>
      <c r="O499">
        <f t="shared" si="288"/>
        <v>1521.1850542306731</v>
      </c>
      <c r="P499">
        <f t="shared" si="288"/>
        <v>1418.6558650843481</v>
      </c>
      <c r="Q499">
        <f t="shared" si="288"/>
        <v>1395.148807773413</v>
      </c>
      <c r="R499">
        <f t="shared" si="288"/>
        <v>1364.1889428761233</v>
      </c>
      <c r="S499">
        <f t="shared" si="288"/>
        <v>1386.8604378193365</v>
      </c>
      <c r="T499">
        <f t="shared" si="288"/>
        <v>1530.3396946331766</v>
      </c>
      <c r="U499">
        <f t="shared" si="288"/>
        <v>1573.5257761789046</v>
      </c>
      <c r="V499">
        <f t="shared" si="288"/>
        <v>1537.6324092225746</v>
      </c>
      <c r="W499">
        <f t="shared" si="288"/>
        <v>1842.4961003739452</v>
      </c>
      <c r="Y499" s="14">
        <f t="shared" si="285"/>
        <v>34273.297980376483</v>
      </c>
      <c r="Z499">
        <f t="shared" si="286"/>
        <v>2541.0326738045978</v>
      </c>
    </row>
    <row r="500" spans="1:26" x14ac:dyDescent="0.25">
      <c r="A500" t="s">
        <v>46</v>
      </c>
      <c r="D500">
        <f t="shared" ref="D500:W500" si="289">D38*D137</f>
        <v>1821.6947541258442</v>
      </c>
      <c r="E500">
        <f t="shared" si="289"/>
        <v>1516.0095690613834</v>
      </c>
      <c r="F500">
        <f t="shared" si="289"/>
        <v>1540.3865315204146</v>
      </c>
      <c r="G500">
        <f t="shared" si="289"/>
        <v>1591.3255707370438</v>
      </c>
      <c r="H500">
        <f t="shared" si="289"/>
        <v>1484.826693288672</v>
      </c>
      <c r="I500">
        <f t="shared" si="289"/>
        <v>1585.296706054588</v>
      </c>
      <c r="J500">
        <f t="shared" si="289"/>
        <v>1538.7592580886965</v>
      </c>
      <c r="K500">
        <f t="shared" si="289"/>
        <v>1553.4690148763295</v>
      </c>
      <c r="L500">
        <f t="shared" si="289"/>
        <v>1171.0587924153479</v>
      </c>
      <c r="M500">
        <f t="shared" si="289"/>
        <v>1952.2185768133947</v>
      </c>
      <c r="N500">
        <f t="shared" si="289"/>
        <v>2342.0802508365355</v>
      </c>
      <c r="O500">
        <f t="shared" si="289"/>
        <v>1603.3481264917241</v>
      </c>
      <c r="P500">
        <f t="shared" si="289"/>
        <v>1170.6702060906068</v>
      </c>
      <c r="Q500">
        <f t="shared" si="289"/>
        <v>1486.6219414350542</v>
      </c>
      <c r="R500">
        <f t="shared" si="289"/>
        <v>1351.5447769975881</v>
      </c>
      <c r="S500">
        <f t="shared" si="289"/>
        <v>1472.4526061956035</v>
      </c>
      <c r="T500">
        <f t="shared" si="289"/>
        <v>1832.806338677899</v>
      </c>
      <c r="U500">
        <f t="shared" si="289"/>
        <v>1912.3504825168573</v>
      </c>
      <c r="V500">
        <f t="shared" si="289"/>
        <v>1250.9655297136501</v>
      </c>
      <c r="W500">
        <f t="shared" si="289"/>
        <v>1479.8902746762167</v>
      </c>
      <c r="Y500" s="14">
        <f t="shared" si="285"/>
        <v>31657.776000613445</v>
      </c>
      <c r="Z500">
        <f t="shared" si="286"/>
        <v>1812.4984958078091</v>
      </c>
    </row>
    <row r="501" spans="1:26" x14ac:dyDescent="0.25">
      <c r="A501" t="s">
        <v>47</v>
      </c>
      <c r="D501">
        <f t="shared" ref="D501:W501" si="290">D39*D138</f>
        <v>2245.3015966362473</v>
      </c>
      <c r="E501">
        <f t="shared" si="290"/>
        <v>1664.969257224901</v>
      </c>
      <c r="F501">
        <f t="shared" si="290"/>
        <v>1511.3016483260071</v>
      </c>
      <c r="G501">
        <f t="shared" si="290"/>
        <v>1966.186634472052</v>
      </c>
      <c r="H501">
        <f t="shared" si="290"/>
        <v>1887.4243680095453</v>
      </c>
      <c r="I501">
        <f t="shared" si="290"/>
        <v>1773.8831456715488</v>
      </c>
      <c r="J501">
        <f t="shared" si="290"/>
        <v>1557.5659569060281</v>
      </c>
      <c r="K501">
        <f t="shared" si="290"/>
        <v>1788.104416558838</v>
      </c>
      <c r="L501">
        <f t="shared" si="290"/>
        <v>1307.5577953677209</v>
      </c>
      <c r="M501">
        <f t="shared" si="290"/>
        <v>1216.501099046194</v>
      </c>
      <c r="N501">
        <f t="shared" si="290"/>
        <v>1082.2951528334638</v>
      </c>
      <c r="O501">
        <f t="shared" si="290"/>
        <v>1374.81979619408</v>
      </c>
      <c r="P501">
        <f t="shared" si="290"/>
        <v>1813.7162712178153</v>
      </c>
      <c r="Q501">
        <f t="shared" si="290"/>
        <v>1219.047880794727</v>
      </c>
      <c r="R501">
        <f t="shared" si="290"/>
        <v>983.95584691567217</v>
      </c>
      <c r="S501">
        <f t="shared" si="290"/>
        <v>953.90318156345904</v>
      </c>
      <c r="T501">
        <f t="shared" si="290"/>
        <v>1135.8398539502712</v>
      </c>
      <c r="U501">
        <f t="shared" si="290"/>
        <v>1406.3688274890701</v>
      </c>
      <c r="V501">
        <f t="shared" si="290"/>
        <v>1503.3584995818942</v>
      </c>
      <c r="W501">
        <f t="shared" si="290"/>
        <v>1753.1197597967855</v>
      </c>
      <c r="Y501" s="14">
        <f t="shared" si="285"/>
        <v>30145.22098855631</v>
      </c>
      <c r="Z501">
        <f t="shared" si="286"/>
        <v>2649.1513937900068</v>
      </c>
    </row>
    <row r="502" spans="1:26" x14ac:dyDescent="0.25">
      <c r="A502" t="s">
        <v>48</v>
      </c>
      <c r="D502">
        <f t="shared" ref="D502:W502" si="291">D40*D139</f>
        <v>1124.205910140754</v>
      </c>
      <c r="E502">
        <f t="shared" si="291"/>
        <v>1376.6194652755887</v>
      </c>
      <c r="F502">
        <f t="shared" si="291"/>
        <v>1194.8596689623394</v>
      </c>
      <c r="G502">
        <f t="shared" si="291"/>
        <v>1347.3110151158266</v>
      </c>
      <c r="H502">
        <f t="shared" si="291"/>
        <v>1319.5088280300936</v>
      </c>
      <c r="I502">
        <f t="shared" si="291"/>
        <v>1675.6689892375471</v>
      </c>
      <c r="J502">
        <f t="shared" si="291"/>
        <v>1961.1473567739567</v>
      </c>
      <c r="K502">
        <f t="shared" si="291"/>
        <v>1951.3113974461737</v>
      </c>
      <c r="L502">
        <f t="shared" si="291"/>
        <v>1099.4003940348298</v>
      </c>
      <c r="M502">
        <f t="shared" si="291"/>
        <v>1587.4012720997464</v>
      </c>
      <c r="N502">
        <f t="shared" si="291"/>
        <v>1857.2678517479092</v>
      </c>
      <c r="O502">
        <f t="shared" si="291"/>
        <v>1168.5201482980378</v>
      </c>
      <c r="P502">
        <f t="shared" si="291"/>
        <v>1248.668265223344</v>
      </c>
      <c r="Q502">
        <f t="shared" si="291"/>
        <v>1146.6841156966047</v>
      </c>
      <c r="R502">
        <f t="shared" si="291"/>
        <v>1159.6845138728895</v>
      </c>
      <c r="S502">
        <f t="shared" si="291"/>
        <v>1032.3866593987159</v>
      </c>
      <c r="T502">
        <f t="shared" si="291"/>
        <v>1226.4352193510047</v>
      </c>
      <c r="U502">
        <f t="shared" si="291"/>
        <v>1266.1218269684161</v>
      </c>
      <c r="V502">
        <f t="shared" si="291"/>
        <v>1370.1236162259797</v>
      </c>
      <c r="W502">
        <f t="shared" si="291"/>
        <v>1143.9089110881021</v>
      </c>
      <c r="Y502" s="14">
        <f t="shared" si="285"/>
        <v>27257.235424987863</v>
      </c>
      <c r="Z502">
        <f t="shared" si="286"/>
        <v>1619.415518908575</v>
      </c>
    </row>
    <row r="503" spans="1:26" x14ac:dyDescent="0.25">
      <c r="A503" t="s">
        <v>49</v>
      </c>
      <c r="D503">
        <f t="shared" ref="D503:W503" si="292">D41*D140</f>
        <v>2270.4233366022031</v>
      </c>
      <c r="E503">
        <f t="shared" si="292"/>
        <v>1916.2780116785377</v>
      </c>
      <c r="F503">
        <f t="shared" si="292"/>
        <v>1970.7142773398027</v>
      </c>
      <c r="G503">
        <f t="shared" si="292"/>
        <v>1484.3677671930016</v>
      </c>
      <c r="H503">
        <f t="shared" si="292"/>
        <v>1093.8512138624706</v>
      </c>
      <c r="I503">
        <f t="shared" si="292"/>
        <v>1604.1318714692707</v>
      </c>
      <c r="J503">
        <f t="shared" si="292"/>
        <v>970.38647479019914</v>
      </c>
      <c r="K503">
        <f t="shared" si="292"/>
        <v>928.19716283100695</v>
      </c>
      <c r="L503">
        <f t="shared" si="292"/>
        <v>898.07825966901328</v>
      </c>
      <c r="M503">
        <f t="shared" si="292"/>
        <v>974.60158015377431</v>
      </c>
      <c r="N503">
        <f t="shared" si="292"/>
        <v>1640.86246235217</v>
      </c>
      <c r="O503">
        <f t="shared" si="292"/>
        <v>1840.7429498290614</v>
      </c>
      <c r="P503">
        <f t="shared" si="292"/>
        <v>1219.8019409955182</v>
      </c>
      <c r="Q503">
        <f t="shared" si="292"/>
        <v>1078.2215241920285</v>
      </c>
      <c r="R503">
        <f t="shared" si="292"/>
        <v>1202.5459974595985</v>
      </c>
      <c r="S503">
        <f t="shared" si="292"/>
        <v>943.41916359081483</v>
      </c>
      <c r="T503">
        <f t="shared" si="292"/>
        <v>874.79086042582526</v>
      </c>
      <c r="U503">
        <f t="shared" si="292"/>
        <v>1645.0365215401682</v>
      </c>
      <c r="V503">
        <f t="shared" si="292"/>
        <v>1978.6289771195127</v>
      </c>
      <c r="W503">
        <f t="shared" si="292"/>
        <v>2292.8740102940387</v>
      </c>
      <c r="Y503" s="14">
        <f t="shared" si="285"/>
        <v>28827.954363388017</v>
      </c>
      <c r="Z503">
        <f t="shared" si="286"/>
        <v>2209.8474314249738</v>
      </c>
    </row>
    <row r="504" spans="1:26" x14ac:dyDescent="0.25">
      <c r="A504" t="s">
        <v>50</v>
      </c>
      <c r="D504">
        <f t="shared" ref="D504:W504" si="293">D42*D141</f>
        <v>1931.6225066566781</v>
      </c>
      <c r="E504">
        <f t="shared" si="293"/>
        <v>1607.643172988377</v>
      </c>
      <c r="F504">
        <f t="shared" si="293"/>
        <v>2001.3484532684797</v>
      </c>
      <c r="G504">
        <f t="shared" si="293"/>
        <v>1997.2212897603986</v>
      </c>
      <c r="H504">
        <f t="shared" si="293"/>
        <v>2006.8106385480592</v>
      </c>
      <c r="I504">
        <f t="shared" si="293"/>
        <v>1778.0097280161667</v>
      </c>
      <c r="J504">
        <f t="shared" si="293"/>
        <v>1914.4249865215133</v>
      </c>
      <c r="K504">
        <f t="shared" si="293"/>
        <v>1645.5452175301161</v>
      </c>
      <c r="L504">
        <f t="shared" si="293"/>
        <v>950.58355924453247</v>
      </c>
      <c r="M504">
        <f t="shared" si="293"/>
        <v>1599.2623199037582</v>
      </c>
      <c r="N504">
        <f t="shared" si="293"/>
        <v>1565.7937396593775</v>
      </c>
      <c r="O504">
        <f t="shared" si="293"/>
        <v>1571.1080502611794</v>
      </c>
      <c r="P504">
        <f t="shared" si="293"/>
        <v>1765.7900070065268</v>
      </c>
      <c r="Q504">
        <f t="shared" si="293"/>
        <v>1913.4209803458052</v>
      </c>
      <c r="R504">
        <f t="shared" si="293"/>
        <v>2013.3319028153803</v>
      </c>
      <c r="S504">
        <f t="shared" si="293"/>
        <v>2105.9477100306913</v>
      </c>
      <c r="T504">
        <f t="shared" si="293"/>
        <v>1938.0807972537689</v>
      </c>
      <c r="U504">
        <f t="shared" si="293"/>
        <v>1481.3264532557889</v>
      </c>
      <c r="V504">
        <f t="shared" si="293"/>
        <v>1330.2621726527259</v>
      </c>
      <c r="W504">
        <f t="shared" si="293"/>
        <v>2021.565127669533</v>
      </c>
      <c r="Y504" s="14">
        <f t="shared" si="285"/>
        <v>35139.09881338886</v>
      </c>
      <c r="Z504">
        <f t="shared" si="286"/>
        <v>2168.911699038526</v>
      </c>
    </row>
    <row r="505" spans="1:26" x14ac:dyDescent="0.25">
      <c r="A505" t="s">
        <v>51</v>
      </c>
      <c r="D505">
        <f t="shared" ref="D505:W505" si="294">D43*D142</f>
        <v>1667.4380017276851</v>
      </c>
      <c r="E505">
        <f t="shared" si="294"/>
        <v>1281.5146761568062</v>
      </c>
      <c r="F505">
        <f t="shared" si="294"/>
        <v>1415.4561126782501</v>
      </c>
      <c r="G505">
        <f t="shared" si="294"/>
        <v>1618.9729438099428</v>
      </c>
      <c r="H505">
        <f t="shared" si="294"/>
        <v>1547.4060213911916</v>
      </c>
      <c r="I505">
        <f t="shared" si="294"/>
        <v>1415.5624424762286</v>
      </c>
      <c r="J505">
        <f t="shared" si="294"/>
        <v>1515.1502633091063</v>
      </c>
      <c r="K505">
        <f t="shared" si="294"/>
        <v>1377.2690773098698</v>
      </c>
      <c r="L505">
        <f t="shared" si="294"/>
        <v>1300.3167149242088</v>
      </c>
      <c r="M505">
        <f t="shared" si="294"/>
        <v>977.14332625184875</v>
      </c>
      <c r="N505">
        <f t="shared" si="294"/>
        <v>1241.8138055219504</v>
      </c>
      <c r="O505">
        <f t="shared" si="294"/>
        <v>1007.4996218804289</v>
      </c>
      <c r="P505">
        <f t="shared" si="294"/>
        <v>1257.6326634558072</v>
      </c>
      <c r="Q505">
        <f t="shared" si="294"/>
        <v>1484.5949345097615</v>
      </c>
      <c r="R505">
        <f t="shared" si="294"/>
        <v>1447.1582738683546</v>
      </c>
      <c r="S505">
        <f t="shared" si="294"/>
        <v>1553.7614828518422</v>
      </c>
      <c r="T505">
        <f t="shared" si="294"/>
        <v>1650.7160158198021</v>
      </c>
      <c r="U505">
        <f t="shared" si="294"/>
        <v>1081.0138776442395</v>
      </c>
      <c r="V505">
        <f t="shared" si="294"/>
        <v>1029.8087698169006</v>
      </c>
      <c r="W505">
        <f t="shared" si="294"/>
        <v>1603.3398756283038</v>
      </c>
      <c r="Y505" s="14">
        <f t="shared" si="285"/>
        <v>27473.568901032526</v>
      </c>
      <c r="Z505">
        <f t="shared" si="286"/>
        <v>1989.957551285871</v>
      </c>
    </row>
    <row r="506" spans="1:26" x14ac:dyDescent="0.25">
      <c r="A506" t="s">
        <v>52</v>
      </c>
      <c r="D506">
        <f t="shared" ref="D506:W506" si="295">D44*D143</f>
        <v>1722.6937269421787</v>
      </c>
      <c r="E506">
        <f t="shared" si="295"/>
        <v>1343.6029041169813</v>
      </c>
      <c r="F506">
        <f t="shared" si="295"/>
        <v>1349.4700542231355</v>
      </c>
      <c r="G506">
        <f t="shared" si="295"/>
        <v>1536.3088941807493</v>
      </c>
      <c r="H506">
        <f t="shared" si="295"/>
        <v>1589.3148058198142</v>
      </c>
      <c r="I506">
        <f t="shared" si="295"/>
        <v>1888.6299305794985</v>
      </c>
      <c r="J506">
        <f t="shared" si="295"/>
        <v>1643.5279386542443</v>
      </c>
      <c r="K506">
        <f t="shared" si="295"/>
        <v>1879.1379723172438</v>
      </c>
      <c r="L506">
        <f t="shared" si="295"/>
        <v>1552.4735656195326</v>
      </c>
      <c r="M506">
        <f t="shared" si="295"/>
        <v>1543.9857484932559</v>
      </c>
      <c r="N506">
        <f t="shared" si="295"/>
        <v>1579.419076971325</v>
      </c>
      <c r="O506">
        <f t="shared" si="295"/>
        <v>1970.6400715679417</v>
      </c>
      <c r="P506">
        <f t="shared" si="295"/>
        <v>1423.8672120223973</v>
      </c>
      <c r="Q506">
        <f t="shared" si="295"/>
        <v>1411.7277360403641</v>
      </c>
      <c r="R506">
        <f t="shared" si="295"/>
        <v>1377.9630096701887</v>
      </c>
      <c r="S506">
        <f t="shared" si="295"/>
        <v>1577.973313851689</v>
      </c>
      <c r="T506">
        <f t="shared" si="295"/>
        <v>2063.7840259436603</v>
      </c>
      <c r="U506">
        <f t="shared" si="295"/>
        <v>2080.2588072076851</v>
      </c>
      <c r="V506">
        <f t="shared" si="295"/>
        <v>2187.2716659108037</v>
      </c>
      <c r="W506">
        <f t="shared" si="295"/>
        <v>2506.8638758120178</v>
      </c>
      <c r="Y506" s="14">
        <f t="shared" si="285"/>
        <v>34228.914335944704</v>
      </c>
      <c r="Z506">
        <f t="shared" si="286"/>
        <v>2333.7441567065753</v>
      </c>
    </row>
    <row r="507" spans="1:26" x14ac:dyDescent="0.25">
      <c r="A507" t="s">
        <v>53</v>
      </c>
      <c r="D507">
        <f t="shared" ref="D507:W507" si="296">D45*D144</f>
        <v>1791.4858654071259</v>
      </c>
      <c r="E507">
        <f t="shared" si="296"/>
        <v>1427.9636430339674</v>
      </c>
      <c r="F507">
        <f t="shared" si="296"/>
        <v>1380.6774836278016</v>
      </c>
      <c r="G507">
        <f t="shared" si="296"/>
        <v>1234.4743332839212</v>
      </c>
      <c r="H507">
        <f t="shared" si="296"/>
        <v>966.33532934639675</v>
      </c>
      <c r="I507">
        <f t="shared" si="296"/>
        <v>949.39367585595107</v>
      </c>
      <c r="J507">
        <f t="shared" si="296"/>
        <v>1273.0437068752778</v>
      </c>
      <c r="K507">
        <f t="shared" si="296"/>
        <v>1336.9698289127052</v>
      </c>
      <c r="L507">
        <f t="shared" si="296"/>
        <v>1040.8322967615052</v>
      </c>
      <c r="M507">
        <f t="shared" si="296"/>
        <v>1195.7181410572282</v>
      </c>
      <c r="N507">
        <f t="shared" si="296"/>
        <v>1020.6713146780684</v>
      </c>
      <c r="O507">
        <f t="shared" si="296"/>
        <v>1231.2670216640884</v>
      </c>
      <c r="P507">
        <f t="shared" si="296"/>
        <v>1082.9657112658354</v>
      </c>
      <c r="Q507">
        <f t="shared" si="296"/>
        <v>1006.2978479745082</v>
      </c>
      <c r="R507">
        <f t="shared" si="296"/>
        <v>1281.76898413187</v>
      </c>
      <c r="S507">
        <f t="shared" si="296"/>
        <v>1397.6195050721692</v>
      </c>
      <c r="T507">
        <f t="shared" si="296"/>
        <v>1272.3837385931008</v>
      </c>
      <c r="U507">
        <f t="shared" si="296"/>
        <v>1084.5056233775369</v>
      </c>
      <c r="V507">
        <f t="shared" si="296"/>
        <v>764.72913628912727</v>
      </c>
      <c r="W507">
        <f t="shared" si="296"/>
        <v>806.65142872547085</v>
      </c>
      <c r="Y507" s="14">
        <f t="shared" si="285"/>
        <v>23545.754615933656</v>
      </c>
      <c r="Z507">
        <f t="shared" si="286"/>
        <v>1718.6202602345124</v>
      </c>
    </row>
    <row r="508" spans="1:26" x14ac:dyDescent="0.25">
      <c r="A508" t="s">
        <v>54</v>
      </c>
      <c r="D508">
        <f t="shared" ref="D508:W508" si="297">D46*D145</f>
        <v>782.8996661339487</v>
      </c>
      <c r="E508">
        <f t="shared" si="297"/>
        <v>1086.4264278478063</v>
      </c>
      <c r="F508">
        <f t="shared" si="297"/>
        <v>1110.4260178155328</v>
      </c>
      <c r="G508">
        <f t="shared" si="297"/>
        <v>919.57708412870727</v>
      </c>
      <c r="H508">
        <f t="shared" si="297"/>
        <v>788.67093882351935</v>
      </c>
      <c r="I508">
        <f t="shared" si="297"/>
        <v>725.045009784576</v>
      </c>
      <c r="J508">
        <f t="shared" si="297"/>
        <v>831.99330833629972</v>
      </c>
      <c r="K508">
        <f t="shared" si="297"/>
        <v>782.90728389785113</v>
      </c>
      <c r="L508">
        <f t="shared" si="297"/>
        <v>667.31492540551847</v>
      </c>
      <c r="M508">
        <f t="shared" si="297"/>
        <v>732.80069908714881</v>
      </c>
      <c r="N508">
        <f t="shared" si="297"/>
        <v>814.89651844579225</v>
      </c>
      <c r="O508">
        <f t="shared" si="297"/>
        <v>808.63246581777503</v>
      </c>
      <c r="P508">
        <f t="shared" si="297"/>
        <v>865.36863338740875</v>
      </c>
      <c r="Q508">
        <f t="shared" si="297"/>
        <v>817.32684161656232</v>
      </c>
      <c r="R508">
        <f t="shared" si="297"/>
        <v>743.74054045452499</v>
      </c>
      <c r="S508">
        <f t="shared" si="297"/>
        <v>740.8281661248019</v>
      </c>
      <c r="T508">
        <f t="shared" si="297"/>
        <v>833.85960891660682</v>
      </c>
      <c r="U508">
        <f t="shared" si="297"/>
        <v>1029.3110985462101</v>
      </c>
      <c r="V508">
        <f t="shared" si="297"/>
        <v>801.23405461144716</v>
      </c>
      <c r="W508">
        <f t="shared" si="297"/>
        <v>930.26723666470264</v>
      </c>
      <c r="Y508" s="14">
        <f t="shared" si="285"/>
        <v>16813.526525846741</v>
      </c>
      <c r="Z508">
        <f t="shared" si="286"/>
        <v>986.38576683954227</v>
      </c>
    </row>
    <row r="509" spans="1:26" x14ac:dyDescent="0.25">
      <c r="A509" t="s">
        <v>55</v>
      </c>
      <c r="D509">
        <f t="shared" ref="D509:W509" si="298">D47*D146</f>
        <v>1141.9320921379908</v>
      </c>
      <c r="E509">
        <f t="shared" si="298"/>
        <v>933.86088872008304</v>
      </c>
      <c r="F509">
        <f t="shared" si="298"/>
        <v>732.75056479992065</v>
      </c>
      <c r="G509">
        <f t="shared" si="298"/>
        <v>833.9496377924246</v>
      </c>
      <c r="H509">
        <f t="shared" si="298"/>
        <v>642.31826530315402</v>
      </c>
      <c r="I509">
        <f t="shared" si="298"/>
        <v>630.92268244162699</v>
      </c>
      <c r="J509">
        <f t="shared" si="298"/>
        <v>599.35621475334381</v>
      </c>
      <c r="K509">
        <f t="shared" si="298"/>
        <v>614.9877468878052</v>
      </c>
      <c r="L509">
        <f t="shared" si="298"/>
        <v>618.73726973226508</v>
      </c>
      <c r="M509">
        <f t="shared" si="298"/>
        <v>910.20876524605933</v>
      </c>
      <c r="N509">
        <f t="shared" si="298"/>
        <v>1002.5768454328443</v>
      </c>
      <c r="O509">
        <f t="shared" si="298"/>
        <v>1246.4954487156119</v>
      </c>
      <c r="P509">
        <f t="shared" si="298"/>
        <v>722.85501519242666</v>
      </c>
      <c r="Q509">
        <f t="shared" si="298"/>
        <v>820.8492499463581</v>
      </c>
      <c r="R509">
        <f t="shared" si="298"/>
        <v>729.13521289903883</v>
      </c>
      <c r="S509">
        <f t="shared" si="298"/>
        <v>683.49036570784813</v>
      </c>
      <c r="T509">
        <f t="shared" si="298"/>
        <v>651.13212685588644</v>
      </c>
      <c r="U509">
        <f t="shared" si="298"/>
        <v>717.16277851721702</v>
      </c>
      <c r="V509">
        <f t="shared" si="298"/>
        <v>749.62445769495218</v>
      </c>
      <c r="W509">
        <f t="shared" si="298"/>
        <v>1357.6348944346209</v>
      </c>
      <c r="Y509" s="14">
        <f t="shared" si="285"/>
        <v>16339.980523211476</v>
      </c>
      <c r="Z509">
        <f t="shared" si="286"/>
        <v>1103.5791958350794</v>
      </c>
    </row>
    <row r="510" spans="1:26" x14ac:dyDescent="0.25">
      <c r="A510" t="s">
        <v>56</v>
      </c>
      <c r="D510">
        <f t="shared" ref="D510:W510" si="299">D48*D147</f>
        <v>1565.9531657798425</v>
      </c>
      <c r="E510">
        <f t="shared" si="299"/>
        <v>1133.5909508148156</v>
      </c>
      <c r="F510">
        <f t="shared" si="299"/>
        <v>881.43640938360818</v>
      </c>
      <c r="G510">
        <f t="shared" si="299"/>
        <v>1007.5410000805866</v>
      </c>
      <c r="H510">
        <f t="shared" si="299"/>
        <v>796.43039902402609</v>
      </c>
      <c r="I510">
        <f t="shared" si="299"/>
        <v>992.88041441499161</v>
      </c>
      <c r="J510">
        <f t="shared" si="299"/>
        <v>1192.7630816907551</v>
      </c>
      <c r="K510">
        <f t="shared" si="299"/>
        <v>1152.2660860820613</v>
      </c>
      <c r="L510">
        <f t="shared" si="299"/>
        <v>919.15069334987709</v>
      </c>
      <c r="M510">
        <f t="shared" si="299"/>
        <v>1008.0799688291075</v>
      </c>
      <c r="N510">
        <f t="shared" si="299"/>
        <v>1632.0847522864049</v>
      </c>
      <c r="O510">
        <f t="shared" si="299"/>
        <v>1331.5542737248959</v>
      </c>
      <c r="P510">
        <f t="shared" si="299"/>
        <v>1466.9709672266597</v>
      </c>
      <c r="Q510">
        <f t="shared" si="299"/>
        <v>1463.1799653552189</v>
      </c>
      <c r="R510">
        <f t="shared" si="299"/>
        <v>800.30448299563193</v>
      </c>
      <c r="S510">
        <f t="shared" si="299"/>
        <v>1058.5880408312123</v>
      </c>
      <c r="T510">
        <f t="shared" si="299"/>
        <v>1295.836687493415</v>
      </c>
      <c r="U510">
        <f t="shared" si="299"/>
        <v>815.70246736237254</v>
      </c>
      <c r="V510">
        <f t="shared" si="299"/>
        <v>813.26617036966661</v>
      </c>
      <c r="W510">
        <f t="shared" si="299"/>
        <v>1058.5880408312123</v>
      </c>
      <c r="Y510" s="14">
        <f t="shared" si="285"/>
        <v>22386.168017926357</v>
      </c>
      <c r="Z510">
        <f t="shared" si="286"/>
        <v>1443.8399456797567</v>
      </c>
    </row>
    <row r="511" spans="1:26" x14ac:dyDescent="0.25">
      <c r="A511" t="s">
        <v>57</v>
      </c>
      <c r="D511">
        <f t="shared" ref="D511:W511" si="300">D49*D148</f>
        <v>1242.6649126768491</v>
      </c>
      <c r="E511">
        <f t="shared" si="300"/>
        <v>1278.2622915807569</v>
      </c>
      <c r="F511">
        <f t="shared" si="300"/>
        <v>1526.8377116082047</v>
      </c>
      <c r="G511">
        <f t="shared" si="300"/>
        <v>1373.6202090674849</v>
      </c>
      <c r="H511">
        <f t="shared" si="300"/>
        <v>1245.0055067467497</v>
      </c>
      <c r="I511">
        <f t="shared" si="300"/>
        <v>884.09751460480186</v>
      </c>
      <c r="J511">
        <f t="shared" si="300"/>
        <v>855.53990775480997</v>
      </c>
      <c r="K511">
        <f t="shared" si="300"/>
        <v>1090.407143685663</v>
      </c>
      <c r="L511">
        <f t="shared" si="300"/>
        <v>637.55660422003666</v>
      </c>
      <c r="M511">
        <f t="shared" si="300"/>
        <v>986.88665692171787</v>
      </c>
      <c r="N511">
        <f t="shared" si="300"/>
        <v>878.74039691817791</v>
      </c>
      <c r="O511">
        <f t="shared" si="300"/>
        <v>948.92975833730657</v>
      </c>
      <c r="P511">
        <f t="shared" si="300"/>
        <v>1052.8168224390333</v>
      </c>
      <c r="Q511">
        <f t="shared" si="300"/>
        <v>1042.6940292555255</v>
      </c>
      <c r="R511">
        <f t="shared" si="300"/>
        <v>1317.5775409040668</v>
      </c>
      <c r="S511">
        <f t="shared" si="300"/>
        <v>1186.8249833676325</v>
      </c>
      <c r="T511">
        <f t="shared" si="300"/>
        <v>1189.0652863538671</v>
      </c>
      <c r="U511">
        <f t="shared" si="300"/>
        <v>1111.0870571862863</v>
      </c>
      <c r="V511">
        <f t="shared" si="300"/>
        <v>1532.2727332667287</v>
      </c>
      <c r="W511">
        <f t="shared" si="300"/>
        <v>1641.3801483600703</v>
      </c>
      <c r="Y511" s="14">
        <f t="shared" si="285"/>
        <v>23022.267215255768</v>
      </c>
      <c r="Z511">
        <f t="shared" si="286"/>
        <v>1441.7791182617943</v>
      </c>
    </row>
    <row r="512" spans="1:26" x14ac:dyDescent="0.25">
      <c r="A512" t="s">
        <v>58</v>
      </c>
      <c r="D512">
        <f t="shared" ref="D512:W512" si="301">D50*D149</f>
        <v>866.93593787491216</v>
      </c>
      <c r="E512">
        <f t="shared" si="301"/>
        <v>1057.9058665068858</v>
      </c>
      <c r="F512">
        <f t="shared" si="301"/>
        <v>602.2581569476248</v>
      </c>
      <c r="G512">
        <f t="shared" si="301"/>
        <v>772.64907582991839</v>
      </c>
      <c r="H512">
        <f t="shared" si="301"/>
        <v>833.14999066870701</v>
      </c>
      <c r="I512">
        <f t="shared" si="301"/>
        <v>490.25928381473847</v>
      </c>
      <c r="J512">
        <f t="shared" si="301"/>
        <v>844.33000712633566</v>
      </c>
      <c r="K512">
        <f t="shared" si="301"/>
        <v>778.09546236754113</v>
      </c>
      <c r="L512">
        <f t="shared" si="301"/>
        <v>679.28149602838664</v>
      </c>
      <c r="M512">
        <f t="shared" si="301"/>
        <v>535.10358059073519</v>
      </c>
      <c r="N512">
        <f t="shared" si="301"/>
        <v>725.87233886301271</v>
      </c>
      <c r="O512">
        <f t="shared" si="301"/>
        <v>664.72676791934987</v>
      </c>
      <c r="P512">
        <f t="shared" si="301"/>
        <v>842.47491861981734</v>
      </c>
      <c r="Q512">
        <f t="shared" si="301"/>
        <v>686.6814737800479</v>
      </c>
      <c r="R512">
        <f t="shared" si="301"/>
        <v>456.74790604494871</v>
      </c>
      <c r="S512">
        <f t="shared" si="301"/>
        <v>607.16530982535926</v>
      </c>
      <c r="T512">
        <f t="shared" si="301"/>
        <v>598.1219328000642</v>
      </c>
      <c r="U512">
        <f t="shared" si="301"/>
        <v>548.52931969723238</v>
      </c>
      <c r="V512">
        <f t="shared" si="301"/>
        <v>442.09785579794999</v>
      </c>
      <c r="W512">
        <f t="shared" si="301"/>
        <v>514.77992089467193</v>
      </c>
      <c r="Y512" s="14">
        <f t="shared" si="285"/>
        <v>13547.166601998242</v>
      </c>
      <c r="Z512">
        <f t="shared" si="286"/>
        <v>992.94440219417959</v>
      </c>
    </row>
    <row r="513" spans="1:26" x14ac:dyDescent="0.25">
      <c r="A513" t="s">
        <v>59</v>
      </c>
      <c r="D513">
        <f t="shared" ref="D513:W513" si="302">D51*D150</f>
        <v>848.99393278152468</v>
      </c>
      <c r="E513">
        <f t="shared" si="302"/>
        <v>960.00421452488354</v>
      </c>
      <c r="F513">
        <f t="shared" si="302"/>
        <v>572.45142770776113</v>
      </c>
      <c r="G513">
        <f t="shared" si="302"/>
        <v>796.83138363417959</v>
      </c>
      <c r="H513">
        <f t="shared" si="302"/>
        <v>577.67358671739021</v>
      </c>
      <c r="I513">
        <f t="shared" si="302"/>
        <v>402.17828788538338</v>
      </c>
      <c r="J513">
        <f t="shared" si="302"/>
        <v>315.33651366310147</v>
      </c>
      <c r="K513">
        <f t="shared" si="302"/>
        <v>440.4892039105178</v>
      </c>
      <c r="L513">
        <f t="shared" si="302"/>
        <v>411.55255799688433</v>
      </c>
      <c r="M513">
        <f t="shared" si="302"/>
        <v>850.02942226445384</v>
      </c>
      <c r="N513">
        <f t="shared" si="302"/>
        <v>714.33924896825158</v>
      </c>
      <c r="O513">
        <f t="shared" si="302"/>
        <v>684.88224309725854</v>
      </c>
      <c r="P513">
        <f t="shared" si="302"/>
        <v>647.1410191640291</v>
      </c>
      <c r="Q513">
        <f t="shared" si="302"/>
        <v>713.40534869821931</v>
      </c>
      <c r="R513">
        <f t="shared" si="302"/>
        <v>876.0044668273747</v>
      </c>
      <c r="S513">
        <f t="shared" si="302"/>
        <v>883.5990200683035</v>
      </c>
      <c r="T513">
        <f t="shared" si="302"/>
        <v>621.07001423184329</v>
      </c>
      <c r="U513">
        <f t="shared" si="302"/>
        <v>579.2988497571888</v>
      </c>
      <c r="V513">
        <f t="shared" si="302"/>
        <v>953.86367050669935</v>
      </c>
      <c r="W513">
        <f t="shared" si="302"/>
        <v>573.12386879487576</v>
      </c>
      <c r="Y513" s="14">
        <f t="shared" si="285"/>
        <v>13422.268281200126</v>
      </c>
      <c r="Z513">
        <f t="shared" si="286"/>
        <v>700.7155560430989</v>
      </c>
    </row>
    <row r="514" spans="1:26" x14ac:dyDescent="0.25">
      <c r="A514" t="s">
        <v>60</v>
      </c>
      <c r="D514">
        <f t="shared" ref="D514:W514" si="303">D52*D151</f>
        <v>598.57599000254322</v>
      </c>
      <c r="E514">
        <f t="shared" si="303"/>
        <v>485.29187247547299</v>
      </c>
      <c r="F514">
        <f t="shared" si="303"/>
        <v>567.25586491451418</v>
      </c>
      <c r="G514">
        <f t="shared" si="303"/>
        <v>452.94330649859722</v>
      </c>
      <c r="H514">
        <f t="shared" si="303"/>
        <v>590.5464610394431</v>
      </c>
      <c r="I514">
        <f t="shared" si="303"/>
        <v>661.16948092013263</v>
      </c>
      <c r="J514">
        <f t="shared" si="303"/>
        <v>540.62500578608069</v>
      </c>
      <c r="K514">
        <f t="shared" si="303"/>
        <v>703.55203435837348</v>
      </c>
      <c r="L514">
        <f t="shared" si="303"/>
        <v>237.21505418710686</v>
      </c>
      <c r="M514">
        <f t="shared" si="303"/>
        <v>755.49426077786552</v>
      </c>
      <c r="N514">
        <f t="shared" si="303"/>
        <v>474.53404751423648</v>
      </c>
      <c r="O514">
        <f t="shared" si="303"/>
        <v>720.92906414873664</v>
      </c>
      <c r="P514">
        <f t="shared" si="303"/>
        <v>526.86139507005794</v>
      </c>
      <c r="Q514">
        <f t="shared" si="303"/>
        <v>498.48631318601929</v>
      </c>
      <c r="R514">
        <f t="shared" si="303"/>
        <v>446.34477403709258</v>
      </c>
      <c r="S514">
        <f t="shared" si="303"/>
        <v>567.93799926636996</v>
      </c>
      <c r="T514">
        <f t="shared" si="303"/>
        <v>457.81607169905755</v>
      </c>
      <c r="U514">
        <f t="shared" si="303"/>
        <v>571.73960803338798</v>
      </c>
      <c r="V514">
        <f t="shared" si="303"/>
        <v>1007.12020603705</v>
      </c>
      <c r="W514">
        <f t="shared" si="303"/>
        <v>635.64760040040073</v>
      </c>
      <c r="Y514" s="14">
        <f t="shared" si="285"/>
        <v>11500.086410352538</v>
      </c>
      <c r="Z514">
        <f t="shared" si="286"/>
        <v>696.77271992656733</v>
      </c>
    </row>
    <row r="515" spans="1:26" x14ac:dyDescent="0.25">
      <c r="A515" t="s">
        <v>61</v>
      </c>
      <c r="D515">
        <f t="shared" ref="D515:W515" si="304">D53*D152</f>
        <v>888.57197792673503</v>
      </c>
      <c r="E515">
        <f t="shared" si="304"/>
        <v>1157.6088199323879</v>
      </c>
      <c r="F515">
        <f t="shared" si="304"/>
        <v>1068.7843891346286</v>
      </c>
      <c r="G515">
        <f t="shared" si="304"/>
        <v>1171.4823602550366</v>
      </c>
      <c r="H515">
        <f t="shared" si="304"/>
        <v>1096.385564174285</v>
      </c>
      <c r="I515">
        <f t="shared" si="304"/>
        <v>1340.5407883160005</v>
      </c>
      <c r="J515">
        <f t="shared" si="304"/>
        <v>1219.4199900381154</v>
      </c>
      <c r="K515">
        <f t="shared" si="304"/>
        <v>881.11911570191648</v>
      </c>
      <c r="L515">
        <f t="shared" si="304"/>
        <v>1087.0437411391147</v>
      </c>
      <c r="M515">
        <f t="shared" si="304"/>
        <v>1018.7874165926024</v>
      </c>
      <c r="N515">
        <f t="shared" si="304"/>
        <v>849.58826287122895</v>
      </c>
      <c r="O515">
        <f t="shared" si="304"/>
        <v>972.69184501318068</v>
      </c>
      <c r="P515">
        <f t="shared" si="304"/>
        <v>1273.1927040786259</v>
      </c>
      <c r="Q515">
        <f t="shared" si="304"/>
        <v>1286.9892853948836</v>
      </c>
      <c r="R515">
        <f t="shared" si="304"/>
        <v>1201.4625468848083</v>
      </c>
      <c r="S515">
        <f t="shared" si="304"/>
        <v>1150.2640589599298</v>
      </c>
      <c r="T515">
        <f t="shared" si="304"/>
        <v>996.17844153974306</v>
      </c>
      <c r="U515">
        <f t="shared" si="304"/>
        <v>1136.3508149395584</v>
      </c>
      <c r="V515">
        <f t="shared" si="304"/>
        <v>1022.7051659995238</v>
      </c>
      <c r="W515">
        <f t="shared" si="304"/>
        <v>1042.9418295693845</v>
      </c>
      <c r="Y515" s="14">
        <f t="shared" si="285"/>
        <v>21862.109118461685</v>
      </c>
      <c r="Z515">
        <f t="shared" si="286"/>
        <v>1292.6038349231362</v>
      </c>
    </row>
    <row r="516" spans="1:26" x14ac:dyDescent="0.25">
      <c r="A516" t="s">
        <v>62</v>
      </c>
      <c r="D516">
        <f t="shared" ref="D516:W516" si="305">D54*D153</f>
        <v>1634.632150078128</v>
      </c>
      <c r="E516">
        <f t="shared" si="305"/>
        <v>835.55014102009068</v>
      </c>
      <c r="F516">
        <f t="shared" si="305"/>
        <v>945.74863703139306</v>
      </c>
      <c r="G516">
        <f t="shared" si="305"/>
        <v>982.99426242910022</v>
      </c>
      <c r="H516">
        <f t="shared" si="305"/>
        <v>1349.9881606935619</v>
      </c>
      <c r="I516">
        <f t="shared" si="305"/>
        <v>1459.4211221562482</v>
      </c>
      <c r="J516">
        <f t="shared" si="305"/>
        <v>1559.9464178931464</v>
      </c>
      <c r="K516">
        <f t="shared" si="305"/>
        <v>1275.9041135063476</v>
      </c>
      <c r="L516">
        <f t="shared" si="305"/>
        <v>1474.8011901458967</v>
      </c>
      <c r="M516">
        <f t="shared" si="305"/>
        <v>1309.4472259867493</v>
      </c>
      <c r="N516">
        <f t="shared" si="305"/>
        <v>1182.7300503768697</v>
      </c>
      <c r="O516">
        <f t="shared" si="305"/>
        <v>1224.8037962073292</v>
      </c>
      <c r="P516">
        <f t="shared" si="305"/>
        <v>894.35968525118074</v>
      </c>
      <c r="Q516">
        <f t="shared" si="305"/>
        <v>838.90850043175465</v>
      </c>
      <c r="R516">
        <f t="shared" si="305"/>
        <v>672.67496174356882</v>
      </c>
      <c r="S516">
        <f t="shared" si="305"/>
        <v>1031.3743751158181</v>
      </c>
      <c r="T516">
        <f t="shared" si="305"/>
        <v>1204.021598783381</v>
      </c>
      <c r="U516">
        <f t="shared" si="305"/>
        <v>937.01424259603334</v>
      </c>
      <c r="V516">
        <f t="shared" si="305"/>
        <v>866.52326163942359</v>
      </c>
      <c r="W516">
        <f t="shared" si="305"/>
        <v>1009.6685572378111</v>
      </c>
      <c r="Y516" s="14">
        <f t="shared" si="285"/>
        <v>22690.512450323826</v>
      </c>
      <c r="Z516">
        <f t="shared" si="286"/>
        <v>1940.922551712986</v>
      </c>
    </row>
    <row r="517" spans="1:26" x14ac:dyDescent="0.25">
      <c r="A517" t="s">
        <v>63</v>
      </c>
      <c r="D517">
        <f t="shared" ref="D517:W517" si="306">D55*D154</f>
        <v>822.95739509791338</v>
      </c>
      <c r="E517">
        <f t="shared" si="306"/>
        <v>1020.8107183732895</v>
      </c>
      <c r="F517">
        <f t="shared" si="306"/>
        <v>992.64535804337879</v>
      </c>
      <c r="G517">
        <f t="shared" si="306"/>
        <v>1001.311457742726</v>
      </c>
      <c r="H517">
        <f t="shared" si="306"/>
        <v>876.40898166812201</v>
      </c>
      <c r="I517">
        <f t="shared" si="306"/>
        <v>1012.9389458080697</v>
      </c>
      <c r="J517">
        <f t="shared" si="306"/>
        <v>1278.3028870122985</v>
      </c>
      <c r="K517">
        <f t="shared" si="306"/>
        <v>1149.5609153124876</v>
      </c>
      <c r="L517">
        <f t="shared" si="306"/>
        <v>916.83876670375764</v>
      </c>
      <c r="M517">
        <f t="shared" si="306"/>
        <v>1035.4950517339437</v>
      </c>
      <c r="N517">
        <f t="shared" si="306"/>
        <v>1210.6628637926781</v>
      </c>
      <c r="O517">
        <f t="shared" si="306"/>
        <v>1318.3643233199668</v>
      </c>
      <c r="P517">
        <f t="shared" si="306"/>
        <v>1019.8636941295271</v>
      </c>
      <c r="Q517">
        <f t="shared" si="306"/>
        <v>1189.9101714960211</v>
      </c>
      <c r="R517">
        <f t="shared" si="306"/>
        <v>1468.685575541318</v>
      </c>
      <c r="S517">
        <f t="shared" si="306"/>
        <v>1462.6479358366298</v>
      </c>
      <c r="T517">
        <f t="shared" si="306"/>
        <v>970.56610218461651</v>
      </c>
      <c r="U517">
        <f t="shared" si="306"/>
        <v>664.61522433460698</v>
      </c>
      <c r="V517">
        <f t="shared" si="306"/>
        <v>858.92061273905176</v>
      </c>
      <c r="W517">
        <f t="shared" si="306"/>
        <v>907.78502528183856</v>
      </c>
      <c r="Y517" s="14">
        <f t="shared" si="285"/>
        <v>21179.292006152245</v>
      </c>
      <c r="Z517">
        <f t="shared" si="286"/>
        <v>1110.2868232253018</v>
      </c>
    </row>
    <row r="518" spans="1:26" x14ac:dyDescent="0.25">
      <c r="A518" t="s">
        <v>64</v>
      </c>
      <c r="D518">
        <f t="shared" ref="D518:W518" si="307">D56*D155</f>
        <v>795.74776422871105</v>
      </c>
      <c r="E518">
        <f t="shared" si="307"/>
        <v>1367.2746075100497</v>
      </c>
      <c r="F518">
        <f t="shared" si="307"/>
        <v>1993.0125502061121</v>
      </c>
      <c r="G518">
        <f t="shared" si="307"/>
        <v>1064.9091495038981</v>
      </c>
      <c r="H518">
        <f t="shared" si="307"/>
        <v>1031.1614237050901</v>
      </c>
      <c r="I518">
        <f t="shared" si="307"/>
        <v>1066.5776921252614</v>
      </c>
      <c r="J518">
        <f t="shared" si="307"/>
        <v>1152.2848085569631</v>
      </c>
      <c r="K518">
        <f t="shared" si="307"/>
        <v>1157.3036468011233</v>
      </c>
      <c r="L518">
        <f t="shared" si="307"/>
        <v>1067.2136241405381</v>
      </c>
      <c r="M518">
        <f t="shared" si="307"/>
        <v>884.82502885182191</v>
      </c>
      <c r="N518">
        <f t="shared" si="307"/>
        <v>938.32286284691656</v>
      </c>
      <c r="O518">
        <f t="shared" si="307"/>
        <v>986.25431692194036</v>
      </c>
      <c r="P518">
        <f t="shared" si="307"/>
        <v>973.80279965647026</v>
      </c>
      <c r="Q518">
        <f t="shared" si="307"/>
        <v>1218.5492671342029</v>
      </c>
      <c r="R518">
        <f t="shared" si="307"/>
        <v>1151.1809790960779</v>
      </c>
      <c r="S518">
        <f t="shared" si="307"/>
        <v>680.60190201132582</v>
      </c>
      <c r="T518">
        <f t="shared" si="307"/>
        <v>918.9203326376919</v>
      </c>
      <c r="U518">
        <f t="shared" si="307"/>
        <v>962.33151055350106</v>
      </c>
      <c r="V518">
        <f t="shared" si="307"/>
        <v>1401.2116527412377</v>
      </c>
      <c r="W518">
        <f t="shared" si="307"/>
        <v>1028.5557718396976</v>
      </c>
      <c r="Y518" s="14">
        <f t="shared" si="285"/>
        <v>21840.041691068633</v>
      </c>
      <c r="Z518">
        <f t="shared" si="286"/>
        <v>1215.7841401763901</v>
      </c>
    </row>
    <row r="519" spans="1:26" x14ac:dyDescent="0.25">
      <c r="A519" t="s">
        <v>65</v>
      </c>
      <c r="D519">
        <f t="shared" ref="D519:W519" si="308">D57*D156</f>
        <v>1047.6524101598841</v>
      </c>
      <c r="E519">
        <f t="shared" si="308"/>
        <v>1540.1159722276007</v>
      </c>
      <c r="F519">
        <f t="shared" si="308"/>
        <v>1638.7709728611176</v>
      </c>
      <c r="G519">
        <f t="shared" si="308"/>
        <v>1857.064759074738</v>
      </c>
      <c r="H519">
        <f t="shared" si="308"/>
        <v>1612.383217355062</v>
      </c>
      <c r="I519">
        <f t="shared" si="308"/>
        <v>1158.2985963164035</v>
      </c>
      <c r="J519">
        <f t="shared" si="308"/>
        <v>701.68240119075881</v>
      </c>
      <c r="K519">
        <f t="shared" si="308"/>
        <v>1191.6717632830912</v>
      </c>
      <c r="L519">
        <f t="shared" si="308"/>
        <v>1171.4369738424184</v>
      </c>
      <c r="M519">
        <f t="shared" si="308"/>
        <v>610.45037268755368</v>
      </c>
      <c r="N519">
        <f t="shared" si="308"/>
        <v>807.26281224938634</v>
      </c>
      <c r="O519">
        <f t="shared" si="308"/>
        <v>929.04741631497734</v>
      </c>
      <c r="P519">
        <f t="shared" si="308"/>
        <v>961.99616143193998</v>
      </c>
      <c r="Q519">
        <f t="shared" si="308"/>
        <v>790.73319289301071</v>
      </c>
      <c r="R519">
        <f t="shared" si="308"/>
        <v>790.85967709744159</v>
      </c>
      <c r="S519">
        <f t="shared" si="308"/>
        <v>941.04112336447599</v>
      </c>
      <c r="T519">
        <f t="shared" si="308"/>
        <v>824.05278178911976</v>
      </c>
      <c r="U519">
        <f t="shared" si="308"/>
        <v>982.65335767076908</v>
      </c>
      <c r="V519">
        <f t="shared" si="308"/>
        <v>1371.3163014794866</v>
      </c>
      <c r="W519">
        <f t="shared" si="308"/>
        <v>1626.4570521432026</v>
      </c>
      <c r="Y519" s="14">
        <f t="shared" si="285"/>
        <v>22554.947315432441</v>
      </c>
      <c r="Z519">
        <f t="shared" si="286"/>
        <v>1786.0842481588543</v>
      </c>
    </row>
    <row r="520" spans="1:26" x14ac:dyDescent="0.25">
      <c r="A520" t="s">
        <v>66</v>
      </c>
      <c r="D520">
        <f t="shared" ref="D520:W520" si="309">D58*D157</f>
        <v>1642.9148153447989</v>
      </c>
      <c r="E520">
        <f t="shared" si="309"/>
        <v>1378.0927016366957</v>
      </c>
      <c r="F520">
        <f t="shared" si="309"/>
        <v>1431.7520658524616</v>
      </c>
      <c r="G520">
        <f t="shared" si="309"/>
        <v>1389.7510031648712</v>
      </c>
      <c r="H520">
        <f t="shared" si="309"/>
        <v>1238.4527993080412</v>
      </c>
      <c r="I520">
        <f t="shared" si="309"/>
        <v>1298.4678232714905</v>
      </c>
      <c r="J520">
        <f t="shared" si="309"/>
        <v>1264.6010524414512</v>
      </c>
      <c r="K520">
        <f t="shared" si="309"/>
        <v>1239.4834354413022</v>
      </c>
      <c r="L520">
        <f t="shared" si="309"/>
        <v>1023.0316011046835</v>
      </c>
      <c r="M520">
        <f t="shared" si="309"/>
        <v>1391.8620918395322</v>
      </c>
      <c r="N520">
        <f t="shared" si="309"/>
        <v>1634.8713179258878</v>
      </c>
      <c r="O520">
        <f t="shared" si="309"/>
        <v>1449.272534837489</v>
      </c>
      <c r="P520">
        <f t="shared" si="309"/>
        <v>1412.7271946670219</v>
      </c>
      <c r="Q520">
        <f t="shared" si="309"/>
        <v>1392.3856530622545</v>
      </c>
      <c r="R520">
        <f t="shared" si="309"/>
        <v>1361.8999219747607</v>
      </c>
      <c r="S520">
        <f t="shared" si="309"/>
        <v>1356.1745292945452</v>
      </c>
      <c r="T520">
        <f t="shared" si="309"/>
        <v>1176.3107077519107</v>
      </c>
      <c r="U520">
        <f t="shared" si="309"/>
        <v>1485.3235158100849</v>
      </c>
      <c r="V520">
        <f t="shared" si="309"/>
        <v>1426.0049899863761</v>
      </c>
      <c r="W520">
        <f t="shared" si="309"/>
        <v>1731.9235699008163</v>
      </c>
      <c r="Y520" s="14">
        <f t="shared" si="285"/>
        <v>27725.303324616474</v>
      </c>
      <c r="Z520">
        <f t="shared" si="286"/>
        <v>1757.3798196219338</v>
      </c>
    </row>
    <row r="521" spans="1:26" x14ac:dyDescent="0.25">
      <c r="Y521" s="14"/>
    </row>
    <row r="522" spans="1:26" x14ac:dyDescent="0.25">
      <c r="A522" t="s">
        <v>67</v>
      </c>
      <c r="D522">
        <f t="shared" ref="D522:W522" si="310">D60*D159</f>
        <v>1826.7518163378279</v>
      </c>
      <c r="E522">
        <f t="shared" si="310"/>
        <v>1530.9367330701414</v>
      </c>
      <c r="F522">
        <f t="shared" si="310"/>
        <v>1567.8414462156306</v>
      </c>
      <c r="G522">
        <f t="shared" si="310"/>
        <v>1652.9058808697819</v>
      </c>
      <c r="H522">
        <f t="shared" si="310"/>
        <v>1570.0740050399988</v>
      </c>
      <c r="I522">
        <f t="shared" si="310"/>
        <v>1690.7316924493</v>
      </c>
      <c r="J522">
        <f t="shared" si="310"/>
        <v>1584.1780468373795</v>
      </c>
      <c r="K522">
        <f t="shared" si="310"/>
        <v>1588.951123741469</v>
      </c>
      <c r="L522">
        <f t="shared" si="310"/>
        <v>1193.3540998911512</v>
      </c>
      <c r="M522">
        <f t="shared" si="310"/>
        <v>883.49342362900836</v>
      </c>
      <c r="N522">
        <f t="shared" si="310"/>
        <v>928.53251756268821</v>
      </c>
      <c r="O522">
        <f t="shared" si="310"/>
        <v>896.3267107880456</v>
      </c>
      <c r="P522">
        <f t="shared" si="310"/>
        <v>904.10366150480797</v>
      </c>
      <c r="Q522">
        <f t="shared" si="310"/>
        <v>965.20698539345642</v>
      </c>
      <c r="R522">
        <f t="shared" si="310"/>
        <v>971.1566793638375</v>
      </c>
      <c r="S522">
        <f t="shared" si="310"/>
        <v>989.2530637727217</v>
      </c>
      <c r="T522">
        <f t="shared" si="310"/>
        <v>801.86075028082575</v>
      </c>
      <c r="U522">
        <f t="shared" si="310"/>
        <v>827.45389595438485</v>
      </c>
      <c r="V522">
        <f t="shared" si="310"/>
        <v>1074.3249081862759</v>
      </c>
      <c r="W522">
        <f t="shared" si="310"/>
        <v>1018.8169140973959</v>
      </c>
      <c r="Y522" s="14">
        <f t="shared" si="285"/>
        <v>24466.254354986126</v>
      </c>
      <c r="Z522">
        <f>SUMPRODUCT($D$526:$W$526,D522:W522)</f>
        <v>2209.957197231191</v>
      </c>
    </row>
    <row r="523" spans="1:26" x14ac:dyDescent="0.25">
      <c r="A523" t="s">
        <v>311</v>
      </c>
      <c r="D523">
        <f t="shared" ref="D523:W523" si="311">D61*D160</f>
        <v>1557.8285714285714</v>
      </c>
      <c r="E523">
        <f t="shared" si="311"/>
        <v>1447.8714285714286</v>
      </c>
      <c r="F523">
        <f t="shared" si="311"/>
        <v>1258.034693877551</v>
      </c>
      <c r="G523">
        <f t="shared" si="311"/>
        <v>1130.6632653061224</v>
      </c>
      <c r="H523">
        <f t="shared" si="311"/>
        <v>1337.6346938775509</v>
      </c>
      <c r="I523">
        <f t="shared" si="311"/>
        <v>1227.2795918367347</v>
      </c>
      <c r="J523">
        <f t="shared" si="311"/>
        <v>1135.2</v>
      </c>
      <c r="K523">
        <f t="shared" si="311"/>
        <v>1133.4387755102041</v>
      </c>
      <c r="L523">
        <f t="shared" si="311"/>
        <v>1193.6546874999999</v>
      </c>
      <c r="M523">
        <f t="shared" si="311"/>
        <v>1383.3653061224493</v>
      </c>
      <c r="N523">
        <f t="shared" si="311"/>
        <v>1285.436734693878</v>
      </c>
      <c r="O523">
        <f t="shared" si="311"/>
        <v>1103.4000000000001</v>
      </c>
      <c r="P523">
        <f t="shared" si="311"/>
        <v>1284.216017533852</v>
      </c>
      <c r="Q523">
        <f t="shared" si="311"/>
        <v>1322.2993036318294</v>
      </c>
      <c r="R523">
        <f t="shared" si="311"/>
        <v>1206.5824156925562</v>
      </c>
      <c r="S523">
        <f t="shared" si="311"/>
        <v>1258.724227618231</v>
      </c>
      <c r="T523">
        <f t="shared" si="311"/>
        <v>853.65000000000009</v>
      </c>
      <c r="U523">
        <f t="shared" si="311"/>
        <v>778.1</v>
      </c>
      <c r="V523">
        <f t="shared" si="311"/>
        <v>1094.6100000000001</v>
      </c>
      <c r="W523">
        <f t="shared" si="311"/>
        <v>1050.51</v>
      </c>
      <c r="Y523" s="14">
        <f t="shared" si="285"/>
        <v>24042.499713200952</v>
      </c>
      <c r="Z523">
        <f>SUMPRODUCT($D$526:$W$526,D523:W523)</f>
        <v>1647.2220143661898</v>
      </c>
    </row>
    <row r="524" spans="1:26" x14ac:dyDescent="0.25">
      <c r="A524" t="s">
        <v>312</v>
      </c>
      <c r="D524">
        <f t="shared" ref="D524:W524" si="312">D62*D161</f>
        <v>957.76312905048849</v>
      </c>
      <c r="E524">
        <f t="shared" si="312"/>
        <v>1055.797480752668</v>
      </c>
      <c r="F524">
        <f t="shared" si="312"/>
        <v>1060.4336803339618</v>
      </c>
      <c r="G524">
        <f t="shared" si="312"/>
        <v>1037.3955549362622</v>
      </c>
      <c r="H524">
        <f t="shared" si="312"/>
        <v>999.28978654157822</v>
      </c>
      <c r="I524">
        <f t="shared" si="312"/>
        <v>912.95808183006864</v>
      </c>
      <c r="J524">
        <f t="shared" si="312"/>
        <v>904.79171246132967</v>
      </c>
      <c r="K524">
        <f t="shared" si="312"/>
        <v>924.00640322565164</v>
      </c>
      <c r="L524">
        <f t="shared" si="312"/>
        <v>808.19860630783012</v>
      </c>
      <c r="M524">
        <f t="shared" si="312"/>
        <v>879.13490118618813</v>
      </c>
      <c r="N524">
        <f t="shared" si="312"/>
        <v>844.89192288457866</v>
      </c>
      <c r="O524">
        <f t="shared" si="312"/>
        <v>925.24129578781708</v>
      </c>
      <c r="P524">
        <f t="shared" si="312"/>
        <v>884.9897511815044</v>
      </c>
      <c r="Q524">
        <f t="shared" si="312"/>
        <v>928.09795436229922</v>
      </c>
      <c r="R524">
        <f t="shared" si="312"/>
        <v>935.91168992543066</v>
      </c>
      <c r="S524">
        <f t="shared" si="312"/>
        <v>936.6092921747927</v>
      </c>
      <c r="T524">
        <f t="shared" si="312"/>
        <v>896.05001457124024</v>
      </c>
      <c r="U524">
        <f t="shared" si="312"/>
        <v>817.45248765576264</v>
      </c>
      <c r="V524">
        <f t="shared" si="312"/>
        <v>1000.53893491641</v>
      </c>
      <c r="W524">
        <f t="shared" si="312"/>
        <v>893.86888029387433</v>
      </c>
      <c r="Y524" s="14">
        <f t="shared" si="285"/>
        <v>18603.421560379738</v>
      </c>
      <c r="Z524">
        <f>SUMPRODUCT($D$526:$W$526,D524:W524)</f>
        <v>1179.9022361944037</v>
      </c>
    </row>
    <row r="525" spans="1:26" x14ac:dyDescent="0.25">
      <c r="A525" t="s">
        <v>674</v>
      </c>
      <c r="D525">
        <f t="shared" ref="D525:W525" si="313">D63*D162</f>
        <v>1322.0798980025213</v>
      </c>
      <c r="E525">
        <f t="shared" si="313"/>
        <v>1341.5659460875991</v>
      </c>
      <c r="F525">
        <f t="shared" si="313"/>
        <v>958.62561106048906</v>
      </c>
      <c r="G525">
        <f t="shared" si="313"/>
        <v>1280.4369472426172</v>
      </c>
      <c r="H525">
        <f t="shared" si="313"/>
        <v>1175.9271429336907</v>
      </c>
      <c r="I525">
        <f t="shared" si="313"/>
        <v>863.85390232790962</v>
      </c>
      <c r="J525">
        <f t="shared" si="313"/>
        <v>912.90970393014459</v>
      </c>
      <c r="K525">
        <f t="shared" si="313"/>
        <v>894.9819145553688</v>
      </c>
      <c r="L525">
        <f t="shared" si="313"/>
        <v>758.97828997560816</v>
      </c>
      <c r="M525">
        <f t="shared" si="313"/>
        <v>930.91785454308877</v>
      </c>
      <c r="N525">
        <f t="shared" si="313"/>
        <v>922.63518075032539</v>
      </c>
      <c r="O525">
        <f t="shared" si="313"/>
        <v>983.67620416027489</v>
      </c>
      <c r="P525">
        <f t="shared" si="313"/>
        <v>873.06861198707622</v>
      </c>
      <c r="Q525">
        <f t="shared" si="313"/>
        <v>852.12148968669885</v>
      </c>
      <c r="R525">
        <f t="shared" si="313"/>
        <v>952.88531334550805</v>
      </c>
      <c r="S525">
        <f t="shared" si="313"/>
        <v>955.98341196533386</v>
      </c>
      <c r="T525">
        <f t="shared" si="313"/>
        <v>885.9903481973721</v>
      </c>
      <c r="U525">
        <f t="shared" si="313"/>
        <v>834.38883202862507</v>
      </c>
      <c r="V525">
        <f t="shared" si="313"/>
        <v>957.67759979521577</v>
      </c>
      <c r="W525">
        <f t="shared" si="313"/>
        <v>972.18252852982368</v>
      </c>
      <c r="Y525" s="14">
        <f t="shared" ref="Y525" si="314">SUM(D525:W525)</f>
        <v>19630.886731105289</v>
      </c>
      <c r="Z525">
        <f>SUMPRODUCT($D$526:$W$526,D525:W525)</f>
        <v>1400.950895788523</v>
      </c>
    </row>
    <row r="526" spans="1:26" x14ac:dyDescent="0.25">
      <c r="A526" s="2" t="s">
        <v>68</v>
      </c>
      <c r="D526" s="3">
        <f>CORREL($B$2:$B$25,D497:D520)</f>
        <v>0.53296377170060127</v>
      </c>
      <c r="E526" s="3">
        <f t="shared" ref="E526:W526" si="315">CORREL($B$2:$B$25,E497:E520)</f>
        <v>-4.1135654424256492E-2</v>
      </c>
      <c r="F526" s="3">
        <f t="shared" si="315"/>
        <v>1.8779860483759257E-2</v>
      </c>
      <c r="G526" s="3">
        <f t="shared" si="315"/>
        <v>0.13098474330305457</v>
      </c>
      <c r="H526" s="3">
        <f t="shared" si="315"/>
        <v>0.13749077770207146</v>
      </c>
      <c r="I526" s="3">
        <f t="shared" si="315"/>
        <v>0.13357688378848301</v>
      </c>
      <c r="J526" s="3">
        <f t="shared" si="315"/>
        <v>0.10240512663149072</v>
      </c>
      <c r="K526" s="3">
        <f t="shared" si="315"/>
        <v>0.16771043832089746</v>
      </c>
      <c r="L526" s="3">
        <f t="shared" si="315"/>
        <v>0.30681574859924166</v>
      </c>
      <c r="M526" s="3">
        <f t="shared" si="315"/>
        <v>-0.12982772206597643</v>
      </c>
      <c r="N526" s="3">
        <f t="shared" si="315"/>
        <v>-0.10424295915651711</v>
      </c>
      <c r="O526" s="3">
        <f t="shared" si="315"/>
        <v>2.7986433015761463E-2</v>
      </c>
      <c r="P526" s="3">
        <f t="shared" si="315"/>
        <v>5.9302404168408943E-2</v>
      </c>
      <c r="Q526" s="3">
        <f t="shared" si="315"/>
        <v>-0.16349215464825267</v>
      </c>
      <c r="R526" s="3">
        <f t="shared" si="315"/>
        <v>-8.0931645975111224E-2</v>
      </c>
      <c r="S526" s="3">
        <f t="shared" si="315"/>
        <v>6.5260073020044371E-2</v>
      </c>
      <c r="T526" s="3">
        <f t="shared" si="315"/>
        <v>-8.2565480499658422E-2</v>
      </c>
      <c r="U526" s="3">
        <f t="shared" si="315"/>
        <v>4.7870398726135912E-4</v>
      </c>
      <c r="V526" s="3">
        <f t="shared" si="315"/>
        <v>2.8083245945340181E-2</v>
      </c>
      <c r="W526" s="3">
        <f t="shared" si="315"/>
        <v>0.15420115724493988</v>
      </c>
    </row>
    <row r="529" spans="1:26" x14ac:dyDescent="0.25">
      <c r="D529" t="s">
        <v>187</v>
      </c>
      <c r="E529" t="s">
        <v>188</v>
      </c>
      <c r="F529" t="s">
        <v>189</v>
      </c>
      <c r="G529" t="s">
        <v>190</v>
      </c>
      <c r="H529" t="s">
        <v>191</v>
      </c>
      <c r="I529" t="s">
        <v>192</v>
      </c>
      <c r="J529" t="s">
        <v>193</v>
      </c>
      <c r="K529" t="s">
        <v>194</v>
      </c>
      <c r="L529" t="s">
        <v>353</v>
      </c>
      <c r="M529" t="s">
        <v>413</v>
      </c>
      <c r="N529" t="s">
        <v>414</v>
      </c>
      <c r="O529" t="s">
        <v>415</v>
      </c>
      <c r="P529" t="s">
        <v>514</v>
      </c>
      <c r="Q529" t="s">
        <v>515</v>
      </c>
      <c r="R529" t="s">
        <v>516</v>
      </c>
      <c r="S529" t="s">
        <v>517</v>
      </c>
      <c r="T529" t="s">
        <v>626</v>
      </c>
      <c r="U529" t="s">
        <v>627</v>
      </c>
      <c r="V529" t="s">
        <v>628</v>
      </c>
      <c r="W529" t="s">
        <v>629</v>
      </c>
      <c r="Y529" t="s">
        <v>195</v>
      </c>
      <c r="Z529" t="s">
        <v>196</v>
      </c>
    </row>
    <row r="530" spans="1:26" x14ac:dyDescent="0.25">
      <c r="A530" t="s">
        <v>43</v>
      </c>
      <c r="D530">
        <f t="shared" ref="D530:W530" si="316">D35*D167</f>
        <v>482.15276494056616</v>
      </c>
      <c r="E530">
        <f t="shared" si="316"/>
        <v>332.82823160303775</v>
      </c>
      <c r="F530">
        <f t="shared" si="316"/>
        <v>300.51077893114876</v>
      </c>
      <c r="G530">
        <f t="shared" si="316"/>
        <v>309.03497704183451</v>
      </c>
      <c r="H530">
        <f t="shared" si="316"/>
        <v>288.12761448675519</v>
      </c>
      <c r="I530">
        <f t="shared" si="316"/>
        <v>230.82873879292006</v>
      </c>
      <c r="J530">
        <f t="shared" si="316"/>
        <v>333.84243123525721</v>
      </c>
      <c r="K530">
        <f t="shared" si="316"/>
        <v>250.13640285477356</v>
      </c>
      <c r="L530">
        <f t="shared" si="316"/>
        <v>172.98029622825297</v>
      </c>
      <c r="M530">
        <f t="shared" si="316"/>
        <v>217.38480947781215</v>
      </c>
      <c r="N530">
        <f t="shared" si="316"/>
        <v>146.16320879441139</v>
      </c>
      <c r="O530">
        <f t="shared" si="316"/>
        <v>178.49962031017077</v>
      </c>
      <c r="P530">
        <f t="shared" si="316"/>
        <v>149.79027472859488</v>
      </c>
      <c r="Q530">
        <f t="shared" si="316"/>
        <v>297.29567701150313</v>
      </c>
      <c r="R530">
        <f t="shared" si="316"/>
        <v>239.56681781545922</v>
      </c>
      <c r="S530">
        <f t="shared" si="316"/>
        <v>287.89021134370961</v>
      </c>
      <c r="T530">
        <f t="shared" si="316"/>
        <v>195.86955922758617</v>
      </c>
      <c r="U530">
        <f t="shared" si="316"/>
        <v>264.68471264838377</v>
      </c>
      <c r="V530">
        <f t="shared" si="316"/>
        <v>321.50550474622719</v>
      </c>
      <c r="W530">
        <f t="shared" si="316"/>
        <v>421.7883533297034</v>
      </c>
      <c r="Y530" s="14">
        <f t="shared" ref="Y530:Y557" si="317">SUM(D530:W530)</f>
        <v>5420.8809855481086</v>
      </c>
      <c r="Z530">
        <f t="shared" ref="Z530:Z553" si="318">SUMPRODUCT($D$559:$W$559,D530:W530)</f>
        <v>-1136.0250929525566</v>
      </c>
    </row>
    <row r="531" spans="1:26" x14ac:dyDescent="0.25">
      <c r="A531" t="s">
        <v>44</v>
      </c>
      <c r="D531">
        <f t="shared" ref="D531:W531" si="319">D36*D168</f>
        <v>209.98957660808307</v>
      </c>
      <c r="E531">
        <f t="shared" si="319"/>
        <v>423.3372018888067</v>
      </c>
      <c r="F531">
        <f t="shared" si="319"/>
        <v>377.22950334734867</v>
      </c>
      <c r="G531">
        <f t="shared" si="319"/>
        <v>370.81530623435009</v>
      </c>
      <c r="H531">
        <f t="shared" si="319"/>
        <v>387.79294113026657</v>
      </c>
      <c r="I531">
        <f t="shared" si="319"/>
        <v>286.6985508933862</v>
      </c>
      <c r="J531">
        <f t="shared" si="319"/>
        <v>260.68636362929044</v>
      </c>
      <c r="K531">
        <f t="shared" si="319"/>
        <v>284.30438866598269</v>
      </c>
      <c r="L531">
        <f t="shared" si="319"/>
        <v>-7.0238028547305289</v>
      </c>
      <c r="M531">
        <f t="shared" si="319"/>
        <v>247.19726969772725</v>
      </c>
      <c r="N531">
        <f t="shared" si="319"/>
        <v>277.35926097224103</v>
      </c>
      <c r="O531">
        <f t="shared" si="319"/>
        <v>240.03072653498901</v>
      </c>
      <c r="P531">
        <f t="shared" si="319"/>
        <v>305.51738221515308</v>
      </c>
      <c r="Q531">
        <f t="shared" si="319"/>
        <v>257.78710254349517</v>
      </c>
      <c r="R531">
        <f t="shared" si="319"/>
        <v>387.31210766887807</v>
      </c>
      <c r="S531">
        <f t="shared" si="319"/>
        <v>425.20826328734256</v>
      </c>
      <c r="T531">
        <f t="shared" si="319"/>
        <v>294.39189958876432</v>
      </c>
      <c r="U531">
        <f t="shared" si="319"/>
        <v>325.00878308873195</v>
      </c>
      <c r="V531">
        <f t="shared" si="319"/>
        <v>328.29386351292027</v>
      </c>
      <c r="W531">
        <f t="shared" si="319"/>
        <v>436.71124449226386</v>
      </c>
      <c r="Y531" s="14">
        <f t="shared" si="317"/>
        <v>6118.6479331452911</v>
      </c>
      <c r="Z531">
        <f t="shared" si="318"/>
        <v>-1453.415665766154</v>
      </c>
    </row>
    <row r="532" spans="1:26" x14ac:dyDescent="0.25">
      <c r="A532" t="s">
        <v>45</v>
      </c>
      <c r="D532">
        <f t="shared" ref="D532:W532" si="320">D37*D169</f>
        <v>670.61066168263426</v>
      </c>
      <c r="E532">
        <f t="shared" si="320"/>
        <v>480.31644239834333</v>
      </c>
      <c r="F532">
        <f t="shared" si="320"/>
        <v>395.28902260369756</v>
      </c>
      <c r="G532">
        <f t="shared" si="320"/>
        <v>445.26515251125767</v>
      </c>
      <c r="H532">
        <f t="shared" si="320"/>
        <v>490.6179767156101</v>
      </c>
      <c r="I532">
        <f t="shared" si="320"/>
        <v>384.95659139720914</v>
      </c>
      <c r="J532">
        <f t="shared" si="320"/>
        <v>296.42069719883784</v>
      </c>
      <c r="K532">
        <f t="shared" si="320"/>
        <v>261.66084094297076</v>
      </c>
      <c r="L532">
        <f t="shared" si="320"/>
        <v>228.31144433949899</v>
      </c>
      <c r="M532">
        <f t="shared" si="320"/>
        <v>258.61129542350892</v>
      </c>
      <c r="N532">
        <f t="shared" si="320"/>
        <v>262.82820162121004</v>
      </c>
      <c r="O532">
        <f t="shared" si="320"/>
        <v>217.79400625841311</v>
      </c>
      <c r="P532">
        <f t="shared" si="320"/>
        <v>233.65578468657051</v>
      </c>
      <c r="Q532">
        <f t="shared" si="320"/>
        <v>275.48105071773074</v>
      </c>
      <c r="R532">
        <f t="shared" si="320"/>
        <v>289.65218458150423</v>
      </c>
      <c r="S532">
        <f t="shared" si="320"/>
        <v>310.22501847554616</v>
      </c>
      <c r="T532">
        <f t="shared" si="320"/>
        <v>348.49433641050314</v>
      </c>
      <c r="U532">
        <f t="shared" si="320"/>
        <v>364.462130567933</v>
      </c>
      <c r="V532">
        <f t="shared" si="320"/>
        <v>368.63739258097075</v>
      </c>
      <c r="W532">
        <f t="shared" si="320"/>
        <v>455.11181258702197</v>
      </c>
      <c r="Y532" s="14">
        <f t="shared" si="317"/>
        <v>7038.4020437009713</v>
      </c>
      <c r="Z532">
        <f t="shared" si="318"/>
        <v>-1459.8148375161961</v>
      </c>
    </row>
    <row r="533" spans="1:26" x14ac:dyDescent="0.25">
      <c r="A533" t="s">
        <v>46</v>
      </c>
      <c r="D533">
        <f t="shared" ref="D533:W533" si="321">D38*D170</f>
        <v>487.53425573254469</v>
      </c>
      <c r="E533">
        <f t="shared" si="321"/>
        <v>448.79116178954712</v>
      </c>
      <c r="F533">
        <f t="shared" si="321"/>
        <v>416.52377639768775</v>
      </c>
      <c r="G533">
        <f t="shared" si="321"/>
        <v>393.32021982497832</v>
      </c>
      <c r="H533">
        <f t="shared" si="321"/>
        <v>342.53799645756959</v>
      </c>
      <c r="I533">
        <f t="shared" si="321"/>
        <v>357.47768839925351</v>
      </c>
      <c r="J533">
        <f t="shared" si="321"/>
        <v>298.23415886210472</v>
      </c>
      <c r="K533">
        <f t="shared" si="321"/>
        <v>280.35541103496416</v>
      </c>
      <c r="L533">
        <f t="shared" si="321"/>
        <v>216.9683929683336</v>
      </c>
      <c r="M533">
        <f t="shared" si="321"/>
        <v>163.6103032471859</v>
      </c>
      <c r="N533">
        <f t="shared" si="321"/>
        <v>235.60814832564137</v>
      </c>
      <c r="O533">
        <f t="shared" si="321"/>
        <v>209.20516851817939</v>
      </c>
      <c r="P533">
        <f t="shared" si="321"/>
        <v>238.58864313931051</v>
      </c>
      <c r="Q533">
        <f t="shared" si="321"/>
        <v>257.50396152939061</v>
      </c>
      <c r="R533">
        <f t="shared" si="321"/>
        <v>341.82941939728028</v>
      </c>
      <c r="S533">
        <f t="shared" si="321"/>
        <v>269.21993562266829</v>
      </c>
      <c r="T533">
        <f t="shared" si="321"/>
        <v>352.42968558743678</v>
      </c>
      <c r="U533">
        <f t="shared" si="321"/>
        <v>389.16189618272449</v>
      </c>
      <c r="V533">
        <f t="shared" si="321"/>
        <v>310.59934642642963</v>
      </c>
      <c r="W533">
        <f t="shared" si="321"/>
        <v>374.65703331387084</v>
      </c>
      <c r="Y533" s="14">
        <f t="shared" si="317"/>
        <v>6384.1566027571025</v>
      </c>
      <c r="Z533">
        <f t="shared" si="318"/>
        <v>-1428.6856643724261</v>
      </c>
    </row>
    <row r="534" spans="1:26" x14ac:dyDescent="0.25">
      <c r="A534" t="s">
        <v>47</v>
      </c>
      <c r="D534">
        <f t="shared" ref="D534:W534" si="322">D39*D171</f>
        <v>574.50702796285816</v>
      </c>
      <c r="E534">
        <f t="shared" si="322"/>
        <v>406.90804804249558</v>
      </c>
      <c r="F534">
        <f t="shared" si="322"/>
        <v>350.64680026717139</v>
      </c>
      <c r="G534">
        <f t="shared" si="322"/>
        <v>432.69955500790383</v>
      </c>
      <c r="H534">
        <f t="shared" si="322"/>
        <v>311.15292513931809</v>
      </c>
      <c r="I534">
        <f t="shared" si="322"/>
        <v>348.87908089866107</v>
      </c>
      <c r="J534">
        <f t="shared" si="322"/>
        <v>383.22251544749423</v>
      </c>
      <c r="K534">
        <f t="shared" si="322"/>
        <v>282.29566771533399</v>
      </c>
      <c r="L534">
        <f t="shared" si="322"/>
        <v>213.72661703632394</v>
      </c>
      <c r="M534">
        <f t="shared" si="322"/>
        <v>267.07782067238543</v>
      </c>
      <c r="N534">
        <f t="shared" si="322"/>
        <v>263.38623995142643</v>
      </c>
      <c r="O534">
        <f t="shared" si="322"/>
        <v>258.3454171329966</v>
      </c>
      <c r="P534">
        <f t="shared" si="322"/>
        <v>244.40061166446009</v>
      </c>
      <c r="Q534">
        <f t="shared" si="322"/>
        <v>264.42987503687272</v>
      </c>
      <c r="R534">
        <f t="shared" si="322"/>
        <v>245.97845375050733</v>
      </c>
      <c r="S534">
        <f t="shared" si="322"/>
        <v>369.15443016528633</v>
      </c>
      <c r="T534">
        <f t="shared" si="322"/>
        <v>397.99639070128183</v>
      </c>
      <c r="U534">
        <f t="shared" si="322"/>
        <v>457.82306630001415</v>
      </c>
      <c r="V534">
        <f t="shared" si="322"/>
        <v>519.4552548442897</v>
      </c>
      <c r="W534">
        <f t="shared" si="322"/>
        <v>544.58237815088637</v>
      </c>
      <c r="Y534" s="14">
        <f t="shared" si="317"/>
        <v>7136.6681758879668</v>
      </c>
      <c r="Z534">
        <f t="shared" si="318"/>
        <v>-1568.539257531429</v>
      </c>
    </row>
    <row r="535" spans="1:26" x14ac:dyDescent="0.25">
      <c r="A535" t="s">
        <v>48</v>
      </c>
      <c r="D535">
        <f t="shared" ref="D535:W535" si="323">D40*D172</f>
        <v>426.159500188778</v>
      </c>
      <c r="E535">
        <f t="shared" si="323"/>
        <v>441.40976479227743</v>
      </c>
      <c r="F535">
        <f t="shared" si="323"/>
        <v>414.26729279740874</v>
      </c>
      <c r="G535">
        <f t="shared" si="323"/>
        <v>345.25829709080745</v>
      </c>
      <c r="H535">
        <f t="shared" si="323"/>
        <v>296.49370188681593</v>
      </c>
      <c r="I535">
        <f t="shared" si="323"/>
        <v>437.66013921394892</v>
      </c>
      <c r="J535">
        <f t="shared" si="323"/>
        <v>345.61767905208063</v>
      </c>
      <c r="K535">
        <f t="shared" si="323"/>
        <v>214.40974379280451</v>
      </c>
      <c r="L535">
        <f t="shared" si="323"/>
        <v>202.48431103353505</v>
      </c>
      <c r="M535">
        <f t="shared" si="323"/>
        <v>278.2908963583464</v>
      </c>
      <c r="N535">
        <f t="shared" si="323"/>
        <v>281.20191582832371</v>
      </c>
      <c r="O535">
        <f t="shared" si="323"/>
        <v>235.82945256925478</v>
      </c>
      <c r="P535">
        <f t="shared" si="323"/>
        <v>233.48227841492101</v>
      </c>
      <c r="Q535">
        <f t="shared" si="323"/>
        <v>264.19939398364431</v>
      </c>
      <c r="R535">
        <f t="shared" si="323"/>
        <v>281.52334943833438</v>
      </c>
      <c r="S535">
        <f t="shared" si="323"/>
        <v>321.31022201658146</v>
      </c>
      <c r="T535">
        <f t="shared" si="323"/>
        <v>317.32855270608445</v>
      </c>
      <c r="U535">
        <f t="shared" si="323"/>
        <v>356.48814423824638</v>
      </c>
      <c r="V535">
        <f t="shared" si="323"/>
        <v>293.09739010084553</v>
      </c>
      <c r="W535">
        <f t="shared" si="323"/>
        <v>394.03617093325556</v>
      </c>
      <c r="Y535" s="14">
        <f t="shared" si="317"/>
        <v>6380.5481964362943</v>
      </c>
      <c r="Z535">
        <f t="shared" si="318"/>
        <v>-1454.8855249698302</v>
      </c>
    </row>
    <row r="536" spans="1:26" x14ac:dyDescent="0.25">
      <c r="A536" t="s">
        <v>49</v>
      </c>
      <c r="D536">
        <f t="shared" ref="D536:W536" si="324">D41*D173</f>
        <v>268.29803760060378</v>
      </c>
      <c r="E536">
        <f t="shared" si="324"/>
        <v>418.54273121625602</v>
      </c>
      <c r="F536">
        <f t="shared" si="324"/>
        <v>438.53669300030555</v>
      </c>
      <c r="G536">
        <f t="shared" si="324"/>
        <v>317.69332312998188</v>
      </c>
      <c r="H536">
        <f t="shared" si="324"/>
        <v>320.54976896256738</v>
      </c>
      <c r="I536">
        <f t="shared" si="324"/>
        <v>339.12970029828926</v>
      </c>
      <c r="J536">
        <f t="shared" si="324"/>
        <v>222.00094947716838</v>
      </c>
      <c r="K536">
        <f t="shared" si="324"/>
        <v>239.38961554382502</v>
      </c>
      <c r="L536">
        <f t="shared" si="324"/>
        <v>188.0916144309046</v>
      </c>
      <c r="M536">
        <f t="shared" si="324"/>
        <v>225.45979014653523</v>
      </c>
      <c r="N536">
        <f t="shared" si="324"/>
        <v>164.09736886953672</v>
      </c>
      <c r="O536">
        <f t="shared" si="324"/>
        <v>184.35662485317096</v>
      </c>
      <c r="P536">
        <f t="shared" si="324"/>
        <v>224.94804842206179</v>
      </c>
      <c r="Q536">
        <f t="shared" si="324"/>
        <v>277.55205114570776</v>
      </c>
      <c r="R536">
        <f t="shared" si="324"/>
        <v>288.71010807061862</v>
      </c>
      <c r="S536">
        <f t="shared" si="324"/>
        <v>306.79665244060078</v>
      </c>
      <c r="T536">
        <f t="shared" si="324"/>
        <v>301.21238636368929</v>
      </c>
      <c r="U536">
        <f t="shared" si="324"/>
        <v>262.55070766652887</v>
      </c>
      <c r="V536">
        <f t="shared" si="324"/>
        <v>305.71223242610705</v>
      </c>
      <c r="W536">
        <f t="shared" si="324"/>
        <v>465.05547243842557</v>
      </c>
      <c r="Y536" s="14">
        <f t="shared" si="317"/>
        <v>5758.6838765028851</v>
      </c>
      <c r="Z536">
        <f t="shared" si="318"/>
        <v>-1260.3981797357765</v>
      </c>
    </row>
    <row r="537" spans="1:26" x14ac:dyDescent="0.25">
      <c r="A537" t="s">
        <v>50</v>
      </c>
      <c r="D537">
        <f t="shared" ref="D537:W537" si="325">D42*D174</f>
        <v>505.69767080718111</v>
      </c>
      <c r="E537">
        <f t="shared" si="325"/>
        <v>485.95818928340532</v>
      </c>
      <c r="F537">
        <f t="shared" si="325"/>
        <v>459.22542667679949</v>
      </c>
      <c r="G537">
        <f t="shared" si="325"/>
        <v>396.1185719939279</v>
      </c>
      <c r="H537">
        <f t="shared" si="325"/>
        <v>409.4750402377382</v>
      </c>
      <c r="I537">
        <f t="shared" si="325"/>
        <v>418.01052945838381</v>
      </c>
      <c r="J537">
        <f t="shared" si="325"/>
        <v>329.44866130269475</v>
      </c>
      <c r="K537">
        <f t="shared" si="325"/>
        <v>291.88180419092373</v>
      </c>
      <c r="L537">
        <f t="shared" si="325"/>
        <v>243.04961140317215</v>
      </c>
      <c r="M537">
        <f t="shared" si="325"/>
        <v>340.31846285922393</v>
      </c>
      <c r="N537">
        <f t="shared" si="325"/>
        <v>306.05468620497578</v>
      </c>
      <c r="O537">
        <f t="shared" si="325"/>
        <v>179.6163971858586</v>
      </c>
      <c r="P537">
        <f t="shared" si="325"/>
        <v>288.9936891927851</v>
      </c>
      <c r="Q537">
        <f t="shared" si="325"/>
        <v>275.91049033553992</v>
      </c>
      <c r="R537">
        <f t="shared" si="325"/>
        <v>345.8614545015634</v>
      </c>
      <c r="S537">
        <f t="shared" si="325"/>
        <v>352.18881338247451</v>
      </c>
      <c r="T537">
        <f t="shared" si="325"/>
        <v>486.12253136053505</v>
      </c>
      <c r="U537">
        <f t="shared" si="325"/>
        <v>474.96098737467707</v>
      </c>
      <c r="V537">
        <f t="shared" si="325"/>
        <v>411.08454886263689</v>
      </c>
      <c r="W537">
        <f t="shared" si="325"/>
        <v>434.23504786991151</v>
      </c>
      <c r="Y537" s="14">
        <f t="shared" si="317"/>
        <v>7434.2126144844078</v>
      </c>
      <c r="Z537">
        <f t="shared" si="318"/>
        <v>-1661.7477322102111</v>
      </c>
    </row>
    <row r="538" spans="1:26" x14ac:dyDescent="0.25">
      <c r="A538" t="s">
        <v>51</v>
      </c>
      <c r="D538">
        <f t="shared" ref="D538:W538" si="326">D43*D175</f>
        <v>441.81120701004716</v>
      </c>
      <c r="E538">
        <f t="shared" si="326"/>
        <v>393.55186707882126</v>
      </c>
      <c r="F538">
        <f t="shared" si="326"/>
        <v>464.82183943130133</v>
      </c>
      <c r="G538">
        <f t="shared" si="326"/>
        <v>460.80218654031444</v>
      </c>
      <c r="H538">
        <f t="shared" si="326"/>
        <v>402.97820815423205</v>
      </c>
      <c r="I538">
        <f t="shared" si="326"/>
        <v>250.30411898002549</v>
      </c>
      <c r="J538">
        <f t="shared" si="326"/>
        <v>245.45768966959477</v>
      </c>
      <c r="K538">
        <f t="shared" si="326"/>
        <v>340.80879630950733</v>
      </c>
      <c r="L538">
        <f t="shared" si="326"/>
        <v>246.83508346273899</v>
      </c>
      <c r="M538">
        <f t="shared" si="326"/>
        <v>248.19821213106451</v>
      </c>
      <c r="N538">
        <f t="shared" si="326"/>
        <v>280.44624961804527</v>
      </c>
      <c r="O538">
        <f t="shared" si="326"/>
        <v>216.40642785717483</v>
      </c>
      <c r="P538">
        <f t="shared" si="326"/>
        <v>205.36604414538883</v>
      </c>
      <c r="Q538">
        <f t="shared" si="326"/>
        <v>288.41522033658799</v>
      </c>
      <c r="R538">
        <f t="shared" si="326"/>
        <v>258.41670130394476</v>
      </c>
      <c r="S538">
        <f t="shared" si="326"/>
        <v>251.00257309103966</v>
      </c>
      <c r="T538">
        <f t="shared" si="326"/>
        <v>282.61858124699819</v>
      </c>
      <c r="U538">
        <f t="shared" si="326"/>
        <v>361.48046352007646</v>
      </c>
      <c r="V538">
        <f t="shared" si="326"/>
        <v>366.41300922028427</v>
      </c>
      <c r="W538">
        <f t="shared" si="326"/>
        <v>531.30505064536294</v>
      </c>
      <c r="Y538" s="14">
        <f t="shared" si="317"/>
        <v>6537.4395297525507</v>
      </c>
      <c r="Z538">
        <f t="shared" si="318"/>
        <v>-1365.541480272386</v>
      </c>
    </row>
    <row r="539" spans="1:26" x14ac:dyDescent="0.25">
      <c r="A539" t="s">
        <v>52</v>
      </c>
      <c r="D539">
        <f t="shared" ref="D539:W539" si="327">D44*D176</f>
        <v>619.87628627008348</v>
      </c>
      <c r="E539">
        <f t="shared" si="327"/>
        <v>549.69411181667328</v>
      </c>
      <c r="F539">
        <f t="shared" si="327"/>
        <v>435.36923961260993</v>
      </c>
      <c r="G539">
        <f t="shared" si="327"/>
        <v>472.14478615843024</v>
      </c>
      <c r="H539">
        <f t="shared" si="327"/>
        <v>396.99877503108434</v>
      </c>
      <c r="I539">
        <f t="shared" si="327"/>
        <v>437.62793943958451</v>
      </c>
      <c r="J539">
        <f t="shared" si="327"/>
        <v>324.25359786117468</v>
      </c>
      <c r="K539">
        <f t="shared" si="327"/>
        <v>324.53811628030371</v>
      </c>
      <c r="L539">
        <f t="shared" si="327"/>
        <v>212.93349151441163</v>
      </c>
      <c r="M539">
        <f t="shared" si="327"/>
        <v>284.67889521520112</v>
      </c>
      <c r="N539">
        <f t="shared" si="327"/>
        <v>311.4928807810532</v>
      </c>
      <c r="O539">
        <f t="shared" si="327"/>
        <v>243.27502057610982</v>
      </c>
      <c r="P539">
        <f t="shared" si="327"/>
        <v>199.42858978637943</v>
      </c>
      <c r="Q539">
        <f t="shared" si="327"/>
        <v>297.36594201669436</v>
      </c>
      <c r="R539">
        <f t="shared" si="327"/>
        <v>267.17929086171131</v>
      </c>
      <c r="S539">
        <f t="shared" si="327"/>
        <v>304.57689378599855</v>
      </c>
      <c r="T539">
        <f t="shared" si="327"/>
        <v>304.68718603498695</v>
      </c>
      <c r="U539">
        <f t="shared" si="327"/>
        <v>264.03696319245648</v>
      </c>
      <c r="V539">
        <f t="shared" si="327"/>
        <v>370.85605580333458</v>
      </c>
      <c r="W539">
        <f t="shared" si="327"/>
        <v>431.86796246283643</v>
      </c>
      <c r="Y539" s="14">
        <f t="shared" si="317"/>
        <v>7052.8820245011175</v>
      </c>
      <c r="Z539">
        <f t="shared" si="318"/>
        <v>-1476.7886673292462</v>
      </c>
    </row>
    <row r="540" spans="1:26" x14ac:dyDescent="0.25">
      <c r="A540" t="s">
        <v>53</v>
      </c>
      <c r="D540">
        <f t="shared" ref="D540:W540" si="328">D45*D177</f>
        <v>576.08944451366472</v>
      </c>
      <c r="E540">
        <f t="shared" si="328"/>
        <v>449.54134423267737</v>
      </c>
      <c r="F540">
        <f t="shared" si="328"/>
        <v>353.13819674227386</v>
      </c>
      <c r="G540">
        <f t="shared" si="328"/>
        <v>330.67505110544073</v>
      </c>
      <c r="H540">
        <f t="shared" si="328"/>
        <v>255.62079233191551</v>
      </c>
      <c r="I540">
        <f t="shared" si="328"/>
        <v>270.94035902460115</v>
      </c>
      <c r="J540">
        <f t="shared" si="328"/>
        <v>250.86828410362611</v>
      </c>
      <c r="K540">
        <f t="shared" si="328"/>
        <v>266.99333929959244</v>
      </c>
      <c r="L540">
        <f t="shared" si="328"/>
        <v>206.24220033877017</v>
      </c>
      <c r="M540">
        <f t="shared" si="328"/>
        <v>254.27970750487933</v>
      </c>
      <c r="N540">
        <f t="shared" si="328"/>
        <v>208.83350968435855</v>
      </c>
      <c r="O540">
        <f t="shared" si="328"/>
        <v>277.84183621358693</v>
      </c>
      <c r="P540">
        <f t="shared" si="328"/>
        <v>256.39686542185541</v>
      </c>
      <c r="Q540">
        <f t="shared" si="328"/>
        <v>236.33735881461268</v>
      </c>
      <c r="R540">
        <f t="shared" si="328"/>
        <v>332.5581987736349</v>
      </c>
      <c r="S540">
        <f t="shared" si="328"/>
        <v>394.60946489591038</v>
      </c>
      <c r="T540">
        <f t="shared" si="328"/>
        <v>446.47565410146706</v>
      </c>
      <c r="U540">
        <f t="shared" si="328"/>
        <v>430.40749308224196</v>
      </c>
      <c r="V540">
        <f t="shared" si="328"/>
        <v>456.69811036182989</v>
      </c>
      <c r="W540">
        <f t="shared" si="328"/>
        <v>448.6903358040073</v>
      </c>
      <c r="Y540" s="14">
        <f t="shared" si="317"/>
        <v>6703.2375463509461</v>
      </c>
      <c r="Z540">
        <f t="shared" si="318"/>
        <v>-1503.4458163490071</v>
      </c>
    </row>
    <row r="541" spans="1:26" x14ac:dyDescent="0.25">
      <c r="A541" t="s">
        <v>54</v>
      </c>
      <c r="D541">
        <f t="shared" ref="D541:W541" si="329">D46*D178</f>
        <v>458.90876631621296</v>
      </c>
      <c r="E541">
        <f t="shared" si="329"/>
        <v>406.58680654116785</v>
      </c>
      <c r="F541">
        <f t="shared" si="329"/>
        <v>330.30231631277564</v>
      </c>
      <c r="G541">
        <f t="shared" si="329"/>
        <v>326.75084307242537</v>
      </c>
      <c r="H541">
        <f t="shared" si="329"/>
        <v>276.13407903286236</v>
      </c>
      <c r="I541">
        <f t="shared" si="329"/>
        <v>247.61585842513441</v>
      </c>
      <c r="J541">
        <f t="shared" si="329"/>
        <v>209.13594087065422</v>
      </c>
      <c r="K541">
        <f t="shared" si="329"/>
        <v>225.30203577857114</v>
      </c>
      <c r="L541">
        <f t="shared" si="329"/>
        <v>184.88536627216294</v>
      </c>
      <c r="M541">
        <f t="shared" si="329"/>
        <v>260.72224979051015</v>
      </c>
      <c r="N541">
        <f t="shared" si="329"/>
        <v>255.77261566651708</v>
      </c>
      <c r="O541">
        <f t="shared" si="329"/>
        <v>218.52460171655139</v>
      </c>
      <c r="P541">
        <f t="shared" si="329"/>
        <v>235.19695869689957</v>
      </c>
      <c r="Q541">
        <f t="shared" si="329"/>
        <v>258.76417395034673</v>
      </c>
      <c r="R541">
        <f t="shared" si="329"/>
        <v>208.91757772075033</v>
      </c>
      <c r="S541">
        <f t="shared" si="329"/>
        <v>171.36113136396233</v>
      </c>
      <c r="T541">
        <f t="shared" si="329"/>
        <v>265.43000484884067</v>
      </c>
      <c r="U541">
        <f t="shared" si="329"/>
        <v>281.90743273823205</v>
      </c>
      <c r="V541">
        <f t="shared" si="329"/>
        <v>306.30896860413799</v>
      </c>
      <c r="W541">
        <f t="shared" si="329"/>
        <v>476.54519321782413</v>
      </c>
      <c r="Y541" s="14">
        <f t="shared" si="317"/>
        <v>5605.0729209365381</v>
      </c>
      <c r="Z541">
        <f t="shared" si="318"/>
        <v>-1207.1367263562913</v>
      </c>
    </row>
    <row r="542" spans="1:26" x14ac:dyDescent="0.25">
      <c r="A542" t="s">
        <v>55</v>
      </c>
      <c r="D542">
        <f t="shared" ref="D542:W542" si="330">D47*D179</f>
        <v>409.98136994852098</v>
      </c>
      <c r="E542">
        <f t="shared" si="330"/>
        <v>387.73269119483069</v>
      </c>
      <c r="F542">
        <f t="shared" si="330"/>
        <v>387.38085883849953</v>
      </c>
      <c r="G542">
        <f t="shared" si="330"/>
        <v>305.66169338751325</v>
      </c>
      <c r="H542">
        <f t="shared" si="330"/>
        <v>267.26088672242361</v>
      </c>
      <c r="I542">
        <f t="shared" si="330"/>
        <v>177.15215101617591</v>
      </c>
      <c r="J542">
        <f t="shared" si="330"/>
        <v>258.79086381960559</v>
      </c>
      <c r="K542">
        <f t="shared" si="330"/>
        <v>255.34946914525321</v>
      </c>
      <c r="L542">
        <f t="shared" si="330"/>
        <v>196.6462784190266</v>
      </c>
      <c r="M542">
        <f t="shared" si="330"/>
        <v>216.15942178293292</v>
      </c>
      <c r="N542">
        <f t="shared" si="330"/>
        <v>190.09985325905978</v>
      </c>
      <c r="O542">
        <f t="shared" si="330"/>
        <v>267.28713476994449</v>
      </c>
      <c r="P542">
        <f t="shared" si="330"/>
        <v>211.55627876446042</v>
      </c>
      <c r="Q542">
        <f t="shared" si="330"/>
        <v>194.4079797449381</v>
      </c>
      <c r="R542">
        <f t="shared" si="330"/>
        <v>195.12022061068089</v>
      </c>
      <c r="S542">
        <f t="shared" si="330"/>
        <v>241.24872957800193</v>
      </c>
      <c r="T542">
        <f t="shared" si="330"/>
        <v>272.94450625116161</v>
      </c>
      <c r="U542">
        <f t="shared" si="330"/>
        <v>274.62157669297596</v>
      </c>
      <c r="V542">
        <f t="shared" si="330"/>
        <v>222.69591328334582</v>
      </c>
      <c r="W542">
        <f t="shared" si="330"/>
        <v>517.72929363650132</v>
      </c>
      <c r="Y542" s="14">
        <f t="shared" si="317"/>
        <v>5449.8271708658522</v>
      </c>
      <c r="Z542">
        <f t="shared" si="318"/>
        <v>-1177.0838020271337</v>
      </c>
    </row>
    <row r="543" spans="1:26" x14ac:dyDescent="0.25">
      <c r="A543" t="s">
        <v>56</v>
      </c>
      <c r="D543">
        <f t="shared" ref="D543:W543" si="331">D48*D180</f>
        <v>504.76395600895069</v>
      </c>
      <c r="E543">
        <f t="shared" si="331"/>
        <v>346.99513359957621</v>
      </c>
      <c r="F543">
        <f t="shared" si="331"/>
        <v>303.96676341352139</v>
      </c>
      <c r="G543">
        <f t="shared" si="331"/>
        <v>355.3735554228204</v>
      </c>
      <c r="H543">
        <f t="shared" si="331"/>
        <v>221.7602241772878</v>
      </c>
      <c r="I543">
        <f t="shared" si="331"/>
        <v>293.43242422433411</v>
      </c>
      <c r="J543">
        <f t="shared" si="331"/>
        <v>280.53303013349841</v>
      </c>
      <c r="K543">
        <f t="shared" si="331"/>
        <v>268.65519769813187</v>
      </c>
      <c r="L543">
        <f t="shared" si="331"/>
        <v>178.79332407212414</v>
      </c>
      <c r="M543">
        <f t="shared" si="331"/>
        <v>223.10276559193446</v>
      </c>
      <c r="N543">
        <f t="shared" si="331"/>
        <v>245.31620012407447</v>
      </c>
      <c r="O543">
        <f t="shared" si="331"/>
        <v>237.38497976348231</v>
      </c>
      <c r="P543">
        <f t="shared" si="331"/>
        <v>224.58147760978591</v>
      </c>
      <c r="Q543">
        <f t="shared" si="331"/>
        <v>198.51903127954711</v>
      </c>
      <c r="R543">
        <f t="shared" si="331"/>
        <v>364.67332926770138</v>
      </c>
      <c r="S543">
        <f t="shared" si="331"/>
        <v>453.69271504456913</v>
      </c>
      <c r="T543">
        <f t="shared" si="331"/>
        <v>537.78874347074327</v>
      </c>
      <c r="U543">
        <f t="shared" si="331"/>
        <v>457.23528395508953</v>
      </c>
      <c r="V543">
        <f t="shared" si="331"/>
        <v>364.67332926770138</v>
      </c>
      <c r="W543">
        <f t="shared" si="331"/>
        <v>453.69271504456913</v>
      </c>
      <c r="Y543" s="14">
        <f t="shared" si="317"/>
        <v>6514.9341791694433</v>
      </c>
      <c r="Z543">
        <f t="shared" si="318"/>
        <v>-1510.6762055646907</v>
      </c>
    </row>
    <row r="544" spans="1:26" x14ac:dyDescent="0.25">
      <c r="A544" t="s">
        <v>57</v>
      </c>
      <c r="D544">
        <f t="shared" ref="D544:W544" si="332">D49*D181</f>
        <v>444.92065508395456</v>
      </c>
      <c r="E544">
        <f t="shared" si="332"/>
        <v>450.79018110779083</v>
      </c>
      <c r="F544">
        <f t="shared" si="332"/>
        <v>358.11513405749912</v>
      </c>
      <c r="G544">
        <f t="shared" si="332"/>
        <v>372.6911807212623</v>
      </c>
      <c r="H544">
        <f t="shared" si="332"/>
        <v>296.95773042168747</v>
      </c>
      <c r="I544">
        <f t="shared" si="332"/>
        <v>295.52839508942429</v>
      </c>
      <c r="J544">
        <f t="shared" si="332"/>
        <v>292.74682708363417</v>
      </c>
      <c r="K544">
        <f t="shared" si="332"/>
        <v>324.39263658067091</v>
      </c>
      <c r="L544">
        <f t="shared" si="332"/>
        <v>187.51861164604259</v>
      </c>
      <c r="M544">
        <f t="shared" si="332"/>
        <v>208.47054309055412</v>
      </c>
      <c r="N544">
        <f t="shared" si="332"/>
        <v>193.53941937202723</v>
      </c>
      <c r="O544">
        <f t="shared" si="332"/>
        <v>180.96510815127922</v>
      </c>
      <c r="P544">
        <f t="shared" si="332"/>
        <v>231.36921297925363</v>
      </c>
      <c r="Q544">
        <f t="shared" si="332"/>
        <v>299.80636869815652</v>
      </c>
      <c r="R544">
        <f t="shared" si="332"/>
        <v>427.33448391539343</v>
      </c>
      <c r="S544">
        <f t="shared" si="332"/>
        <v>434.96900218541043</v>
      </c>
      <c r="T544">
        <f t="shared" si="332"/>
        <v>378.94891148006366</v>
      </c>
      <c r="U544">
        <f t="shared" si="332"/>
        <v>470.88876874236598</v>
      </c>
      <c r="V544">
        <f t="shared" si="332"/>
        <v>401.81740847415887</v>
      </c>
      <c r="W544">
        <f t="shared" si="332"/>
        <v>426.00723824623969</v>
      </c>
      <c r="Y544" s="14">
        <f t="shared" si="317"/>
        <v>6677.7778171268683</v>
      </c>
      <c r="Z544">
        <f t="shared" si="318"/>
        <v>-1517.7948835636726</v>
      </c>
    </row>
    <row r="545" spans="1:26" x14ac:dyDescent="0.25">
      <c r="A545" t="s">
        <v>58</v>
      </c>
      <c r="D545">
        <f t="shared" ref="D545:W545" si="333">D50*D182</f>
        <v>472.51277945869077</v>
      </c>
      <c r="E545">
        <f t="shared" si="333"/>
        <v>537.82118443313732</v>
      </c>
      <c r="F545">
        <f t="shared" si="333"/>
        <v>286.00737085863136</v>
      </c>
      <c r="G545">
        <f t="shared" si="333"/>
        <v>333.55687531528741</v>
      </c>
      <c r="H545">
        <f t="shared" si="333"/>
        <v>332.93989874749121</v>
      </c>
      <c r="I545">
        <f t="shared" si="333"/>
        <v>257.5268843734508</v>
      </c>
      <c r="J545">
        <f t="shared" si="333"/>
        <v>260.19088791524473</v>
      </c>
      <c r="K545">
        <f t="shared" si="333"/>
        <v>175.0538618122192</v>
      </c>
      <c r="L545">
        <f t="shared" si="333"/>
        <v>139.92994004551238</v>
      </c>
      <c r="M545">
        <f t="shared" si="333"/>
        <v>208.2009792060858</v>
      </c>
      <c r="N545">
        <f t="shared" si="333"/>
        <v>170.27146398734007</v>
      </c>
      <c r="O545">
        <f t="shared" si="333"/>
        <v>224.94268200785379</v>
      </c>
      <c r="P545">
        <f t="shared" si="333"/>
        <v>199.90367286422921</v>
      </c>
      <c r="Q545">
        <f t="shared" si="333"/>
        <v>205.52875749429009</v>
      </c>
      <c r="R545">
        <f t="shared" si="333"/>
        <v>169.20512436851698</v>
      </c>
      <c r="S545">
        <f t="shared" si="333"/>
        <v>254.74063094112017</v>
      </c>
      <c r="T545">
        <f t="shared" si="333"/>
        <v>278.55307335297596</v>
      </c>
      <c r="U545">
        <f t="shared" si="333"/>
        <v>318.01678197356546</v>
      </c>
      <c r="V545">
        <f t="shared" si="333"/>
        <v>348.85396560529625</v>
      </c>
      <c r="W545">
        <f t="shared" si="333"/>
        <v>429.10141164453501</v>
      </c>
      <c r="Y545" s="14">
        <f t="shared" si="317"/>
        <v>5602.858226405473</v>
      </c>
      <c r="Z545">
        <f t="shared" si="318"/>
        <v>-1176.6802124812571</v>
      </c>
    </row>
    <row r="546" spans="1:26" x14ac:dyDescent="0.25">
      <c r="A546" t="s">
        <v>59</v>
      </c>
      <c r="D546">
        <f t="shared" ref="D546:W546" si="334">D51*D183</f>
        <v>483.49000872864201</v>
      </c>
      <c r="E546">
        <f t="shared" si="334"/>
        <v>290.22341775404379</v>
      </c>
      <c r="F546">
        <f t="shared" si="334"/>
        <v>325.32031658080746</v>
      </c>
      <c r="G546">
        <f t="shared" si="334"/>
        <v>344.89332898687093</v>
      </c>
      <c r="H546">
        <f t="shared" si="334"/>
        <v>238.22805032075809</v>
      </c>
      <c r="I546">
        <f t="shared" si="334"/>
        <v>154.07532328307491</v>
      </c>
      <c r="J546">
        <f t="shared" si="334"/>
        <v>101.9639120427465</v>
      </c>
      <c r="K546">
        <f t="shared" si="334"/>
        <v>136.98256415923751</v>
      </c>
      <c r="L546">
        <f t="shared" si="334"/>
        <v>130.37505369996938</v>
      </c>
      <c r="M546">
        <f t="shared" si="334"/>
        <v>206.26314124183781</v>
      </c>
      <c r="N546">
        <f t="shared" si="334"/>
        <v>186.95905960740669</v>
      </c>
      <c r="O546">
        <f t="shared" si="334"/>
        <v>184.12839369432928</v>
      </c>
      <c r="P546">
        <f t="shared" si="334"/>
        <v>222.68558162802037</v>
      </c>
      <c r="Q546">
        <f t="shared" si="334"/>
        <v>246.78704491953567</v>
      </c>
      <c r="R546">
        <f t="shared" si="334"/>
        <v>337.15128254096271</v>
      </c>
      <c r="S546">
        <f t="shared" si="334"/>
        <v>324.07768024079348</v>
      </c>
      <c r="T546">
        <f t="shared" si="334"/>
        <v>125.59381990104805</v>
      </c>
      <c r="U546">
        <f t="shared" si="334"/>
        <v>334.40775179713995</v>
      </c>
      <c r="V546">
        <f t="shared" si="334"/>
        <v>343.82977861294592</v>
      </c>
      <c r="W546">
        <f t="shared" si="334"/>
        <v>403.0793904877541</v>
      </c>
      <c r="Y546" s="14">
        <f t="shared" si="317"/>
        <v>5120.5149002279231</v>
      </c>
      <c r="Z546">
        <f t="shared" si="318"/>
        <v>-1088.0880311615308</v>
      </c>
    </row>
    <row r="547" spans="1:26" x14ac:dyDescent="0.25">
      <c r="A547" t="s">
        <v>60</v>
      </c>
      <c r="D547">
        <f t="shared" ref="D547:W547" si="335">D52*D184</f>
        <v>282.5039983627471</v>
      </c>
      <c r="E547">
        <f t="shared" si="335"/>
        <v>212.42695298291827</v>
      </c>
      <c r="F547">
        <f t="shared" si="335"/>
        <v>268.53537332162114</v>
      </c>
      <c r="G547">
        <f t="shared" si="335"/>
        <v>344.55829251493128</v>
      </c>
      <c r="H547">
        <f t="shared" si="335"/>
        <v>295.48607272642573</v>
      </c>
      <c r="I547">
        <f t="shared" si="335"/>
        <v>265.84410601831564</v>
      </c>
      <c r="J547">
        <f t="shared" si="335"/>
        <v>236.88724630892679</v>
      </c>
      <c r="K547">
        <f t="shared" si="335"/>
        <v>188.35273221646781</v>
      </c>
      <c r="L547">
        <f t="shared" si="335"/>
        <v>73.224910113066798</v>
      </c>
      <c r="M547">
        <f t="shared" si="335"/>
        <v>142.34454254130023</v>
      </c>
      <c r="N547">
        <f t="shared" si="335"/>
        <v>141.62552250302244</v>
      </c>
      <c r="O547">
        <f t="shared" si="335"/>
        <v>251.10067883126354</v>
      </c>
      <c r="P547">
        <f t="shared" si="335"/>
        <v>125.29745717498371</v>
      </c>
      <c r="Q547">
        <f t="shared" si="335"/>
        <v>197.66065714376748</v>
      </c>
      <c r="R547">
        <f t="shared" si="335"/>
        <v>236.15390971347</v>
      </c>
      <c r="S547">
        <f t="shared" si="335"/>
        <v>300.75426211883462</v>
      </c>
      <c r="T547">
        <f t="shared" si="335"/>
        <v>418.10748598696654</v>
      </c>
      <c r="U547">
        <f t="shared" si="335"/>
        <v>341.82005052958988</v>
      </c>
      <c r="V547">
        <f t="shared" si="335"/>
        <v>319.26526885020195</v>
      </c>
      <c r="W547">
        <f t="shared" si="335"/>
        <v>285.26771766054173</v>
      </c>
      <c r="Y547" s="14">
        <f t="shared" si="317"/>
        <v>4927.2172376193621</v>
      </c>
      <c r="Z547">
        <f t="shared" si="318"/>
        <v>-1130.9593097682141</v>
      </c>
    </row>
    <row r="548" spans="1:26" x14ac:dyDescent="0.25">
      <c r="A548" t="s">
        <v>61</v>
      </c>
      <c r="D548">
        <f t="shared" ref="D548:W548" si="336">D53*D185</f>
        <v>492.63759162561843</v>
      </c>
      <c r="E548">
        <f t="shared" si="336"/>
        <v>458.39664150266151</v>
      </c>
      <c r="F548">
        <f t="shared" si="336"/>
        <v>427.90099644855451</v>
      </c>
      <c r="G548">
        <f t="shared" si="336"/>
        <v>431.08508876324845</v>
      </c>
      <c r="H548">
        <f t="shared" si="336"/>
        <v>364.26842278491648</v>
      </c>
      <c r="I548">
        <f t="shared" si="336"/>
        <v>419.1527770971345</v>
      </c>
      <c r="J548">
        <f t="shared" si="336"/>
        <v>285.34839708689088</v>
      </c>
      <c r="K548">
        <f t="shared" si="336"/>
        <v>278.286413193263</v>
      </c>
      <c r="L548">
        <f t="shared" si="336"/>
        <v>322.15610343562912</v>
      </c>
      <c r="M548">
        <f t="shared" si="336"/>
        <v>265.61685810950615</v>
      </c>
      <c r="N548">
        <f t="shared" si="336"/>
        <v>236.75996013949973</v>
      </c>
      <c r="O548">
        <f t="shared" si="336"/>
        <v>247.49545377461135</v>
      </c>
      <c r="P548">
        <f t="shared" si="336"/>
        <v>284.19881869289873</v>
      </c>
      <c r="Q548">
        <f t="shared" si="336"/>
        <v>344.1905981412292</v>
      </c>
      <c r="R548">
        <f t="shared" si="336"/>
        <v>363.92850866312614</v>
      </c>
      <c r="S548">
        <f t="shared" si="336"/>
        <v>336.19619577879524</v>
      </c>
      <c r="T548">
        <f t="shared" si="336"/>
        <v>411.29788785714652</v>
      </c>
      <c r="U548">
        <f t="shared" si="336"/>
        <v>414.11816280380287</v>
      </c>
      <c r="V548">
        <f t="shared" si="336"/>
        <v>360.61449105440067</v>
      </c>
      <c r="W548">
        <f t="shared" si="336"/>
        <v>436.77175892681674</v>
      </c>
      <c r="Y548" s="14">
        <f t="shared" si="317"/>
        <v>7180.4211258797504</v>
      </c>
      <c r="Z548">
        <f t="shared" si="318"/>
        <v>-1607.6545815398586</v>
      </c>
    </row>
    <row r="549" spans="1:26" x14ac:dyDescent="0.25">
      <c r="A549" t="s">
        <v>62</v>
      </c>
      <c r="D549">
        <f t="shared" ref="D549:W549" si="337">D54*D186</f>
        <v>573.19469530185916</v>
      </c>
      <c r="E549">
        <f t="shared" si="337"/>
        <v>551.27309601000741</v>
      </c>
      <c r="F549">
        <f t="shared" si="337"/>
        <v>454.39994106569901</v>
      </c>
      <c r="G549">
        <f t="shared" si="337"/>
        <v>314.2532879754757</v>
      </c>
      <c r="H549">
        <f t="shared" si="337"/>
        <v>369.44653686407679</v>
      </c>
      <c r="I549">
        <f t="shared" si="337"/>
        <v>357.81899986470899</v>
      </c>
      <c r="J549">
        <f t="shared" si="337"/>
        <v>314.0976312341914</v>
      </c>
      <c r="K549">
        <f t="shared" si="337"/>
        <v>317.93816531214412</v>
      </c>
      <c r="L549">
        <f t="shared" si="337"/>
        <v>325.9053343502481</v>
      </c>
      <c r="M549">
        <f t="shared" si="337"/>
        <v>276.96943378295055</v>
      </c>
      <c r="N549">
        <f t="shared" si="337"/>
        <v>305.92088329441788</v>
      </c>
      <c r="O549">
        <f t="shared" si="337"/>
        <v>258.29653888637779</v>
      </c>
      <c r="P549">
        <f t="shared" si="337"/>
        <v>166.66346095224657</v>
      </c>
      <c r="Q549">
        <f t="shared" si="337"/>
        <v>188.55346772289178</v>
      </c>
      <c r="R549">
        <f t="shared" si="337"/>
        <v>144.74930038280419</v>
      </c>
      <c r="S549">
        <f t="shared" si="337"/>
        <v>261.43023234324164</v>
      </c>
      <c r="T549">
        <f t="shared" si="337"/>
        <v>315.76463396892518</v>
      </c>
      <c r="U549">
        <f t="shared" si="337"/>
        <v>324.52171491136926</v>
      </c>
      <c r="V549">
        <f t="shared" si="337"/>
        <v>491.5120081196302</v>
      </c>
      <c r="W549">
        <f t="shared" si="337"/>
        <v>483.29713941311826</v>
      </c>
      <c r="Y549" s="14">
        <f t="shared" si="317"/>
        <v>6796.0065017563829</v>
      </c>
      <c r="Z549">
        <f t="shared" si="318"/>
        <v>-1396.6566257147185</v>
      </c>
    </row>
    <row r="550" spans="1:26" x14ac:dyDescent="0.25">
      <c r="A550" t="s">
        <v>63</v>
      </c>
      <c r="D550">
        <f t="shared" ref="D550:W550" si="338">D55*D187</f>
        <v>493.03107178058121</v>
      </c>
      <c r="E550">
        <f t="shared" si="338"/>
        <v>424.50572587583264</v>
      </c>
      <c r="F550">
        <f t="shared" si="338"/>
        <v>421.51590416680619</v>
      </c>
      <c r="G550">
        <f t="shared" si="338"/>
        <v>364.08722403265898</v>
      </c>
      <c r="H550">
        <f t="shared" si="338"/>
        <v>285.7047791551787</v>
      </c>
      <c r="I550">
        <f t="shared" si="338"/>
        <v>405.95708120322041</v>
      </c>
      <c r="J550">
        <f t="shared" si="338"/>
        <v>419.63607655020343</v>
      </c>
      <c r="K550">
        <f t="shared" si="338"/>
        <v>396.7219522999282</v>
      </c>
      <c r="L550">
        <f t="shared" si="338"/>
        <v>299.21546395056959</v>
      </c>
      <c r="M550">
        <f t="shared" si="338"/>
        <v>249.7871073113231</v>
      </c>
      <c r="N550">
        <f t="shared" si="338"/>
        <v>311.26718639889026</v>
      </c>
      <c r="O550">
        <f t="shared" si="338"/>
        <v>439.34645638968186</v>
      </c>
      <c r="P550">
        <f t="shared" si="338"/>
        <v>307.84612117357636</v>
      </c>
      <c r="Q550">
        <f t="shared" si="338"/>
        <v>304.62328657269927</v>
      </c>
      <c r="R550">
        <f t="shared" si="338"/>
        <v>312.8481818324446</v>
      </c>
      <c r="S550">
        <f t="shared" si="338"/>
        <v>327.1833055624657</v>
      </c>
      <c r="T550">
        <f t="shared" si="338"/>
        <v>435.01473291251625</v>
      </c>
      <c r="U550">
        <f t="shared" si="338"/>
        <v>528.92316319790052</v>
      </c>
      <c r="V550">
        <f t="shared" si="338"/>
        <v>481.69821479645213</v>
      </c>
      <c r="W550">
        <f t="shared" si="338"/>
        <v>489.65848755351675</v>
      </c>
      <c r="Y550" s="14">
        <f t="shared" si="317"/>
        <v>7698.5715227164465</v>
      </c>
      <c r="Z550">
        <f t="shared" si="318"/>
        <v>-1854.4047512461357</v>
      </c>
    </row>
    <row r="551" spans="1:26" x14ac:dyDescent="0.25">
      <c r="A551" t="s">
        <v>64</v>
      </c>
      <c r="D551">
        <f t="shared" ref="D551:W551" si="339">D56*D188</f>
        <v>426.78229946505257</v>
      </c>
      <c r="E551">
        <f t="shared" si="339"/>
        <v>495.69593643169981</v>
      </c>
      <c r="F551">
        <f t="shared" si="339"/>
        <v>511.36022448621407</v>
      </c>
      <c r="G551">
        <f t="shared" si="339"/>
        <v>357.94079177427534</v>
      </c>
      <c r="H551">
        <f t="shared" si="339"/>
        <v>365.66449487251111</v>
      </c>
      <c r="I551">
        <f t="shared" si="339"/>
        <v>396.32459225303819</v>
      </c>
      <c r="J551">
        <f t="shared" si="339"/>
        <v>421.80528425812651</v>
      </c>
      <c r="K551">
        <f t="shared" si="339"/>
        <v>411.57458243114172</v>
      </c>
      <c r="L551">
        <f t="shared" si="339"/>
        <v>340.97133321869239</v>
      </c>
      <c r="M551">
        <f t="shared" si="339"/>
        <v>260.98728673285069</v>
      </c>
      <c r="N551">
        <f t="shared" si="339"/>
        <v>267.39550466233737</v>
      </c>
      <c r="O551">
        <f t="shared" si="339"/>
        <v>277.59954881505394</v>
      </c>
      <c r="P551">
        <f t="shared" si="339"/>
        <v>315.82492360504762</v>
      </c>
      <c r="Q551">
        <f t="shared" si="339"/>
        <v>322.19116497405861</v>
      </c>
      <c r="R551">
        <f t="shared" si="339"/>
        <v>399.05077469913334</v>
      </c>
      <c r="S551">
        <f t="shared" si="339"/>
        <v>297.28934359822728</v>
      </c>
      <c r="T551">
        <f t="shared" si="339"/>
        <v>345.10071244992344</v>
      </c>
      <c r="U551">
        <f t="shared" si="339"/>
        <v>486.99356099249724</v>
      </c>
      <c r="V551">
        <f t="shared" si="339"/>
        <v>489.76896258799701</v>
      </c>
      <c r="W551">
        <f t="shared" si="339"/>
        <v>593.39902037951856</v>
      </c>
      <c r="Y551" s="14">
        <f t="shared" si="317"/>
        <v>7783.7203426873957</v>
      </c>
      <c r="Z551">
        <f t="shared" si="318"/>
        <v>-1785.1480882749242</v>
      </c>
    </row>
    <row r="552" spans="1:26" x14ac:dyDescent="0.25">
      <c r="A552" t="s">
        <v>65</v>
      </c>
      <c r="D552">
        <f t="shared" ref="D552:W552" si="340">D57*D189</f>
        <v>497.2316054238932</v>
      </c>
      <c r="E552">
        <f t="shared" si="340"/>
        <v>455.13174828651182</v>
      </c>
      <c r="F552">
        <f t="shared" si="340"/>
        <v>417.56482557638736</v>
      </c>
      <c r="G552">
        <f t="shared" si="340"/>
        <v>344.72915225712012</v>
      </c>
      <c r="H552">
        <f t="shared" si="340"/>
        <v>336.61736345375095</v>
      </c>
      <c r="I552">
        <f t="shared" si="340"/>
        <v>334.01917096793278</v>
      </c>
      <c r="J552">
        <f t="shared" si="340"/>
        <v>261.06153178693432</v>
      </c>
      <c r="K552">
        <f t="shared" si="340"/>
        <v>253.18112114307985</v>
      </c>
      <c r="L552">
        <f t="shared" si="340"/>
        <v>228.02505467581494</v>
      </c>
      <c r="M552">
        <f t="shared" si="340"/>
        <v>151.99599159692269</v>
      </c>
      <c r="N552">
        <f t="shared" si="340"/>
        <v>225.54333422241012</v>
      </c>
      <c r="O552">
        <f t="shared" si="340"/>
        <v>200.23203116968884</v>
      </c>
      <c r="P552">
        <f t="shared" si="340"/>
        <v>223.94677938815636</v>
      </c>
      <c r="Q552">
        <f t="shared" si="340"/>
        <v>289.89014809673529</v>
      </c>
      <c r="R552">
        <f t="shared" si="340"/>
        <v>366.29960817120048</v>
      </c>
      <c r="S552">
        <f t="shared" si="340"/>
        <v>330.26292830225793</v>
      </c>
      <c r="T552">
        <f t="shared" si="340"/>
        <v>353.06591469648822</v>
      </c>
      <c r="U552">
        <f t="shared" si="340"/>
        <v>425.98615421197701</v>
      </c>
      <c r="V552">
        <f t="shared" si="340"/>
        <v>359.59260289135977</v>
      </c>
      <c r="W552">
        <f t="shared" si="340"/>
        <v>457.38159843133417</v>
      </c>
      <c r="Y552" s="14">
        <f t="shared" si="317"/>
        <v>6511.7586647499566</v>
      </c>
      <c r="Z552">
        <f t="shared" si="318"/>
        <v>-1435.4320414750366</v>
      </c>
    </row>
    <row r="553" spans="1:26" x14ac:dyDescent="0.25">
      <c r="A553" t="s">
        <v>66</v>
      </c>
      <c r="D553">
        <f t="shared" ref="D553:W553" si="341">D58*D190</f>
        <v>276.86043162676089</v>
      </c>
      <c r="E553">
        <f t="shared" si="341"/>
        <v>419.73279370308336</v>
      </c>
      <c r="F553">
        <f t="shared" si="341"/>
        <v>424.58534223242367</v>
      </c>
      <c r="G553">
        <f t="shared" si="341"/>
        <v>328.38003216890809</v>
      </c>
      <c r="H553">
        <f t="shared" si="341"/>
        <v>322.51156316060616</v>
      </c>
      <c r="I553">
        <f t="shared" si="341"/>
        <v>336.14194435744622</v>
      </c>
      <c r="J553">
        <f t="shared" si="341"/>
        <v>242.44764266987619</v>
      </c>
      <c r="K553">
        <f t="shared" si="341"/>
        <v>257.58749026232823</v>
      </c>
      <c r="L553">
        <f t="shared" si="341"/>
        <v>196.68545543507523</v>
      </c>
      <c r="M553">
        <f t="shared" si="341"/>
        <v>249.12593975360605</v>
      </c>
      <c r="N553">
        <f t="shared" si="341"/>
        <v>193.03758733584573</v>
      </c>
      <c r="O553">
        <f t="shared" si="341"/>
        <v>194.98483464661882</v>
      </c>
      <c r="P553">
        <f t="shared" si="341"/>
        <v>234.11886276040482</v>
      </c>
      <c r="Q553">
        <f t="shared" si="341"/>
        <v>271.83356883457014</v>
      </c>
      <c r="R553">
        <f t="shared" si="341"/>
        <v>293.37182290099537</v>
      </c>
      <c r="S553">
        <f t="shared" si="341"/>
        <v>310.93355184122476</v>
      </c>
      <c r="T553">
        <f t="shared" si="341"/>
        <v>289.59767497767575</v>
      </c>
      <c r="U553">
        <f t="shared" si="341"/>
        <v>381.79122868138808</v>
      </c>
      <c r="V553">
        <f t="shared" si="341"/>
        <v>368.2127379214416</v>
      </c>
      <c r="W553">
        <f t="shared" si="341"/>
        <v>458.98020217462528</v>
      </c>
      <c r="Y553" s="14">
        <f t="shared" si="317"/>
        <v>6050.9207074449032</v>
      </c>
      <c r="Z553">
        <f t="shared" si="318"/>
        <v>-1353.2892451557325</v>
      </c>
    </row>
    <row r="554" spans="1:26" x14ac:dyDescent="0.25">
      <c r="Y554" s="14"/>
    </row>
    <row r="555" spans="1:26" x14ac:dyDescent="0.25">
      <c r="A555" t="s">
        <v>67</v>
      </c>
      <c r="D555">
        <f t="shared" ref="D555:W555" si="342">D60*D192</f>
        <v>472.6717542503489</v>
      </c>
      <c r="E555">
        <f t="shared" si="342"/>
        <v>448.60063683540898</v>
      </c>
      <c r="F555">
        <f t="shared" si="342"/>
        <v>427.56327165205562</v>
      </c>
      <c r="G555">
        <f t="shared" si="342"/>
        <v>404.10309177764481</v>
      </c>
      <c r="H555">
        <f t="shared" si="342"/>
        <v>356.82609601013729</v>
      </c>
      <c r="I555">
        <f t="shared" si="342"/>
        <v>371.82535207154137</v>
      </c>
      <c r="J555">
        <f t="shared" si="342"/>
        <v>306.3274301695925</v>
      </c>
      <c r="K555">
        <f t="shared" si="342"/>
        <v>282.53914250710034</v>
      </c>
      <c r="L555">
        <f t="shared" si="342"/>
        <v>218.78067499970359</v>
      </c>
      <c r="M555">
        <f t="shared" si="342"/>
        <v>219.02097453054679</v>
      </c>
      <c r="N555">
        <f t="shared" si="342"/>
        <v>244.74985166650936</v>
      </c>
      <c r="O555">
        <f t="shared" si="342"/>
        <v>244.66557256278691</v>
      </c>
      <c r="P555">
        <f t="shared" si="342"/>
        <v>234.81396960436339</v>
      </c>
      <c r="Q555">
        <f t="shared" si="342"/>
        <v>280.15526268421428</v>
      </c>
      <c r="R555">
        <f t="shared" si="342"/>
        <v>315.47794329729589</v>
      </c>
      <c r="S555">
        <f t="shared" si="342"/>
        <v>331.3091017383652</v>
      </c>
      <c r="T555">
        <f t="shared" si="342"/>
        <v>313.48475039206579</v>
      </c>
      <c r="U555">
        <f t="shared" si="342"/>
        <v>399.30674474145945</v>
      </c>
      <c r="V555">
        <f t="shared" si="342"/>
        <v>405.07116152491949</v>
      </c>
      <c r="W555">
        <f t="shared" si="342"/>
        <v>452.61709989127627</v>
      </c>
      <c r="Y555" s="14">
        <f t="shared" si="317"/>
        <v>6729.9098829073355</v>
      </c>
      <c r="Z555">
        <f>SUMPRODUCT($D$559:$W$559,D555:W555)</f>
        <v>-1485.0200139758419</v>
      </c>
    </row>
    <row r="556" spans="1:26" x14ac:dyDescent="0.25">
      <c r="A556" t="s">
        <v>311</v>
      </c>
      <c r="D556">
        <f t="shared" ref="D556:W556" si="343">D61*D193</f>
        <v>596.10285714285703</v>
      </c>
      <c r="E556">
        <f t="shared" si="343"/>
        <v>567.60408163265311</v>
      </c>
      <c r="F556">
        <f t="shared" si="343"/>
        <v>376.97510204081635</v>
      </c>
      <c r="G556">
        <f t="shared" si="343"/>
        <v>386.87755102040819</v>
      </c>
      <c r="H556">
        <f t="shared" si="343"/>
        <v>408.13836734693871</v>
      </c>
      <c r="I556">
        <f t="shared" si="343"/>
        <v>391.22306122448981</v>
      </c>
      <c r="J556">
        <f t="shared" si="343"/>
        <v>325.07999999999993</v>
      </c>
      <c r="K556">
        <f t="shared" si="343"/>
        <v>298.70408163265313</v>
      </c>
      <c r="L556">
        <f t="shared" si="343"/>
        <v>237.85109375000002</v>
      </c>
      <c r="M556">
        <f t="shared" si="343"/>
        <v>326.05204081632661</v>
      </c>
      <c r="N556">
        <f t="shared" si="343"/>
        <v>264.56081632653064</v>
      </c>
      <c r="O556">
        <f t="shared" si="343"/>
        <v>284.4820408163265</v>
      </c>
      <c r="P556">
        <f t="shared" si="343"/>
        <v>237.77538400243256</v>
      </c>
      <c r="Q556">
        <f t="shared" si="343"/>
        <v>241.95580557051386</v>
      </c>
      <c r="R556">
        <f t="shared" si="343"/>
        <v>179.80163766814857</v>
      </c>
      <c r="S556">
        <f t="shared" si="343"/>
        <v>257.37794570851059</v>
      </c>
      <c r="T556">
        <f t="shared" si="343"/>
        <v>349.65</v>
      </c>
      <c r="U556">
        <f t="shared" si="343"/>
        <v>322.40000000000003</v>
      </c>
      <c r="V556">
        <f t="shared" si="343"/>
        <v>381.92</v>
      </c>
      <c r="W556">
        <f t="shared" si="343"/>
        <v>469.3</v>
      </c>
      <c r="Y556" s="14">
        <f t="shared" si="317"/>
        <v>6903.8318666996056</v>
      </c>
      <c r="Z556">
        <f>SUMPRODUCT($D$559:$W$559,D556:W556)</f>
        <v>-1463.1269000640232</v>
      </c>
    </row>
    <row r="557" spans="1:26" x14ac:dyDescent="0.25">
      <c r="A557" t="s">
        <v>312</v>
      </c>
      <c r="D557">
        <f t="shared" ref="D557:W557" si="344">D62*D194</f>
        <v>463.62379027646887</v>
      </c>
      <c r="E557">
        <f t="shared" si="344"/>
        <v>422.88180609852236</v>
      </c>
      <c r="F557">
        <f t="shared" si="344"/>
        <v>386.66341687739202</v>
      </c>
      <c r="G557">
        <f t="shared" si="344"/>
        <v>354.95851245490235</v>
      </c>
      <c r="H557">
        <f t="shared" si="344"/>
        <v>324.08066337594761</v>
      </c>
      <c r="I557">
        <f t="shared" si="344"/>
        <v>319.34525725406866</v>
      </c>
      <c r="J557">
        <f t="shared" si="344"/>
        <v>281.19799299494224</v>
      </c>
      <c r="K557">
        <f t="shared" si="344"/>
        <v>263.44731665801964</v>
      </c>
      <c r="L557">
        <f t="shared" si="344"/>
        <v>221.82274238581354</v>
      </c>
      <c r="M557">
        <f t="shared" si="344"/>
        <v>218.31730864691062</v>
      </c>
      <c r="N557">
        <f t="shared" si="344"/>
        <v>228.41050743201291</v>
      </c>
      <c r="O557">
        <f t="shared" si="344"/>
        <v>258.43849857988761</v>
      </c>
      <c r="P557">
        <f t="shared" si="344"/>
        <v>231.17245795883895</v>
      </c>
      <c r="Q557">
        <f t="shared" si="344"/>
        <v>263.63329760369743</v>
      </c>
      <c r="R557">
        <f t="shared" si="344"/>
        <v>293.12570460789851</v>
      </c>
      <c r="S557">
        <f t="shared" si="344"/>
        <v>307.66613060357179</v>
      </c>
      <c r="T557">
        <f t="shared" si="344"/>
        <v>341.45080959857762</v>
      </c>
      <c r="U557">
        <f t="shared" si="344"/>
        <v>404.91824342367977</v>
      </c>
      <c r="V557">
        <f t="shared" si="344"/>
        <v>411.26055002887097</v>
      </c>
      <c r="W557">
        <f t="shared" si="344"/>
        <v>442.65346362550446</v>
      </c>
      <c r="Y557" s="14">
        <f t="shared" si="317"/>
        <v>6439.0684704855266</v>
      </c>
      <c r="Z557">
        <f>SUMPRODUCT($D$559:$W$559,D557:W557)</f>
        <v>-1432.4186411761007</v>
      </c>
    </row>
    <row r="558" spans="1:26" x14ac:dyDescent="0.25">
      <c r="A558" t="s">
        <v>674</v>
      </c>
      <c r="D558">
        <f t="shared" ref="D558:W558" si="345">D63*D195</f>
        <v>483.35080464062793</v>
      </c>
      <c r="E558">
        <f t="shared" si="345"/>
        <v>540.65117178257833</v>
      </c>
      <c r="F558">
        <f t="shared" si="345"/>
        <v>472.68059973432543</v>
      </c>
      <c r="G558">
        <f t="shared" si="345"/>
        <v>345.24494025432313</v>
      </c>
      <c r="H558">
        <f t="shared" si="345"/>
        <v>376.3779271067512</v>
      </c>
      <c r="I558">
        <f t="shared" si="345"/>
        <v>283.41717001705359</v>
      </c>
      <c r="J558">
        <f t="shared" si="345"/>
        <v>265.86717567940582</v>
      </c>
      <c r="K558">
        <f t="shared" si="345"/>
        <v>255.08584793722162</v>
      </c>
      <c r="L558">
        <f t="shared" si="345"/>
        <v>201.34702932104028</v>
      </c>
      <c r="M558">
        <f t="shared" si="345"/>
        <v>222.63877499303814</v>
      </c>
      <c r="N558">
        <f t="shared" si="345"/>
        <v>222.13964507182874</v>
      </c>
      <c r="O558">
        <f t="shared" si="345"/>
        <v>252.69607822910359</v>
      </c>
      <c r="P558">
        <f t="shared" si="345"/>
        <v>204.7499241244814</v>
      </c>
      <c r="Q558">
        <f t="shared" si="345"/>
        <v>248.82150779176018</v>
      </c>
      <c r="R558">
        <f t="shared" si="345"/>
        <v>296.6112366358438</v>
      </c>
      <c r="S558">
        <f t="shared" si="345"/>
        <v>318.34296827723409</v>
      </c>
      <c r="T558">
        <f t="shared" si="345"/>
        <v>346.443872525335</v>
      </c>
      <c r="U558">
        <f t="shared" si="345"/>
        <v>379.00268609145775</v>
      </c>
      <c r="V558">
        <f t="shared" si="345"/>
        <v>379.99844922255875</v>
      </c>
      <c r="W558">
        <f t="shared" si="345"/>
        <v>448.67790254098742</v>
      </c>
      <c r="Y558" s="14">
        <f t="shared" ref="Y558" si="346">SUM(D558:W558)</f>
        <v>6544.1457119769566</v>
      </c>
      <c r="Z558">
        <f>SUMPRODUCT($D$559:$W$559,D558:W558)</f>
        <v>-1401.1395826502308</v>
      </c>
    </row>
    <row r="559" spans="1:26" x14ac:dyDescent="0.25">
      <c r="A559" s="2" t="s">
        <v>68</v>
      </c>
      <c r="D559" s="3">
        <f>CORREL($B$2:$B$25,D530:D553)</f>
        <v>-6.1999436824828258E-3</v>
      </c>
      <c r="E559" s="3">
        <f t="shared" ref="E559:W559" si="347">CORREL($B$2:$B$25,E530:E553)</f>
        <v>-0.15587635586745449</v>
      </c>
      <c r="F559" s="3">
        <f t="shared" si="347"/>
        <v>-9.3827478916995125E-2</v>
      </c>
      <c r="G559" s="3">
        <f t="shared" si="347"/>
        <v>-7.7129092824643516E-2</v>
      </c>
      <c r="H559" s="3">
        <f t="shared" si="347"/>
        <v>8.1076406212118209E-3</v>
      </c>
      <c r="I559" s="3">
        <f t="shared" si="347"/>
        <v>-0.32708572835344973</v>
      </c>
      <c r="J559" s="3">
        <f t="shared" si="347"/>
        <v>-0.37464464136441133</v>
      </c>
      <c r="K559" s="3">
        <f t="shared" si="347"/>
        <v>-0.31215848979537819</v>
      </c>
      <c r="L559" s="3">
        <f t="shared" si="347"/>
        <v>-0.1316982726349166</v>
      </c>
      <c r="M559" s="3">
        <f t="shared" si="347"/>
        <v>-0.15090012572740522</v>
      </c>
      <c r="N559" s="3">
        <f t="shared" si="347"/>
        <v>-0.37937710538707636</v>
      </c>
      <c r="O559" s="3">
        <f t="shared" si="347"/>
        <v>-0.49704439847637155</v>
      </c>
      <c r="P559" s="3">
        <f t="shared" si="347"/>
        <v>-0.62929793011980806</v>
      </c>
      <c r="Q559" s="3">
        <f t="shared" si="347"/>
        <v>-0.23823815158542977</v>
      </c>
      <c r="R559" s="3">
        <f t="shared" si="347"/>
        <v>-0.38912822691315191</v>
      </c>
      <c r="S559" s="3">
        <f t="shared" si="347"/>
        <v>-0.22224676631893522</v>
      </c>
      <c r="T559" s="3">
        <f t="shared" si="347"/>
        <v>-0.28919777160592469</v>
      </c>
      <c r="U559" s="3">
        <f t="shared" si="347"/>
        <v>-0.40231516165816666</v>
      </c>
      <c r="V559" s="3">
        <f t="shared" si="347"/>
        <v>-0.13470595390549278</v>
      </c>
      <c r="W559" s="3">
        <f t="shared" si="347"/>
        <v>-5.7639668231354912E-2</v>
      </c>
    </row>
    <row r="562" spans="1:26" x14ac:dyDescent="0.25">
      <c r="D562" t="s">
        <v>197</v>
      </c>
      <c r="E562" t="s">
        <v>198</v>
      </c>
      <c r="F562" t="s">
        <v>199</v>
      </c>
      <c r="G562" t="s">
        <v>200</v>
      </c>
      <c r="H562" t="s">
        <v>201</v>
      </c>
      <c r="I562" t="s">
        <v>202</v>
      </c>
      <c r="J562" t="s">
        <v>203</v>
      </c>
      <c r="K562" t="s">
        <v>204</v>
      </c>
      <c r="L562" t="s">
        <v>354</v>
      </c>
      <c r="M562" t="s">
        <v>416</v>
      </c>
      <c r="N562" t="s">
        <v>417</v>
      </c>
      <c r="O562" t="s">
        <v>418</v>
      </c>
      <c r="P562" t="s">
        <v>518</v>
      </c>
      <c r="Q562" t="s">
        <v>519</v>
      </c>
      <c r="R562" t="s">
        <v>520</v>
      </c>
      <c r="S562" t="s">
        <v>521</v>
      </c>
      <c r="T562" t="s">
        <v>630</v>
      </c>
      <c r="U562" t="s">
        <v>631</v>
      </c>
      <c r="V562" t="s">
        <v>632</v>
      </c>
      <c r="W562" t="s">
        <v>633</v>
      </c>
      <c r="Y562" t="s">
        <v>205</v>
      </c>
      <c r="Z562" t="s">
        <v>206</v>
      </c>
    </row>
    <row r="563" spans="1:26" x14ac:dyDescent="0.25">
      <c r="A563" t="s">
        <v>43</v>
      </c>
      <c r="D563">
        <f t="shared" ref="D563:W563" si="348">D35*D200</f>
        <v>588.21658088249421</v>
      </c>
      <c r="E563">
        <f t="shared" si="348"/>
        <v>386.87055193784283</v>
      </c>
      <c r="F563">
        <f t="shared" si="348"/>
        <v>652.9170580844609</v>
      </c>
      <c r="G563">
        <f t="shared" si="348"/>
        <v>478.81040950409914</v>
      </c>
      <c r="H563">
        <f t="shared" si="348"/>
        <v>317.8072771004064</v>
      </c>
      <c r="I563">
        <f t="shared" si="348"/>
        <v>409.04666722684556</v>
      </c>
      <c r="J563">
        <f t="shared" si="348"/>
        <v>434.81112078300413</v>
      </c>
      <c r="K563">
        <f t="shared" si="348"/>
        <v>489.09894265138598</v>
      </c>
      <c r="L563">
        <f t="shared" si="348"/>
        <v>319.27684443861352</v>
      </c>
      <c r="M563">
        <f t="shared" si="348"/>
        <v>237.51792170679246</v>
      </c>
      <c r="N563">
        <f t="shared" si="348"/>
        <v>147.9987575390723</v>
      </c>
      <c r="O563">
        <f t="shared" si="348"/>
        <v>202.89238815625481</v>
      </c>
      <c r="P563">
        <f t="shared" si="348"/>
        <v>322.15518722182162</v>
      </c>
      <c r="Q563">
        <f t="shared" si="348"/>
        <v>361.00424305448195</v>
      </c>
      <c r="R563">
        <f t="shared" si="348"/>
        <v>434.29306305890339</v>
      </c>
      <c r="S563">
        <f t="shared" si="348"/>
        <v>645.87927477240669</v>
      </c>
      <c r="T563">
        <f t="shared" si="348"/>
        <v>345.87142857142857</v>
      </c>
      <c r="U563">
        <f t="shared" si="348"/>
        <v>189.6758254234754</v>
      </c>
      <c r="V563">
        <f t="shared" si="348"/>
        <v>182.46789311941339</v>
      </c>
      <c r="W563">
        <f t="shared" si="348"/>
        <v>263.32450206109121</v>
      </c>
      <c r="Y563" s="14">
        <f t="shared" ref="Y563:Y590" si="349">SUM(D563:W563)</f>
        <v>7409.9359372942936</v>
      </c>
      <c r="Z563">
        <f t="shared" ref="Z563:Z586" si="350">SUMPRODUCT($D$592:$W$592,D563:W563)</f>
        <v>113.87174908720584</v>
      </c>
    </row>
    <row r="564" spans="1:26" x14ac:dyDescent="0.25">
      <c r="A564" t="s">
        <v>44</v>
      </c>
      <c r="D564">
        <f t="shared" ref="D564:W564" si="351">D36*D201</f>
        <v>191.00017143766706</v>
      </c>
      <c r="E564">
        <f t="shared" si="351"/>
        <v>817.51727496935462</v>
      </c>
      <c r="F564">
        <f t="shared" si="351"/>
        <v>899.09688649423208</v>
      </c>
      <c r="G564">
        <f t="shared" si="351"/>
        <v>751.75448877745362</v>
      </c>
      <c r="H564">
        <f t="shared" si="351"/>
        <v>443.64115070083653</v>
      </c>
      <c r="I564">
        <f t="shared" si="351"/>
        <v>389.55639008495376</v>
      </c>
      <c r="J564">
        <f t="shared" si="351"/>
        <v>357.03387279481751</v>
      </c>
      <c r="K564">
        <f t="shared" si="351"/>
        <v>346.41898329636757</v>
      </c>
      <c r="L564">
        <f t="shared" si="351"/>
        <v>-6.7550223958920528</v>
      </c>
      <c r="M564">
        <f t="shared" si="351"/>
        <v>388.79435533190923</v>
      </c>
      <c r="N564">
        <f t="shared" si="351"/>
        <v>397.91377425051331</v>
      </c>
      <c r="O564">
        <f t="shared" si="351"/>
        <v>341.16208853443464</v>
      </c>
      <c r="P564">
        <f t="shared" si="351"/>
        <v>461.64322742164438</v>
      </c>
      <c r="Q564">
        <f t="shared" si="351"/>
        <v>641.50024990668544</v>
      </c>
      <c r="R564">
        <f t="shared" si="351"/>
        <v>580.50216786978956</v>
      </c>
      <c r="S564">
        <f t="shared" si="351"/>
        <v>730.93356033172608</v>
      </c>
      <c r="T564">
        <f t="shared" si="351"/>
        <v>774.60787492626559</v>
      </c>
      <c r="U564">
        <f t="shared" si="351"/>
        <v>519.75800213183516</v>
      </c>
      <c r="V564">
        <f t="shared" si="351"/>
        <v>460.5195612519509</v>
      </c>
      <c r="W564">
        <f t="shared" si="351"/>
        <v>709.39348297427796</v>
      </c>
      <c r="Y564" s="14">
        <f t="shared" si="349"/>
        <v>10195.992541090822</v>
      </c>
      <c r="Z564">
        <f t="shared" si="350"/>
        <v>-412.7166779659342</v>
      </c>
    </row>
    <row r="565" spans="1:26" x14ac:dyDescent="0.25">
      <c r="A565" t="s">
        <v>45</v>
      </c>
      <c r="D565">
        <f t="shared" ref="D565:W565" si="352">D37*D202</f>
        <v>703.52398369787682</v>
      </c>
      <c r="E565">
        <f t="shared" si="352"/>
        <v>643.91988693023063</v>
      </c>
      <c r="F565">
        <f t="shared" si="352"/>
        <v>594.06250875884814</v>
      </c>
      <c r="G565">
        <f t="shared" si="352"/>
        <v>685.74349838989258</v>
      </c>
      <c r="H565">
        <f t="shared" si="352"/>
        <v>763.35786194987622</v>
      </c>
      <c r="I565">
        <f t="shared" si="352"/>
        <v>615.68243218238626</v>
      </c>
      <c r="J565">
        <f t="shared" si="352"/>
        <v>508.45022721995122</v>
      </c>
      <c r="K565">
        <f t="shared" si="352"/>
        <v>368.63009136409062</v>
      </c>
      <c r="L565">
        <f t="shared" si="352"/>
        <v>260.42776346894641</v>
      </c>
      <c r="M565">
        <f t="shared" si="352"/>
        <v>355.52698090032743</v>
      </c>
      <c r="N565">
        <f t="shared" si="352"/>
        <v>399.73893854526449</v>
      </c>
      <c r="O565">
        <f t="shared" si="352"/>
        <v>346.39944215957217</v>
      </c>
      <c r="P565">
        <f t="shared" si="352"/>
        <v>380.12312338369804</v>
      </c>
      <c r="Q565">
        <f t="shared" si="352"/>
        <v>416.86708526305415</v>
      </c>
      <c r="R565">
        <f t="shared" si="352"/>
        <v>416.54186780760284</v>
      </c>
      <c r="S565">
        <f t="shared" si="352"/>
        <v>437.08797674730272</v>
      </c>
      <c r="T565">
        <f t="shared" si="352"/>
        <v>459.46807095560803</v>
      </c>
      <c r="U565">
        <f t="shared" si="352"/>
        <v>511.14739176406073</v>
      </c>
      <c r="V565">
        <f t="shared" si="352"/>
        <v>542.32644075271753</v>
      </c>
      <c r="W565">
        <f t="shared" si="352"/>
        <v>685.75986439160874</v>
      </c>
      <c r="Y565" s="14">
        <f t="shared" si="349"/>
        <v>10094.785436632916</v>
      </c>
      <c r="Z565">
        <f t="shared" si="350"/>
        <v>114.4710019777348</v>
      </c>
    </row>
    <row r="566" spans="1:26" x14ac:dyDescent="0.25">
      <c r="A566" t="s">
        <v>46</v>
      </c>
      <c r="D566">
        <f t="shared" ref="D566:W566" si="353">D38*D203</f>
        <v>590.57780945837396</v>
      </c>
      <c r="E566">
        <f t="shared" si="353"/>
        <v>484.87310832408963</v>
      </c>
      <c r="F566">
        <f t="shared" si="353"/>
        <v>483.27638137595204</v>
      </c>
      <c r="G566">
        <f t="shared" si="353"/>
        <v>491.29539000361535</v>
      </c>
      <c r="H566">
        <f t="shared" si="353"/>
        <v>442.10529173098752</v>
      </c>
      <c r="I566">
        <f t="shared" si="353"/>
        <v>470.60248099060175</v>
      </c>
      <c r="J566">
        <f t="shared" si="353"/>
        <v>429.97972012413049</v>
      </c>
      <c r="K566">
        <f t="shared" si="353"/>
        <v>420.92846641287821</v>
      </c>
      <c r="L566">
        <f t="shared" si="353"/>
        <v>308.08562509933432</v>
      </c>
      <c r="M566">
        <f t="shared" si="353"/>
        <v>280.74132890226093</v>
      </c>
      <c r="N566">
        <f t="shared" si="353"/>
        <v>408.11461439598639</v>
      </c>
      <c r="O566">
        <f t="shared" si="353"/>
        <v>377.1402580976976</v>
      </c>
      <c r="P566">
        <f t="shared" si="353"/>
        <v>394.78009412274247</v>
      </c>
      <c r="Q566">
        <f t="shared" si="353"/>
        <v>459.4259002433447</v>
      </c>
      <c r="R566">
        <f t="shared" si="353"/>
        <v>456.51032795547559</v>
      </c>
      <c r="S566">
        <f t="shared" si="353"/>
        <v>470.25687107645399</v>
      </c>
      <c r="T566">
        <f t="shared" si="353"/>
        <v>606.27923239848019</v>
      </c>
      <c r="U566">
        <f t="shared" si="353"/>
        <v>681.20234295395062</v>
      </c>
      <c r="V566">
        <f t="shared" si="353"/>
        <v>459.2361401664013</v>
      </c>
      <c r="W566">
        <f t="shared" si="353"/>
        <v>556.05031410533036</v>
      </c>
      <c r="Y566" s="14">
        <f t="shared" si="349"/>
        <v>9271.461697938088</v>
      </c>
      <c r="Z566">
        <f t="shared" si="350"/>
        <v>-16.711335311417791</v>
      </c>
    </row>
    <row r="567" spans="1:26" x14ac:dyDescent="0.25">
      <c r="A567" t="s">
        <v>47</v>
      </c>
      <c r="D567">
        <f t="shared" ref="D567:W567" si="354">D39*D204</f>
        <v>622.58367065711673</v>
      </c>
      <c r="E567">
        <f t="shared" si="354"/>
        <v>471.75199776033702</v>
      </c>
      <c r="F567">
        <f t="shared" si="354"/>
        <v>481.05485412741376</v>
      </c>
      <c r="G567">
        <f t="shared" si="354"/>
        <v>591.31522912696971</v>
      </c>
      <c r="H567">
        <f t="shared" si="354"/>
        <v>550.07315065734838</v>
      </c>
      <c r="I567">
        <f t="shared" si="354"/>
        <v>513.64981468368796</v>
      </c>
      <c r="J567">
        <f t="shared" si="354"/>
        <v>456.42727241978577</v>
      </c>
      <c r="K567">
        <f t="shared" si="354"/>
        <v>425.47239417275955</v>
      </c>
      <c r="L567">
        <f t="shared" si="354"/>
        <v>291.98870289112648</v>
      </c>
      <c r="M567">
        <f t="shared" si="354"/>
        <v>367.82574430214919</v>
      </c>
      <c r="N567">
        <f t="shared" si="354"/>
        <v>314.40103591803171</v>
      </c>
      <c r="O567">
        <f t="shared" si="354"/>
        <v>389.34217447920003</v>
      </c>
      <c r="P567">
        <f t="shared" si="354"/>
        <v>500.12973866706398</v>
      </c>
      <c r="Q567">
        <f t="shared" si="354"/>
        <v>368.75637085573055</v>
      </c>
      <c r="R567">
        <f t="shared" si="354"/>
        <v>312.46910256883922</v>
      </c>
      <c r="S567">
        <f t="shared" si="354"/>
        <v>283.32018370360811</v>
      </c>
      <c r="T567">
        <f t="shared" si="354"/>
        <v>324.97050309590117</v>
      </c>
      <c r="U567">
        <f t="shared" si="354"/>
        <v>432.39311827378634</v>
      </c>
      <c r="V567">
        <f t="shared" si="354"/>
        <v>574.05437991929148</v>
      </c>
      <c r="W567">
        <f t="shared" si="354"/>
        <v>688.16229244396038</v>
      </c>
      <c r="Y567" s="14">
        <f t="shared" si="349"/>
        <v>8960.1417307241081</v>
      </c>
      <c r="Z567">
        <f t="shared" si="350"/>
        <v>88.310989068243885</v>
      </c>
    </row>
    <row r="568" spans="1:26" x14ac:dyDescent="0.25">
      <c r="A568" t="s">
        <v>48</v>
      </c>
      <c r="D568">
        <f t="shared" ref="D568:W568" si="355">D40*D205</f>
        <v>357.10496967368761</v>
      </c>
      <c r="E568">
        <f t="shared" si="355"/>
        <v>417.09777430584757</v>
      </c>
      <c r="F568">
        <f t="shared" si="355"/>
        <v>367.13667033213034</v>
      </c>
      <c r="G568">
        <f t="shared" si="355"/>
        <v>423.52829570046856</v>
      </c>
      <c r="H568">
        <f t="shared" si="355"/>
        <v>356.57244866043811</v>
      </c>
      <c r="I568">
        <f t="shared" si="355"/>
        <v>488.65552027101506</v>
      </c>
      <c r="J568">
        <f t="shared" si="355"/>
        <v>604.179641766744</v>
      </c>
      <c r="K568">
        <f t="shared" si="355"/>
        <v>587.20593175910608</v>
      </c>
      <c r="L568">
        <f t="shared" si="355"/>
        <v>327.16321706830865</v>
      </c>
      <c r="M568">
        <f t="shared" si="355"/>
        <v>473.45192317045502</v>
      </c>
      <c r="N568">
        <f t="shared" si="355"/>
        <v>553.72411871331394</v>
      </c>
      <c r="O568">
        <f t="shared" si="355"/>
        <v>291.41507461113088</v>
      </c>
      <c r="P568">
        <f t="shared" si="355"/>
        <v>324.20080408260509</v>
      </c>
      <c r="Q568">
        <f t="shared" si="355"/>
        <v>301.26287417270686</v>
      </c>
      <c r="R568">
        <f t="shared" si="355"/>
        <v>289.71389940163044</v>
      </c>
      <c r="S568">
        <f t="shared" si="355"/>
        <v>275.45820403118626</v>
      </c>
      <c r="T568">
        <f t="shared" si="355"/>
        <v>314.80220228676671</v>
      </c>
      <c r="U568">
        <f t="shared" si="355"/>
        <v>344.73220483929043</v>
      </c>
      <c r="V568">
        <f t="shared" si="355"/>
        <v>466.8824029571154</v>
      </c>
      <c r="W568">
        <f t="shared" si="355"/>
        <v>486.64224738298736</v>
      </c>
      <c r="Y568" s="14">
        <f t="shared" si="349"/>
        <v>8050.9304251869335</v>
      </c>
      <c r="Z568">
        <f t="shared" si="350"/>
        <v>-63.718284515128687</v>
      </c>
    </row>
    <row r="569" spans="1:26" x14ac:dyDescent="0.25">
      <c r="A569" t="s">
        <v>49</v>
      </c>
      <c r="D569">
        <f t="shared" ref="D569:W569" si="356">D41*D206</f>
        <v>752.89441914106214</v>
      </c>
      <c r="E569">
        <f t="shared" si="356"/>
        <v>624.99639777543678</v>
      </c>
      <c r="F569">
        <f t="shared" si="356"/>
        <v>650.56319709602383</v>
      </c>
      <c r="G569">
        <f t="shared" si="356"/>
        <v>467.84732326321358</v>
      </c>
      <c r="H569">
        <f t="shared" si="356"/>
        <v>341.12252395232616</v>
      </c>
      <c r="I569">
        <f t="shared" si="356"/>
        <v>461.18651553576098</v>
      </c>
      <c r="J569">
        <f t="shared" si="356"/>
        <v>246.38244829705528</v>
      </c>
      <c r="K569">
        <f t="shared" si="356"/>
        <v>243.26251309373959</v>
      </c>
      <c r="L569">
        <f t="shared" si="356"/>
        <v>232.45253272743599</v>
      </c>
      <c r="M569">
        <f t="shared" si="356"/>
        <v>226.37212633662318</v>
      </c>
      <c r="N569">
        <f t="shared" si="356"/>
        <v>332.67909535391442</v>
      </c>
      <c r="O569">
        <f t="shared" si="356"/>
        <v>353.84622366147943</v>
      </c>
      <c r="P569">
        <f t="shared" si="356"/>
        <v>293.29325605946872</v>
      </c>
      <c r="Q569">
        <f t="shared" si="356"/>
        <v>305.91891785770969</v>
      </c>
      <c r="R569">
        <f t="shared" si="356"/>
        <v>356.74353041479401</v>
      </c>
      <c r="S569">
        <f t="shared" si="356"/>
        <v>271.2232582613974</v>
      </c>
      <c r="T569">
        <f t="shared" si="356"/>
        <v>243.61424661297409</v>
      </c>
      <c r="U569">
        <f t="shared" si="356"/>
        <v>452.53571374035255</v>
      </c>
      <c r="V569">
        <f t="shared" si="356"/>
        <v>540.08240240623559</v>
      </c>
      <c r="W569">
        <f t="shared" si="356"/>
        <v>829.34525875041686</v>
      </c>
      <c r="Y569" s="14">
        <f t="shared" si="349"/>
        <v>8226.3619003374206</v>
      </c>
      <c r="Z569">
        <f t="shared" si="350"/>
        <v>247.63939686076046</v>
      </c>
    </row>
    <row r="570" spans="1:26" x14ac:dyDescent="0.25">
      <c r="A570" t="s">
        <v>50</v>
      </c>
      <c r="D570">
        <f t="shared" ref="D570:W570" si="357">D42*D207</f>
        <v>627.63325077474542</v>
      </c>
      <c r="E570">
        <f t="shared" si="357"/>
        <v>459.07255836840955</v>
      </c>
      <c r="F570">
        <f t="shared" si="357"/>
        <v>516.90771941752553</v>
      </c>
      <c r="G570">
        <f t="shared" si="357"/>
        <v>575.62551520140403</v>
      </c>
      <c r="H570">
        <f t="shared" si="357"/>
        <v>642.26492339997151</v>
      </c>
      <c r="I570">
        <f t="shared" si="357"/>
        <v>569.89575565681571</v>
      </c>
      <c r="J570">
        <f t="shared" si="357"/>
        <v>604.20288577158078</v>
      </c>
      <c r="K570">
        <f t="shared" si="357"/>
        <v>519.63320358158796</v>
      </c>
      <c r="L570">
        <f t="shared" si="357"/>
        <v>269.02087062048759</v>
      </c>
      <c r="M570">
        <f t="shared" si="357"/>
        <v>426.23769357038037</v>
      </c>
      <c r="N570">
        <f t="shared" si="357"/>
        <v>412.04933984573864</v>
      </c>
      <c r="O570">
        <f t="shared" si="357"/>
        <v>305.54229857956341</v>
      </c>
      <c r="P570">
        <f t="shared" si="357"/>
        <v>510.03928434368561</v>
      </c>
      <c r="Q570">
        <f t="shared" si="357"/>
        <v>583.43758296251519</v>
      </c>
      <c r="R570">
        <f t="shared" si="357"/>
        <v>641.05696981068547</v>
      </c>
      <c r="S570">
        <f t="shared" si="357"/>
        <v>700.01185283447114</v>
      </c>
      <c r="T570">
        <f t="shared" si="357"/>
        <v>663.61052024514447</v>
      </c>
      <c r="U570">
        <f t="shared" si="357"/>
        <v>567.19654623480744</v>
      </c>
      <c r="V570">
        <f t="shared" si="357"/>
        <v>551.05713564414907</v>
      </c>
      <c r="W570">
        <f t="shared" si="357"/>
        <v>747.60614011322889</v>
      </c>
      <c r="Y570" s="14">
        <f t="shared" si="349"/>
        <v>10892.102046976896</v>
      </c>
      <c r="Z570">
        <f t="shared" si="350"/>
        <v>-91.240882157494326</v>
      </c>
    </row>
    <row r="571" spans="1:26" x14ac:dyDescent="0.25">
      <c r="A571" t="s">
        <v>51</v>
      </c>
      <c r="D571">
        <f t="shared" ref="D571:W571" si="358">D43*D208</f>
        <v>504.67056960753115</v>
      </c>
      <c r="E571">
        <f t="shared" si="358"/>
        <v>435.12242753956741</v>
      </c>
      <c r="F571">
        <f t="shared" si="358"/>
        <v>476.72980829177254</v>
      </c>
      <c r="G571">
        <f t="shared" si="358"/>
        <v>502.13610429016592</v>
      </c>
      <c r="H571">
        <f t="shared" si="358"/>
        <v>453.56981399471471</v>
      </c>
      <c r="I571">
        <f t="shared" si="358"/>
        <v>415.72357567934966</v>
      </c>
      <c r="J571">
        <f t="shared" si="358"/>
        <v>427.21094364864393</v>
      </c>
      <c r="K571">
        <f t="shared" si="358"/>
        <v>389.56361377387816</v>
      </c>
      <c r="L571">
        <f t="shared" si="358"/>
        <v>365.29757550658962</v>
      </c>
      <c r="M571">
        <f t="shared" si="358"/>
        <v>274.45968801623638</v>
      </c>
      <c r="N571">
        <f t="shared" si="358"/>
        <v>279.75692703055091</v>
      </c>
      <c r="O571">
        <f t="shared" si="358"/>
        <v>231.98796359034921</v>
      </c>
      <c r="P571">
        <f t="shared" si="358"/>
        <v>312.29402354689699</v>
      </c>
      <c r="Q571">
        <f t="shared" si="358"/>
        <v>442.95638744646971</v>
      </c>
      <c r="R571">
        <f t="shared" si="358"/>
        <v>416.21095710966352</v>
      </c>
      <c r="S571">
        <f t="shared" si="358"/>
        <v>466.47583953254826</v>
      </c>
      <c r="T571">
        <f t="shared" si="358"/>
        <v>486.2797531601156</v>
      </c>
      <c r="U571">
        <f t="shared" si="358"/>
        <v>396.17368664330689</v>
      </c>
      <c r="V571">
        <f t="shared" si="358"/>
        <v>421.71838477512472</v>
      </c>
      <c r="W571">
        <f t="shared" si="358"/>
        <v>639.46587925710287</v>
      </c>
      <c r="Y571" s="14">
        <f t="shared" si="349"/>
        <v>8337.8039224405784</v>
      </c>
      <c r="Z571">
        <f t="shared" si="350"/>
        <v>39.312673509600323</v>
      </c>
    </row>
    <row r="572" spans="1:26" x14ac:dyDescent="0.25">
      <c r="A572" t="s">
        <v>52</v>
      </c>
      <c r="D572">
        <f t="shared" ref="D572:W572" si="359">D44*D209</f>
        <v>635.97532214767398</v>
      </c>
      <c r="E572">
        <f t="shared" si="359"/>
        <v>513.39053127327873</v>
      </c>
      <c r="F572">
        <f t="shared" si="359"/>
        <v>456.96629804411731</v>
      </c>
      <c r="G572">
        <f t="shared" si="359"/>
        <v>497.57650858678142</v>
      </c>
      <c r="H572">
        <f t="shared" si="359"/>
        <v>450.08307360804628</v>
      </c>
      <c r="I572">
        <f t="shared" si="359"/>
        <v>535.63507729634205</v>
      </c>
      <c r="J572">
        <f t="shared" si="359"/>
        <v>387.92280666875257</v>
      </c>
      <c r="K572">
        <f t="shared" si="359"/>
        <v>421.08229645023079</v>
      </c>
      <c r="L572">
        <f t="shared" si="359"/>
        <v>357.38658394059928</v>
      </c>
      <c r="M572">
        <f t="shared" si="359"/>
        <v>452.12140455533734</v>
      </c>
      <c r="N572">
        <f t="shared" si="359"/>
        <v>505.60602642081017</v>
      </c>
      <c r="O572">
        <f t="shared" si="359"/>
        <v>476.01768482624902</v>
      </c>
      <c r="P572">
        <f t="shared" si="359"/>
        <v>336.79874591508144</v>
      </c>
      <c r="Q572">
        <f t="shared" si="359"/>
        <v>449.90852688743081</v>
      </c>
      <c r="R572">
        <f t="shared" si="359"/>
        <v>443.54038820500051</v>
      </c>
      <c r="S572">
        <f t="shared" si="359"/>
        <v>575.02029966343866</v>
      </c>
      <c r="T572">
        <f t="shared" si="359"/>
        <v>580.49765483171711</v>
      </c>
      <c r="U572">
        <f t="shared" si="359"/>
        <v>676.61224544915933</v>
      </c>
      <c r="V572">
        <f t="shared" si="359"/>
        <v>762.62090059554055</v>
      </c>
      <c r="W572">
        <f t="shared" si="359"/>
        <v>823.0090051660402</v>
      </c>
      <c r="Y572" s="14">
        <f t="shared" si="349"/>
        <v>10337.771380531627</v>
      </c>
      <c r="Z572">
        <f t="shared" si="350"/>
        <v>16.228198158707428</v>
      </c>
    </row>
    <row r="573" spans="1:26" x14ac:dyDescent="0.25">
      <c r="A573" t="s">
        <v>53</v>
      </c>
      <c r="D573">
        <f t="shared" ref="D573:W573" si="360">D45*D210</f>
        <v>639.20352932849835</v>
      </c>
      <c r="E573">
        <f t="shared" si="360"/>
        <v>474.96566796032687</v>
      </c>
      <c r="F573">
        <f t="shared" si="360"/>
        <v>442.58652966755062</v>
      </c>
      <c r="G573">
        <f t="shared" si="360"/>
        <v>391.37530516698581</v>
      </c>
      <c r="H573">
        <f t="shared" si="360"/>
        <v>310.76966775777413</v>
      </c>
      <c r="I573">
        <f t="shared" si="360"/>
        <v>307.41706733650398</v>
      </c>
      <c r="J573">
        <f t="shared" si="360"/>
        <v>312.850016279096</v>
      </c>
      <c r="K573">
        <f t="shared" si="360"/>
        <v>372.63764558600838</v>
      </c>
      <c r="L573">
        <f t="shared" si="360"/>
        <v>301.7646112747039</v>
      </c>
      <c r="M573">
        <f t="shared" si="360"/>
        <v>334.30312950680621</v>
      </c>
      <c r="N573">
        <f t="shared" si="360"/>
        <v>233.64385408025825</v>
      </c>
      <c r="O573">
        <f t="shared" si="360"/>
        <v>350.75032667501853</v>
      </c>
      <c r="P573">
        <f t="shared" si="360"/>
        <v>297.22776177736807</v>
      </c>
      <c r="Q573">
        <f t="shared" si="360"/>
        <v>245.00242015546243</v>
      </c>
      <c r="R573">
        <f t="shared" si="360"/>
        <v>352.11793950934378</v>
      </c>
      <c r="S573">
        <f t="shared" si="360"/>
        <v>462.38631626491667</v>
      </c>
      <c r="T573">
        <f t="shared" si="360"/>
        <v>469.52794746919341</v>
      </c>
      <c r="U573">
        <f t="shared" si="360"/>
        <v>447.42301469615592</v>
      </c>
      <c r="V573">
        <f t="shared" si="360"/>
        <v>312.22223915001325</v>
      </c>
      <c r="W573">
        <f t="shared" si="360"/>
        <v>345.15644951479874</v>
      </c>
      <c r="Y573" s="14">
        <f t="shared" si="349"/>
        <v>7403.3314391567837</v>
      </c>
      <c r="Z573">
        <f t="shared" si="350"/>
        <v>109.7470488118631</v>
      </c>
    </row>
    <row r="574" spans="1:26" x14ac:dyDescent="0.25">
      <c r="A574" t="s">
        <v>54</v>
      </c>
      <c r="D574">
        <f t="shared" ref="D574:W574" si="361">D46*D211</f>
        <v>316.33319967777811</v>
      </c>
      <c r="E574">
        <f t="shared" si="361"/>
        <v>381.34854687857938</v>
      </c>
      <c r="F574">
        <f t="shared" si="361"/>
        <v>366.43124815253856</v>
      </c>
      <c r="G574">
        <f t="shared" si="361"/>
        <v>284.28853491398257</v>
      </c>
      <c r="H574">
        <f t="shared" si="361"/>
        <v>264.50147816454586</v>
      </c>
      <c r="I574">
        <f t="shared" si="361"/>
        <v>224.54141485223315</v>
      </c>
      <c r="J574">
        <f t="shared" si="361"/>
        <v>234.4844035383704</v>
      </c>
      <c r="K574">
        <f t="shared" si="361"/>
        <v>231.16849676461129</v>
      </c>
      <c r="L574">
        <f t="shared" si="361"/>
        <v>190.12283266043517</v>
      </c>
      <c r="M574">
        <f t="shared" si="361"/>
        <v>233.5221401653879</v>
      </c>
      <c r="N574">
        <f t="shared" si="361"/>
        <v>245.94568474093535</v>
      </c>
      <c r="O574">
        <f t="shared" si="361"/>
        <v>235.28376868756098</v>
      </c>
      <c r="P574">
        <f t="shared" si="361"/>
        <v>230.40503043094751</v>
      </c>
      <c r="Q574">
        <f t="shared" si="361"/>
        <v>221.77809895913126</v>
      </c>
      <c r="R574">
        <f t="shared" si="361"/>
        <v>194.12406253310593</v>
      </c>
      <c r="S574">
        <f t="shared" si="361"/>
        <v>196.51068172703876</v>
      </c>
      <c r="T574">
        <f t="shared" si="361"/>
        <v>273.7308602966167</v>
      </c>
      <c r="U574">
        <f t="shared" si="361"/>
        <v>328.68817739562542</v>
      </c>
      <c r="V574">
        <f t="shared" si="361"/>
        <v>274.92541462307213</v>
      </c>
      <c r="W574">
        <f t="shared" si="361"/>
        <v>320.98407472633392</v>
      </c>
      <c r="Y574" s="14">
        <f t="shared" si="349"/>
        <v>5249.1181498888309</v>
      </c>
      <c r="Z574">
        <f t="shared" si="350"/>
        <v>2.4963778773424714</v>
      </c>
    </row>
    <row r="575" spans="1:26" x14ac:dyDescent="0.25">
      <c r="A575" t="s">
        <v>55</v>
      </c>
      <c r="D575">
        <f t="shared" ref="D575:W575" si="362">D47*D212</f>
        <v>481.79367314900634</v>
      </c>
      <c r="E575">
        <f t="shared" si="362"/>
        <v>392.5072807195146</v>
      </c>
      <c r="F575">
        <f t="shared" si="362"/>
        <v>304.11025164470038</v>
      </c>
      <c r="G575">
        <f t="shared" si="362"/>
        <v>329.52097154475445</v>
      </c>
      <c r="H575">
        <f t="shared" si="362"/>
        <v>210.30664185446881</v>
      </c>
      <c r="I575">
        <f t="shared" si="362"/>
        <v>221.51750068153521</v>
      </c>
      <c r="J575">
        <f t="shared" si="362"/>
        <v>219.57215038432949</v>
      </c>
      <c r="K575">
        <f t="shared" si="362"/>
        <v>220.60126221875777</v>
      </c>
      <c r="L575">
        <f t="shared" si="362"/>
        <v>204.67335763386001</v>
      </c>
      <c r="M575">
        <f t="shared" si="362"/>
        <v>231.52757518023321</v>
      </c>
      <c r="N575">
        <f t="shared" si="362"/>
        <v>289.47692557549169</v>
      </c>
      <c r="O575">
        <f t="shared" si="362"/>
        <v>413.79155556906238</v>
      </c>
      <c r="P575">
        <f t="shared" si="362"/>
        <v>218.32735098547846</v>
      </c>
      <c r="Q575">
        <f t="shared" si="362"/>
        <v>262.15702408595467</v>
      </c>
      <c r="R575">
        <f t="shared" si="362"/>
        <v>247.39279411938722</v>
      </c>
      <c r="S575">
        <f t="shared" si="362"/>
        <v>247.64980281439273</v>
      </c>
      <c r="T575">
        <f t="shared" si="362"/>
        <v>254.71817595231269</v>
      </c>
      <c r="U575">
        <f t="shared" si="362"/>
        <v>275.55879285125474</v>
      </c>
      <c r="V575">
        <f t="shared" si="362"/>
        <v>311.4478740852561</v>
      </c>
      <c r="W575">
        <f t="shared" si="362"/>
        <v>591.39365340493873</v>
      </c>
      <c r="Y575" s="14">
        <f t="shared" si="349"/>
        <v>5928.0446144546904</v>
      </c>
      <c r="Z575">
        <f t="shared" si="350"/>
        <v>70.764750691021192</v>
      </c>
    </row>
    <row r="576" spans="1:26" x14ac:dyDescent="0.25">
      <c r="A576" t="s">
        <v>56</v>
      </c>
      <c r="D576">
        <f t="shared" ref="D576:W576" si="363">D48*D213</f>
        <v>674.39543655483681</v>
      </c>
      <c r="E576">
        <f t="shared" si="363"/>
        <v>425.80905262683808</v>
      </c>
      <c r="F576">
        <f t="shared" si="363"/>
        <v>348.09268363030333</v>
      </c>
      <c r="G576">
        <f t="shared" si="363"/>
        <v>386.15766374042767</v>
      </c>
      <c r="H576">
        <f t="shared" si="363"/>
        <v>262.45000555803705</v>
      </c>
      <c r="I576">
        <f t="shared" si="363"/>
        <v>335.16124362544645</v>
      </c>
      <c r="J576">
        <f t="shared" si="363"/>
        <v>408.14681331078248</v>
      </c>
      <c r="K576">
        <f t="shared" si="363"/>
        <v>382.6363234660011</v>
      </c>
      <c r="L576">
        <f t="shared" si="363"/>
        <v>287.43972343950941</v>
      </c>
      <c r="M576">
        <f t="shared" si="363"/>
        <v>293.72870927168026</v>
      </c>
      <c r="N576">
        <f t="shared" si="363"/>
        <v>500.43767228979266</v>
      </c>
      <c r="O576">
        <f t="shared" si="363"/>
        <v>348.51304888585497</v>
      </c>
      <c r="P576">
        <f t="shared" si="363"/>
        <v>370.74465272141993</v>
      </c>
      <c r="Q576">
        <f t="shared" si="363"/>
        <v>419.25565283825182</v>
      </c>
      <c r="R576">
        <f t="shared" si="363"/>
        <v>301.35992102420619</v>
      </c>
      <c r="S576">
        <f t="shared" si="363"/>
        <v>451.61290197362297</v>
      </c>
      <c r="T576">
        <f t="shared" si="363"/>
        <v>598.56470932435013</v>
      </c>
      <c r="U576">
        <f t="shared" si="363"/>
        <v>385.39165727284507</v>
      </c>
      <c r="V576">
        <f t="shared" si="363"/>
        <v>306.23299200044858</v>
      </c>
      <c r="W576">
        <f t="shared" si="363"/>
        <v>451.61290197362297</v>
      </c>
      <c r="Y576" s="14">
        <f t="shared" si="349"/>
        <v>7937.7437655282765</v>
      </c>
      <c r="Z576">
        <f t="shared" si="350"/>
        <v>26.452141798409926</v>
      </c>
    </row>
    <row r="577" spans="1:26" x14ac:dyDescent="0.25">
      <c r="A577" t="s">
        <v>57</v>
      </c>
      <c r="D577">
        <f t="shared" ref="D577:W577" si="364">D49*D214</f>
        <v>498.77476011092136</v>
      </c>
      <c r="E577">
        <f t="shared" si="364"/>
        <v>483.35468880560205</v>
      </c>
      <c r="F577">
        <f t="shared" si="364"/>
        <v>538.59593304757686</v>
      </c>
      <c r="G577">
        <f t="shared" si="364"/>
        <v>523.0098622108477</v>
      </c>
      <c r="H577">
        <f t="shared" si="364"/>
        <v>437.07004398809647</v>
      </c>
      <c r="I577">
        <f t="shared" si="364"/>
        <v>306.59452274345011</v>
      </c>
      <c r="J577">
        <f t="shared" si="364"/>
        <v>304.63342961205728</v>
      </c>
      <c r="K577">
        <f t="shared" si="364"/>
        <v>368.87501817704856</v>
      </c>
      <c r="L577">
        <f t="shared" si="364"/>
        <v>172.68233619783049</v>
      </c>
      <c r="M577">
        <f t="shared" si="364"/>
        <v>261.76635459284665</v>
      </c>
      <c r="N577">
        <f t="shared" si="364"/>
        <v>260.49705430046231</v>
      </c>
      <c r="O577">
        <f t="shared" si="364"/>
        <v>296.78980059848737</v>
      </c>
      <c r="P577">
        <f t="shared" si="364"/>
        <v>386.4534148867595</v>
      </c>
      <c r="Q577">
        <f t="shared" si="364"/>
        <v>303.1682816525817</v>
      </c>
      <c r="R577">
        <f t="shared" si="364"/>
        <v>457.56751398526751</v>
      </c>
      <c r="S577">
        <f t="shared" si="364"/>
        <v>411.35533495351916</v>
      </c>
      <c r="T577">
        <f t="shared" si="364"/>
        <v>389.8016654259032</v>
      </c>
      <c r="U577">
        <f t="shared" si="364"/>
        <v>396.58299760086157</v>
      </c>
      <c r="V577">
        <f t="shared" si="364"/>
        <v>587.63706236128246</v>
      </c>
      <c r="W577">
        <f t="shared" si="364"/>
        <v>663.45812570983878</v>
      </c>
      <c r="Y577" s="14">
        <f t="shared" si="349"/>
        <v>8048.6682009612423</v>
      </c>
      <c r="Z577">
        <f t="shared" si="350"/>
        <v>5.3133710995340877</v>
      </c>
    </row>
    <row r="578" spans="1:26" x14ac:dyDescent="0.25">
      <c r="A578" t="s">
        <v>58</v>
      </c>
      <c r="D578">
        <f t="shared" ref="D578:W578" si="365">D50*D215</f>
        <v>344.48205546450788</v>
      </c>
      <c r="E578">
        <f t="shared" si="365"/>
        <v>417.5427563212599</v>
      </c>
      <c r="F578">
        <f t="shared" si="365"/>
        <v>227.29772477039774</v>
      </c>
      <c r="G578">
        <f t="shared" si="365"/>
        <v>285.20653070432905</v>
      </c>
      <c r="H578">
        <f t="shared" si="365"/>
        <v>295.12438855407021</v>
      </c>
      <c r="I578">
        <f t="shared" si="365"/>
        <v>173.93136010852453</v>
      </c>
      <c r="J578">
        <f t="shared" si="365"/>
        <v>278.08157981965877</v>
      </c>
      <c r="K578">
        <f t="shared" si="365"/>
        <v>207.95526731423627</v>
      </c>
      <c r="L578">
        <f t="shared" si="365"/>
        <v>174.04551033828764</v>
      </c>
      <c r="M578">
        <f t="shared" si="365"/>
        <v>141.57167751115338</v>
      </c>
      <c r="N578">
        <f t="shared" si="365"/>
        <v>223.25127905992289</v>
      </c>
      <c r="O578">
        <f t="shared" si="365"/>
        <v>215.50227506917702</v>
      </c>
      <c r="P578">
        <f t="shared" si="365"/>
        <v>233.13518598708262</v>
      </c>
      <c r="Q578">
        <f t="shared" si="365"/>
        <v>181.93309109543853</v>
      </c>
      <c r="R578">
        <f t="shared" si="365"/>
        <v>136.94471816359294</v>
      </c>
      <c r="S578">
        <f t="shared" si="365"/>
        <v>194.95088241167289</v>
      </c>
      <c r="T578">
        <f t="shared" si="365"/>
        <v>233.91440320684956</v>
      </c>
      <c r="U578">
        <f t="shared" si="365"/>
        <v>221.03091709556523</v>
      </c>
      <c r="V578">
        <f t="shared" si="365"/>
        <v>205.68828643811813</v>
      </c>
      <c r="W578">
        <f t="shared" si="365"/>
        <v>261.40644837685676</v>
      </c>
      <c r="Y578" s="14">
        <f t="shared" si="349"/>
        <v>4652.9963378107013</v>
      </c>
      <c r="Z578">
        <f t="shared" si="350"/>
        <v>37.703504546182359</v>
      </c>
    </row>
    <row r="579" spans="1:26" x14ac:dyDescent="0.25">
      <c r="A579" t="s">
        <v>59</v>
      </c>
      <c r="D579">
        <f t="shared" ref="D579:W579" si="366">D51*D216</f>
        <v>332.22371038417998</v>
      </c>
      <c r="E579">
        <f t="shared" si="366"/>
        <v>347.92691226800099</v>
      </c>
      <c r="F579">
        <f t="shared" si="366"/>
        <v>212.43900158546785</v>
      </c>
      <c r="G579">
        <f t="shared" si="366"/>
        <v>289.97215332783537</v>
      </c>
      <c r="H579">
        <f t="shared" si="366"/>
        <v>207.02356815315127</v>
      </c>
      <c r="I579">
        <f t="shared" si="366"/>
        <v>131.41580192204225</v>
      </c>
      <c r="J579">
        <f t="shared" si="366"/>
        <v>105.91499150413478</v>
      </c>
      <c r="K579">
        <f t="shared" si="366"/>
        <v>133.57126822798605</v>
      </c>
      <c r="L579">
        <f t="shared" si="366"/>
        <v>119.28292842464084</v>
      </c>
      <c r="M579">
        <f t="shared" si="366"/>
        <v>217.27770585677629</v>
      </c>
      <c r="N579">
        <f t="shared" si="366"/>
        <v>179.31413765432563</v>
      </c>
      <c r="O579">
        <f t="shared" si="366"/>
        <v>163.19584268024064</v>
      </c>
      <c r="P579">
        <f t="shared" si="366"/>
        <v>156.5527220570153</v>
      </c>
      <c r="Q579">
        <f t="shared" si="366"/>
        <v>188.49019566219587</v>
      </c>
      <c r="R579">
        <f t="shared" si="366"/>
        <v>260.15881515670537</v>
      </c>
      <c r="S579">
        <f t="shared" si="366"/>
        <v>282.18702074722205</v>
      </c>
      <c r="T579">
        <f t="shared" si="366"/>
        <v>159.34601189127642</v>
      </c>
      <c r="U579">
        <f t="shared" si="366"/>
        <v>243.37781967898871</v>
      </c>
      <c r="V579">
        <f t="shared" si="366"/>
        <v>335.18013871553649</v>
      </c>
      <c r="W579">
        <f t="shared" si="366"/>
        <v>239.89132075420429</v>
      </c>
      <c r="Y579" s="14">
        <f t="shared" si="349"/>
        <v>4304.7420666519265</v>
      </c>
      <c r="Z579">
        <f t="shared" si="350"/>
        <v>29.80940735257591</v>
      </c>
    </row>
    <row r="580" spans="1:26" x14ac:dyDescent="0.25">
      <c r="A580" t="s">
        <v>60</v>
      </c>
      <c r="D580">
        <f t="shared" ref="D580:W580" si="367">D52*D217</f>
        <v>218.66627233352722</v>
      </c>
      <c r="E580">
        <f t="shared" si="367"/>
        <v>174.99451790547207</v>
      </c>
      <c r="F580">
        <f t="shared" si="367"/>
        <v>217.60492166855568</v>
      </c>
      <c r="G580">
        <f t="shared" si="367"/>
        <v>166.99569983039044</v>
      </c>
      <c r="H580">
        <f t="shared" si="367"/>
        <v>173.34727231604174</v>
      </c>
      <c r="I580">
        <f t="shared" si="367"/>
        <v>219.45864102346206</v>
      </c>
      <c r="J580">
        <f t="shared" si="367"/>
        <v>163.52117811554794</v>
      </c>
      <c r="K580">
        <f t="shared" si="367"/>
        <v>178.56355836569364</v>
      </c>
      <c r="L580">
        <f t="shared" si="367"/>
        <v>68.427336311037138</v>
      </c>
      <c r="M580">
        <f t="shared" si="367"/>
        <v>177.81564021312795</v>
      </c>
      <c r="N580">
        <f t="shared" si="367"/>
        <v>144.78092531894123</v>
      </c>
      <c r="O580">
        <f t="shared" si="367"/>
        <v>233.89126890561147</v>
      </c>
      <c r="P580">
        <f t="shared" si="367"/>
        <v>138.45604109465944</v>
      </c>
      <c r="Q580">
        <f t="shared" si="367"/>
        <v>176.05006791018459</v>
      </c>
      <c r="R580">
        <f t="shared" si="367"/>
        <v>161.39654857022353</v>
      </c>
      <c r="S580">
        <f t="shared" si="367"/>
        <v>206.0533587884928</v>
      </c>
      <c r="T580">
        <f t="shared" si="367"/>
        <v>196.55758088207756</v>
      </c>
      <c r="U580">
        <f t="shared" si="367"/>
        <v>237.75714449132346</v>
      </c>
      <c r="V580">
        <f t="shared" si="367"/>
        <v>264.280377270359</v>
      </c>
      <c r="W580">
        <f t="shared" si="367"/>
        <v>224.21917868011059</v>
      </c>
      <c r="Y580" s="14">
        <f t="shared" si="349"/>
        <v>3742.8375299948398</v>
      </c>
      <c r="Z580">
        <f t="shared" si="350"/>
        <v>-29.793561421127208</v>
      </c>
    </row>
    <row r="581" spans="1:26" x14ac:dyDescent="0.25">
      <c r="A581" t="s">
        <v>61</v>
      </c>
      <c r="D581">
        <f t="shared" ref="D581:W581" si="368">D53*D218</f>
        <v>316.37360709854238</v>
      </c>
      <c r="E581">
        <f t="shared" si="368"/>
        <v>417.55760821929744</v>
      </c>
      <c r="F581">
        <f t="shared" si="368"/>
        <v>374.48261701834849</v>
      </c>
      <c r="G581">
        <f t="shared" si="368"/>
        <v>378.44435643836135</v>
      </c>
      <c r="H581">
        <f t="shared" si="368"/>
        <v>336.22743809093816</v>
      </c>
      <c r="I581">
        <f t="shared" si="368"/>
        <v>413.29037950106755</v>
      </c>
      <c r="J581">
        <f t="shared" si="368"/>
        <v>354.67267757779666</v>
      </c>
      <c r="K581">
        <f t="shared" si="368"/>
        <v>249.09068654234281</v>
      </c>
      <c r="L581">
        <f t="shared" si="368"/>
        <v>319.22457253345391</v>
      </c>
      <c r="M581">
        <f t="shared" si="368"/>
        <v>267.67462948412162</v>
      </c>
      <c r="N581">
        <f t="shared" si="368"/>
        <v>224.44750073522397</v>
      </c>
      <c r="O581">
        <f t="shared" si="368"/>
        <v>270.79519361740034</v>
      </c>
      <c r="P581">
        <f t="shared" si="368"/>
        <v>401.27948929920097</v>
      </c>
      <c r="Q581">
        <f t="shared" si="368"/>
        <v>374.1098378928674</v>
      </c>
      <c r="R581">
        <f t="shared" si="368"/>
        <v>353.80243957530564</v>
      </c>
      <c r="S581">
        <f t="shared" si="368"/>
        <v>314.8352470950361</v>
      </c>
      <c r="T581">
        <f t="shared" si="368"/>
        <v>395.26828570881293</v>
      </c>
      <c r="U581">
        <f t="shared" si="368"/>
        <v>366.38036051677284</v>
      </c>
      <c r="V581">
        <f t="shared" si="368"/>
        <v>370.5205338985113</v>
      </c>
      <c r="W581">
        <f t="shared" si="368"/>
        <v>403.81592595836094</v>
      </c>
      <c r="Y581" s="14">
        <f t="shared" si="349"/>
        <v>6902.2933868017617</v>
      </c>
      <c r="Z581">
        <f t="shared" si="350"/>
        <v>-77.723445336835994</v>
      </c>
    </row>
    <row r="582" spans="1:26" x14ac:dyDescent="0.25">
      <c r="A582" t="s">
        <v>62</v>
      </c>
      <c r="D582">
        <f t="shared" ref="D582:W582" si="369">D54*D219</f>
        <v>626.57359425219454</v>
      </c>
      <c r="E582">
        <f t="shared" si="369"/>
        <v>334.43303017512852</v>
      </c>
      <c r="F582">
        <f t="shared" si="369"/>
        <v>335.79297564886275</v>
      </c>
      <c r="G582">
        <f t="shared" si="369"/>
        <v>327.40138190882715</v>
      </c>
      <c r="H582">
        <f t="shared" si="369"/>
        <v>437.12244286579602</v>
      </c>
      <c r="I582">
        <f t="shared" si="369"/>
        <v>436.80359848872308</v>
      </c>
      <c r="J582">
        <f t="shared" si="369"/>
        <v>414.22826658653122</v>
      </c>
      <c r="K582">
        <f t="shared" si="369"/>
        <v>390.30121104781563</v>
      </c>
      <c r="L582">
        <f t="shared" si="369"/>
        <v>427.83489279543323</v>
      </c>
      <c r="M582">
        <f t="shared" si="369"/>
        <v>368.73625207854553</v>
      </c>
      <c r="N582">
        <f t="shared" si="369"/>
        <v>329.24879419003588</v>
      </c>
      <c r="O582">
        <f t="shared" si="369"/>
        <v>342.53336406078364</v>
      </c>
      <c r="P582">
        <f t="shared" si="369"/>
        <v>209.47816372143808</v>
      </c>
      <c r="Q582">
        <f t="shared" si="369"/>
        <v>174.13668834728023</v>
      </c>
      <c r="R582">
        <f t="shared" si="369"/>
        <v>140.28387248493567</v>
      </c>
      <c r="S582">
        <f t="shared" si="369"/>
        <v>349.95394180468998</v>
      </c>
      <c r="T582">
        <f t="shared" si="369"/>
        <v>410.4320180680765</v>
      </c>
      <c r="U582">
        <f t="shared" si="369"/>
        <v>364.97968595219976</v>
      </c>
      <c r="V582">
        <f t="shared" si="369"/>
        <v>350.02122516624974</v>
      </c>
      <c r="W582">
        <f t="shared" si="369"/>
        <v>415.77148840019839</v>
      </c>
      <c r="Y582" s="14">
        <f t="shared" si="349"/>
        <v>7186.0668880437433</v>
      </c>
      <c r="Z582">
        <f t="shared" si="350"/>
        <v>214.92376631459098</v>
      </c>
    </row>
    <row r="583" spans="1:26" x14ac:dyDescent="0.25">
      <c r="A583" t="s">
        <v>63</v>
      </c>
      <c r="D583">
        <f t="shared" ref="D583:W583" si="370">D55*D220</f>
        <v>335.28960195936145</v>
      </c>
      <c r="E583">
        <f t="shared" si="370"/>
        <v>382.90164652172592</v>
      </c>
      <c r="F583">
        <f t="shared" si="370"/>
        <v>353.5566873707794</v>
      </c>
      <c r="G583">
        <f t="shared" si="370"/>
        <v>330.8484768927193</v>
      </c>
      <c r="H583">
        <f t="shared" si="370"/>
        <v>272.19791875324779</v>
      </c>
      <c r="I583">
        <f t="shared" si="370"/>
        <v>378.01507545159234</v>
      </c>
      <c r="J583">
        <f t="shared" si="370"/>
        <v>417.55638205674677</v>
      </c>
      <c r="K583">
        <f t="shared" si="370"/>
        <v>363.06268326561303</v>
      </c>
      <c r="L583">
        <f t="shared" si="370"/>
        <v>260.189477502871</v>
      </c>
      <c r="M583">
        <f t="shared" si="370"/>
        <v>281.57702180284258</v>
      </c>
      <c r="N583">
        <f t="shared" si="370"/>
        <v>334.31486486945579</v>
      </c>
      <c r="O583">
        <f t="shared" si="370"/>
        <v>430.73995269479326</v>
      </c>
      <c r="P583">
        <f t="shared" si="370"/>
        <v>311.90032482261449</v>
      </c>
      <c r="Q583">
        <f t="shared" si="370"/>
        <v>383.46965105088583</v>
      </c>
      <c r="R583">
        <f t="shared" si="370"/>
        <v>440.60581292516434</v>
      </c>
      <c r="S583">
        <f t="shared" si="370"/>
        <v>477.96413419644489</v>
      </c>
      <c r="T583">
        <f t="shared" si="370"/>
        <v>392.2062602521687</v>
      </c>
      <c r="U583">
        <f t="shared" si="370"/>
        <v>289.48124861464305</v>
      </c>
      <c r="V583">
        <f t="shared" si="370"/>
        <v>341.91502381027129</v>
      </c>
      <c r="W583">
        <f t="shared" si="370"/>
        <v>398.7371835478412</v>
      </c>
      <c r="Y583" s="14">
        <f t="shared" si="349"/>
        <v>7176.5294283617832</v>
      </c>
      <c r="Z583">
        <f t="shared" si="350"/>
        <v>-133.46396468858057</v>
      </c>
    </row>
    <row r="584" spans="1:26" x14ac:dyDescent="0.25">
      <c r="A584" t="s">
        <v>64</v>
      </c>
      <c r="D584">
        <f t="shared" ref="D584:W584" si="371">D56*D221</f>
        <v>327.18002440853138</v>
      </c>
      <c r="E584">
        <f t="shared" si="371"/>
        <v>440.58622376078245</v>
      </c>
      <c r="F584">
        <f t="shared" si="371"/>
        <v>558.75121920759057</v>
      </c>
      <c r="G584">
        <f t="shared" si="371"/>
        <v>325.92482942521946</v>
      </c>
      <c r="H584">
        <f t="shared" si="371"/>
        <v>328.9393811599607</v>
      </c>
      <c r="I584">
        <f t="shared" si="371"/>
        <v>330.3788030824424</v>
      </c>
      <c r="J584">
        <f t="shared" si="371"/>
        <v>383.21020640443214</v>
      </c>
      <c r="K584">
        <f t="shared" si="371"/>
        <v>352.37264894330684</v>
      </c>
      <c r="L584">
        <f t="shared" si="371"/>
        <v>303.60587823104629</v>
      </c>
      <c r="M584">
        <f t="shared" si="371"/>
        <v>239.49466083820684</v>
      </c>
      <c r="N584">
        <f t="shared" si="371"/>
        <v>263.99259337662778</v>
      </c>
      <c r="O584">
        <f t="shared" si="371"/>
        <v>296.90004057291617</v>
      </c>
      <c r="P584">
        <f t="shared" si="371"/>
        <v>319.5285356371902</v>
      </c>
      <c r="Q584">
        <f t="shared" si="371"/>
        <v>394.28593062264883</v>
      </c>
      <c r="R584">
        <f t="shared" si="371"/>
        <v>385.45983828542762</v>
      </c>
      <c r="S584">
        <f t="shared" si="371"/>
        <v>219.08006356680838</v>
      </c>
      <c r="T584">
        <f t="shared" si="371"/>
        <v>325.22930801519823</v>
      </c>
      <c r="U584">
        <f t="shared" si="371"/>
        <v>380.11206218576024</v>
      </c>
      <c r="V584">
        <f t="shared" si="371"/>
        <v>556.32233993610782</v>
      </c>
      <c r="W584">
        <f t="shared" si="371"/>
        <v>503.36818702884045</v>
      </c>
      <c r="Y584" s="14">
        <f t="shared" si="349"/>
        <v>7234.7227746890449</v>
      </c>
      <c r="Z584">
        <f t="shared" si="350"/>
        <v>-61.910729105492045</v>
      </c>
    </row>
    <row r="585" spans="1:26" x14ac:dyDescent="0.25">
      <c r="A585" t="s">
        <v>65</v>
      </c>
      <c r="D585">
        <f t="shared" ref="D585:W585" si="372">D57*D222</f>
        <v>602.32475743367729</v>
      </c>
      <c r="E585">
        <f t="shared" si="372"/>
        <v>491.72346578461088</v>
      </c>
      <c r="F585">
        <f t="shared" si="372"/>
        <v>484.48427035714667</v>
      </c>
      <c r="G585">
        <f t="shared" si="372"/>
        <v>430.6003982687235</v>
      </c>
      <c r="H585">
        <f t="shared" si="372"/>
        <v>434.46367763720747</v>
      </c>
      <c r="I585">
        <f t="shared" si="372"/>
        <v>439.72045153311279</v>
      </c>
      <c r="J585">
        <f t="shared" si="372"/>
        <v>376.38600756268391</v>
      </c>
      <c r="K585">
        <f t="shared" si="372"/>
        <v>380.12871110291798</v>
      </c>
      <c r="L585">
        <f t="shared" si="372"/>
        <v>323.78560096705633</v>
      </c>
      <c r="M585">
        <f t="shared" si="372"/>
        <v>260.81216049253254</v>
      </c>
      <c r="N585">
        <f t="shared" si="372"/>
        <v>390.68059203343944</v>
      </c>
      <c r="O585">
        <f t="shared" si="372"/>
        <v>360.96412172627828</v>
      </c>
      <c r="P585">
        <f t="shared" si="372"/>
        <v>290.96545899813594</v>
      </c>
      <c r="Q585">
        <f t="shared" si="372"/>
        <v>251.75506753110409</v>
      </c>
      <c r="R585">
        <f t="shared" si="372"/>
        <v>262.13320404105428</v>
      </c>
      <c r="S585">
        <f t="shared" si="372"/>
        <v>314.13984114623622</v>
      </c>
      <c r="T585">
        <f t="shared" si="372"/>
        <v>279.32926048067986</v>
      </c>
      <c r="U585">
        <f t="shared" si="372"/>
        <v>371.0389624511414</v>
      </c>
      <c r="V585">
        <f t="shared" si="372"/>
        <v>479.38808243462773</v>
      </c>
      <c r="W585">
        <f t="shared" si="372"/>
        <v>601.76683257546472</v>
      </c>
      <c r="Y585" s="14">
        <f t="shared" si="349"/>
        <v>7826.5909245578305</v>
      </c>
      <c r="Z585">
        <f t="shared" si="350"/>
        <v>166.64438503115468</v>
      </c>
    </row>
    <row r="586" spans="1:26" x14ac:dyDescent="0.25">
      <c r="A586" t="s">
        <v>66</v>
      </c>
      <c r="D586">
        <f t="shared" ref="D586:W586" si="373">D58*D223</f>
        <v>776.9220964749419</v>
      </c>
      <c r="E586">
        <f t="shared" si="373"/>
        <v>626.77347980773823</v>
      </c>
      <c r="F586">
        <f t="shared" si="373"/>
        <v>629.86655869784317</v>
      </c>
      <c r="G586">
        <f t="shared" si="373"/>
        <v>483.58497921737666</v>
      </c>
      <c r="H586">
        <f t="shared" si="373"/>
        <v>343.21022531138772</v>
      </c>
      <c r="I586">
        <f t="shared" si="373"/>
        <v>457.12343067348945</v>
      </c>
      <c r="J586">
        <f t="shared" si="373"/>
        <v>269.07472209256076</v>
      </c>
      <c r="K586">
        <f t="shared" si="373"/>
        <v>261.75479700894431</v>
      </c>
      <c r="L586">
        <f t="shared" si="373"/>
        <v>243.07320879170678</v>
      </c>
      <c r="M586">
        <f t="shared" si="373"/>
        <v>250.13404239833554</v>
      </c>
      <c r="N586">
        <f t="shared" si="373"/>
        <v>391.35039377290838</v>
      </c>
      <c r="O586">
        <f t="shared" si="373"/>
        <v>374.24555513485984</v>
      </c>
      <c r="P586">
        <f t="shared" si="373"/>
        <v>387.22886309192626</v>
      </c>
      <c r="Q586">
        <f t="shared" si="373"/>
        <v>411.36017832565801</v>
      </c>
      <c r="R586">
        <f t="shared" si="373"/>
        <v>412.06860893533326</v>
      </c>
      <c r="S586">
        <f t="shared" si="373"/>
        <v>415.25941498551248</v>
      </c>
      <c r="T586">
        <f t="shared" si="373"/>
        <v>358.31785685390207</v>
      </c>
      <c r="U586">
        <f t="shared" si="373"/>
        <v>482.34707222849636</v>
      </c>
      <c r="V586">
        <f t="shared" si="373"/>
        <v>504.47077695041088</v>
      </c>
      <c r="W586">
        <f t="shared" si="373"/>
        <v>662.91703113131678</v>
      </c>
      <c r="Y586" s="14">
        <f t="shared" si="349"/>
        <v>8741.08329188465</v>
      </c>
      <c r="Z586">
        <f t="shared" si="350"/>
        <v>160.94977709670937</v>
      </c>
    </row>
    <row r="587" spans="1:26" x14ac:dyDescent="0.25">
      <c r="Y587" s="14"/>
    </row>
    <row r="588" spans="1:26" x14ac:dyDescent="0.25">
      <c r="A588" t="s">
        <v>67</v>
      </c>
      <c r="D588">
        <f t="shared" ref="D588:W588" si="374">D60*D225</f>
        <v>582.41468875152282</v>
      </c>
      <c r="E588">
        <f t="shared" si="374"/>
        <v>486.50968430384773</v>
      </c>
      <c r="F588">
        <f t="shared" si="374"/>
        <v>490.20447218173979</v>
      </c>
      <c r="G588">
        <f t="shared" si="374"/>
        <v>508.52712908639387</v>
      </c>
      <c r="H588">
        <f t="shared" si="374"/>
        <v>463.69709171772382</v>
      </c>
      <c r="I588">
        <f t="shared" si="374"/>
        <v>497.65896342320667</v>
      </c>
      <c r="J588">
        <f t="shared" si="374"/>
        <v>450.03165629580934</v>
      </c>
      <c r="K588">
        <f t="shared" si="374"/>
        <v>428.84036785278147</v>
      </c>
      <c r="L588">
        <f t="shared" si="374"/>
        <v>309.11759457533066</v>
      </c>
      <c r="M588">
        <f t="shared" si="374"/>
        <v>232.17217244557452</v>
      </c>
      <c r="N588">
        <f t="shared" si="374"/>
        <v>261.29080857172715</v>
      </c>
      <c r="O588">
        <f t="shared" si="374"/>
        <v>265.85259980003394</v>
      </c>
      <c r="P588">
        <f t="shared" si="374"/>
        <v>266.92403721203556</v>
      </c>
      <c r="Q588">
        <f t="shared" si="374"/>
        <v>281.63514068775328</v>
      </c>
      <c r="R588">
        <f t="shared" si="374"/>
        <v>297.69390919184769</v>
      </c>
      <c r="S588">
        <f t="shared" si="374"/>
        <v>320.96456022474194</v>
      </c>
      <c r="T588">
        <f t="shared" si="374"/>
        <v>286.03370743191857</v>
      </c>
      <c r="U588">
        <f t="shared" si="374"/>
        <v>316.09976806321271</v>
      </c>
      <c r="V588">
        <f t="shared" si="374"/>
        <v>393.46489769906373</v>
      </c>
      <c r="W588">
        <f t="shared" si="374"/>
        <v>418.36107124084225</v>
      </c>
      <c r="Y588" s="14">
        <f t="shared" si="349"/>
        <v>7557.4943207571077</v>
      </c>
      <c r="Z588">
        <f>SUMPRODUCT($D$592:$W$592,D588:W588)</f>
        <v>165.64432936502465</v>
      </c>
    </row>
    <row r="589" spans="1:26" x14ac:dyDescent="0.25">
      <c r="A589" t="s">
        <v>311</v>
      </c>
      <c r="D589">
        <f t="shared" ref="D589:W589" si="375">D61*D226</f>
        <v>580.37714285714276</v>
      </c>
      <c r="E589">
        <f t="shared" si="375"/>
        <v>520.94510204081632</v>
      </c>
      <c r="F589">
        <f t="shared" si="375"/>
        <v>398.74040816326527</v>
      </c>
      <c r="G589">
        <f t="shared" si="375"/>
        <v>402.31632653061229</v>
      </c>
      <c r="H589">
        <f t="shared" si="375"/>
        <v>450.13918367346935</v>
      </c>
      <c r="I589">
        <f t="shared" si="375"/>
        <v>389.45081632653051</v>
      </c>
      <c r="J589">
        <f t="shared" si="375"/>
        <v>334.10999999999996</v>
      </c>
      <c r="K589">
        <f t="shared" si="375"/>
        <v>305.66020408163274</v>
      </c>
      <c r="L589">
        <f t="shared" si="375"/>
        <v>294.16109374999996</v>
      </c>
      <c r="M589">
        <f t="shared" si="375"/>
        <v>350.93000000000006</v>
      </c>
      <c r="N589">
        <f t="shared" si="375"/>
        <v>322.48020408163268</v>
      </c>
      <c r="O589">
        <f t="shared" si="375"/>
        <v>246.57612244897962</v>
      </c>
      <c r="P589">
        <f t="shared" si="375"/>
        <v>343.22880889824052</v>
      </c>
      <c r="Q589">
        <f t="shared" si="375"/>
        <v>460.33553757594842</v>
      </c>
      <c r="R589">
        <f t="shared" si="375"/>
        <v>430.62606830712019</v>
      </c>
      <c r="S589">
        <f t="shared" si="375"/>
        <v>475.78319595077488</v>
      </c>
      <c r="T589">
        <f t="shared" si="375"/>
        <v>308.70000000000005</v>
      </c>
      <c r="U589">
        <f t="shared" si="375"/>
        <v>282.09999999999997</v>
      </c>
      <c r="V589">
        <f t="shared" si="375"/>
        <v>375.1</v>
      </c>
      <c r="W589">
        <f t="shared" si="375"/>
        <v>433.20000000000005</v>
      </c>
      <c r="Y589" s="14">
        <f t="shared" si="349"/>
        <v>7704.9602146861671</v>
      </c>
      <c r="Z589">
        <f>SUMPRODUCT($D$592:$W$592,D589:W589)</f>
        <v>50.889073838808955</v>
      </c>
    </row>
    <row r="590" spans="1:26" x14ac:dyDescent="0.25">
      <c r="A590" t="s">
        <v>312</v>
      </c>
      <c r="D590">
        <f t="shared" ref="D590:W590" si="376">D62*D227</f>
        <v>385.07652170744205</v>
      </c>
      <c r="E590">
        <f t="shared" si="376"/>
        <v>371.51161528864191</v>
      </c>
      <c r="F590">
        <f t="shared" si="376"/>
        <v>340.33604783547406</v>
      </c>
      <c r="G590">
        <f t="shared" si="376"/>
        <v>318.02555475538196</v>
      </c>
      <c r="H590">
        <f t="shared" si="376"/>
        <v>308.91356038129891</v>
      </c>
      <c r="I590">
        <f t="shared" si="376"/>
        <v>308.89027754215221</v>
      </c>
      <c r="J590">
        <f t="shared" si="376"/>
        <v>306.77293024167159</v>
      </c>
      <c r="K590">
        <f t="shared" si="376"/>
        <v>275.80676000606269</v>
      </c>
      <c r="L590">
        <f t="shared" si="376"/>
        <v>235.67791147621068</v>
      </c>
      <c r="M590">
        <f t="shared" si="376"/>
        <v>242.52861444865198</v>
      </c>
      <c r="N590">
        <f t="shared" si="376"/>
        <v>258.27692243745679</v>
      </c>
      <c r="O590">
        <f t="shared" si="376"/>
        <v>286.91499248617146</v>
      </c>
      <c r="P590">
        <f t="shared" si="376"/>
        <v>268.4683796109681</v>
      </c>
      <c r="Q590">
        <f t="shared" si="376"/>
        <v>307.23566413550839</v>
      </c>
      <c r="R590">
        <f t="shared" si="376"/>
        <v>321.71515589116859</v>
      </c>
      <c r="S590">
        <f t="shared" si="376"/>
        <v>347.69997610859474</v>
      </c>
      <c r="T590">
        <f t="shared" si="376"/>
        <v>380.67330112668486</v>
      </c>
      <c r="U590">
        <f t="shared" si="376"/>
        <v>340.90565343347117</v>
      </c>
      <c r="V590">
        <f t="shared" si="376"/>
        <v>395.3442904701019</v>
      </c>
      <c r="W590">
        <f t="shared" si="376"/>
        <v>406.6674153505723</v>
      </c>
      <c r="Y590" s="14">
        <f t="shared" si="349"/>
        <v>6407.4415447336869</v>
      </c>
      <c r="Z590">
        <f>SUMPRODUCT($D$592:$W$592,D590:W590)</f>
        <v>-22.611682796064322</v>
      </c>
    </row>
    <row r="591" spans="1:26" x14ac:dyDescent="0.25">
      <c r="A591" t="s">
        <v>674</v>
      </c>
      <c r="D591">
        <f t="shared" ref="D591:W591" si="377">D63*D228</f>
        <v>472.9562364746302</v>
      </c>
      <c r="E591">
        <f t="shared" si="377"/>
        <v>561.90772699787749</v>
      </c>
      <c r="F591">
        <f t="shared" si="377"/>
        <v>384.58044596416488</v>
      </c>
      <c r="G591">
        <f t="shared" si="377"/>
        <v>442.96675876074602</v>
      </c>
      <c r="H591">
        <f t="shared" si="377"/>
        <v>401.07724120189505</v>
      </c>
      <c r="I591">
        <f t="shared" si="377"/>
        <v>301.88405090397151</v>
      </c>
      <c r="J591">
        <f t="shared" si="377"/>
        <v>300.73435026333033</v>
      </c>
      <c r="K591">
        <f t="shared" si="377"/>
        <v>287.13343897333249</v>
      </c>
      <c r="L591">
        <f t="shared" si="377"/>
        <v>236.6577103047118</v>
      </c>
      <c r="M591">
        <f t="shared" si="377"/>
        <v>261.95498227161585</v>
      </c>
      <c r="N591">
        <f t="shared" si="377"/>
        <v>280.11958215552227</v>
      </c>
      <c r="O591">
        <f t="shared" si="377"/>
        <v>312.61181378192111</v>
      </c>
      <c r="P591">
        <f t="shared" si="377"/>
        <v>250.32384671839398</v>
      </c>
      <c r="Q591">
        <f t="shared" si="377"/>
        <v>233.88790458217724</v>
      </c>
      <c r="R591">
        <f t="shared" si="377"/>
        <v>289.76351873227065</v>
      </c>
      <c r="S591">
        <f t="shared" si="377"/>
        <v>309.10515800022193</v>
      </c>
      <c r="T591">
        <f t="shared" si="377"/>
        <v>339.18649786380769</v>
      </c>
      <c r="U591">
        <f t="shared" si="377"/>
        <v>328.95066597837734</v>
      </c>
      <c r="V591">
        <f t="shared" si="377"/>
        <v>350.11143193542927</v>
      </c>
      <c r="W591">
        <f t="shared" si="377"/>
        <v>397.83390011490826</v>
      </c>
      <c r="Y591" s="14">
        <f t="shared" ref="Y591" si="378">SUM(D591:W591)</f>
        <v>6743.7472619793043</v>
      </c>
      <c r="Z591">
        <f>SUMPRODUCT($D$592:$W$592,D591:W591)</f>
        <v>60.820352873690133</v>
      </c>
    </row>
    <row r="592" spans="1:26" x14ac:dyDescent="0.25">
      <c r="A592" s="2" t="s">
        <v>68</v>
      </c>
      <c r="D592" s="3">
        <f>CORREL($B$2:$B$25,D563:D586)</f>
        <v>0.56311939547206213</v>
      </c>
      <c r="E592" s="3">
        <f t="shared" ref="E592:W592" si="379">CORREL($B$2:$B$25,E563:E586)</f>
        <v>-1.8304739981725663E-2</v>
      </c>
      <c r="F592" s="3">
        <f t="shared" si="379"/>
        <v>4.3351676422378894E-2</v>
      </c>
      <c r="G592" s="3">
        <f t="shared" si="379"/>
        <v>2.8993849898516826E-2</v>
      </c>
      <c r="H592" s="3">
        <f t="shared" si="379"/>
        <v>5.3959429798590634E-2</v>
      </c>
      <c r="I592" s="3">
        <f t="shared" si="379"/>
        <v>9.8878567060964997E-2</v>
      </c>
      <c r="J592" s="3">
        <f t="shared" si="379"/>
        <v>-0.10955824579162332</v>
      </c>
      <c r="K592" s="3">
        <f t="shared" si="379"/>
        <v>2.065917198007302E-2</v>
      </c>
      <c r="L592" s="3">
        <f t="shared" si="379"/>
        <v>0.26256660265241349</v>
      </c>
      <c r="M592" s="3">
        <f t="shared" si="379"/>
        <v>-0.1135991183917372</v>
      </c>
      <c r="N592" s="3">
        <f t="shared" si="379"/>
        <v>-0.10867183674236397</v>
      </c>
      <c r="O592" s="3">
        <f t="shared" si="379"/>
        <v>-0.15441704340571422</v>
      </c>
      <c r="P592" s="3">
        <f t="shared" si="379"/>
        <v>-0.21164531586144997</v>
      </c>
      <c r="Q592" s="3">
        <f t="shared" si="379"/>
        <v>-0.22217519127326493</v>
      </c>
      <c r="R592" s="3">
        <f t="shared" si="379"/>
        <v>-0.17517303759060351</v>
      </c>
      <c r="S592" s="3">
        <f t="shared" si="379"/>
        <v>-1.0725924718122478E-2</v>
      </c>
      <c r="T592" s="3">
        <f t="shared" si="379"/>
        <v>-0.19098280858946634</v>
      </c>
      <c r="U592" s="3">
        <f t="shared" si="379"/>
        <v>9.2578327398339013E-3</v>
      </c>
      <c r="V592" s="3">
        <f t="shared" si="379"/>
        <v>-3.8496799486366827E-2</v>
      </c>
      <c r="W592" s="3">
        <f t="shared" si="379"/>
        <v>7.8793423590606967E-2</v>
      </c>
    </row>
    <row r="595" spans="1:26" x14ac:dyDescent="0.25">
      <c r="D595" t="s">
        <v>207</v>
      </c>
      <c r="E595" t="s">
        <v>208</v>
      </c>
      <c r="F595" t="s">
        <v>209</v>
      </c>
      <c r="G595" t="s">
        <v>210</v>
      </c>
      <c r="H595" t="s">
        <v>211</v>
      </c>
      <c r="I595" t="s">
        <v>212</v>
      </c>
      <c r="J595" t="s">
        <v>213</v>
      </c>
      <c r="K595" t="s">
        <v>214</v>
      </c>
      <c r="L595" t="s">
        <v>355</v>
      </c>
      <c r="M595" t="s">
        <v>419</v>
      </c>
      <c r="N595" t="s">
        <v>420</v>
      </c>
      <c r="O595" t="s">
        <v>421</v>
      </c>
      <c r="P595" t="s">
        <v>522</v>
      </c>
      <c r="Q595" t="s">
        <v>523</v>
      </c>
      <c r="R595" t="s">
        <v>524</v>
      </c>
      <c r="S595" t="s">
        <v>525</v>
      </c>
      <c r="T595" t="s">
        <v>634</v>
      </c>
      <c r="U595" t="s">
        <v>635</v>
      </c>
      <c r="V595" t="s">
        <v>636</v>
      </c>
      <c r="W595" t="s">
        <v>637</v>
      </c>
      <c r="Y595" t="s">
        <v>215</v>
      </c>
      <c r="Z595" t="s">
        <v>216</v>
      </c>
    </row>
    <row r="596" spans="1:26" x14ac:dyDescent="0.25">
      <c r="A596" t="s">
        <v>43</v>
      </c>
      <c r="D596">
        <f t="shared" ref="D596:W596" si="380">D68*D101</f>
        <v>1449.3648779897289</v>
      </c>
      <c r="E596">
        <f t="shared" si="380"/>
        <v>816.85220999702926</v>
      </c>
      <c r="F596">
        <f t="shared" si="380"/>
        <v>724.83121403580378</v>
      </c>
      <c r="G596">
        <f t="shared" si="380"/>
        <v>851.06452658507772</v>
      </c>
      <c r="H596">
        <f t="shared" si="380"/>
        <v>916.5744239853027</v>
      </c>
      <c r="I596">
        <f t="shared" si="380"/>
        <v>614.33425210897008</v>
      </c>
      <c r="J596">
        <f t="shared" si="380"/>
        <v>986.73051335106845</v>
      </c>
      <c r="K596">
        <f t="shared" si="380"/>
        <v>735.1031082027813</v>
      </c>
      <c r="L596">
        <f t="shared" si="380"/>
        <v>614.09428509874874</v>
      </c>
      <c r="M596">
        <f t="shared" si="380"/>
        <v>632.77754143330628</v>
      </c>
      <c r="N596">
        <f t="shared" si="380"/>
        <v>391.28783984803601</v>
      </c>
      <c r="O596">
        <f t="shared" si="380"/>
        <v>442.51295258754493</v>
      </c>
      <c r="P596">
        <f t="shared" si="380"/>
        <v>359.12400551057812</v>
      </c>
      <c r="Q596">
        <f t="shared" si="380"/>
        <v>861.97288137213241</v>
      </c>
      <c r="R596">
        <f t="shared" si="380"/>
        <v>592.21283460531981</v>
      </c>
      <c r="S596">
        <f t="shared" si="380"/>
        <v>819.55286068153987</v>
      </c>
      <c r="T596">
        <f t="shared" si="380"/>
        <v>552.34652387844153</v>
      </c>
      <c r="U596">
        <f t="shared" si="380"/>
        <v>616.37773587147331</v>
      </c>
      <c r="V596">
        <f t="shared" si="380"/>
        <v>837.08692397571667</v>
      </c>
      <c r="W596">
        <f t="shared" si="380"/>
        <v>1117.7295657368652</v>
      </c>
      <c r="Y596" s="14">
        <f t="shared" ref="Y596:Y623" si="381">SUM(D596:W596)</f>
        <v>14931.931076855462</v>
      </c>
      <c r="Z596">
        <f t="shared" ref="Z596:Z619" si="382">SUMPRODUCT($D$625:$W$625,D596:W596)</f>
        <v>-1844.3053076375354</v>
      </c>
    </row>
    <row r="597" spans="1:26" x14ac:dyDescent="0.25">
      <c r="A597" t="s">
        <v>44</v>
      </c>
      <c r="D597">
        <f t="shared" ref="D597:W597" si="383">D69*D102</f>
        <v>1083.5493810375031</v>
      </c>
      <c r="E597">
        <f t="shared" si="383"/>
        <v>1084.4090267345107</v>
      </c>
      <c r="F597">
        <f t="shared" si="383"/>
        <v>840.6112603924073</v>
      </c>
      <c r="G597">
        <f t="shared" si="383"/>
        <v>857.16075728722672</v>
      </c>
      <c r="H597">
        <f t="shared" si="383"/>
        <v>856.00298683416656</v>
      </c>
      <c r="I597">
        <f t="shared" si="383"/>
        <v>615.81635764506348</v>
      </c>
      <c r="J597">
        <f t="shared" si="383"/>
        <v>668.70140255391561</v>
      </c>
      <c r="K597">
        <f t="shared" si="383"/>
        <v>736.17628168694205</v>
      </c>
      <c r="L597">
        <f t="shared" si="383"/>
        <v>404.93954990834465</v>
      </c>
      <c r="M597">
        <f t="shared" si="383"/>
        <v>448.25752314440831</v>
      </c>
      <c r="N597">
        <f t="shared" si="383"/>
        <v>729.15440409804842</v>
      </c>
      <c r="O597">
        <f t="shared" si="383"/>
        <v>582.69540388473695</v>
      </c>
      <c r="P597">
        <f t="shared" si="383"/>
        <v>760.67034203793946</v>
      </c>
      <c r="Q597">
        <f t="shared" si="383"/>
        <v>746.08730353490103</v>
      </c>
      <c r="R597">
        <f t="shared" si="383"/>
        <v>820.88866711757441</v>
      </c>
      <c r="S597">
        <f t="shared" si="383"/>
        <v>889.09517789632741</v>
      </c>
      <c r="T597">
        <f t="shared" si="383"/>
        <v>931.52601543615708</v>
      </c>
      <c r="U597">
        <f t="shared" si="383"/>
        <v>950.58633205616923</v>
      </c>
      <c r="V597">
        <f t="shared" si="383"/>
        <v>941.18800306723688</v>
      </c>
      <c r="W597">
        <f t="shared" si="383"/>
        <v>1221.6092755767015</v>
      </c>
      <c r="Y597" s="14">
        <f t="shared" si="381"/>
        <v>16169.125451930282</v>
      </c>
      <c r="Z597">
        <f t="shared" si="382"/>
        <v>-2238.7404754712461</v>
      </c>
    </row>
    <row r="598" spans="1:26" x14ac:dyDescent="0.25">
      <c r="A598" t="s">
        <v>45</v>
      </c>
      <c r="D598">
        <f t="shared" ref="D598:W598" si="384">D70*D103</f>
        <v>1452.3872863129468</v>
      </c>
      <c r="E598">
        <f t="shared" si="384"/>
        <v>1125.9102202929344</v>
      </c>
      <c r="F598">
        <f t="shared" si="384"/>
        <v>972.96837684203103</v>
      </c>
      <c r="G598">
        <f t="shared" si="384"/>
        <v>909.20179900908556</v>
      </c>
      <c r="H598">
        <f t="shared" si="384"/>
        <v>972.98250169247842</v>
      </c>
      <c r="I598">
        <f t="shared" si="384"/>
        <v>805.10061812740253</v>
      </c>
      <c r="J598">
        <f t="shared" si="384"/>
        <v>720.84639206230315</v>
      </c>
      <c r="K598">
        <f t="shared" si="384"/>
        <v>611.69030137521258</v>
      </c>
      <c r="L598">
        <f t="shared" si="384"/>
        <v>442.23522446023912</v>
      </c>
      <c r="M598">
        <f t="shared" si="384"/>
        <v>765.81076062229272</v>
      </c>
      <c r="N598">
        <f t="shared" si="384"/>
        <v>787.34461518172986</v>
      </c>
      <c r="O598">
        <f t="shared" si="384"/>
        <v>648.15464788879547</v>
      </c>
      <c r="P598">
        <f t="shared" si="384"/>
        <v>716.8450873783961</v>
      </c>
      <c r="Q598">
        <f t="shared" si="384"/>
        <v>782.21864623847841</v>
      </c>
      <c r="R598">
        <f t="shared" si="384"/>
        <v>772.71079266594472</v>
      </c>
      <c r="S598">
        <f t="shared" si="384"/>
        <v>825.19204409737517</v>
      </c>
      <c r="T598">
        <f t="shared" si="384"/>
        <v>909.39358566596457</v>
      </c>
      <c r="U598">
        <f t="shared" si="384"/>
        <v>894.8646339949089</v>
      </c>
      <c r="V598">
        <f t="shared" si="384"/>
        <v>886.43249301308072</v>
      </c>
      <c r="W598">
        <f t="shared" si="384"/>
        <v>1060.9139331445128</v>
      </c>
      <c r="Y598" s="14">
        <f t="shared" si="381"/>
        <v>17063.203960066112</v>
      </c>
      <c r="Z598">
        <f t="shared" si="382"/>
        <v>-2156.3131508413567</v>
      </c>
    </row>
    <row r="599" spans="1:26" x14ac:dyDescent="0.25">
      <c r="A599" t="s">
        <v>46</v>
      </c>
      <c r="D599">
        <f t="shared" ref="D599:W599" si="385">D71*D104</f>
        <v>1310.4991744870097</v>
      </c>
      <c r="E599">
        <f t="shared" si="385"/>
        <v>1183.2451667450314</v>
      </c>
      <c r="F599">
        <f t="shared" si="385"/>
        <v>1132.6491236314844</v>
      </c>
      <c r="G599">
        <f t="shared" si="385"/>
        <v>1052.6640858019657</v>
      </c>
      <c r="H599">
        <f t="shared" si="385"/>
        <v>925.68696312107386</v>
      </c>
      <c r="I599">
        <f t="shared" si="385"/>
        <v>900.84910899631188</v>
      </c>
      <c r="J599">
        <f t="shared" si="385"/>
        <v>804.09842154724276</v>
      </c>
      <c r="K599">
        <f t="shared" si="385"/>
        <v>837.73092092493982</v>
      </c>
      <c r="L599">
        <f t="shared" si="385"/>
        <v>664.18062718625913</v>
      </c>
      <c r="M599">
        <f t="shared" si="385"/>
        <v>413.92505066967141</v>
      </c>
      <c r="N599">
        <f t="shared" si="385"/>
        <v>612.734352796748</v>
      </c>
      <c r="O599">
        <f t="shared" si="385"/>
        <v>518.76754146550695</v>
      </c>
      <c r="P599">
        <f t="shared" si="385"/>
        <v>555.06066634147055</v>
      </c>
      <c r="Q599">
        <f t="shared" si="385"/>
        <v>565.77086838078958</v>
      </c>
      <c r="R599">
        <f t="shared" si="385"/>
        <v>643.13443392993918</v>
      </c>
      <c r="S599">
        <f t="shared" si="385"/>
        <v>567.64494085577496</v>
      </c>
      <c r="T599">
        <f t="shared" si="385"/>
        <v>681.80356934624456</v>
      </c>
      <c r="U599">
        <f t="shared" si="385"/>
        <v>763.29592410297926</v>
      </c>
      <c r="V599">
        <f t="shared" si="385"/>
        <v>728.37294920346699</v>
      </c>
      <c r="W599">
        <f t="shared" si="385"/>
        <v>735.79120464640482</v>
      </c>
      <c r="Y599" s="14">
        <f t="shared" si="381"/>
        <v>15597.905094180313</v>
      </c>
      <c r="Z599">
        <f t="shared" si="382"/>
        <v>-1904.487951957881</v>
      </c>
    </row>
    <row r="600" spans="1:26" x14ac:dyDescent="0.25">
      <c r="A600" t="s">
        <v>47</v>
      </c>
      <c r="D600">
        <f t="shared" ref="D600:W600" si="386">D72*D105</f>
        <v>1206.4038953267639</v>
      </c>
      <c r="E600">
        <f t="shared" si="386"/>
        <v>863.86314575161578</v>
      </c>
      <c r="F600">
        <f t="shared" si="386"/>
        <v>737.72994344415065</v>
      </c>
      <c r="G600">
        <f t="shared" si="386"/>
        <v>854.96760987993139</v>
      </c>
      <c r="H600">
        <f t="shared" si="386"/>
        <v>615.00674523841121</v>
      </c>
      <c r="I600">
        <f t="shared" si="386"/>
        <v>744.13737573185335</v>
      </c>
      <c r="J600">
        <f t="shared" si="386"/>
        <v>864.48221004663253</v>
      </c>
      <c r="K600">
        <f t="shared" si="386"/>
        <v>657.05836449411413</v>
      </c>
      <c r="L600">
        <f t="shared" si="386"/>
        <v>697.53148102937462</v>
      </c>
      <c r="M600">
        <f t="shared" si="386"/>
        <v>651.10633313214532</v>
      </c>
      <c r="N600">
        <f t="shared" si="386"/>
        <v>576.64272601029563</v>
      </c>
      <c r="O600">
        <f t="shared" si="386"/>
        <v>653.77095659355894</v>
      </c>
      <c r="P600">
        <f t="shared" si="386"/>
        <v>659.17570648097967</v>
      </c>
      <c r="Q600">
        <f t="shared" si="386"/>
        <v>659.72020829625296</v>
      </c>
      <c r="R600">
        <f t="shared" si="386"/>
        <v>547.44864888300151</v>
      </c>
      <c r="S600">
        <f t="shared" si="386"/>
        <v>803.50022563098014</v>
      </c>
      <c r="T600">
        <f t="shared" si="386"/>
        <v>833.68852837326085</v>
      </c>
      <c r="U600">
        <f t="shared" si="386"/>
        <v>948.91756118575211</v>
      </c>
      <c r="V600">
        <f t="shared" si="386"/>
        <v>885.63012649974303</v>
      </c>
      <c r="W600">
        <f t="shared" si="386"/>
        <v>965.75843346524266</v>
      </c>
      <c r="Y600" s="14">
        <f t="shared" si="381"/>
        <v>15426.540225494058</v>
      </c>
      <c r="Z600">
        <f t="shared" si="382"/>
        <v>-2323.8879230662887</v>
      </c>
    </row>
    <row r="601" spans="1:26" x14ac:dyDescent="0.25">
      <c r="A601" t="s">
        <v>48</v>
      </c>
      <c r="D601">
        <f t="shared" ref="D601:W601" si="387">D73*D106</f>
        <v>1290.0673394468247</v>
      </c>
      <c r="E601">
        <f t="shared" si="387"/>
        <v>1133.7539377239564</v>
      </c>
      <c r="F601">
        <f t="shared" si="387"/>
        <v>993.49552904227266</v>
      </c>
      <c r="G601">
        <f t="shared" si="387"/>
        <v>808.25257814415374</v>
      </c>
      <c r="H601">
        <f t="shared" si="387"/>
        <v>674.9457811723172</v>
      </c>
      <c r="I601">
        <f t="shared" si="387"/>
        <v>830.98097629098515</v>
      </c>
      <c r="J601">
        <f t="shared" si="387"/>
        <v>775.07782759886572</v>
      </c>
      <c r="K601">
        <f t="shared" si="387"/>
        <v>621.86007869799573</v>
      </c>
      <c r="L601">
        <f t="shared" si="387"/>
        <v>630.37809704092274</v>
      </c>
      <c r="M601">
        <f t="shared" si="387"/>
        <v>873.43127907246992</v>
      </c>
      <c r="N601">
        <f t="shared" si="387"/>
        <v>883.72462639177161</v>
      </c>
      <c r="O601">
        <f t="shared" si="387"/>
        <v>826.83626955859654</v>
      </c>
      <c r="P601">
        <f t="shared" si="387"/>
        <v>771.87122422817265</v>
      </c>
      <c r="Q601">
        <f t="shared" si="387"/>
        <v>837.82934636925563</v>
      </c>
      <c r="R601">
        <f t="shared" si="387"/>
        <v>850.40462467975294</v>
      </c>
      <c r="S601">
        <f t="shared" si="387"/>
        <v>933.01648437544782</v>
      </c>
      <c r="T601">
        <f t="shared" si="387"/>
        <v>885.84402448566107</v>
      </c>
      <c r="U601">
        <f t="shared" si="387"/>
        <v>910.07967704694715</v>
      </c>
      <c r="V601">
        <f t="shared" si="387"/>
        <v>674.97661849341068</v>
      </c>
      <c r="W601">
        <f t="shared" si="387"/>
        <v>881.24702343194599</v>
      </c>
      <c r="Y601" s="14">
        <f t="shared" si="381"/>
        <v>17088.073343291726</v>
      </c>
      <c r="Z601">
        <f t="shared" si="382"/>
        <v>-2499.3615125855363</v>
      </c>
    </row>
    <row r="602" spans="1:26" x14ac:dyDescent="0.25">
      <c r="A602" t="s">
        <v>49</v>
      </c>
      <c r="D602">
        <f t="shared" ref="D602:W602" si="388">D74*D107</f>
        <v>739.86331281577111</v>
      </c>
      <c r="E602">
        <f t="shared" si="388"/>
        <v>1042.2862353188714</v>
      </c>
      <c r="F602">
        <f t="shared" si="388"/>
        <v>1189.4228955292945</v>
      </c>
      <c r="G602">
        <f t="shared" si="388"/>
        <v>904.54496564278304</v>
      </c>
      <c r="H602">
        <f t="shared" si="388"/>
        <v>1005.8718203825242</v>
      </c>
      <c r="I602">
        <f t="shared" si="388"/>
        <v>994.37886345285301</v>
      </c>
      <c r="J602">
        <f t="shared" si="388"/>
        <v>567.7265875532795</v>
      </c>
      <c r="K602">
        <f t="shared" si="388"/>
        <v>751.27984216550578</v>
      </c>
      <c r="L602">
        <f t="shared" si="388"/>
        <v>532.21513218894984</v>
      </c>
      <c r="M602">
        <f t="shared" si="388"/>
        <v>718.78184476433125</v>
      </c>
      <c r="N602">
        <f t="shared" si="388"/>
        <v>575.19698916264144</v>
      </c>
      <c r="O602">
        <f t="shared" si="388"/>
        <v>590.32453029396356</v>
      </c>
      <c r="P602">
        <f t="shared" si="388"/>
        <v>722.76297155163127</v>
      </c>
      <c r="Q602">
        <f t="shared" si="388"/>
        <v>732.68767971362627</v>
      </c>
      <c r="R602">
        <f t="shared" si="388"/>
        <v>930.35646028087262</v>
      </c>
      <c r="S602">
        <f t="shared" si="388"/>
        <v>952.36102821813279</v>
      </c>
      <c r="T602">
        <f t="shared" si="388"/>
        <v>1027.3628675256089</v>
      </c>
      <c r="U602">
        <f t="shared" si="388"/>
        <v>795.46711629051106</v>
      </c>
      <c r="V602">
        <f t="shared" si="388"/>
        <v>859.50866253042841</v>
      </c>
      <c r="W602">
        <f t="shared" si="388"/>
        <v>1169.1002174521366</v>
      </c>
      <c r="Y602" s="14">
        <f t="shared" si="381"/>
        <v>16801.500022833716</v>
      </c>
      <c r="Z602">
        <f t="shared" si="382"/>
        <v>-2168.9369542065115</v>
      </c>
    </row>
    <row r="603" spans="1:26" x14ac:dyDescent="0.25">
      <c r="A603" t="s">
        <v>50</v>
      </c>
      <c r="D603">
        <f t="shared" ref="D603:W603" si="389">D75*D108</f>
        <v>1040.5779227615528</v>
      </c>
      <c r="E603">
        <f t="shared" si="389"/>
        <v>1148.7938947695127</v>
      </c>
      <c r="F603">
        <f t="shared" si="389"/>
        <v>1078.3463101007551</v>
      </c>
      <c r="G603">
        <f t="shared" si="389"/>
        <v>869.99794583739549</v>
      </c>
      <c r="H603">
        <f t="shared" si="389"/>
        <v>955.55734467580589</v>
      </c>
      <c r="I603">
        <f t="shared" si="389"/>
        <v>1027.3192014751953</v>
      </c>
      <c r="J603">
        <f t="shared" si="389"/>
        <v>995.18191954331246</v>
      </c>
      <c r="K603">
        <f t="shared" si="389"/>
        <v>888.51651818427706</v>
      </c>
      <c r="L603">
        <f t="shared" si="389"/>
        <v>772.34126972736669</v>
      </c>
      <c r="M603">
        <f t="shared" si="389"/>
        <v>1171.0621851175335</v>
      </c>
      <c r="N603">
        <f t="shared" si="389"/>
        <v>976.27119580002068</v>
      </c>
      <c r="O603">
        <f t="shared" si="389"/>
        <v>594.27631954142294</v>
      </c>
      <c r="P603">
        <f t="shared" si="389"/>
        <v>913.27315987761028</v>
      </c>
      <c r="Q603">
        <f t="shared" si="389"/>
        <v>870.04431639198253</v>
      </c>
      <c r="R603">
        <f t="shared" si="389"/>
        <v>997.09451605216907</v>
      </c>
      <c r="S603">
        <f t="shared" si="389"/>
        <v>1003.5773720233004</v>
      </c>
      <c r="T603">
        <f t="shared" si="389"/>
        <v>1368.2118717023498</v>
      </c>
      <c r="U603">
        <f t="shared" si="389"/>
        <v>1209.6799862993159</v>
      </c>
      <c r="V603">
        <f t="shared" si="389"/>
        <v>1160.252095540126</v>
      </c>
      <c r="W603">
        <f t="shared" si="389"/>
        <v>1232.5366373180584</v>
      </c>
      <c r="Y603" s="14">
        <f t="shared" si="381"/>
        <v>20272.911982739068</v>
      </c>
      <c r="Z603">
        <f t="shared" si="382"/>
        <v>-3051.6254537528894</v>
      </c>
    </row>
    <row r="604" spans="1:26" x14ac:dyDescent="0.25">
      <c r="A604" t="s">
        <v>51</v>
      </c>
      <c r="D604">
        <f t="shared" ref="D604:W604" si="390">D76*D109</f>
        <v>1402.4294063457037</v>
      </c>
      <c r="E604">
        <f t="shared" si="390"/>
        <v>1204.8321920565575</v>
      </c>
      <c r="F604">
        <f t="shared" si="390"/>
        <v>1480.7564468986</v>
      </c>
      <c r="G604">
        <f t="shared" si="390"/>
        <v>1547.11289689657</v>
      </c>
      <c r="H604">
        <f t="shared" si="390"/>
        <v>1314.8352710106524</v>
      </c>
      <c r="I604">
        <f t="shared" si="390"/>
        <v>754.95610315944907</v>
      </c>
      <c r="J604">
        <f t="shared" si="390"/>
        <v>697.07155667258689</v>
      </c>
      <c r="K604">
        <f t="shared" si="390"/>
        <v>1083.6695543445614</v>
      </c>
      <c r="L604">
        <f t="shared" si="390"/>
        <v>723.19376985835754</v>
      </c>
      <c r="M604">
        <f t="shared" si="390"/>
        <v>676.32304836113974</v>
      </c>
      <c r="N604">
        <f t="shared" si="390"/>
        <v>1016.9079741421508</v>
      </c>
      <c r="O604">
        <f t="shared" si="390"/>
        <v>560.17195889988193</v>
      </c>
      <c r="P604">
        <f t="shared" si="390"/>
        <v>583.99374938981452</v>
      </c>
      <c r="Q604">
        <f t="shared" si="390"/>
        <v>875.83997562852744</v>
      </c>
      <c r="R604">
        <f t="shared" si="390"/>
        <v>790.02416016798168</v>
      </c>
      <c r="S604">
        <f t="shared" si="390"/>
        <v>715.21487492928986</v>
      </c>
      <c r="T604">
        <f t="shared" si="390"/>
        <v>841.98155251804189</v>
      </c>
      <c r="U604">
        <f t="shared" si="390"/>
        <v>907.57203858560479</v>
      </c>
      <c r="V604">
        <f t="shared" si="390"/>
        <v>925.68336285513465</v>
      </c>
      <c r="W604">
        <f t="shared" si="390"/>
        <v>1426.0219869921307</v>
      </c>
      <c r="Y604" s="14">
        <f t="shared" si="381"/>
        <v>19528.591879712738</v>
      </c>
      <c r="Z604">
        <f t="shared" si="382"/>
        <v>-2064.6723523824053</v>
      </c>
    </row>
    <row r="605" spans="1:26" x14ac:dyDescent="0.25">
      <c r="A605" t="s">
        <v>52</v>
      </c>
      <c r="D605">
        <f t="shared" ref="D605:W605" si="391">D77*D110</f>
        <v>1772.3143110538017</v>
      </c>
      <c r="E605">
        <f t="shared" si="391"/>
        <v>1496.2770956419927</v>
      </c>
      <c r="F605">
        <f t="shared" si="391"/>
        <v>1232.8836746645359</v>
      </c>
      <c r="G605">
        <f t="shared" si="391"/>
        <v>1381.837427331167</v>
      </c>
      <c r="H605">
        <f t="shared" si="391"/>
        <v>1218.2574151679382</v>
      </c>
      <c r="I605">
        <f t="shared" si="391"/>
        <v>1153.2532783060844</v>
      </c>
      <c r="J605">
        <f t="shared" si="391"/>
        <v>868.58421764827335</v>
      </c>
      <c r="K605">
        <f t="shared" si="391"/>
        <v>1109.8067329212495</v>
      </c>
      <c r="L605">
        <f t="shared" si="391"/>
        <v>720.78283819667672</v>
      </c>
      <c r="M605">
        <f t="shared" si="391"/>
        <v>901.94167883630462</v>
      </c>
      <c r="N605">
        <f t="shared" si="391"/>
        <v>924.59482934414348</v>
      </c>
      <c r="O605">
        <f t="shared" si="391"/>
        <v>811.89883766606386</v>
      </c>
      <c r="P605">
        <f t="shared" si="391"/>
        <v>813.39222874380653</v>
      </c>
      <c r="Q605">
        <f t="shared" si="391"/>
        <v>970.80586068532205</v>
      </c>
      <c r="R605">
        <f t="shared" si="391"/>
        <v>680.12612778110679</v>
      </c>
      <c r="S605">
        <f t="shared" si="391"/>
        <v>805.28436434906496</v>
      </c>
      <c r="T605">
        <f t="shared" si="391"/>
        <v>756.29462497352279</v>
      </c>
      <c r="U605">
        <f t="shared" si="391"/>
        <v>730.00801662673143</v>
      </c>
      <c r="V605">
        <f t="shared" si="391"/>
        <v>984.35358339657353</v>
      </c>
      <c r="W605">
        <f t="shared" si="391"/>
        <v>1043.5602101952848</v>
      </c>
      <c r="Y605" s="14">
        <f t="shared" si="381"/>
        <v>20376.257353529647</v>
      </c>
      <c r="Z605">
        <f t="shared" si="382"/>
        <v>-2401.7164764795907</v>
      </c>
    </row>
    <row r="606" spans="1:26" x14ac:dyDescent="0.25">
      <c r="A606" t="s">
        <v>53</v>
      </c>
      <c r="D606">
        <f t="shared" ref="D606:W606" si="392">D78*D111</f>
        <v>1615.5439897817184</v>
      </c>
      <c r="E606">
        <f t="shared" si="392"/>
        <v>1346.0298458152567</v>
      </c>
      <c r="F606">
        <f t="shared" si="392"/>
        <v>1194.4770121843412</v>
      </c>
      <c r="G606">
        <f t="shared" si="392"/>
        <v>1074.7478066516453</v>
      </c>
      <c r="H606">
        <f t="shared" si="392"/>
        <v>770.1361751039675</v>
      </c>
      <c r="I606">
        <f t="shared" si="392"/>
        <v>819.44016037794404</v>
      </c>
      <c r="J606">
        <f t="shared" si="392"/>
        <v>874.4131848041776</v>
      </c>
      <c r="K606">
        <f t="shared" si="392"/>
        <v>796.97048946012956</v>
      </c>
      <c r="L606">
        <f t="shared" si="392"/>
        <v>575.90071638457346</v>
      </c>
      <c r="M606">
        <f t="shared" si="392"/>
        <v>794.0262895101871</v>
      </c>
      <c r="N606">
        <f t="shared" si="392"/>
        <v>744.25517799229203</v>
      </c>
      <c r="O606">
        <f t="shared" si="392"/>
        <v>1052.4550554533423</v>
      </c>
      <c r="P606">
        <f t="shared" si="392"/>
        <v>971.59811159043511</v>
      </c>
      <c r="Q606">
        <f t="shared" si="392"/>
        <v>852.1526190960426</v>
      </c>
      <c r="R606">
        <f t="shared" si="392"/>
        <v>1173.8225416624909</v>
      </c>
      <c r="S606">
        <f t="shared" si="392"/>
        <v>1293.8223793052539</v>
      </c>
      <c r="T606">
        <f t="shared" si="392"/>
        <v>1402.7972903788104</v>
      </c>
      <c r="U606">
        <f t="shared" si="392"/>
        <v>1379.0746538664168</v>
      </c>
      <c r="V606">
        <f t="shared" si="392"/>
        <v>1223.2232048644717</v>
      </c>
      <c r="W606">
        <f t="shared" si="392"/>
        <v>1159.2255410806413</v>
      </c>
      <c r="Y606" s="14">
        <f t="shared" si="381"/>
        <v>21114.11224536414</v>
      </c>
      <c r="Z606">
        <f t="shared" si="382"/>
        <v>-3127.2469392899693</v>
      </c>
    </row>
    <row r="607" spans="1:26" x14ac:dyDescent="0.25">
      <c r="A607" t="s">
        <v>54</v>
      </c>
      <c r="D607">
        <f t="shared" ref="D607:W607" si="393">D79*D112</f>
        <v>1435.1406011801366</v>
      </c>
      <c r="E607">
        <f t="shared" si="393"/>
        <v>1229.3860709003902</v>
      </c>
      <c r="F607">
        <f t="shared" si="393"/>
        <v>1033.7362076785553</v>
      </c>
      <c r="G607">
        <f t="shared" si="393"/>
        <v>935.70620436240074</v>
      </c>
      <c r="H607">
        <f t="shared" si="393"/>
        <v>631.65448019677046</v>
      </c>
      <c r="I607">
        <f t="shared" si="393"/>
        <v>741.1086234952387</v>
      </c>
      <c r="J607">
        <f t="shared" si="393"/>
        <v>743.65663315711743</v>
      </c>
      <c r="K607">
        <f t="shared" si="393"/>
        <v>850.20211561825602</v>
      </c>
      <c r="L607">
        <f t="shared" si="393"/>
        <v>599.9205510082146</v>
      </c>
      <c r="M607">
        <f t="shared" si="393"/>
        <v>671.97654786566193</v>
      </c>
      <c r="N607">
        <f t="shared" si="393"/>
        <v>766.97254158673445</v>
      </c>
      <c r="O607">
        <f t="shared" si="393"/>
        <v>796.41482737492538</v>
      </c>
      <c r="P607">
        <f t="shared" si="393"/>
        <v>877.26902617198186</v>
      </c>
      <c r="Q607">
        <f t="shared" si="393"/>
        <v>925.52336121247902</v>
      </c>
      <c r="R607">
        <f t="shared" si="393"/>
        <v>733.67067793058902</v>
      </c>
      <c r="S607">
        <f t="shared" si="393"/>
        <v>618.2084065506599</v>
      </c>
      <c r="T607">
        <f t="shared" si="393"/>
        <v>914.81245295502868</v>
      </c>
      <c r="U607">
        <f t="shared" si="393"/>
        <v>892.62377117391111</v>
      </c>
      <c r="V607">
        <f t="shared" si="393"/>
        <v>1001.9530477332083</v>
      </c>
      <c r="W607">
        <f t="shared" si="393"/>
        <v>1573.2034859211485</v>
      </c>
      <c r="Y607" s="14">
        <f t="shared" si="381"/>
        <v>17973.13963407341</v>
      </c>
      <c r="Z607">
        <f t="shared" si="382"/>
        <v>-2568.2782215088205</v>
      </c>
    </row>
    <row r="608" spans="1:26" x14ac:dyDescent="0.25">
      <c r="A608" t="s">
        <v>55</v>
      </c>
      <c r="D608">
        <f t="shared" ref="D608:W608" si="394">D80*D113</f>
        <v>1237.3561962034205</v>
      </c>
      <c r="E608">
        <f t="shared" si="394"/>
        <v>1100.3501046835083</v>
      </c>
      <c r="F608">
        <f t="shared" si="394"/>
        <v>1134.4734220278731</v>
      </c>
      <c r="G608">
        <f t="shared" si="394"/>
        <v>904.87000780975256</v>
      </c>
      <c r="H608">
        <f t="shared" si="394"/>
        <v>812.62232217852488</v>
      </c>
      <c r="I608">
        <f t="shared" si="394"/>
        <v>544.92882048503259</v>
      </c>
      <c r="J608">
        <f t="shared" si="394"/>
        <v>799.61743385959483</v>
      </c>
      <c r="K608">
        <f t="shared" si="394"/>
        <v>744.62329706556682</v>
      </c>
      <c r="L608">
        <f t="shared" si="394"/>
        <v>600.70057339876428</v>
      </c>
      <c r="M608">
        <f t="shared" si="394"/>
        <v>778.6101748812606</v>
      </c>
      <c r="N608">
        <f t="shared" si="394"/>
        <v>601.10572208298208</v>
      </c>
      <c r="O608">
        <f t="shared" si="394"/>
        <v>759.57363533864941</v>
      </c>
      <c r="P608">
        <f t="shared" si="394"/>
        <v>627.02842285165855</v>
      </c>
      <c r="Q608">
        <f t="shared" si="394"/>
        <v>562.85845727573621</v>
      </c>
      <c r="R608">
        <f t="shared" si="394"/>
        <v>583.20821637347626</v>
      </c>
      <c r="S608">
        <f t="shared" si="394"/>
        <v>820.10530255524577</v>
      </c>
      <c r="T608">
        <f t="shared" si="394"/>
        <v>951.58672155352224</v>
      </c>
      <c r="U608">
        <f t="shared" si="394"/>
        <v>830.87452688042242</v>
      </c>
      <c r="V608">
        <f t="shared" si="394"/>
        <v>542.34626241683088</v>
      </c>
      <c r="W608">
        <f t="shared" si="394"/>
        <v>1495.0002400116048</v>
      </c>
      <c r="Y608" s="14">
        <f t="shared" si="381"/>
        <v>16431.839859933429</v>
      </c>
      <c r="Z608">
        <f t="shared" si="382"/>
        <v>-2082.7512251323956</v>
      </c>
    </row>
    <row r="609" spans="1:26" x14ac:dyDescent="0.25">
      <c r="A609" t="s">
        <v>56</v>
      </c>
      <c r="D609">
        <f t="shared" ref="D609:W609" si="395">D81*D114</f>
        <v>1487.5870384523064</v>
      </c>
      <c r="E609">
        <f t="shared" si="395"/>
        <v>1090.9797469439468</v>
      </c>
      <c r="F609">
        <f t="shared" si="395"/>
        <v>936.23282880986392</v>
      </c>
      <c r="G609">
        <f t="shared" si="395"/>
        <v>1042.2094818776732</v>
      </c>
      <c r="H609">
        <f t="shared" si="395"/>
        <v>871.60010872018665</v>
      </c>
      <c r="I609">
        <f t="shared" si="395"/>
        <v>800.23852739888252</v>
      </c>
      <c r="J609">
        <f t="shared" si="395"/>
        <v>859.62640984897087</v>
      </c>
      <c r="K609">
        <f t="shared" si="395"/>
        <v>773.70533920240518</v>
      </c>
      <c r="L609">
        <f t="shared" si="395"/>
        <v>630.9919892610335</v>
      </c>
      <c r="M609">
        <f t="shared" si="395"/>
        <v>803.44355816278221</v>
      </c>
      <c r="N609">
        <f t="shared" si="395"/>
        <v>840.0184232263282</v>
      </c>
      <c r="O609">
        <f t="shared" si="395"/>
        <v>737.35567429346634</v>
      </c>
      <c r="P609">
        <f t="shared" si="395"/>
        <v>817.83250918145302</v>
      </c>
      <c r="Q609">
        <f t="shared" si="395"/>
        <v>728.65084072327795</v>
      </c>
      <c r="R609">
        <f t="shared" si="395"/>
        <v>1007.4657536689899</v>
      </c>
      <c r="S609">
        <f t="shared" si="395"/>
        <v>1340.6403311714239</v>
      </c>
      <c r="T609">
        <f t="shared" si="395"/>
        <v>1372.6482423496691</v>
      </c>
      <c r="U609">
        <f t="shared" si="395"/>
        <v>1275.5355754153613</v>
      </c>
      <c r="V609">
        <f t="shared" si="395"/>
        <v>1007.4657536689899</v>
      </c>
      <c r="W609">
        <f t="shared" si="395"/>
        <v>1340.6403311714239</v>
      </c>
      <c r="Y609" s="14">
        <f t="shared" si="381"/>
        <v>19764.868463548435</v>
      </c>
      <c r="Z609">
        <f t="shared" si="382"/>
        <v>-2822.694873744023</v>
      </c>
    </row>
    <row r="610" spans="1:26" x14ac:dyDescent="0.25">
      <c r="A610" t="s">
        <v>57</v>
      </c>
      <c r="D610">
        <f t="shared" ref="D610:W610" si="396">D82*D115</f>
        <v>1403.4234822927417</v>
      </c>
      <c r="E610">
        <f t="shared" si="396"/>
        <v>1514.3580612722592</v>
      </c>
      <c r="F610">
        <f t="shared" si="396"/>
        <v>1220.2687313872455</v>
      </c>
      <c r="G610">
        <f t="shared" si="396"/>
        <v>1296.521419756604</v>
      </c>
      <c r="H610">
        <f t="shared" si="396"/>
        <v>1009.0868629886775</v>
      </c>
      <c r="I610">
        <f t="shared" si="396"/>
        <v>1058.571014726858</v>
      </c>
      <c r="J610">
        <f t="shared" si="396"/>
        <v>920.65406420717761</v>
      </c>
      <c r="K610">
        <f t="shared" si="396"/>
        <v>1045.9434444981562</v>
      </c>
      <c r="L610">
        <f t="shared" si="396"/>
        <v>649.58905705998711</v>
      </c>
      <c r="M610">
        <f t="shared" si="396"/>
        <v>813.8129980665218</v>
      </c>
      <c r="N610">
        <f t="shared" si="396"/>
        <v>721.32109791622008</v>
      </c>
      <c r="O610">
        <f t="shared" si="396"/>
        <v>582.41241496555892</v>
      </c>
      <c r="P610">
        <f t="shared" si="396"/>
        <v>756.3084388729568</v>
      </c>
      <c r="Q610">
        <f t="shared" si="396"/>
        <v>1188.2139916112953</v>
      </c>
      <c r="R610">
        <f t="shared" si="396"/>
        <v>1414.8391513571642</v>
      </c>
      <c r="S610">
        <f t="shared" si="396"/>
        <v>1359.8569189591701</v>
      </c>
      <c r="T610">
        <f t="shared" si="396"/>
        <v>1196.842300255244</v>
      </c>
      <c r="U610">
        <f t="shared" si="396"/>
        <v>1482.8308006203833</v>
      </c>
      <c r="V610">
        <f t="shared" si="396"/>
        <v>977.95838519264873</v>
      </c>
      <c r="W610">
        <f t="shared" si="396"/>
        <v>1044.4193722484417</v>
      </c>
      <c r="Y610" s="14">
        <f t="shared" si="381"/>
        <v>21657.232008255309</v>
      </c>
      <c r="Z610">
        <f t="shared" si="382"/>
        <v>-3008.5697947756794</v>
      </c>
    </row>
    <row r="611" spans="1:26" x14ac:dyDescent="0.25">
      <c r="A611" t="s">
        <v>58</v>
      </c>
      <c r="D611">
        <f t="shared" ref="D611:W611" si="397">D83*D116</f>
        <v>1307.8597434332614</v>
      </c>
      <c r="E611">
        <f t="shared" si="397"/>
        <v>1381.3694290484202</v>
      </c>
      <c r="F611">
        <f t="shared" si="397"/>
        <v>1063.4797485452011</v>
      </c>
      <c r="G611">
        <f t="shared" si="397"/>
        <v>1049.3525269311081</v>
      </c>
      <c r="H611">
        <f t="shared" si="397"/>
        <v>1214.0435683178766</v>
      </c>
      <c r="I611">
        <f t="shared" si="397"/>
        <v>922.10540629380341</v>
      </c>
      <c r="J611">
        <f t="shared" si="397"/>
        <v>882.40886080766768</v>
      </c>
      <c r="K611">
        <f t="shared" si="397"/>
        <v>603.27877817603974</v>
      </c>
      <c r="L611">
        <f t="shared" si="397"/>
        <v>426.91751963672601</v>
      </c>
      <c r="M611">
        <f t="shared" si="397"/>
        <v>319.33410791953423</v>
      </c>
      <c r="N611">
        <f t="shared" si="397"/>
        <v>718.84219430263147</v>
      </c>
      <c r="O611">
        <f t="shared" si="397"/>
        <v>784.96147367468143</v>
      </c>
      <c r="P611">
        <f t="shared" si="397"/>
        <v>790.84560598507244</v>
      </c>
      <c r="Q611">
        <f t="shared" si="397"/>
        <v>673.62474815305154</v>
      </c>
      <c r="R611">
        <f t="shared" si="397"/>
        <v>784.31612490356201</v>
      </c>
      <c r="S611">
        <f t="shared" si="397"/>
        <v>764.55624790826221</v>
      </c>
      <c r="T611">
        <f t="shared" si="397"/>
        <v>881.7290274236334</v>
      </c>
      <c r="U611">
        <f t="shared" si="397"/>
        <v>952.8144490534936</v>
      </c>
      <c r="V611">
        <f t="shared" si="397"/>
        <v>959.59038959776899</v>
      </c>
      <c r="W611">
        <f t="shared" si="397"/>
        <v>1105.263426034129</v>
      </c>
      <c r="Y611" s="14">
        <f t="shared" si="381"/>
        <v>17586.693376145926</v>
      </c>
      <c r="Z611">
        <f t="shared" si="382"/>
        <v>-2201.9042346974252</v>
      </c>
    </row>
    <row r="612" spans="1:26" x14ac:dyDescent="0.25">
      <c r="A612" t="s">
        <v>59</v>
      </c>
      <c r="D612">
        <f t="shared" ref="D612:W612" si="398">D84*D117</f>
        <v>1178.9679583184861</v>
      </c>
      <c r="E612">
        <f t="shared" si="398"/>
        <v>780.58858928445795</v>
      </c>
      <c r="F612">
        <f t="shared" si="398"/>
        <v>1162.276001227408</v>
      </c>
      <c r="G612">
        <f t="shared" si="398"/>
        <v>1177.9199769389118</v>
      </c>
      <c r="H612">
        <f t="shared" si="398"/>
        <v>983.50088848060636</v>
      </c>
      <c r="I612">
        <f t="shared" si="398"/>
        <v>908.42322533446952</v>
      </c>
      <c r="J612">
        <f t="shared" si="398"/>
        <v>639.14996373900033</v>
      </c>
      <c r="K612">
        <f t="shared" si="398"/>
        <v>744.56491258166193</v>
      </c>
      <c r="L612">
        <f t="shared" si="398"/>
        <v>815.43962145755211</v>
      </c>
      <c r="M612">
        <f t="shared" si="398"/>
        <v>764.54586667387434</v>
      </c>
      <c r="N612">
        <f t="shared" si="398"/>
        <v>490.48677670062813</v>
      </c>
      <c r="O612">
        <f t="shared" si="398"/>
        <v>417.06176368547273</v>
      </c>
      <c r="P612">
        <f t="shared" si="398"/>
        <v>648.94199064404654</v>
      </c>
      <c r="Q612">
        <f t="shared" si="398"/>
        <v>671.4114442272612</v>
      </c>
      <c r="R612">
        <f t="shared" si="398"/>
        <v>1327.5269972486692</v>
      </c>
      <c r="S612">
        <f t="shared" si="398"/>
        <v>776.73136386299268</v>
      </c>
      <c r="T612">
        <f t="shared" si="398"/>
        <v>212.05090380718306</v>
      </c>
      <c r="U612">
        <f t="shared" si="398"/>
        <v>930.96735110546183</v>
      </c>
      <c r="V612">
        <f t="shared" si="398"/>
        <v>851.30706423427432</v>
      </c>
      <c r="W612">
        <f t="shared" si="398"/>
        <v>936.04699994747432</v>
      </c>
      <c r="Y612" s="14">
        <f t="shared" si="381"/>
        <v>16417.909659499895</v>
      </c>
      <c r="Z612">
        <f t="shared" si="382"/>
        <v>-2020.9185685908856</v>
      </c>
    </row>
    <row r="613" spans="1:26" x14ac:dyDescent="0.25">
      <c r="A613" t="s">
        <v>60</v>
      </c>
      <c r="D613">
        <f t="shared" ref="D613:W613" si="399">D85*D118</f>
        <v>922.87459999819873</v>
      </c>
      <c r="E613">
        <f t="shared" si="399"/>
        <v>1012.0769821487339</v>
      </c>
      <c r="F613">
        <f t="shared" si="399"/>
        <v>979.17411482257432</v>
      </c>
      <c r="G613">
        <f t="shared" si="399"/>
        <v>773.27741853060172</v>
      </c>
      <c r="H613">
        <f t="shared" si="399"/>
        <v>799.4059906788051</v>
      </c>
      <c r="I613">
        <f t="shared" si="399"/>
        <v>777.07715212302696</v>
      </c>
      <c r="J613">
        <f t="shared" si="399"/>
        <v>588.58718734633021</v>
      </c>
      <c r="K613">
        <f t="shared" si="399"/>
        <v>574.22988479894525</v>
      </c>
      <c r="L613">
        <f t="shared" si="399"/>
        <v>389.75543852633081</v>
      </c>
      <c r="M613">
        <f t="shared" si="399"/>
        <v>592.48164305049443</v>
      </c>
      <c r="N613">
        <f t="shared" si="399"/>
        <v>584.43012795617835</v>
      </c>
      <c r="O613">
        <f t="shared" si="399"/>
        <v>767.23272083186851</v>
      </c>
      <c r="P613">
        <f t="shared" si="399"/>
        <v>436.51241856387657</v>
      </c>
      <c r="Q613">
        <f t="shared" si="399"/>
        <v>563.38134927894214</v>
      </c>
      <c r="R613">
        <f t="shared" si="399"/>
        <v>592.28341575643503</v>
      </c>
      <c r="S613">
        <f t="shared" si="399"/>
        <v>712.84745768100379</v>
      </c>
      <c r="T613">
        <f t="shared" si="399"/>
        <v>1006.6928303930083</v>
      </c>
      <c r="U613">
        <f t="shared" si="399"/>
        <v>902.10449163947067</v>
      </c>
      <c r="V613">
        <f t="shared" si="399"/>
        <v>1025.297095865687</v>
      </c>
      <c r="W613">
        <f t="shared" si="399"/>
        <v>1027.2295713561987</v>
      </c>
      <c r="Y613" s="14">
        <f t="shared" si="381"/>
        <v>15026.951891346711</v>
      </c>
      <c r="Z613">
        <f t="shared" si="382"/>
        <v>-1994.5827918944935</v>
      </c>
    </row>
    <row r="614" spans="1:26" x14ac:dyDescent="0.25">
      <c r="A614" t="s">
        <v>61</v>
      </c>
      <c r="D614">
        <f t="shared" ref="D614:W614" si="400">D86*D119</f>
        <v>1192.5586096326781</v>
      </c>
      <c r="E614">
        <f t="shared" si="400"/>
        <v>1173.1344157894193</v>
      </c>
      <c r="F614">
        <f t="shared" si="400"/>
        <v>993.68745784404416</v>
      </c>
      <c r="G614">
        <f t="shared" si="400"/>
        <v>1052.4058909890634</v>
      </c>
      <c r="H614">
        <f t="shared" si="400"/>
        <v>1004.0005516492904</v>
      </c>
      <c r="I614">
        <f t="shared" si="400"/>
        <v>1080.0559149249189</v>
      </c>
      <c r="J614">
        <f t="shared" si="400"/>
        <v>733.27030318516677</v>
      </c>
      <c r="K614">
        <f t="shared" si="400"/>
        <v>735.37968262291474</v>
      </c>
      <c r="L614">
        <f t="shared" si="400"/>
        <v>954.74417943610399</v>
      </c>
      <c r="M614">
        <f t="shared" si="400"/>
        <v>759.06039680923539</v>
      </c>
      <c r="N614">
        <f t="shared" si="400"/>
        <v>703.18023200176879</v>
      </c>
      <c r="O614">
        <f t="shared" si="400"/>
        <v>674.09235793917344</v>
      </c>
      <c r="P614">
        <f t="shared" si="400"/>
        <v>895.47700289958823</v>
      </c>
      <c r="Q614">
        <f t="shared" si="400"/>
        <v>997.56363825080018</v>
      </c>
      <c r="R614">
        <f t="shared" si="400"/>
        <v>1144.2232492978512</v>
      </c>
      <c r="S614">
        <f t="shared" si="400"/>
        <v>1075.5741171379993</v>
      </c>
      <c r="T614">
        <f t="shared" si="400"/>
        <v>1047.8026311426531</v>
      </c>
      <c r="U614">
        <f t="shared" si="400"/>
        <v>1056.0677520184101</v>
      </c>
      <c r="V614">
        <f t="shared" si="400"/>
        <v>794.56508326850087</v>
      </c>
      <c r="W614">
        <f t="shared" si="400"/>
        <v>1090.6101676820633</v>
      </c>
      <c r="Y614" s="14">
        <f t="shared" si="381"/>
        <v>19157.453634521644</v>
      </c>
      <c r="Z614">
        <f t="shared" si="382"/>
        <v>-2726.4789230980418</v>
      </c>
    </row>
    <row r="615" spans="1:26" x14ac:dyDescent="0.25">
      <c r="A615" t="s">
        <v>62</v>
      </c>
      <c r="D615">
        <f t="shared" ref="D615:W615" si="401">D87*D120</f>
        <v>1391.7647762592981</v>
      </c>
      <c r="E615">
        <f t="shared" si="401"/>
        <v>1450.8324585978617</v>
      </c>
      <c r="F615">
        <f t="shared" si="401"/>
        <v>1223.4096804681883</v>
      </c>
      <c r="G615">
        <f t="shared" si="401"/>
        <v>757.07614737982294</v>
      </c>
      <c r="H615">
        <f t="shared" si="401"/>
        <v>1021.1947868852043</v>
      </c>
      <c r="I615">
        <f t="shared" si="401"/>
        <v>1125.9395365133614</v>
      </c>
      <c r="J615">
        <f t="shared" si="401"/>
        <v>878.96912436679054</v>
      </c>
      <c r="K615">
        <f t="shared" si="401"/>
        <v>909.0482552658375</v>
      </c>
      <c r="L615">
        <f t="shared" si="401"/>
        <v>917.08357983049927</v>
      </c>
      <c r="M615">
        <f t="shared" si="401"/>
        <v>805.66795375954962</v>
      </c>
      <c r="N615">
        <f t="shared" si="401"/>
        <v>898.21132559584476</v>
      </c>
      <c r="O615">
        <f t="shared" si="401"/>
        <v>741.36316487795784</v>
      </c>
      <c r="P615">
        <f t="shared" si="401"/>
        <v>387.38252784162171</v>
      </c>
      <c r="Q615">
        <f t="shared" si="401"/>
        <v>482.73968915144678</v>
      </c>
      <c r="R615">
        <f t="shared" si="401"/>
        <v>358.85302866060675</v>
      </c>
      <c r="S615">
        <f t="shared" si="401"/>
        <v>606.45606170392421</v>
      </c>
      <c r="T615">
        <f t="shared" si="401"/>
        <v>718.17920054816716</v>
      </c>
      <c r="U615">
        <f t="shared" si="401"/>
        <v>694.00757252832943</v>
      </c>
      <c r="V615">
        <f t="shared" si="401"/>
        <v>1110.7748031633205</v>
      </c>
      <c r="W615">
        <f t="shared" si="401"/>
        <v>1239.4619584892782</v>
      </c>
      <c r="Y615" s="14">
        <f t="shared" si="381"/>
        <v>17718.415631886914</v>
      </c>
      <c r="Z615">
        <f t="shared" si="382"/>
        <v>-2237.1429018684962</v>
      </c>
    </row>
    <row r="616" spans="1:26" x14ac:dyDescent="0.25">
      <c r="A616" t="s">
        <v>63</v>
      </c>
      <c r="D616">
        <f t="shared" ref="D616:W616" si="402">D88*D121</f>
        <v>1153.0100760394319</v>
      </c>
      <c r="E616">
        <f t="shared" si="402"/>
        <v>1021.4441536677167</v>
      </c>
      <c r="F616">
        <f t="shared" si="402"/>
        <v>1133.3966614424221</v>
      </c>
      <c r="G616">
        <f t="shared" si="402"/>
        <v>980.37714695248098</v>
      </c>
      <c r="H616">
        <f t="shared" si="402"/>
        <v>737.74578968164428</v>
      </c>
      <c r="I616">
        <f t="shared" si="402"/>
        <v>1147.2825159997963</v>
      </c>
      <c r="J616">
        <f t="shared" si="402"/>
        <v>1271.8785217680941</v>
      </c>
      <c r="K616">
        <f t="shared" si="402"/>
        <v>1257.7260463909627</v>
      </c>
      <c r="L616">
        <f t="shared" si="402"/>
        <v>912.95771784741646</v>
      </c>
      <c r="M616">
        <f t="shared" si="402"/>
        <v>700.507893237193</v>
      </c>
      <c r="N616">
        <f t="shared" si="402"/>
        <v>987.37892978888294</v>
      </c>
      <c r="O616">
        <f t="shared" si="402"/>
        <v>1284.7914048501584</v>
      </c>
      <c r="P616">
        <f t="shared" si="402"/>
        <v>928.04827884895133</v>
      </c>
      <c r="Q616">
        <f t="shared" si="402"/>
        <v>957.77383992238185</v>
      </c>
      <c r="R616">
        <f t="shared" si="402"/>
        <v>871.47858485590461</v>
      </c>
      <c r="S616">
        <f t="shared" si="402"/>
        <v>929.16408971315161</v>
      </c>
      <c r="T616">
        <f t="shared" si="402"/>
        <v>1177.2826385247574</v>
      </c>
      <c r="U616">
        <f t="shared" si="402"/>
        <v>1361.5782809503703</v>
      </c>
      <c r="V616">
        <f t="shared" si="402"/>
        <v>1347.85277678224</v>
      </c>
      <c r="W616">
        <f t="shared" si="402"/>
        <v>1316.0376417524567</v>
      </c>
      <c r="Y616" s="14">
        <f t="shared" si="381"/>
        <v>21477.712989016414</v>
      </c>
      <c r="Z616">
        <f t="shared" si="382"/>
        <v>-3681.0000792776464</v>
      </c>
    </row>
    <row r="617" spans="1:26" x14ac:dyDescent="0.25">
      <c r="A617" t="s">
        <v>64</v>
      </c>
      <c r="D617">
        <f t="shared" ref="D617:W617" si="403">D89*D122</f>
        <v>932.36530019084478</v>
      </c>
      <c r="E617">
        <f t="shared" si="403"/>
        <v>1291.4999397061908</v>
      </c>
      <c r="F617">
        <f t="shared" si="403"/>
        <v>1691.4137104796007</v>
      </c>
      <c r="G617">
        <f t="shared" si="403"/>
        <v>917.71110085534315</v>
      </c>
      <c r="H617">
        <f t="shared" si="403"/>
        <v>882.31834031455401</v>
      </c>
      <c r="I617">
        <f t="shared" si="403"/>
        <v>974.10596785862163</v>
      </c>
      <c r="J617">
        <f t="shared" si="403"/>
        <v>1107.8250407716009</v>
      </c>
      <c r="K617">
        <f t="shared" si="403"/>
        <v>1234.4249202990311</v>
      </c>
      <c r="L617">
        <f t="shared" si="403"/>
        <v>1007.120324384096</v>
      </c>
      <c r="M617">
        <f t="shared" si="403"/>
        <v>693.7059449017114</v>
      </c>
      <c r="N617">
        <f t="shared" si="403"/>
        <v>767.9148543950447</v>
      </c>
      <c r="O617">
        <f t="shared" si="403"/>
        <v>740.92496229560277</v>
      </c>
      <c r="P617">
        <f t="shared" si="403"/>
        <v>860.56990633648024</v>
      </c>
      <c r="Q617">
        <f t="shared" si="403"/>
        <v>807.11948946988286</v>
      </c>
      <c r="R617">
        <f t="shared" si="403"/>
        <v>1104.0407976462377</v>
      </c>
      <c r="S617">
        <f t="shared" si="403"/>
        <v>769.23851989049331</v>
      </c>
      <c r="T617">
        <f t="shared" si="403"/>
        <v>775.14197996621431</v>
      </c>
      <c r="U617">
        <f t="shared" si="403"/>
        <v>1227.5737460421501</v>
      </c>
      <c r="V617">
        <f t="shared" si="403"/>
        <v>1149.9596616704819</v>
      </c>
      <c r="W617">
        <f t="shared" si="403"/>
        <v>1239.6501959045761</v>
      </c>
      <c r="Y617" s="14">
        <f t="shared" si="381"/>
        <v>20174.624703378755</v>
      </c>
      <c r="Z617">
        <f t="shared" si="382"/>
        <v>-3086.5135523599774</v>
      </c>
    </row>
    <row r="618" spans="1:26" x14ac:dyDescent="0.25">
      <c r="A618" t="s">
        <v>65</v>
      </c>
      <c r="D618">
        <f t="shared" ref="D618:W618" si="404">D90*D123</f>
        <v>1310.4991744870097</v>
      </c>
      <c r="E618">
        <f t="shared" si="404"/>
        <v>1183.2451667450314</v>
      </c>
      <c r="F618">
        <f t="shared" si="404"/>
        <v>1132.6491236314844</v>
      </c>
      <c r="G618">
        <f t="shared" si="404"/>
        <v>1052.6640858019657</v>
      </c>
      <c r="H618">
        <f t="shared" si="404"/>
        <v>925.68696312107386</v>
      </c>
      <c r="I618">
        <f t="shared" si="404"/>
        <v>900.84910899631188</v>
      </c>
      <c r="J618">
        <f t="shared" si="404"/>
        <v>804.09842154724276</v>
      </c>
      <c r="K618">
        <f t="shared" si="404"/>
        <v>837.73092092493982</v>
      </c>
      <c r="L618">
        <f t="shared" si="404"/>
        <v>664.18062718625913</v>
      </c>
      <c r="M618">
        <f t="shared" si="404"/>
        <v>413.92505066967141</v>
      </c>
      <c r="N618">
        <f t="shared" si="404"/>
        <v>612.734352796748</v>
      </c>
      <c r="O618">
        <f t="shared" si="404"/>
        <v>518.76754146550695</v>
      </c>
      <c r="P618">
        <f t="shared" si="404"/>
        <v>906.50139206052143</v>
      </c>
      <c r="Q618">
        <f t="shared" si="404"/>
        <v>835.47700579843911</v>
      </c>
      <c r="R618">
        <f t="shared" si="404"/>
        <v>1218.8728678994394</v>
      </c>
      <c r="S618">
        <f t="shared" si="404"/>
        <v>876.28360832485396</v>
      </c>
      <c r="T618">
        <f t="shared" si="404"/>
        <v>1024.9746462402206</v>
      </c>
      <c r="U618">
        <f t="shared" si="404"/>
        <v>1104.5457999541675</v>
      </c>
      <c r="V618">
        <f t="shared" si="404"/>
        <v>954.81254180897236</v>
      </c>
      <c r="W618">
        <f t="shared" si="404"/>
        <v>1184.7703192736856</v>
      </c>
      <c r="Y618" s="14">
        <f t="shared" si="381"/>
        <v>18463.268718733543</v>
      </c>
      <c r="Z618">
        <f t="shared" si="382"/>
        <v>-2573.5799551527207</v>
      </c>
    </row>
    <row r="619" spans="1:26" x14ac:dyDescent="0.25">
      <c r="A619" t="s">
        <v>66</v>
      </c>
      <c r="D619">
        <f t="shared" ref="D619:W619" si="405">D91*D124</f>
        <v>739.86331281577111</v>
      </c>
      <c r="E619">
        <f t="shared" si="405"/>
        <v>1042.2862353188714</v>
      </c>
      <c r="F619">
        <f t="shared" si="405"/>
        <v>1189.4228955292945</v>
      </c>
      <c r="G619">
        <f t="shared" si="405"/>
        <v>904.54496564278304</v>
      </c>
      <c r="H619">
        <f t="shared" si="405"/>
        <v>1005.8718203825242</v>
      </c>
      <c r="I619">
        <f t="shared" si="405"/>
        <v>994.37886345285301</v>
      </c>
      <c r="J619">
        <f t="shared" si="405"/>
        <v>567.7265875532795</v>
      </c>
      <c r="K619">
        <f t="shared" si="405"/>
        <v>751.27984216550578</v>
      </c>
      <c r="L619">
        <f t="shared" si="405"/>
        <v>532.21513218894984</v>
      </c>
      <c r="M619">
        <f t="shared" si="405"/>
        <v>718.78184476433125</v>
      </c>
      <c r="N619">
        <f t="shared" si="405"/>
        <v>575.19698916264144</v>
      </c>
      <c r="O619">
        <f t="shared" si="405"/>
        <v>590.32453029396356</v>
      </c>
      <c r="P619">
        <f t="shared" si="405"/>
        <v>700.93831087123385</v>
      </c>
      <c r="Q619">
        <f t="shared" si="405"/>
        <v>752.69432023238369</v>
      </c>
      <c r="R619">
        <f t="shared" si="405"/>
        <v>788.68153400470123</v>
      </c>
      <c r="S619">
        <f t="shared" si="405"/>
        <v>827.99185857132716</v>
      </c>
      <c r="T619">
        <f t="shared" si="405"/>
        <v>936.15737970658176</v>
      </c>
      <c r="U619">
        <f t="shared" si="405"/>
        <v>922.36161766515215</v>
      </c>
      <c r="V619">
        <f t="shared" si="405"/>
        <v>726.49776514041014</v>
      </c>
      <c r="W619">
        <f t="shared" si="405"/>
        <v>1063.4362765270203</v>
      </c>
      <c r="Y619" s="14">
        <f t="shared" si="381"/>
        <v>16330.652081989576</v>
      </c>
      <c r="Z619">
        <f t="shared" si="382"/>
        <v>-2110.4959997669011</v>
      </c>
    </row>
    <row r="620" spans="1:26" x14ac:dyDescent="0.25">
      <c r="Y620" s="14"/>
    </row>
    <row r="621" spans="1:26" x14ac:dyDescent="0.25">
      <c r="A621" t="s">
        <v>67</v>
      </c>
      <c r="D621">
        <f t="shared" ref="D621:W621" si="406">D93*D126</f>
        <v>1262.4686060233462</v>
      </c>
      <c r="E621">
        <f t="shared" si="406"/>
        <v>1157.0391769729436</v>
      </c>
      <c r="F621">
        <f t="shared" si="406"/>
        <v>1122.1550849040739</v>
      </c>
      <c r="G621">
        <f t="shared" si="406"/>
        <v>1047.9789774638577</v>
      </c>
      <c r="H621">
        <f t="shared" si="406"/>
        <v>951.15884786628135</v>
      </c>
      <c r="I621">
        <f t="shared" si="406"/>
        <v>914.76375931892005</v>
      </c>
      <c r="J621">
        <f t="shared" si="406"/>
        <v>791.17122661838812</v>
      </c>
      <c r="K621">
        <f t="shared" si="406"/>
        <v>844.14626218701335</v>
      </c>
      <c r="L621">
        <f t="shared" si="406"/>
        <v>678.55427166432742</v>
      </c>
      <c r="M621">
        <f t="shared" si="406"/>
        <v>662.89638640756061</v>
      </c>
      <c r="N621">
        <f t="shared" si="406"/>
        <v>734.10607193370925</v>
      </c>
      <c r="O621">
        <f t="shared" si="406"/>
        <v>734.86652475114067</v>
      </c>
      <c r="P621">
        <f t="shared" si="406"/>
        <v>732.6777495113339</v>
      </c>
      <c r="Q621">
        <f t="shared" si="406"/>
        <v>794.16026350638163</v>
      </c>
      <c r="R621">
        <f t="shared" si="406"/>
        <v>967.29298453621379</v>
      </c>
      <c r="S621">
        <f t="shared" si="406"/>
        <v>864.9715128199631</v>
      </c>
      <c r="T621">
        <f t="shared" si="406"/>
        <v>864.05867795914696</v>
      </c>
      <c r="U621">
        <f t="shared" si="406"/>
        <v>863.12170451342456</v>
      </c>
      <c r="V621">
        <f t="shared" si="406"/>
        <v>878.0886832747982</v>
      </c>
      <c r="W621">
        <f t="shared" si="406"/>
        <v>1132.9438699855787</v>
      </c>
      <c r="Y621" s="14">
        <f t="shared" si="381"/>
        <v>17998.6206422184</v>
      </c>
      <c r="Z621">
        <f>SUMPRODUCT($D$625:$W$625,D621:W621)</f>
        <v>-2396.21389425706</v>
      </c>
    </row>
    <row r="622" spans="1:26" x14ac:dyDescent="0.25">
      <c r="A622" t="s">
        <v>311</v>
      </c>
      <c r="D622">
        <f t="shared" ref="D622:W622" si="407">D94*D127</f>
        <v>1684.0653061224486</v>
      </c>
      <c r="E622">
        <f t="shared" si="407"/>
        <v>1667.159183673469</v>
      </c>
      <c r="F622">
        <f t="shared" si="407"/>
        <v>1230.8122448979591</v>
      </c>
      <c r="G622">
        <f t="shared" si="407"/>
        <v>1230.0795918367346</v>
      </c>
      <c r="H622">
        <f t="shared" si="407"/>
        <v>1315.6530612244899</v>
      </c>
      <c r="I622">
        <f t="shared" si="407"/>
        <v>1266.3061224489795</v>
      </c>
      <c r="J622">
        <f t="shared" si="407"/>
        <v>1048.3918367346939</v>
      </c>
      <c r="K622">
        <f t="shared" si="407"/>
        <v>956.86530612244906</v>
      </c>
      <c r="L622">
        <f t="shared" si="407"/>
        <v>938.6953125</v>
      </c>
      <c r="M622">
        <f t="shared" si="407"/>
        <v>1234.8326530612246</v>
      </c>
      <c r="N622">
        <f t="shared" si="407"/>
        <v>1010.9387755102042</v>
      </c>
      <c r="O622">
        <f t="shared" si="407"/>
        <v>1043.1999999999998</v>
      </c>
      <c r="P622">
        <f t="shared" si="407"/>
        <v>892.22004767662156</v>
      </c>
      <c r="Q622">
        <f t="shared" si="407"/>
        <v>726.26969424373488</v>
      </c>
      <c r="R622">
        <f t="shared" si="407"/>
        <v>718.59434435416392</v>
      </c>
      <c r="S622">
        <f t="shared" si="407"/>
        <v>791.86645077073774</v>
      </c>
      <c r="T622">
        <f t="shared" si="407"/>
        <v>916.5</v>
      </c>
      <c r="U622">
        <f t="shared" si="407"/>
        <v>892.1099999999999</v>
      </c>
      <c r="V622">
        <f t="shared" si="407"/>
        <v>939.33999999999992</v>
      </c>
      <c r="W622">
        <f t="shared" si="407"/>
        <v>1075.1200000000001</v>
      </c>
      <c r="Y622" s="14">
        <f t="shared" si="381"/>
        <v>21579.019931177907</v>
      </c>
      <c r="Z622">
        <f>SUMPRODUCT($D$625:$W$625,D622:W622)</f>
        <v>-2731.5329397420073</v>
      </c>
    </row>
    <row r="623" spans="1:26" x14ac:dyDescent="0.25">
      <c r="A623" t="s">
        <v>312</v>
      </c>
      <c r="D623">
        <f t="shared" ref="D623:W623" si="408">D95*D128</f>
        <v>1199.6353913049129</v>
      </c>
      <c r="E623">
        <f t="shared" si="408"/>
        <v>1145.924072771601</v>
      </c>
      <c r="F623">
        <f t="shared" si="408"/>
        <v>1195.3539722954208</v>
      </c>
      <c r="G623">
        <f t="shared" si="408"/>
        <v>1002.4034674036035</v>
      </c>
      <c r="H623">
        <f t="shared" si="408"/>
        <v>893.1153043302204</v>
      </c>
      <c r="I623">
        <f t="shared" si="408"/>
        <v>926.78018688729219</v>
      </c>
      <c r="J623">
        <f t="shared" si="408"/>
        <v>843.76805862966387</v>
      </c>
      <c r="K623">
        <f t="shared" si="408"/>
        <v>872.94916309595862</v>
      </c>
      <c r="L623">
        <f t="shared" si="408"/>
        <v>764.43114655764134</v>
      </c>
      <c r="M623">
        <f t="shared" si="408"/>
        <v>708.11554948364085</v>
      </c>
      <c r="N623">
        <f t="shared" si="408"/>
        <v>764.69536751296482</v>
      </c>
      <c r="O623">
        <f t="shared" si="408"/>
        <v>775.47962761390784</v>
      </c>
      <c r="P623">
        <f t="shared" si="408"/>
        <v>755.96970551817162</v>
      </c>
      <c r="Q623">
        <f t="shared" si="408"/>
        <v>812.53050074904456</v>
      </c>
      <c r="R623">
        <f t="shared" si="408"/>
        <v>856.12363888214827</v>
      </c>
      <c r="S623">
        <f t="shared" si="408"/>
        <v>836.04527555182426</v>
      </c>
      <c r="T623">
        <f t="shared" si="408"/>
        <v>925.81919293912938</v>
      </c>
      <c r="U623">
        <f t="shared" si="408"/>
        <v>1071.2864497064336</v>
      </c>
      <c r="V623">
        <f t="shared" si="408"/>
        <v>1095.0445060221309</v>
      </c>
      <c r="W623">
        <f t="shared" si="408"/>
        <v>1222.534568331017</v>
      </c>
      <c r="Y623" s="14">
        <f t="shared" si="381"/>
        <v>18668.005145586721</v>
      </c>
      <c r="Z623">
        <f>SUMPRODUCT($D$625:$W$625,D623:W623)</f>
        <v>-2646.7009554436395</v>
      </c>
    </row>
    <row r="624" spans="1:26" x14ac:dyDescent="0.25">
      <c r="A624" t="s">
        <v>674</v>
      </c>
      <c r="D624">
        <f t="shared" ref="D624:W624" si="409">D96*D129</f>
        <v>1279.124045359551</v>
      </c>
      <c r="E624">
        <f t="shared" si="409"/>
        <v>1248.3540211149375</v>
      </c>
      <c r="F624">
        <f t="shared" si="409"/>
        <v>1083.4736678761112</v>
      </c>
      <c r="G624">
        <f t="shared" si="409"/>
        <v>972.28858521748271</v>
      </c>
      <c r="H624">
        <f t="shared" si="409"/>
        <v>769.08897203859829</v>
      </c>
      <c r="I624">
        <f t="shared" si="409"/>
        <v>951.85224567984983</v>
      </c>
      <c r="J624">
        <f t="shared" si="409"/>
        <v>876.70349670890027</v>
      </c>
      <c r="K624">
        <f t="shared" si="409"/>
        <v>873.36080509308999</v>
      </c>
      <c r="L624">
        <f t="shared" si="409"/>
        <v>702.89549951789638</v>
      </c>
      <c r="M624">
        <f t="shared" si="409"/>
        <v>731.21192119426132</v>
      </c>
      <c r="N624">
        <f t="shared" si="409"/>
        <v>765.58722004891251</v>
      </c>
      <c r="O624">
        <f t="shared" si="409"/>
        <v>777.89710375545224</v>
      </c>
      <c r="P624">
        <f t="shared" si="409"/>
        <v>654.00813260085454</v>
      </c>
      <c r="Q624">
        <f t="shared" si="409"/>
        <v>758.53094758990255</v>
      </c>
      <c r="R624">
        <f t="shared" si="409"/>
        <v>946.15897162510066</v>
      </c>
      <c r="S624">
        <f t="shared" si="409"/>
        <v>861.20494306466094</v>
      </c>
      <c r="T624">
        <f t="shared" si="409"/>
        <v>918.71883854237171</v>
      </c>
      <c r="U624">
        <f t="shared" si="409"/>
        <v>1019.9106576405803</v>
      </c>
      <c r="V624">
        <f t="shared" si="409"/>
        <v>969.23304506180898</v>
      </c>
      <c r="W624">
        <f t="shared" si="409"/>
        <v>1198.4497199535851</v>
      </c>
      <c r="Y624" s="14">
        <f t="shared" ref="Y624" si="410">SUM(D624:W624)</f>
        <v>18358.052839683907</v>
      </c>
      <c r="Z624">
        <f>SUMPRODUCT($D$625:$W$625,D624:W624)</f>
        <v>-2626.3042163488685</v>
      </c>
    </row>
    <row r="625" spans="1:26" x14ac:dyDescent="0.25">
      <c r="A625" s="2" t="s">
        <v>68</v>
      </c>
      <c r="D625" s="3">
        <f>CORREL($B$2:$B$25,D596:D619)</f>
        <v>7.3237432704715708E-2</v>
      </c>
      <c r="E625" s="3">
        <f t="shared" ref="E625:W625" si="411">CORREL($B$2:$B$25,E596:E619)</f>
        <v>-6.8634475288763291E-2</v>
      </c>
      <c r="F625" s="3">
        <f t="shared" si="411"/>
        <v>9.5542799097834391E-2</v>
      </c>
      <c r="G625" s="3">
        <f t="shared" si="411"/>
        <v>0.20524705850883543</v>
      </c>
      <c r="H625" s="3">
        <f t="shared" si="411"/>
        <v>0.37792280484553442</v>
      </c>
      <c r="I625" s="3">
        <f t="shared" si="411"/>
        <v>-0.21895531189891643</v>
      </c>
      <c r="J625" s="3">
        <f t="shared" si="411"/>
        <v>-0.44419982280895004</v>
      </c>
      <c r="K625" s="3">
        <f t="shared" si="411"/>
        <v>-0.25945510830931601</v>
      </c>
      <c r="L625" s="3">
        <f t="shared" si="411"/>
        <v>-0.36381158171493977</v>
      </c>
      <c r="M625" s="3">
        <f t="shared" si="411"/>
        <v>-2.5425936414795309E-2</v>
      </c>
      <c r="N625" s="3">
        <f t="shared" si="411"/>
        <v>-0.23675402830992931</v>
      </c>
      <c r="O625" s="3">
        <f t="shared" si="411"/>
        <v>-0.34617802337810205</v>
      </c>
      <c r="P625" s="3">
        <f t="shared" si="411"/>
        <v>-0.42314733612380157</v>
      </c>
      <c r="Q625" s="3">
        <f t="shared" si="411"/>
        <v>-0.2424580907340857</v>
      </c>
      <c r="R625" s="3">
        <f t="shared" si="411"/>
        <v>-0.22023327963858327</v>
      </c>
      <c r="S625" s="3">
        <f t="shared" si="411"/>
        <v>-0.15837317560677719</v>
      </c>
      <c r="T625" s="3">
        <f t="shared" si="411"/>
        <v>-0.16723217300572596</v>
      </c>
      <c r="U625" s="3">
        <f t="shared" si="411"/>
        <v>-0.39882887185634763</v>
      </c>
      <c r="V625" s="3">
        <f t="shared" si="411"/>
        <v>-0.2297733878728106</v>
      </c>
      <c r="W625" s="3">
        <f t="shared" si="411"/>
        <v>-7.5264461984286463E-2</v>
      </c>
    </row>
    <row r="628" spans="1:26" x14ac:dyDescent="0.25"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K628" t="s">
        <v>224</v>
      </c>
      <c r="L628" t="s">
        <v>356</v>
      </c>
      <c r="M628" t="s">
        <v>422</v>
      </c>
      <c r="N628" t="s">
        <v>423</v>
      </c>
      <c r="O628" t="s">
        <v>424</v>
      </c>
      <c r="P628" t="s">
        <v>526</v>
      </c>
      <c r="Q628" t="s">
        <v>527</v>
      </c>
      <c r="R628" t="s">
        <v>528</v>
      </c>
      <c r="S628" t="s">
        <v>529</v>
      </c>
      <c r="T628" t="s">
        <v>638</v>
      </c>
      <c r="U628" t="s">
        <v>639</v>
      </c>
      <c r="V628" t="s">
        <v>640</v>
      </c>
      <c r="W628" t="s">
        <v>641</v>
      </c>
      <c r="Y628" t="s">
        <v>225</v>
      </c>
      <c r="Z628" t="s">
        <v>226</v>
      </c>
    </row>
    <row r="629" spans="1:26" x14ac:dyDescent="0.25">
      <c r="A629" t="s">
        <v>43</v>
      </c>
      <c r="D629">
        <f t="shared" ref="D629:W629" si="412">D68*D134</f>
        <v>645.66323139153315</v>
      </c>
      <c r="E629">
        <f t="shared" si="412"/>
        <v>389.45895493239084</v>
      </c>
      <c r="F629">
        <f t="shared" si="412"/>
        <v>558.53779287167015</v>
      </c>
      <c r="G629">
        <f t="shared" si="412"/>
        <v>609.85469914249768</v>
      </c>
      <c r="H629">
        <f t="shared" si="412"/>
        <v>443.49288228377191</v>
      </c>
      <c r="I629">
        <f t="shared" si="412"/>
        <v>411.22172574525263</v>
      </c>
      <c r="J629">
        <f t="shared" si="412"/>
        <v>657.12070253018032</v>
      </c>
      <c r="K629">
        <f t="shared" si="412"/>
        <v>485.34309808414304</v>
      </c>
      <c r="L629">
        <f t="shared" si="412"/>
        <v>371.09104893456959</v>
      </c>
      <c r="M629">
        <f t="shared" si="412"/>
        <v>217.1265239905625</v>
      </c>
      <c r="N629">
        <f t="shared" si="412"/>
        <v>155.55994323059593</v>
      </c>
      <c r="O629">
        <f t="shared" si="412"/>
        <v>166.64735294717593</v>
      </c>
      <c r="P629">
        <f t="shared" si="412"/>
        <v>258.72516940730861</v>
      </c>
      <c r="Q629">
        <f t="shared" si="412"/>
        <v>341.11849732433728</v>
      </c>
      <c r="R629">
        <f t="shared" si="412"/>
        <v>393.98124147468098</v>
      </c>
      <c r="S629">
        <f t="shared" si="412"/>
        <v>729.30015457179741</v>
      </c>
      <c r="T629">
        <f t="shared" si="412"/>
        <v>299.61359446337082</v>
      </c>
      <c r="U629">
        <f t="shared" si="412"/>
        <v>133.91055347107093</v>
      </c>
      <c r="V629">
        <f t="shared" si="412"/>
        <v>172.42890815383197</v>
      </c>
      <c r="W629">
        <f t="shared" si="412"/>
        <v>294.52521649051948</v>
      </c>
      <c r="Y629" s="14">
        <f t="shared" ref="Y629:Y656" si="413">SUM(D629:W629)</f>
        <v>7734.7212914412603</v>
      </c>
      <c r="Z629">
        <f t="shared" ref="Z629:Z652" si="414">SUMPRODUCT($D$658:$W$658,D629:W629)</f>
        <v>6.7971068616015913</v>
      </c>
    </row>
    <row r="630" spans="1:26" x14ac:dyDescent="0.25">
      <c r="A630" t="s">
        <v>44</v>
      </c>
      <c r="D630">
        <f t="shared" ref="D630:W630" si="415">D69*D135</f>
        <v>395.45772487123725</v>
      </c>
      <c r="E630">
        <f t="shared" si="415"/>
        <v>899.48047386860333</v>
      </c>
      <c r="F630">
        <f t="shared" si="415"/>
        <v>793.98403658058771</v>
      </c>
      <c r="G630">
        <f t="shared" si="415"/>
        <v>661.8118775813175</v>
      </c>
      <c r="H630">
        <f t="shared" si="415"/>
        <v>451.44360135276366</v>
      </c>
      <c r="I630">
        <f t="shared" si="415"/>
        <v>366.77432449043113</v>
      </c>
      <c r="J630">
        <f t="shared" si="415"/>
        <v>326.78826080036163</v>
      </c>
      <c r="K630">
        <f t="shared" si="415"/>
        <v>318.83189301537192</v>
      </c>
      <c r="L630">
        <f t="shared" si="415"/>
        <v>164.1319147051303</v>
      </c>
      <c r="M630">
        <f t="shared" si="415"/>
        <v>412.59360041760903</v>
      </c>
      <c r="N630">
        <f t="shared" si="415"/>
        <v>708.34370503092919</v>
      </c>
      <c r="O630">
        <f t="shared" si="415"/>
        <v>314.50124063502852</v>
      </c>
      <c r="P630">
        <f t="shared" si="415"/>
        <v>313.3884677393292</v>
      </c>
      <c r="Q630">
        <f t="shared" si="415"/>
        <v>517.70195419575259</v>
      </c>
      <c r="R630">
        <f t="shared" si="415"/>
        <v>460.17808241126431</v>
      </c>
      <c r="S630">
        <f t="shared" si="415"/>
        <v>588.27105498617937</v>
      </c>
      <c r="T630">
        <f t="shared" si="415"/>
        <v>863.44814194649985</v>
      </c>
      <c r="U630">
        <f t="shared" si="415"/>
        <v>669.368694748179</v>
      </c>
      <c r="V630">
        <f t="shared" si="415"/>
        <v>498.46854989953692</v>
      </c>
      <c r="W630">
        <f t="shared" si="415"/>
        <v>640.63147766300472</v>
      </c>
      <c r="Y630" s="14">
        <f t="shared" si="413"/>
        <v>10365.599076939117</v>
      </c>
      <c r="Z630">
        <f t="shared" si="414"/>
        <v>-544.65871874619404</v>
      </c>
    </row>
    <row r="631" spans="1:26" x14ac:dyDescent="0.25">
      <c r="A631" t="s">
        <v>45</v>
      </c>
      <c r="D631">
        <f t="shared" ref="D631:W631" si="416">D70*D136</f>
        <v>937.5625220737362</v>
      </c>
      <c r="E631">
        <f t="shared" si="416"/>
        <v>809.99716648775723</v>
      </c>
      <c r="F631">
        <f t="shared" si="416"/>
        <v>566.95973199540902</v>
      </c>
      <c r="G631">
        <f t="shared" si="416"/>
        <v>832.10881554024809</v>
      </c>
      <c r="H631">
        <f t="shared" si="416"/>
        <v>907.16930515433683</v>
      </c>
      <c r="I631">
        <f t="shared" si="416"/>
        <v>706.15954387753379</v>
      </c>
      <c r="J631">
        <f t="shared" si="416"/>
        <v>561.92514611205911</v>
      </c>
      <c r="K631">
        <f t="shared" si="416"/>
        <v>374.35815533151037</v>
      </c>
      <c r="L631">
        <f t="shared" si="416"/>
        <v>316.3305871173219</v>
      </c>
      <c r="M631">
        <f t="shared" si="416"/>
        <v>467.95344503934155</v>
      </c>
      <c r="N631">
        <f t="shared" si="416"/>
        <v>553.62717223647178</v>
      </c>
      <c r="O631">
        <f t="shared" si="416"/>
        <v>440.42226520641782</v>
      </c>
      <c r="P631">
        <f t="shared" si="416"/>
        <v>434.92294220348214</v>
      </c>
      <c r="Q631">
        <f t="shared" si="416"/>
        <v>438.38285375180499</v>
      </c>
      <c r="R631">
        <f t="shared" si="416"/>
        <v>435.13307123407532</v>
      </c>
      <c r="S631">
        <f t="shared" si="416"/>
        <v>449.1965930932642</v>
      </c>
      <c r="T631">
        <f t="shared" si="416"/>
        <v>530.70090464777161</v>
      </c>
      <c r="U631">
        <f t="shared" si="416"/>
        <v>527.14543113540412</v>
      </c>
      <c r="V631">
        <f t="shared" si="416"/>
        <v>545.07501759152899</v>
      </c>
      <c r="W631">
        <f t="shared" si="416"/>
        <v>738.63159543596907</v>
      </c>
      <c r="Y631" s="14">
        <f t="shared" si="413"/>
        <v>11573.762265265445</v>
      </c>
      <c r="Z631">
        <f t="shared" si="414"/>
        <v>-60.130679746091758</v>
      </c>
    </row>
    <row r="632" spans="1:26" x14ac:dyDescent="0.25">
      <c r="A632" t="s">
        <v>46</v>
      </c>
      <c r="D632">
        <f t="shared" ref="D632:W632" si="417">D71*D137</f>
        <v>987.73267903031694</v>
      </c>
      <c r="E632">
        <f t="shared" si="417"/>
        <v>713.66493345887545</v>
      </c>
      <c r="F632">
        <f t="shared" si="417"/>
        <v>685.78193183472592</v>
      </c>
      <c r="G632">
        <f t="shared" si="417"/>
        <v>682.87158872551765</v>
      </c>
      <c r="H632">
        <f t="shared" si="417"/>
        <v>564.13226854792595</v>
      </c>
      <c r="I632">
        <f t="shared" si="417"/>
        <v>553.96170686788707</v>
      </c>
      <c r="J632">
        <f t="shared" si="417"/>
        <v>498.66615924165762</v>
      </c>
      <c r="K632">
        <f t="shared" si="417"/>
        <v>545.47597382245613</v>
      </c>
      <c r="L632">
        <f t="shared" si="417"/>
        <v>393.23045137777848</v>
      </c>
      <c r="M632">
        <f t="shared" si="417"/>
        <v>416.75448013248911</v>
      </c>
      <c r="N632">
        <f t="shared" si="417"/>
        <v>625.31268833014303</v>
      </c>
      <c r="O632">
        <f t="shared" si="417"/>
        <v>397.93941452686164</v>
      </c>
      <c r="P632">
        <f t="shared" si="417"/>
        <v>325.61687851526818</v>
      </c>
      <c r="Q632">
        <f t="shared" si="417"/>
        <v>393.32150020030582</v>
      </c>
      <c r="R632">
        <f t="shared" si="417"/>
        <v>350.51051359497887</v>
      </c>
      <c r="S632">
        <f t="shared" si="417"/>
        <v>361.48048215162339</v>
      </c>
      <c r="T632">
        <f t="shared" si="417"/>
        <v>480.6720248558243</v>
      </c>
      <c r="U632">
        <f t="shared" si="417"/>
        <v>534.63561876815368</v>
      </c>
      <c r="V632">
        <f t="shared" si="417"/>
        <v>398.63052519177114</v>
      </c>
      <c r="W632">
        <f t="shared" si="417"/>
        <v>453.7112158986755</v>
      </c>
      <c r="Y632" s="14">
        <f t="shared" si="413"/>
        <v>10364.103035073236</v>
      </c>
      <c r="Z632">
        <f t="shared" si="414"/>
        <v>-56.996592654996221</v>
      </c>
    </row>
    <row r="633" spans="1:26" x14ac:dyDescent="0.25">
      <c r="A633" t="s">
        <v>47</v>
      </c>
      <c r="D633">
        <f t="shared" ref="D633:W633" si="418">D72*D138</f>
        <v>1112.6716801108514</v>
      </c>
      <c r="E633">
        <f t="shared" si="418"/>
        <v>609.40051244832978</v>
      </c>
      <c r="F633">
        <f t="shared" si="418"/>
        <v>454.35721197007888</v>
      </c>
      <c r="G633">
        <f t="shared" si="418"/>
        <v>652.57056402736202</v>
      </c>
      <c r="H633">
        <f t="shared" si="418"/>
        <v>574.24991957337397</v>
      </c>
      <c r="I633">
        <f t="shared" si="418"/>
        <v>556.82430581618121</v>
      </c>
      <c r="J633">
        <f t="shared" si="418"/>
        <v>520.33729976285451</v>
      </c>
      <c r="K633">
        <f t="shared" si="418"/>
        <v>510.886976159668</v>
      </c>
      <c r="L633">
        <f t="shared" si="418"/>
        <v>419.85800768688284</v>
      </c>
      <c r="M633">
        <f t="shared" si="418"/>
        <v>336.13846157855363</v>
      </c>
      <c r="N633">
        <f t="shared" si="418"/>
        <v>260.91043862949573</v>
      </c>
      <c r="O633">
        <f t="shared" si="418"/>
        <v>339.77239814407471</v>
      </c>
      <c r="P633">
        <f t="shared" si="418"/>
        <v>480.10136591059819</v>
      </c>
      <c r="Q633">
        <f t="shared" si="418"/>
        <v>341.76397541044224</v>
      </c>
      <c r="R633">
        <f t="shared" si="418"/>
        <v>286.80327376465783</v>
      </c>
      <c r="S633">
        <f t="shared" si="418"/>
        <v>313.42533108513658</v>
      </c>
      <c r="T633">
        <f t="shared" si="418"/>
        <v>377.08968994324903</v>
      </c>
      <c r="U633">
        <f t="shared" si="418"/>
        <v>470.71482316369287</v>
      </c>
      <c r="V633">
        <f t="shared" si="418"/>
        <v>513.80606947735623</v>
      </c>
      <c r="W633">
        <f t="shared" si="418"/>
        <v>636.50613685567942</v>
      </c>
      <c r="Y633" s="14">
        <f t="shared" si="413"/>
        <v>9768.1884415185195</v>
      </c>
      <c r="Z633">
        <f t="shared" si="414"/>
        <v>158.81809956057327</v>
      </c>
    </row>
    <row r="634" spans="1:26" x14ac:dyDescent="0.25">
      <c r="A634" t="s">
        <v>48</v>
      </c>
      <c r="D634">
        <f t="shared" ref="D634:W634" si="419">D73*D139</f>
        <v>541.00858368804495</v>
      </c>
      <c r="E634">
        <f t="shared" si="419"/>
        <v>589.12099387339595</v>
      </c>
      <c r="F634">
        <f t="shared" si="419"/>
        <v>464.66764904090968</v>
      </c>
      <c r="G634">
        <f t="shared" si="419"/>
        <v>500.606386350376</v>
      </c>
      <c r="H634">
        <f t="shared" si="419"/>
        <v>403.35696401867784</v>
      </c>
      <c r="I634">
        <f t="shared" si="419"/>
        <v>507.55229963542627</v>
      </c>
      <c r="J634">
        <f t="shared" si="419"/>
        <v>585.21709279587321</v>
      </c>
      <c r="K634">
        <f t="shared" si="419"/>
        <v>627.37198594014092</v>
      </c>
      <c r="L634">
        <f t="shared" si="419"/>
        <v>353.23028199775086</v>
      </c>
      <c r="M634">
        <f t="shared" si="419"/>
        <v>525.53420799674143</v>
      </c>
      <c r="N634">
        <f t="shared" si="419"/>
        <v>642.07171672955565</v>
      </c>
      <c r="O634">
        <f t="shared" si="419"/>
        <v>387.57846502954715</v>
      </c>
      <c r="P634">
        <f t="shared" si="419"/>
        <v>385.16135544202649</v>
      </c>
      <c r="Q634">
        <f t="shared" si="419"/>
        <v>365.9630156478525</v>
      </c>
      <c r="R634">
        <f t="shared" si="419"/>
        <v>367.8999147458822</v>
      </c>
      <c r="S634">
        <f t="shared" si="419"/>
        <v>353.12572009934286</v>
      </c>
      <c r="T634">
        <f t="shared" si="419"/>
        <v>381.26138340694274</v>
      </c>
      <c r="U634">
        <f t="shared" si="419"/>
        <v>417.26279077449686</v>
      </c>
      <c r="V634">
        <f t="shared" si="419"/>
        <v>481.98024444313114</v>
      </c>
      <c r="W634">
        <f t="shared" si="419"/>
        <v>419.22260277446094</v>
      </c>
      <c r="Y634" s="14">
        <f t="shared" si="413"/>
        <v>9299.1936544305754</v>
      </c>
      <c r="Z634">
        <f t="shared" si="414"/>
        <v>-393.76383613245491</v>
      </c>
    </row>
    <row r="635" spans="1:26" x14ac:dyDescent="0.25">
      <c r="A635" t="s">
        <v>49</v>
      </c>
      <c r="D635">
        <f t="shared" ref="D635:W635" si="420">D74*D140</f>
        <v>1402.4071324916081</v>
      </c>
      <c r="E635">
        <f t="shared" si="420"/>
        <v>962.25119041368646</v>
      </c>
      <c r="F635">
        <f t="shared" si="420"/>
        <v>970.89697101646459</v>
      </c>
      <c r="G635">
        <f t="shared" si="420"/>
        <v>645.37729008391364</v>
      </c>
      <c r="H635">
        <f t="shared" si="420"/>
        <v>404.19444392146727</v>
      </c>
      <c r="I635">
        <f t="shared" si="420"/>
        <v>613.0206465340234</v>
      </c>
      <c r="J635">
        <f t="shared" si="420"/>
        <v>266.03284556911461</v>
      </c>
      <c r="K635">
        <f t="shared" si="420"/>
        <v>309.39905427700234</v>
      </c>
      <c r="L635">
        <f t="shared" si="420"/>
        <v>263.22983473057286</v>
      </c>
      <c r="M635">
        <f t="shared" si="420"/>
        <v>311.66120991367308</v>
      </c>
      <c r="N635">
        <f t="shared" si="420"/>
        <v>535.59308860159842</v>
      </c>
      <c r="O635">
        <f t="shared" si="420"/>
        <v>543.17005076923124</v>
      </c>
      <c r="P635">
        <f t="shared" si="420"/>
        <v>391.31490838953965</v>
      </c>
      <c r="Q635">
        <f t="shared" si="420"/>
        <v>330.01640109615829</v>
      </c>
      <c r="R635">
        <f t="shared" si="420"/>
        <v>447.84471629529872</v>
      </c>
      <c r="S635">
        <f t="shared" si="420"/>
        <v>367.0806158426517</v>
      </c>
      <c r="T635">
        <f t="shared" si="420"/>
        <v>371.57378780223161</v>
      </c>
      <c r="U635">
        <f t="shared" si="420"/>
        <v>680.70476753386265</v>
      </c>
      <c r="V635">
        <f t="shared" si="420"/>
        <v>748.18316674678613</v>
      </c>
      <c r="W635">
        <f t="shared" si="420"/>
        <v>1134.9439023385278</v>
      </c>
      <c r="Y635" s="14">
        <f t="shared" si="413"/>
        <v>11698.896024367414</v>
      </c>
      <c r="Z635">
        <f t="shared" si="414"/>
        <v>199.98294170196161</v>
      </c>
    </row>
    <row r="636" spans="1:26" x14ac:dyDescent="0.25">
      <c r="A636" t="s">
        <v>50</v>
      </c>
      <c r="D636">
        <f t="shared" ref="D636:W636" si="421">D75*D141</f>
        <v>981.51550134993806</v>
      </c>
      <c r="E636">
        <f t="shared" si="421"/>
        <v>888.61289308640266</v>
      </c>
      <c r="F636">
        <f t="shared" si="421"/>
        <v>1021.7854972383378</v>
      </c>
      <c r="G636">
        <f t="shared" si="421"/>
        <v>832.88377190008111</v>
      </c>
      <c r="H636">
        <f t="shared" si="421"/>
        <v>827.36929834876128</v>
      </c>
      <c r="I636">
        <f t="shared" si="421"/>
        <v>686.95830400624629</v>
      </c>
      <c r="J636">
        <f t="shared" si="421"/>
        <v>689.36863046760914</v>
      </c>
      <c r="K636">
        <f t="shared" si="421"/>
        <v>551.04862942694422</v>
      </c>
      <c r="L636">
        <f t="shared" si="421"/>
        <v>368.88317224414692</v>
      </c>
      <c r="M636">
        <f t="shared" si="421"/>
        <v>824.49015974312908</v>
      </c>
      <c r="N636">
        <f t="shared" si="421"/>
        <v>672.80199750988891</v>
      </c>
      <c r="O636">
        <f t="shared" si="421"/>
        <v>471.81882623942539</v>
      </c>
      <c r="P636">
        <f t="shared" si="421"/>
        <v>605.65744201673135</v>
      </c>
      <c r="Q636">
        <f t="shared" si="421"/>
        <v>650.0138258591013</v>
      </c>
      <c r="R636">
        <f t="shared" si="421"/>
        <v>751.58317639035693</v>
      </c>
      <c r="S636">
        <f t="shared" si="421"/>
        <v>759.67976754531799</v>
      </c>
      <c r="T636">
        <f t="shared" si="421"/>
        <v>921.05961850035453</v>
      </c>
      <c r="U636">
        <f t="shared" si="421"/>
        <v>597.88477330203534</v>
      </c>
      <c r="V636">
        <f t="shared" si="421"/>
        <v>494.55074808361775</v>
      </c>
      <c r="W636">
        <f t="shared" si="421"/>
        <v>858.0141846216444</v>
      </c>
      <c r="Y636" s="14">
        <f t="shared" si="413"/>
        <v>14455.980217880073</v>
      </c>
      <c r="Z636">
        <f t="shared" si="414"/>
        <v>-420.93523008849536</v>
      </c>
    </row>
    <row r="637" spans="1:26" x14ac:dyDescent="0.25">
      <c r="A637" t="s">
        <v>51</v>
      </c>
      <c r="D637">
        <f t="shared" ref="D637:W637" si="422">D76*D142</f>
        <v>840.22346300917764</v>
      </c>
      <c r="E637">
        <f t="shared" si="422"/>
        <v>572.17650341618253</v>
      </c>
      <c r="F637">
        <f t="shared" si="422"/>
        <v>730.07073842008469</v>
      </c>
      <c r="G637">
        <f t="shared" si="422"/>
        <v>876.51401416461863</v>
      </c>
      <c r="H637">
        <f t="shared" si="422"/>
        <v>761.82204310464454</v>
      </c>
      <c r="I637">
        <f t="shared" si="422"/>
        <v>422.70737054354652</v>
      </c>
      <c r="J637">
        <f t="shared" si="422"/>
        <v>434.71092692382325</v>
      </c>
      <c r="K637">
        <f t="shared" si="422"/>
        <v>608.88397459158102</v>
      </c>
      <c r="L637">
        <f t="shared" si="422"/>
        <v>415.4258595731888</v>
      </c>
      <c r="M637">
        <f t="shared" si="422"/>
        <v>277.05000621046003</v>
      </c>
      <c r="N637">
        <f t="shared" si="422"/>
        <v>538.59354903979852</v>
      </c>
      <c r="O637">
        <f t="shared" si="422"/>
        <v>280.1574690080642</v>
      </c>
      <c r="P637">
        <f t="shared" si="422"/>
        <v>316.38557571215273</v>
      </c>
      <c r="Q637">
        <f t="shared" si="422"/>
        <v>500.78441570783821</v>
      </c>
      <c r="R637">
        <f t="shared" si="422"/>
        <v>462.38471677257189</v>
      </c>
      <c r="S637">
        <f t="shared" si="422"/>
        <v>434.01983463984948</v>
      </c>
      <c r="T637">
        <f t="shared" si="422"/>
        <v>524.52658446610531</v>
      </c>
      <c r="U637">
        <f t="shared" si="422"/>
        <v>332.94384535631548</v>
      </c>
      <c r="V637">
        <f t="shared" si="422"/>
        <v>351.96520078181169</v>
      </c>
      <c r="W637">
        <f t="shared" si="422"/>
        <v>758.80837678250441</v>
      </c>
      <c r="Y637" s="14">
        <f t="shared" si="413"/>
        <v>10440.154468224322</v>
      </c>
      <c r="Z637">
        <f t="shared" si="414"/>
        <v>39.56104087521831</v>
      </c>
    </row>
    <row r="638" spans="1:26" x14ac:dyDescent="0.25">
      <c r="A638" t="s">
        <v>52</v>
      </c>
      <c r="D638">
        <f t="shared" ref="D638:W638" si="423">D77*D143</f>
        <v>1033.4691231228699</v>
      </c>
      <c r="E638">
        <f t="shared" si="423"/>
        <v>659.07258244054026</v>
      </c>
      <c r="F638">
        <f t="shared" si="423"/>
        <v>595.44244077694896</v>
      </c>
      <c r="G638">
        <f t="shared" si="423"/>
        <v>758.75699803217788</v>
      </c>
      <c r="H638">
        <f t="shared" si="423"/>
        <v>752.75087648735405</v>
      </c>
      <c r="I638">
        <f t="shared" si="423"/>
        <v>829.71363455070207</v>
      </c>
      <c r="J638">
        <f t="shared" si="423"/>
        <v>539.84494335358386</v>
      </c>
      <c r="K638">
        <f t="shared" si="423"/>
        <v>802.69350422440289</v>
      </c>
      <c r="L638">
        <f t="shared" si="423"/>
        <v>658.62514905071077</v>
      </c>
      <c r="M638">
        <f t="shared" si="423"/>
        <v>597.30835525651514</v>
      </c>
      <c r="N638">
        <f t="shared" si="423"/>
        <v>561.01537349433943</v>
      </c>
      <c r="O638">
        <f t="shared" si="423"/>
        <v>655.26209276273926</v>
      </c>
      <c r="P638">
        <f t="shared" si="423"/>
        <v>559.94778000880797</v>
      </c>
      <c r="Q638">
        <f t="shared" si="423"/>
        <v>504.42243932764751</v>
      </c>
      <c r="R638">
        <f t="shared" si="423"/>
        <v>416.52063701394343</v>
      </c>
      <c r="S638">
        <f t="shared" si="423"/>
        <v>507.20570802375721</v>
      </c>
      <c r="T638">
        <f t="shared" si="423"/>
        <v>652.64964923004629</v>
      </c>
      <c r="U638">
        <f t="shared" si="423"/>
        <v>588.4942678284898</v>
      </c>
      <c r="V638">
        <f t="shared" si="423"/>
        <v>830.13722075079545</v>
      </c>
      <c r="W638">
        <f t="shared" si="423"/>
        <v>953.31443164682366</v>
      </c>
      <c r="Y638" s="14">
        <f t="shared" si="413"/>
        <v>13456.647207383197</v>
      </c>
      <c r="Z638">
        <f t="shared" si="414"/>
        <v>-207.01079453719737</v>
      </c>
    </row>
    <row r="639" spans="1:26" x14ac:dyDescent="0.25">
      <c r="A639" t="s">
        <v>53</v>
      </c>
      <c r="D639">
        <f t="shared" ref="D639:W639" si="424">D78*D144</f>
        <v>1050.58689700024</v>
      </c>
      <c r="E639">
        <f t="shared" si="424"/>
        <v>721.93262131115955</v>
      </c>
      <c r="F639">
        <f t="shared" si="424"/>
        <v>645.3864516492747</v>
      </c>
      <c r="G639">
        <f t="shared" si="424"/>
        <v>516.75669765373448</v>
      </c>
      <c r="H639">
        <f t="shared" si="424"/>
        <v>297.84308096293051</v>
      </c>
      <c r="I639">
        <f t="shared" si="424"/>
        <v>310.94820392713262</v>
      </c>
      <c r="J639">
        <f t="shared" si="424"/>
        <v>485.56190286685415</v>
      </c>
      <c r="K639">
        <f t="shared" si="424"/>
        <v>427.83034525206563</v>
      </c>
      <c r="L639">
        <f t="shared" si="424"/>
        <v>307.45813369809161</v>
      </c>
      <c r="M639">
        <f t="shared" si="424"/>
        <v>378.64407800145563</v>
      </c>
      <c r="N639">
        <f t="shared" si="424"/>
        <v>338.32837450331516</v>
      </c>
      <c r="O639">
        <f t="shared" si="424"/>
        <v>522.53771163305214</v>
      </c>
      <c r="P639">
        <f t="shared" si="424"/>
        <v>438.66965519628775</v>
      </c>
      <c r="Q639">
        <f t="shared" si="424"/>
        <v>393.88602092299783</v>
      </c>
      <c r="R639">
        <f t="shared" si="424"/>
        <v>618.45353484362727</v>
      </c>
      <c r="S639">
        <f t="shared" si="424"/>
        <v>700.35921983660808</v>
      </c>
      <c r="T639">
        <f t="shared" si="424"/>
        <v>617.73989830812582</v>
      </c>
      <c r="U639">
        <f t="shared" si="424"/>
        <v>537.36765122310385</v>
      </c>
      <c r="V639">
        <f t="shared" si="424"/>
        <v>348.44141697637883</v>
      </c>
      <c r="W639">
        <f t="shared" si="424"/>
        <v>352.62924429963897</v>
      </c>
      <c r="Y639" s="14">
        <f t="shared" si="413"/>
        <v>10011.361140066072</v>
      </c>
      <c r="Z639">
        <f t="shared" si="414"/>
        <v>-183.57587968830262</v>
      </c>
    </row>
    <row r="640" spans="1:26" x14ac:dyDescent="0.25">
      <c r="A640" t="s">
        <v>54</v>
      </c>
      <c r="D640">
        <f t="shared" ref="D640:W640" si="425">D79*D145</f>
        <v>404.39032341629587</v>
      </c>
      <c r="E640">
        <f t="shared" si="425"/>
        <v>524.06913590015324</v>
      </c>
      <c r="F640">
        <f t="shared" si="425"/>
        <v>534.93125515771101</v>
      </c>
      <c r="G640">
        <f t="shared" si="425"/>
        <v>410.60186082025996</v>
      </c>
      <c r="H640">
        <f t="shared" si="425"/>
        <v>266.49155010475084</v>
      </c>
      <c r="I640">
        <f t="shared" si="425"/>
        <v>238.7671414411173</v>
      </c>
      <c r="J640">
        <f t="shared" si="425"/>
        <v>286.99567151196595</v>
      </c>
      <c r="K640">
        <f t="shared" si="425"/>
        <v>325.88997778013999</v>
      </c>
      <c r="L640">
        <f t="shared" si="425"/>
        <v>289.98501994061797</v>
      </c>
      <c r="M640">
        <f t="shared" si="425"/>
        <v>262.81161541551222</v>
      </c>
      <c r="N640">
        <f t="shared" si="425"/>
        <v>318.37999162671173</v>
      </c>
      <c r="O640">
        <f t="shared" si="425"/>
        <v>322.32765287567378</v>
      </c>
      <c r="P640">
        <f t="shared" si="425"/>
        <v>408.83557482869708</v>
      </c>
      <c r="Q640">
        <f t="shared" si="425"/>
        <v>364.19745274105884</v>
      </c>
      <c r="R640">
        <f t="shared" si="425"/>
        <v>312.18253941992998</v>
      </c>
      <c r="S640">
        <f t="shared" si="425"/>
        <v>272.75052906663797</v>
      </c>
      <c r="T640">
        <f t="shared" si="425"/>
        <v>368.49376794948</v>
      </c>
      <c r="U640">
        <f t="shared" si="425"/>
        <v>468.30532948322679</v>
      </c>
      <c r="V640">
        <f t="shared" si="425"/>
        <v>404.40835563984717</v>
      </c>
      <c r="W640">
        <f t="shared" si="425"/>
        <v>540.05038182630051</v>
      </c>
      <c r="Y640" s="14">
        <f t="shared" si="413"/>
        <v>7324.865126946087</v>
      </c>
      <c r="Z640">
        <f t="shared" si="414"/>
        <v>-291.03556661055518</v>
      </c>
    </row>
    <row r="641" spans="1:26" x14ac:dyDescent="0.25">
      <c r="A641" t="s">
        <v>55</v>
      </c>
      <c r="D641">
        <f t="shared" ref="D641:W641" si="426">D80*D146</f>
        <v>527.91701878601555</v>
      </c>
      <c r="E641">
        <f t="shared" si="426"/>
        <v>425.67029713750281</v>
      </c>
      <c r="F641">
        <f t="shared" si="426"/>
        <v>342.24277876882525</v>
      </c>
      <c r="G641">
        <f t="shared" si="426"/>
        <v>336.74109807852335</v>
      </c>
      <c r="H641">
        <f t="shared" si="426"/>
        <v>242.49904738779421</v>
      </c>
      <c r="I641">
        <f t="shared" si="426"/>
        <v>193.70687221360649</v>
      </c>
      <c r="J641">
        <f t="shared" si="426"/>
        <v>196.06323316238064</v>
      </c>
      <c r="K641">
        <f t="shared" si="426"/>
        <v>198.51207601014505</v>
      </c>
      <c r="L641">
        <f t="shared" si="426"/>
        <v>233.60934319460964</v>
      </c>
      <c r="M641">
        <f t="shared" si="426"/>
        <v>370.80748176781339</v>
      </c>
      <c r="N641">
        <f t="shared" si="426"/>
        <v>348.85427299478698</v>
      </c>
      <c r="O641">
        <f t="shared" si="426"/>
        <v>458.69668359028674</v>
      </c>
      <c r="P641">
        <f t="shared" si="426"/>
        <v>224.81136836128104</v>
      </c>
      <c r="Q641">
        <f t="shared" si="426"/>
        <v>305.19714357038401</v>
      </c>
      <c r="R641">
        <f t="shared" si="426"/>
        <v>199.3080308607851</v>
      </c>
      <c r="S641">
        <f t="shared" si="426"/>
        <v>254.07233489663471</v>
      </c>
      <c r="T641">
        <f t="shared" si="426"/>
        <v>267.44848516312032</v>
      </c>
      <c r="U641">
        <f t="shared" si="426"/>
        <v>279.47168070052373</v>
      </c>
      <c r="V641">
        <f t="shared" si="426"/>
        <v>254.81186203098574</v>
      </c>
      <c r="W641">
        <f t="shared" si="426"/>
        <v>733.27381113228125</v>
      </c>
      <c r="Y641" s="14">
        <f t="shared" si="413"/>
        <v>6393.714919808287</v>
      </c>
      <c r="Z641">
        <f t="shared" si="414"/>
        <v>-101.29612290020154</v>
      </c>
    </row>
    <row r="642" spans="1:26" x14ac:dyDescent="0.25">
      <c r="A642" t="s">
        <v>56</v>
      </c>
      <c r="D642">
        <f t="shared" ref="D642:W642" si="427">D81*D147</f>
        <v>789.16123204387009</v>
      </c>
      <c r="E642">
        <f t="shared" si="427"/>
        <v>495.25818239482237</v>
      </c>
      <c r="F642">
        <f t="shared" si="427"/>
        <v>367.23416465243616</v>
      </c>
      <c r="G642">
        <f t="shared" si="427"/>
        <v>440.61559770288051</v>
      </c>
      <c r="H642">
        <f t="shared" si="427"/>
        <v>344.42184980458796</v>
      </c>
      <c r="I642">
        <f t="shared" si="427"/>
        <v>292.66602624638995</v>
      </c>
      <c r="J642">
        <f t="shared" si="427"/>
        <v>406.37911853633585</v>
      </c>
      <c r="K642">
        <f t="shared" si="427"/>
        <v>389.46177729037191</v>
      </c>
      <c r="L642">
        <f t="shared" si="427"/>
        <v>364.86236901794791</v>
      </c>
      <c r="M642">
        <f t="shared" si="427"/>
        <v>486.4230529204529</v>
      </c>
      <c r="N642">
        <f t="shared" si="427"/>
        <v>620.49305098446268</v>
      </c>
      <c r="O642">
        <f t="shared" si="427"/>
        <v>500.19525826453349</v>
      </c>
      <c r="P642">
        <f t="shared" si="427"/>
        <v>597.65483849975021</v>
      </c>
      <c r="Q642">
        <f t="shared" si="427"/>
        <v>601.1105321588193</v>
      </c>
      <c r="R642">
        <f t="shared" si="427"/>
        <v>398.505524454615</v>
      </c>
      <c r="S642">
        <f t="shared" si="427"/>
        <v>613.76279810667393</v>
      </c>
      <c r="T642">
        <f t="shared" si="427"/>
        <v>708.21207440555895</v>
      </c>
      <c r="U642">
        <f t="shared" si="427"/>
        <v>415.76476508097045</v>
      </c>
      <c r="V642">
        <f t="shared" si="427"/>
        <v>404.9596980030027</v>
      </c>
      <c r="W642">
        <f t="shared" si="427"/>
        <v>613.76279810667393</v>
      </c>
      <c r="Y642" s="14">
        <f t="shared" si="413"/>
        <v>9850.9047086751561</v>
      </c>
      <c r="Z642">
        <f t="shared" si="414"/>
        <v>-420.42849776032114</v>
      </c>
    </row>
    <row r="643" spans="1:26" x14ac:dyDescent="0.25">
      <c r="A643" t="s">
        <v>57</v>
      </c>
      <c r="D643">
        <f t="shared" ref="D643:W643" si="428">D82*D148</f>
        <v>589.34655364082425</v>
      </c>
      <c r="E643">
        <f t="shared" si="428"/>
        <v>682.09794550737865</v>
      </c>
      <c r="F643">
        <f t="shared" si="428"/>
        <v>760.16472598396558</v>
      </c>
      <c r="G643">
        <f t="shared" si="428"/>
        <v>643.70486784752427</v>
      </c>
      <c r="H643">
        <f t="shared" si="428"/>
        <v>473.10209256376481</v>
      </c>
      <c r="I643">
        <f t="shared" si="428"/>
        <v>427.34647047416144</v>
      </c>
      <c r="J643">
        <f t="shared" si="428"/>
        <v>322.11592912455194</v>
      </c>
      <c r="K643">
        <f t="shared" si="428"/>
        <v>438.55935669115672</v>
      </c>
      <c r="L643">
        <f t="shared" si="428"/>
        <v>224.2633318352936</v>
      </c>
      <c r="M643">
        <f t="shared" si="428"/>
        <v>503.77722015637431</v>
      </c>
      <c r="N643">
        <f t="shared" si="428"/>
        <v>461.48757534183113</v>
      </c>
      <c r="O643">
        <f t="shared" si="428"/>
        <v>410.83076596250447</v>
      </c>
      <c r="P643">
        <f t="shared" si="428"/>
        <v>433.56583184347181</v>
      </c>
      <c r="Q643">
        <f t="shared" si="428"/>
        <v>532.35434123218772</v>
      </c>
      <c r="R643">
        <f t="shared" si="428"/>
        <v>736.32868960195344</v>
      </c>
      <c r="S643">
        <f t="shared" si="428"/>
        <v>573.47221654854548</v>
      </c>
      <c r="T643">
        <f t="shared" si="428"/>
        <v>671.31730188982181</v>
      </c>
      <c r="U643">
        <f t="shared" si="428"/>
        <v>656.02645372329584</v>
      </c>
      <c r="V643">
        <f t="shared" si="428"/>
        <v>641.0207197582323</v>
      </c>
      <c r="W643">
        <f t="shared" si="428"/>
        <v>768.3468489764266</v>
      </c>
      <c r="Y643" s="14">
        <f t="shared" si="413"/>
        <v>10949.229238703267</v>
      </c>
      <c r="Z643">
        <f t="shared" si="414"/>
        <v>-476.97108146301423</v>
      </c>
    </row>
    <row r="644" spans="1:26" x14ac:dyDescent="0.25">
      <c r="A644" t="s">
        <v>58</v>
      </c>
      <c r="D644">
        <f t="shared" ref="D644:W644" si="429">D83*D149</f>
        <v>500.97864975962398</v>
      </c>
      <c r="E644">
        <f t="shared" si="429"/>
        <v>563.60050530061153</v>
      </c>
      <c r="F644">
        <f t="shared" si="429"/>
        <v>398.34674133773558</v>
      </c>
      <c r="G644">
        <f t="shared" si="429"/>
        <v>467.18316212971808</v>
      </c>
      <c r="H644">
        <f t="shared" si="429"/>
        <v>494.96276327361352</v>
      </c>
      <c r="I644">
        <f t="shared" si="429"/>
        <v>232.10214466934204</v>
      </c>
      <c r="J644">
        <f t="shared" si="429"/>
        <v>333.11283816136336</v>
      </c>
      <c r="K644">
        <f t="shared" si="429"/>
        <v>325.6907102127052</v>
      </c>
      <c r="L644">
        <f t="shared" si="429"/>
        <v>230.77249994740316</v>
      </c>
      <c r="M644">
        <f t="shared" si="429"/>
        <v>88.978673642533053</v>
      </c>
      <c r="N644">
        <f t="shared" si="429"/>
        <v>319.30040298912627</v>
      </c>
      <c r="O644">
        <f t="shared" si="429"/>
        <v>260.37516607972026</v>
      </c>
      <c r="P644">
        <f t="shared" si="429"/>
        <v>345.63248626303658</v>
      </c>
      <c r="Q644">
        <f t="shared" si="429"/>
        <v>279.61733415480234</v>
      </c>
      <c r="R644">
        <f t="shared" si="429"/>
        <v>188.81877364125563</v>
      </c>
      <c r="S644">
        <f t="shared" si="429"/>
        <v>241.11095698409389</v>
      </c>
      <c r="T644">
        <f t="shared" si="429"/>
        <v>248.70321372447114</v>
      </c>
      <c r="U644">
        <f t="shared" si="429"/>
        <v>228.55388320718015</v>
      </c>
      <c r="V644">
        <f t="shared" si="429"/>
        <v>178.94023094344305</v>
      </c>
      <c r="W644">
        <f t="shared" si="429"/>
        <v>215.93791103438087</v>
      </c>
      <c r="Y644" s="14">
        <f t="shared" si="413"/>
        <v>6142.7190474561585</v>
      </c>
      <c r="Z644">
        <f t="shared" si="414"/>
        <v>-20.207685635371394</v>
      </c>
    </row>
    <row r="645" spans="1:26" x14ac:dyDescent="0.25">
      <c r="A645" t="s">
        <v>59</v>
      </c>
      <c r="D645">
        <f t="shared" ref="D645:W645" si="430">D84*D150</f>
        <v>391.15387696986636</v>
      </c>
      <c r="E645">
        <f t="shared" si="430"/>
        <v>473.45662398159033</v>
      </c>
      <c r="F645">
        <f t="shared" si="430"/>
        <v>354.26565497571738</v>
      </c>
      <c r="G645">
        <f t="shared" si="430"/>
        <v>422.81707526523257</v>
      </c>
      <c r="H645">
        <f t="shared" si="430"/>
        <v>373.19424175551455</v>
      </c>
      <c r="I645">
        <f t="shared" si="430"/>
        <v>282.49058128484484</v>
      </c>
      <c r="J645">
        <f t="shared" si="430"/>
        <v>208.03450554162944</v>
      </c>
      <c r="K645">
        <f t="shared" si="430"/>
        <v>288.52042856138917</v>
      </c>
      <c r="L645">
        <f t="shared" si="430"/>
        <v>323.9881839549941</v>
      </c>
      <c r="M645">
        <f t="shared" si="430"/>
        <v>336.99573402591489</v>
      </c>
      <c r="N645">
        <f t="shared" si="430"/>
        <v>205.99579735668968</v>
      </c>
      <c r="O645">
        <f t="shared" si="430"/>
        <v>149.29313201030158</v>
      </c>
      <c r="P645">
        <f t="shared" si="430"/>
        <v>188.10785442774957</v>
      </c>
      <c r="Q645">
        <f t="shared" si="430"/>
        <v>228.40737598924287</v>
      </c>
      <c r="R645">
        <f t="shared" si="430"/>
        <v>342.42237111145226</v>
      </c>
      <c r="S645">
        <f t="shared" si="430"/>
        <v>355.68278076467726</v>
      </c>
      <c r="T645">
        <f t="shared" si="430"/>
        <v>124.28862056660131</v>
      </c>
      <c r="U645">
        <f t="shared" si="430"/>
        <v>267.56106787598225</v>
      </c>
      <c r="V645">
        <f t="shared" si="430"/>
        <v>397.8015206703306</v>
      </c>
      <c r="W645">
        <f t="shared" si="430"/>
        <v>222.71454518278159</v>
      </c>
      <c r="Y645" s="14">
        <f t="shared" si="413"/>
        <v>5937.1919722725015</v>
      </c>
      <c r="Z645">
        <f t="shared" si="414"/>
        <v>-108.40038485501879</v>
      </c>
    </row>
    <row r="646" spans="1:26" x14ac:dyDescent="0.25">
      <c r="A646" t="s">
        <v>60</v>
      </c>
      <c r="D646">
        <f t="shared" ref="D646:W646" si="431">D85*D151</f>
        <v>369.37442421043011</v>
      </c>
      <c r="E646">
        <f t="shared" si="431"/>
        <v>364.69106488112186</v>
      </c>
      <c r="F646">
        <f t="shared" si="431"/>
        <v>288.54633591027306</v>
      </c>
      <c r="G646">
        <f t="shared" si="431"/>
        <v>169.58540859426154</v>
      </c>
      <c r="H646">
        <f t="shared" si="431"/>
        <v>238.215601433785</v>
      </c>
      <c r="I646">
        <f t="shared" si="431"/>
        <v>279.36738630428141</v>
      </c>
      <c r="J646">
        <f t="shared" si="431"/>
        <v>164.53804523924197</v>
      </c>
      <c r="K646">
        <f t="shared" si="431"/>
        <v>227.75242137883245</v>
      </c>
      <c r="L646">
        <f t="shared" si="431"/>
        <v>123.36914314475446</v>
      </c>
      <c r="M646">
        <f t="shared" si="431"/>
        <v>336.3501845928854</v>
      </c>
      <c r="N646">
        <f t="shared" si="431"/>
        <v>219.76066564631046</v>
      </c>
      <c r="O646">
        <f t="shared" si="431"/>
        <v>294.2169964498899</v>
      </c>
      <c r="P646">
        <f t="shared" si="431"/>
        <v>178.87269585711843</v>
      </c>
      <c r="Q646">
        <f t="shared" si="431"/>
        <v>197.26196350676699</v>
      </c>
      <c r="R646">
        <f t="shared" si="431"/>
        <v>146.7710293004854</v>
      </c>
      <c r="S646">
        <f t="shared" si="431"/>
        <v>200.65821640820386</v>
      </c>
      <c r="T646">
        <f t="shared" si="431"/>
        <v>185.92938422063764</v>
      </c>
      <c r="U646">
        <f t="shared" si="431"/>
        <v>225.44204056601072</v>
      </c>
      <c r="V646">
        <f t="shared" si="431"/>
        <v>487.23393959745835</v>
      </c>
      <c r="W646">
        <f t="shared" si="431"/>
        <v>364.24750135303861</v>
      </c>
      <c r="Y646" s="14">
        <f t="shared" si="413"/>
        <v>5062.1844485957872</v>
      </c>
      <c r="Z646">
        <f t="shared" si="414"/>
        <v>-163.55056569246091</v>
      </c>
    </row>
    <row r="647" spans="1:26" x14ac:dyDescent="0.25">
      <c r="A647" t="s">
        <v>61</v>
      </c>
      <c r="D647">
        <f t="shared" ref="D647:W647" si="432">D86*D152</f>
        <v>422.41046968107537</v>
      </c>
      <c r="E647">
        <f t="shared" si="432"/>
        <v>553.1935953659198</v>
      </c>
      <c r="F647">
        <f t="shared" si="432"/>
        <v>507.70800632776212</v>
      </c>
      <c r="G647">
        <f t="shared" si="432"/>
        <v>557.5418110704851</v>
      </c>
      <c r="H647">
        <f t="shared" si="432"/>
        <v>514.19633048483911</v>
      </c>
      <c r="I647">
        <f t="shared" si="432"/>
        <v>641.31974802535422</v>
      </c>
      <c r="J647">
        <f t="shared" si="432"/>
        <v>478.22730171665944</v>
      </c>
      <c r="K647">
        <f t="shared" si="432"/>
        <v>315.54493369598225</v>
      </c>
      <c r="L647">
        <f t="shared" si="432"/>
        <v>463.83356903938846</v>
      </c>
      <c r="M647">
        <f t="shared" si="432"/>
        <v>371.33373128141579</v>
      </c>
      <c r="N647">
        <f t="shared" si="432"/>
        <v>306.83292643328372</v>
      </c>
      <c r="O647">
        <f t="shared" si="432"/>
        <v>325.89932635284646</v>
      </c>
      <c r="P647">
        <f t="shared" si="432"/>
        <v>549.32845385210544</v>
      </c>
      <c r="Q647">
        <f t="shared" si="432"/>
        <v>568.61305229840161</v>
      </c>
      <c r="R647">
        <f t="shared" si="432"/>
        <v>549.5325853649266</v>
      </c>
      <c r="S647">
        <f t="shared" si="432"/>
        <v>552.26745338443106</v>
      </c>
      <c r="T647">
        <f t="shared" si="432"/>
        <v>449.03497933041444</v>
      </c>
      <c r="U647">
        <f t="shared" si="432"/>
        <v>514.14881396994883</v>
      </c>
      <c r="V647">
        <f t="shared" si="432"/>
        <v>399.0388416219098</v>
      </c>
      <c r="W647">
        <f t="shared" si="432"/>
        <v>474.10415525841421</v>
      </c>
      <c r="Y647" s="14">
        <f t="shared" si="413"/>
        <v>9514.1100845555629</v>
      </c>
      <c r="Z647">
        <f t="shared" si="414"/>
        <v>-455.68736743344476</v>
      </c>
    </row>
    <row r="648" spans="1:26" x14ac:dyDescent="0.25">
      <c r="A648" t="s">
        <v>62</v>
      </c>
      <c r="D648">
        <f t="shared" ref="D648:W648" si="433">D87*D153</f>
        <v>874.35401257835497</v>
      </c>
      <c r="E648">
        <f t="shared" si="433"/>
        <v>435.69941346922224</v>
      </c>
      <c r="F648">
        <f t="shared" si="433"/>
        <v>425.36063100933472</v>
      </c>
      <c r="G648">
        <f t="shared" si="433"/>
        <v>349.43947153260234</v>
      </c>
      <c r="H648">
        <f t="shared" si="433"/>
        <v>537.90034882952057</v>
      </c>
      <c r="I648">
        <f t="shared" si="433"/>
        <v>679.84583553765549</v>
      </c>
      <c r="J648">
        <f t="shared" si="433"/>
        <v>625.10198535944517</v>
      </c>
      <c r="K648">
        <f t="shared" si="433"/>
        <v>524.47020050381104</v>
      </c>
      <c r="L648">
        <f t="shared" si="433"/>
        <v>537.02676248772525</v>
      </c>
      <c r="M648">
        <f t="shared" si="433"/>
        <v>517.24526598229181</v>
      </c>
      <c r="N648">
        <f t="shared" si="433"/>
        <v>430.29396453808852</v>
      </c>
      <c r="O648">
        <f t="shared" si="433"/>
        <v>406.08149231606183</v>
      </c>
      <c r="P648">
        <f t="shared" si="433"/>
        <v>223.08406176231372</v>
      </c>
      <c r="Q648">
        <f t="shared" si="433"/>
        <v>212.58704045031971</v>
      </c>
      <c r="R648">
        <f t="shared" si="433"/>
        <v>162.44430675374556</v>
      </c>
      <c r="S648">
        <f t="shared" si="433"/>
        <v>338.40441272793458</v>
      </c>
      <c r="T648">
        <f t="shared" si="433"/>
        <v>385.0962174727311</v>
      </c>
      <c r="U648">
        <f t="shared" si="433"/>
        <v>303.10007697602884</v>
      </c>
      <c r="V648">
        <f t="shared" si="433"/>
        <v>353.88810005354065</v>
      </c>
      <c r="W648">
        <f t="shared" si="433"/>
        <v>528.79531639296158</v>
      </c>
      <c r="Y648" s="14">
        <f t="shared" si="413"/>
        <v>8850.2189167336892</v>
      </c>
      <c r="Z648">
        <f t="shared" si="414"/>
        <v>6.1423036620555251</v>
      </c>
    </row>
    <row r="649" spans="1:26" x14ac:dyDescent="0.25">
      <c r="A649" t="s">
        <v>63</v>
      </c>
      <c r="D649">
        <f t="shared" ref="D649:W649" si="434">D88*D154</f>
        <v>385.0443084942965</v>
      </c>
      <c r="E649">
        <f t="shared" si="434"/>
        <v>437.36755526262993</v>
      </c>
      <c r="F649">
        <f t="shared" si="434"/>
        <v>459.88932192427313</v>
      </c>
      <c r="G649">
        <f t="shared" si="434"/>
        <v>480.03116059282343</v>
      </c>
      <c r="H649">
        <f t="shared" si="434"/>
        <v>368.6708792126488</v>
      </c>
      <c r="I649">
        <f t="shared" si="434"/>
        <v>509.08463369355667</v>
      </c>
      <c r="J649">
        <f t="shared" si="434"/>
        <v>643.54323079547237</v>
      </c>
      <c r="K649">
        <f t="shared" si="434"/>
        <v>623.03232264399117</v>
      </c>
      <c r="L649">
        <f t="shared" si="434"/>
        <v>358.60707954514641</v>
      </c>
      <c r="M649">
        <f t="shared" si="434"/>
        <v>367.77028285764754</v>
      </c>
      <c r="N649">
        <f t="shared" si="434"/>
        <v>561.2092142594272</v>
      </c>
      <c r="O649">
        <f t="shared" si="434"/>
        <v>654.4141170910143</v>
      </c>
      <c r="P649">
        <f t="shared" si="434"/>
        <v>396.85683090591044</v>
      </c>
      <c r="Q649">
        <f t="shared" si="434"/>
        <v>443.75103080652724</v>
      </c>
      <c r="R649">
        <f t="shared" si="434"/>
        <v>523.49188831175695</v>
      </c>
      <c r="S649">
        <f t="shared" si="434"/>
        <v>595.41420396889339</v>
      </c>
      <c r="T649">
        <f t="shared" si="434"/>
        <v>453.64713263241606</v>
      </c>
      <c r="U649">
        <f t="shared" si="434"/>
        <v>318.64753641022855</v>
      </c>
      <c r="V649">
        <f t="shared" si="434"/>
        <v>427.35338745029679</v>
      </c>
      <c r="W649">
        <f t="shared" si="434"/>
        <v>466.35230710557192</v>
      </c>
      <c r="Y649" s="14">
        <f t="shared" si="413"/>
        <v>9474.1784239645276</v>
      </c>
      <c r="Z649">
        <f t="shared" si="414"/>
        <v>-561.81862278958727</v>
      </c>
    </row>
    <row r="650" spans="1:26" x14ac:dyDescent="0.25">
      <c r="A650" t="s">
        <v>64</v>
      </c>
      <c r="D650">
        <f t="shared" ref="D650:W650" si="435">D89*D155</f>
        <v>349.50995803238357</v>
      </c>
      <c r="E650">
        <f t="shared" si="435"/>
        <v>695.78314417706861</v>
      </c>
      <c r="F650">
        <f t="shared" si="435"/>
        <v>1244.0583930309422</v>
      </c>
      <c r="G650">
        <f t="shared" si="435"/>
        <v>460.96879572409534</v>
      </c>
      <c r="H650">
        <f t="shared" si="435"/>
        <v>424.95775974629231</v>
      </c>
      <c r="I650">
        <f t="shared" si="435"/>
        <v>418.58143389066856</v>
      </c>
      <c r="J650">
        <f t="shared" si="435"/>
        <v>498.84243948262082</v>
      </c>
      <c r="K650">
        <f t="shared" si="435"/>
        <v>603.64343039128357</v>
      </c>
      <c r="L650">
        <f t="shared" si="435"/>
        <v>441.02352436059812</v>
      </c>
      <c r="M650">
        <f t="shared" si="435"/>
        <v>321.75455594611708</v>
      </c>
      <c r="N650">
        <f t="shared" si="435"/>
        <v>364.31183673434793</v>
      </c>
      <c r="O650">
        <f t="shared" si="435"/>
        <v>366.00780341023369</v>
      </c>
      <c r="P650">
        <f t="shared" si="435"/>
        <v>376.07104939027698</v>
      </c>
      <c r="Q650">
        <f t="shared" si="435"/>
        <v>463.46292750901245</v>
      </c>
      <c r="R650">
        <f t="shared" si="435"/>
        <v>557.37560063829085</v>
      </c>
      <c r="S650">
        <f t="shared" si="435"/>
        <v>239.75034683039775</v>
      </c>
      <c r="T650">
        <f t="shared" si="435"/>
        <v>349.59356041321928</v>
      </c>
      <c r="U650">
        <f t="shared" si="435"/>
        <v>435.83998071550985</v>
      </c>
      <c r="V650">
        <f t="shared" si="435"/>
        <v>705.26101458570599</v>
      </c>
      <c r="W650">
        <f t="shared" si="435"/>
        <v>455.32597139509983</v>
      </c>
      <c r="Y650" s="14">
        <f t="shared" si="413"/>
        <v>9772.1235264041625</v>
      </c>
      <c r="Z650">
        <f t="shared" si="414"/>
        <v>-473.82629042984706</v>
      </c>
    </row>
    <row r="651" spans="1:26" x14ac:dyDescent="0.25">
      <c r="A651" t="s">
        <v>65</v>
      </c>
      <c r="D651">
        <f t="shared" ref="D651:W651" si="436">D90*D156</f>
        <v>556.96440601076722</v>
      </c>
      <c r="E651">
        <f t="shared" si="436"/>
        <v>714.91268734040602</v>
      </c>
      <c r="F651">
        <f t="shared" si="436"/>
        <v>727.76384826947526</v>
      </c>
      <c r="G651">
        <f t="shared" si="436"/>
        <v>909.23325806572007</v>
      </c>
      <c r="H651">
        <f t="shared" si="436"/>
        <v>623.36969312216718</v>
      </c>
      <c r="I651">
        <f t="shared" si="436"/>
        <v>433.17887065678974</v>
      </c>
      <c r="J651">
        <f t="shared" si="436"/>
        <v>259.77317653794194</v>
      </c>
      <c r="K651">
        <f t="shared" si="436"/>
        <v>463.34801174568827</v>
      </c>
      <c r="L651">
        <f t="shared" si="436"/>
        <v>374.28401007561138</v>
      </c>
      <c r="M651">
        <f t="shared" si="436"/>
        <v>140.27514101070588</v>
      </c>
      <c r="N651">
        <f t="shared" si="436"/>
        <v>225.14936447117771</v>
      </c>
      <c r="O651">
        <f t="shared" si="436"/>
        <v>240.91612255901978</v>
      </c>
      <c r="P651">
        <f t="shared" si="436"/>
        <v>420.36426809514217</v>
      </c>
      <c r="Q651">
        <f t="shared" si="436"/>
        <v>316.51909339506045</v>
      </c>
      <c r="R651">
        <f t="shared" si="436"/>
        <v>379.79949054611336</v>
      </c>
      <c r="S651">
        <f t="shared" si="436"/>
        <v>402.52626086110536</v>
      </c>
      <c r="T651">
        <f t="shared" si="436"/>
        <v>376.81686294538838</v>
      </c>
      <c r="U651">
        <f t="shared" si="436"/>
        <v>462.35100290406621</v>
      </c>
      <c r="V651">
        <f t="shared" si="436"/>
        <v>528.53557378173127</v>
      </c>
      <c r="W651">
        <f t="shared" si="436"/>
        <v>714.11105219344802</v>
      </c>
      <c r="Y651" s="14">
        <f t="shared" si="413"/>
        <v>9270.1921945875274</v>
      </c>
      <c r="Z651">
        <f t="shared" si="414"/>
        <v>24.811928665169233</v>
      </c>
    </row>
    <row r="652" spans="1:26" x14ac:dyDescent="0.25">
      <c r="A652" t="s">
        <v>66</v>
      </c>
      <c r="D652">
        <f t="shared" ref="D652:W652" si="437">D91*D157</f>
        <v>983.41973719772693</v>
      </c>
      <c r="E652">
        <f t="shared" si="437"/>
        <v>690.04160313055536</v>
      </c>
      <c r="F652">
        <f t="shared" si="437"/>
        <v>728.54811990543703</v>
      </c>
      <c r="G652">
        <f t="shared" si="437"/>
        <v>584.57536108329759</v>
      </c>
      <c r="H652">
        <f t="shared" si="437"/>
        <v>454.84321792559763</v>
      </c>
      <c r="I652">
        <f t="shared" si="437"/>
        <v>500.62132399016252</v>
      </c>
      <c r="J652">
        <f t="shared" si="437"/>
        <v>317.4540924185103</v>
      </c>
      <c r="K652">
        <f t="shared" si="437"/>
        <v>383.9724032936698</v>
      </c>
      <c r="L652">
        <f t="shared" si="437"/>
        <v>286.75246857015037</v>
      </c>
      <c r="M652">
        <f t="shared" si="437"/>
        <v>402.81162566317403</v>
      </c>
      <c r="N652">
        <f t="shared" si="437"/>
        <v>453.63452023504829</v>
      </c>
      <c r="O652">
        <f t="shared" si="437"/>
        <v>404.34366768909535</v>
      </c>
      <c r="P652">
        <f t="shared" si="437"/>
        <v>415.60805654636658</v>
      </c>
      <c r="Q652">
        <f t="shared" si="437"/>
        <v>427.51516184510058</v>
      </c>
      <c r="R652">
        <f t="shared" si="437"/>
        <v>438.21713082222573</v>
      </c>
      <c r="S652">
        <f t="shared" si="437"/>
        <v>439.85132428559473</v>
      </c>
      <c r="T652">
        <f t="shared" si="437"/>
        <v>508.36766045817228</v>
      </c>
      <c r="U652">
        <f t="shared" si="437"/>
        <v>509.9993463280444</v>
      </c>
      <c r="V652">
        <f t="shared" si="437"/>
        <v>417.00946917499544</v>
      </c>
      <c r="W652">
        <f t="shared" si="437"/>
        <v>700.26058773610794</v>
      </c>
      <c r="Y652" s="14">
        <f t="shared" si="413"/>
        <v>10047.846878299031</v>
      </c>
      <c r="Z652">
        <f t="shared" si="414"/>
        <v>-56.402348945810061</v>
      </c>
    </row>
    <row r="653" spans="1:26" x14ac:dyDescent="0.25">
      <c r="Y653" s="14"/>
    </row>
    <row r="654" spans="1:26" x14ac:dyDescent="0.25">
      <c r="A654" t="s">
        <v>67</v>
      </c>
      <c r="D654">
        <f t="shared" ref="D654:W654" si="438">D93*D159</f>
        <v>977.09980873883819</v>
      </c>
      <c r="E654">
        <f t="shared" si="438"/>
        <v>712.07897279919769</v>
      </c>
      <c r="F654">
        <f t="shared" si="438"/>
        <v>692.5934496058652</v>
      </c>
      <c r="G654">
        <f t="shared" si="438"/>
        <v>712.07775671399077</v>
      </c>
      <c r="H654">
        <f t="shared" si="438"/>
        <v>615.53487366003662</v>
      </c>
      <c r="I654">
        <f t="shared" si="438"/>
        <v>597.01161352528504</v>
      </c>
      <c r="J654">
        <f t="shared" si="438"/>
        <v>498.68325317077608</v>
      </c>
      <c r="K654">
        <f t="shared" si="438"/>
        <v>566.30744494608746</v>
      </c>
      <c r="L654">
        <f t="shared" si="438"/>
        <v>408.45690599929145</v>
      </c>
      <c r="M654">
        <f t="shared" si="438"/>
        <v>325.88747989218029</v>
      </c>
      <c r="N654">
        <f t="shared" si="438"/>
        <v>343.55662763356298</v>
      </c>
      <c r="O654">
        <f t="shared" si="438"/>
        <v>342.93366679626934</v>
      </c>
      <c r="P654">
        <f t="shared" si="438"/>
        <v>339.71713149955741</v>
      </c>
      <c r="Q654">
        <f t="shared" si="438"/>
        <v>354.11124014509056</v>
      </c>
      <c r="R654">
        <f t="shared" si="438"/>
        <v>388.56906489621019</v>
      </c>
      <c r="S654">
        <f t="shared" si="438"/>
        <v>383.41430006925162</v>
      </c>
      <c r="T654">
        <f t="shared" si="438"/>
        <v>352.65613350316249</v>
      </c>
      <c r="U654">
        <f t="shared" si="438"/>
        <v>303.72059346275392</v>
      </c>
      <c r="V654">
        <f t="shared" si="438"/>
        <v>396.30878877765252</v>
      </c>
      <c r="W654">
        <f t="shared" si="438"/>
        <v>464.17488718947169</v>
      </c>
      <c r="Y654" s="14">
        <f t="shared" si="413"/>
        <v>9774.8939930245342</v>
      </c>
      <c r="Z654">
        <f>SUMPRODUCT($D$658:$W$658,D654:W654)</f>
        <v>114.4788124923916</v>
      </c>
    </row>
    <row r="655" spans="1:26" x14ac:dyDescent="0.25">
      <c r="A655" t="s">
        <v>311</v>
      </c>
      <c r="D655">
        <f t="shared" ref="D655:W655" si="439">D94*D160</f>
        <v>812.55510204081611</v>
      </c>
      <c r="E655">
        <f t="shared" si="439"/>
        <v>813.31428571428557</v>
      </c>
      <c r="F655">
        <f t="shared" si="439"/>
        <v>661.16122448979581</v>
      </c>
      <c r="G655">
        <f t="shared" si="439"/>
        <v>528.9979591836734</v>
      </c>
      <c r="H655">
        <f t="shared" si="439"/>
        <v>699.61224489795916</v>
      </c>
      <c r="I655">
        <f t="shared" si="439"/>
        <v>543.82448979591834</v>
      </c>
      <c r="J655">
        <f t="shared" si="439"/>
        <v>418.08979591836743</v>
      </c>
      <c r="K655">
        <f t="shared" si="439"/>
        <v>397.97551020408167</v>
      </c>
      <c r="L655">
        <f t="shared" si="439"/>
        <v>631.48593749999998</v>
      </c>
      <c r="M655">
        <f t="shared" si="439"/>
        <v>684.56734693877559</v>
      </c>
      <c r="N655">
        <f t="shared" si="439"/>
        <v>543.37959183673479</v>
      </c>
      <c r="O655">
        <f t="shared" si="439"/>
        <v>470.4</v>
      </c>
      <c r="P655">
        <f t="shared" si="439"/>
        <v>499.72354330358769</v>
      </c>
      <c r="Q655">
        <f t="shared" si="439"/>
        <v>493.12266848148329</v>
      </c>
      <c r="R655">
        <f t="shared" si="439"/>
        <v>430.06897985081213</v>
      </c>
      <c r="S655">
        <f t="shared" si="439"/>
        <v>512.40101301273114</v>
      </c>
      <c r="T655">
        <f t="shared" si="439"/>
        <v>382.11</v>
      </c>
      <c r="U655">
        <f t="shared" si="439"/>
        <v>328.81</v>
      </c>
      <c r="V655">
        <f t="shared" si="439"/>
        <v>430.14000000000004</v>
      </c>
      <c r="W655">
        <f t="shared" si="439"/>
        <v>439.41</v>
      </c>
      <c r="Y655" s="14">
        <f t="shared" si="413"/>
        <v>10721.149693169022</v>
      </c>
      <c r="Z655">
        <f>SUMPRODUCT($D$658:$W$658,D655:W655)</f>
        <v>-243.54500998467927</v>
      </c>
    </row>
    <row r="656" spans="1:26" x14ac:dyDescent="0.25">
      <c r="A656" t="s">
        <v>312</v>
      </c>
      <c r="D656">
        <f t="shared" ref="D656:W656" si="440">D95*D161</f>
        <v>501.58834740015595</v>
      </c>
      <c r="E656">
        <f t="shared" si="440"/>
        <v>540.58358629206373</v>
      </c>
      <c r="F656">
        <f t="shared" si="440"/>
        <v>555.61084803291931</v>
      </c>
      <c r="G656">
        <f t="shared" si="440"/>
        <v>489.83397621552365</v>
      </c>
      <c r="H656">
        <f t="shared" si="440"/>
        <v>435.71836545279638</v>
      </c>
      <c r="I656">
        <f t="shared" si="440"/>
        <v>397.40901306730814</v>
      </c>
      <c r="J656">
        <f t="shared" si="440"/>
        <v>373.89389700257942</v>
      </c>
      <c r="K656">
        <f t="shared" si="440"/>
        <v>409.43088211036428</v>
      </c>
      <c r="L656">
        <f t="shared" si="440"/>
        <v>337.50923957451226</v>
      </c>
      <c r="M656">
        <f t="shared" si="440"/>
        <v>337.05313289176485</v>
      </c>
      <c r="N656">
        <f t="shared" si="440"/>
        <v>337.98386056277457</v>
      </c>
      <c r="O656">
        <f t="shared" si="440"/>
        <v>348.20480115984003</v>
      </c>
      <c r="P656">
        <f t="shared" si="440"/>
        <v>340.31095910768551</v>
      </c>
      <c r="Q656">
        <f t="shared" si="440"/>
        <v>346.89879449437962</v>
      </c>
      <c r="R656">
        <f t="shared" si="440"/>
        <v>362.68638052407675</v>
      </c>
      <c r="S656">
        <f t="shared" si="440"/>
        <v>359.63199550641735</v>
      </c>
      <c r="T656">
        <f t="shared" si="440"/>
        <v>360.88699570755426</v>
      </c>
      <c r="U656">
        <f t="shared" si="440"/>
        <v>347.56895276512284</v>
      </c>
      <c r="V656">
        <f t="shared" si="440"/>
        <v>467.5616954019747</v>
      </c>
      <c r="W656">
        <f t="shared" si="440"/>
        <v>458.66103146691603</v>
      </c>
      <c r="Y656" s="14">
        <f t="shared" si="413"/>
        <v>8109.0267547367275</v>
      </c>
      <c r="Z656">
        <f>SUMPRODUCT($D$658:$W$658,D656:W656)</f>
        <v>-225.71664413547268</v>
      </c>
    </row>
    <row r="657" spans="1:26" x14ac:dyDescent="0.25">
      <c r="A657" t="s">
        <v>674</v>
      </c>
      <c r="D657">
        <f t="shared" ref="D657:W657" si="441">D96*D162</f>
        <v>751.3241643538671</v>
      </c>
      <c r="E657">
        <f t="shared" si="441"/>
        <v>692.19382349651084</v>
      </c>
      <c r="F657">
        <f t="shared" si="441"/>
        <v>491.40287629626368</v>
      </c>
      <c r="G657">
        <f t="shared" si="441"/>
        <v>783.64049965402069</v>
      </c>
      <c r="H657">
        <f t="shared" si="441"/>
        <v>566.45910542746924</v>
      </c>
      <c r="I657">
        <f t="shared" si="441"/>
        <v>379.60856393823167</v>
      </c>
      <c r="J657">
        <f t="shared" si="441"/>
        <v>362.73745291296325</v>
      </c>
      <c r="K657">
        <f t="shared" si="441"/>
        <v>374.66308452198217</v>
      </c>
      <c r="L657">
        <f t="shared" si="441"/>
        <v>315.97636657749365</v>
      </c>
      <c r="M657">
        <f t="shared" si="441"/>
        <v>362.87759866610656</v>
      </c>
      <c r="N657">
        <f t="shared" si="441"/>
        <v>368.79430057951606</v>
      </c>
      <c r="O657">
        <f t="shared" si="441"/>
        <v>367.95361652523189</v>
      </c>
      <c r="P657">
        <f t="shared" si="441"/>
        <v>311.07756350317197</v>
      </c>
      <c r="Q657">
        <f t="shared" si="441"/>
        <v>328.12970619969917</v>
      </c>
      <c r="R657">
        <f t="shared" si="441"/>
        <v>387.35814485761279</v>
      </c>
      <c r="S657">
        <f t="shared" si="441"/>
        <v>380.79513652638866</v>
      </c>
      <c r="T657">
        <f t="shared" si="441"/>
        <v>362.45250387198485</v>
      </c>
      <c r="U657">
        <f t="shared" si="441"/>
        <v>354.52458864363103</v>
      </c>
      <c r="V657">
        <f t="shared" si="441"/>
        <v>407.57725024199567</v>
      </c>
      <c r="W657">
        <f t="shared" si="441"/>
        <v>467.54497709735659</v>
      </c>
      <c r="Y657" s="14">
        <f t="shared" ref="Y657" si="442">SUM(D657:W657)</f>
        <v>8817.0913238915</v>
      </c>
      <c r="Z657">
        <f>SUMPRODUCT($D$658:$W$658,D657:W657)</f>
        <v>1.237138344477799</v>
      </c>
    </row>
    <row r="658" spans="1:26" x14ac:dyDescent="0.25">
      <c r="A658" s="2" t="s">
        <v>68</v>
      </c>
      <c r="D658" s="3">
        <f>CORREL($B$2:$B$25,D629:D652)</f>
        <v>0.55627615879560532</v>
      </c>
      <c r="E658" s="3">
        <f t="shared" ref="E658:W658" si="443">CORREL($B$2:$B$25,E629:E652)</f>
        <v>1.8207898419308585E-2</v>
      </c>
      <c r="F658" s="3">
        <f t="shared" si="443"/>
        <v>-6.5137063987939208E-3</v>
      </c>
      <c r="G658" s="3">
        <f t="shared" si="443"/>
        <v>0.2148302914974386</v>
      </c>
      <c r="H658" s="3">
        <f t="shared" si="443"/>
        <v>0.17141833132978004</v>
      </c>
      <c r="I658" s="3">
        <f t="shared" si="443"/>
        <v>-2.5964420594737986E-2</v>
      </c>
      <c r="J658" s="3">
        <f t="shared" si="443"/>
        <v>-0.13864897544957772</v>
      </c>
      <c r="K658" s="3">
        <f t="shared" si="443"/>
        <v>7.9594266843129816E-3</v>
      </c>
      <c r="L658" s="3">
        <f t="shared" si="443"/>
        <v>2.3015436246813688E-2</v>
      </c>
      <c r="M658" s="3">
        <f t="shared" si="443"/>
        <v>-0.20394022843239598</v>
      </c>
      <c r="N658" s="3">
        <f t="shared" si="443"/>
        <v>-0.23345327055120965</v>
      </c>
      <c r="O658" s="3">
        <f t="shared" si="443"/>
        <v>-0.20685027569808359</v>
      </c>
      <c r="P658" s="3">
        <f t="shared" si="443"/>
        <v>-0.20272077072992678</v>
      </c>
      <c r="Q658" s="3">
        <f t="shared" si="443"/>
        <v>-0.32454045738666032</v>
      </c>
      <c r="R658" s="3">
        <f t="shared" si="443"/>
        <v>-0.21919031048706528</v>
      </c>
      <c r="S658" s="3">
        <f t="shared" si="443"/>
        <v>-6.4176628677428196E-2</v>
      </c>
      <c r="T658" s="3">
        <f t="shared" si="443"/>
        <v>-0.17546960130525058</v>
      </c>
      <c r="U658" s="3">
        <f t="shared" si="443"/>
        <v>-0.18540616987609695</v>
      </c>
      <c r="V658" s="3">
        <f t="shared" si="443"/>
        <v>-0.1608014872034185</v>
      </c>
      <c r="W658" s="3">
        <f t="shared" si="443"/>
        <v>0.14611138279653491</v>
      </c>
    </row>
    <row r="661" spans="1:26" x14ac:dyDescent="0.25">
      <c r="D661" t="s">
        <v>227</v>
      </c>
      <c r="E661" t="s">
        <v>228</v>
      </c>
      <c r="F661" t="s">
        <v>229</v>
      </c>
      <c r="G661" t="s">
        <v>230</v>
      </c>
      <c r="H661" t="s">
        <v>231</v>
      </c>
      <c r="I661" t="s">
        <v>232</v>
      </c>
      <c r="J661" t="s">
        <v>233</v>
      </c>
      <c r="K661" t="s">
        <v>234</v>
      </c>
      <c r="L661" t="s">
        <v>357</v>
      </c>
      <c r="M661" t="s">
        <v>425</v>
      </c>
      <c r="N661" t="s">
        <v>426</v>
      </c>
      <c r="O661" t="s">
        <v>427</v>
      </c>
      <c r="P661" t="s">
        <v>530</v>
      </c>
      <c r="Q661" t="s">
        <v>531</v>
      </c>
      <c r="R661" t="s">
        <v>532</v>
      </c>
      <c r="S661" t="s">
        <v>533</v>
      </c>
      <c r="T661" t="s">
        <v>642</v>
      </c>
      <c r="U661" t="s">
        <v>643</v>
      </c>
      <c r="V661" t="s">
        <v>644</v>
      </c>
      <c r="W661" t="s">
        <v>645</v>
      </c>
      <c r="Y661" t="s">
        <v>235</v>
      </c>
      <c r="Z661" t="s">
        <v>236</v>
      </c>
    </row>
    <row r="662" spans="1:26" x14ac:dyDescent="0.25">
      <c r="A662" t="s">
        <v>43</v>
      </c>
      <c r="D662">
        <f t="shared" ref="D662:W662" si="444">D68*D167</f>
        <v>206.66539697080123</v>
      </c>
      <c r="E662">
        <f t="shared" si="444"/>
        <v>120.28529071969436</v>
      </c>
      <c r="F662">
        <f t="shared" si="444"/>
        <v>91.36360624065243</v>
      </c>
      <c r="G662">
        <f t="shared" si="444"/>
        <v>114.96101145956241</v>
      </c>
      <c r="H662">
        <f t="shared" si="444"/>
        <v>108.03063116098328</v>
      </c>
      <c r="I662">
        <f t="shared" si="444"/>
        <v>72.686496470962055</v>
      </c>
      <c r="J662">
        <f t="shared" si="444"/>
        <v>119.5578954837009</v>
      </c>
      <c r="K662">
        <f t="shared" si="444"/>
        <v>79.032580874553517</v>
      </c>
      <c r="L662">
        <f t="shared" si="444"/>
        <v>56.353798363440823</v>
      </c>
      <c r="M662">
        <f t="shared" si="444"/>
        <v>56.295722159610328</v>
      </c>
      <c r="N662">
        <f t="shared" si="444"/>
        <v>38.25299978733738</v>
      </c>
      <c r="O662">
        <f t="shared" si="444"/>
        <v>38.477836134158785</v>
      </c>
      <c r="P662">
        <f t="shared" si="444"/>
        <v>34.195298449207762</v>
      </c>
      <c r="Q662">
        <f t="shared" si="444"/>
        <v>98.398833962324503</v>
      </c>
      <c r="R662">
        <f t="shared" si="444"/>
        <v>65.99178546305474</v>
      </c>
      <c r="S662">
        <f t="shared" si="444"/>
        <v>98.647694796096303</v>
      </c>
      <c r="T662">
        <f t="shared" si="444"/>
        <v>60.24702026218803</v>
      </c>
      <c r="U662">
        <f t="shared" si="444"/>
        <v>72.166646079079158</v>
      </c>
      <c r="V662">
        <f t="shared" si="444"/>
        <v>109.89197049140421</v>
      </c>
      <c r="W662">
        <f t="shared" si="444"/>
        <v>186.64745163886792</v>
      </c>
      <c r="Y662" s="14">
        <f t="shared" ref="Y662:Y689" si="445">SUM(D662:W662)</f>
        <v>1828.14996696768</v>
      </c>
      <c r="Z662">
        <f t="shared" ref="Z662:Z685" si="446">SUMPRODUCT($D$691:$W$691,D662:W662)</f>
        <v>-404.02543197970931</v>
      </c>
    </row>
    <row r="663" spans="1:26" x14ac:dyDescent="0.25">
      <c r="A663" t="s">
        <v>44</v>
      </c>
      <c r="D663">
        <f t="shared" ref="D663:W663" si="447">D69*D168</f>
        <v>173.43509969617458</v>
      </c>
      <c r="E663">
        <f t="shared" si="447"/>
        <v>166.08148779654883</v>
      </c>
      <c r="F663">
        <f t="shared" si="447"/>
        <v>133.49316943947147</v>
      </c>
      <c r="G663">
        <f t="shared" si="447"/>
        <v>127.97934824750415</v>
      </c>
      <c r="H663">
        <f t="shared" si="447"/>
        <v>136.69642161473067</v>
      </c>
      <c r="I663">
        <f t="shared" si="447"/>
        <v>88.671969893631911</v>
      </c>
      <c r="J663">
        <f t="shared" si="447"/>
        <v>76.894149027599596</v>
      </c>
      <c r="K663">
        <f t="shared" si="447"/>
        <v>80.411815347362023</v>
      </c>
      <c r="L663">
        <f t="shared" si="447"/>
        <v>43.547577699329281</v>
      </c>
      <c r="M663">
        <f t="shared" si="447"/>
        <v>55.156941810105131</v>
      </c>
      <c r="N663">
        <f t="shared" si="447"/>
        <v>87.1160224235539</v>
      </c>
      <c r="O663">
        <f t="shared" si="447"/>
        <v>55.905890737263277</v>
      </c>
      <c r="P663">
        <f t="shared" si="447"/>
        <v>77.756415515554693</v>
      </c>
      <c r="Q663">
        <f t="shared" si="447"/>
        <v>74.791451210044087</v>
      </c>
      <c r="R663">
        <f t="shared" si="447"/>
        <v>113.84153448081193</v>
      </c>
      <c r="S663">
        <f t="shared" si="447"/>
        <v>131.73662120421702</v>
      </c>
      <c r="T663">
        <f t="shared" si="447"/>
        <v>99.201149194759381</v>
      </c>
      <c r="U663">
        <f t="shared" si="447"/>
        <v>117.41895139990351</v>
      </c>
      <c r="V663">
        <f t="shared" si="447"/>
        <v>123.44993647566456</v>
      </c>
      <c r="W663">
        <f t="shared" si="447"/>
        <v>176.86386293256749</v>
      </c>
      <c r="Y663" s="14">
        <f t="shared" si="445"/>
        <v>2140.4498161467973</v>
      </c>
      <c r="Z663">
        <f t="shared" si="446"/>
        <v>-496.7933378545016</v>
      </c>
    </row>
    <row r="664" spans="1:26" x14ac:dyDescent="0.25">
      <c r="A664" t="s">
        <v>45</v>
      </c>
      <c r="D664">
        <f t="shared" ref="D664:W664" si="448">D70*D169</f>
        <v>341.42652349359264</v>
      </c>
      <c r="E664">
        <f t="shared" si="448"/>
        <v>204.5415358518369</v>
      </c>
      <c r="F664">
        <f t="shared" si="448"/>
        <v>134.58448521196556</v>
      </c>
      <c r="G664">
        <f t="shared" si="448"/>
        <v>148.10726471243103</v>
      </c>
      <c r="H664">
        <f t="shared" si="448"/>
        <v>162.5107763544369</v>
      </c>
      <c r="I664">
        <f t="shared" si="448"/>
        <v>125.35351190455339</v>
      </c>
      <c r="J664">
        <f t="shared" si="448"/>
        <v>87.437904403841273</v>
      </c>
      <c r="K664">
        <f t="shared" si="448"/>
        <v>64.717819934721987</v>
      </c>
      <c r="L664">
        <f t="shared" si="448"/>
        <v>50.735876519888663</v>
      </c>
      <c r="M664">
        <f t="shared" si="448"/>
        <v>85.61849425024127</v>
      </c>
      <c r="N664">
        <f t="shared" si="448"/>
        <v>89.268034160504556</v>
      </c>
      <c r="O664">
        <f t="shared" si="448"/>
        <v>63.056976084492547</v>
      </c>
      <c r="P664">
        <f t="shared" si="448"/>
        <v>71.632778491142034</v>
      </c>
      <c r="Q664">
        <f t="shared" si="448"/>
        <v>86.56149687782856</v>
      </c>
      <c r="R664">
        <f t="shared" si="448"/>
        <v>92.389874089497113</v>
      </c>
      <c r="S664">
        <f t="shared" si="448"/>
        <v>100.48020521129277</v>
      </c>
      <c r="T664">
        <f t="shared" si="448"/>
        <v>120.85307611524161</v>
      </c>
      <c r="U664">
        <f t="shared" si="448"/>
        <v>122.09812502551409</v>
      </c>
      <c r="V664">
        <f t="shared" si="448"/>
        <v>130.67819853482445</v>
      </c>
      <c r="W664">
        <f t="shared" si="448"/>
        <v>182.44812793073601</v>
      </c>
      <c r="Y664" s="14">
        <f t="shared" si="445"/>
        <v>2464.5010851585835</v>
      </c>
      <c r="Z664">
        <f t="shared" si="446"/>
        <v>-511.2896478747308</v>
      </c>
    </row>
    <row r="665" spans="1:26" x14ac:dyDescent="0.25">
      <c r="A665" t="s">
        <v>46</v>
      </c>
      <c r="D665">
        <f t="shared" ref="D665:W665" si="449">D71*D170</f>
        <v>264.3436917426024</v>
      </c>
      <c r="E665">
        <f t="shared" si="449"/>
        <v>211.26945446246066</v>
      </c>
      <c r="F665">
        <f t="shared" si="449"/>
        <v>185.43688495585636</v>
      </c>
      <c r="G665">
        <f t="shared" si="449"/>
        <v>168.78205712822992</v>
      </c>
      <c r="H665">
        <f t="shared" si="449"/>
        <v>130.14093690454831</v>
      </c>
      <c r="I665">
        <f t="shared" si="449"/>
        <v>124.91601709416425</v>
      </c>
      <c r="J665">
        <f t="shared" si="449"/>
        <v>96.648830395443014</v>
      </c>
      <c r="K665">
        <f t="shared" si="449"/>
        <v>98.442350240803776</v>
      </c>
      <c r="L665">
        <f t="shared" si="449"/>
        <v>72.855931447879428</v>
      </c>
      <c r="M665">
        <f t="shared" si="449"/>
        <v>34.927096629414685</v>
      </c>
      <c r="N665">
        <f t="shared" si="449"/>
        <v>62.905088145195514</v>
      </c>
      <c r="O665">
        <f t="shared" si="449"/>
        <v>51.923210499692715</v>
      </c>
      <c r="P665">
        <f t="shared" si="449"/>
        <v>66.362404051993664</v>
      </c>
      <c r="Q665">
        <f t="shared" si="449"/>
        <v>68.128850808224428</v>
      </c>
      <c r="R665">
        <f t="shared" si="449"/>
        <v>88.650267008525432</v>
      </c>
      <c r="S665">
        <f t="shared" si="449"/>
        <v>66.092281492952353</v>
      </c>
      <c r="T665">
        <f t="shared" si="449"/>
        <v>92.42825442911456</v>
      </c>
      <c r="U665">
        <f t="shared" si="449"/>
        <v>108.79794947043911</v>
      </c>
      <c r="V665">
        <f t="shared" si="449"/>
        <v>98.975053787876959</v>
      </c>
      <c r="W665">
        <f t="shared" si="449"/>
        <v>114.86398757976698</v>
      </c>
      <c r="Y665" s="14">
        <f t="shared" si="445"/>
        <v>2206.8905982751849</v>
      </c>
      <c r="Z665">
        <f t="shared" si="446"/>
        <v>-469.50855061444031</v>
      </c>
    </row>
    <row r="666" spans="1:26" x14ac:dyDescent="0.25">
      <c r="A666" t="s">
        <v>47</v>
      </c>
      <c r="D666">
        <f t="shared" ref="D666:W666" si="450">D72*D171</f>
        <v>284.70014941270523</v>
      </c>
      <c r="E666">
        <f t="shared" si="450"/>
        <v>148.93366464300493</v>
      </c>
      <c r="F666">
        <f t="shared" si="450"/>
        <v>105.41833440868051</v>
      </c>
      <c r="G666">
        <f t="shared" si="450"/>
        <v>143.61149023969222</v>
      </c>
      <c r="H666">
        <f t="shared" si="450"/>
        <v>94.668451496526302</v>
      </c>
      <c r="I666">
        <f t="shared" si="450"/>
        <v>109.51361283814472</v>
      </c>
      <c r="J666">
        <f t="shared" si="450"/>
        <v>128.02345095701691</v>
      </c>
      <c r="K666">
        <f t="shared" si="450"/>
        <v>80.655905061523995</v>
      </c>
      <c r="L666">
        <f t="shared" si="450"/>
        <v>68.627812809828782</v>
      </c>
      <c r="M666">
        <f t="shared" si="450"/>
        <v>73.797818870001237</v>
      </c>
      <c r="N666">
        <f t="shared" si="450"/>
        <v>63.494897131147447</v>
      </c>
      <c r="O666">
        <f t="shared" si="450"/>
        <v>63.847379977948812</v>
      </c>
      <c r="P666">
        <f t="shared" si="450"/>
        <v>64.69427955823943</v>
      </c>
      <c r="Q666">
        <f t="shared" si="450"/>
        <v>74.133761875679554</v>
      </c>
      <c r="R666">
        <f t="shared" si="450"/>
        <v>71.697755577502136</v>
      </c>
      <c r="S666">
        <f t="shared" si="450"/>
        <v>121.29359848287979</v>
      </c>
      <c r="T666">
        <f t="shared" si="450"/>
        <v>132.13159852255836</v>
      </c>
      <c r="U666">
        <f t="shared" si="450"/>
        <v>153.23441438788976</v>
      </c>
      <c r="V666">
        <f t="shared" si="450"/>
        <v>177.53534026323825</v>
      </c>
      <c r="W666">
        <f t="shared" si="450"/>
        <v>197.7218177933716</v>
      </c>
      <c r="Y666" s="14">
        <f t="shared" si="445"/>
        <v>2357.7355343075797</v>
      </c>
      <c r="Z666">
        <f t="shared" si="446"/>
        <v>-554.36092129487872</v>
      </c>
    </row>
    <row r="667" spans="1:26" x14ac:dyDescent="0.25">
      <c r="A667" t="s">
        <v>48</v>
      </c>
      <c r="D667">
        <f t="shared" ref="D667:W667" si="451">D73*D172</f>
        <v>205.08337978179605</v>
      </c>
      <c r="E667">
        <f t="shared" si="451"/>
        <v>188.90024868839819</v>
      </c>
      <c r="F667">
        <f t="shared" si="451"/>
        <v>161.10394719899227</v>
      </c>
      <c r="G667">
        <f t="shared" si="451"/>
        <v>128.28404616676792</v>
      </c>
      <c r="H667">
        <f t="shared" si="451"/>
        <v>90.634330671562211</v>
      </c>
      <c r="I667">
        <f t="shared" si="451"/>
        <v>132.56520920511593</v>
      </c>
      <c r="J667">
        <f t="shared" si="451"/>
        <v>103.13420491075755</v>
      </c>
      <c r="K667">
        <f t="shared" si="451"/>
        <v>68.935520462934775</v>
      </c>
      <c r="L667">
        <f t="shared" si="451"/>
        <v>65.056907996914873</v>
      </c>
      <c r="M667">
        <f t="shared" si="451"/>
        <v>92.132587002989965</v>
      </c>
      <c r="N667">
        <f t="shared" si="451"/>
        <v>97.213655355963411</v>
      </c>
      <c r="O667">
        <f t="shared" si="451"/>
        <v>78.220660010594415</v>
      </c>
      <c r="P667">
        <f t="shared" si="451"/>
        <v>72.019409262313943</v>
      </c>
      <c r="Q667">
        <f t="shared" si="451"/>
        <v>84.318955526694992</v>
      </c>
      <c r="R667">
        <f t="shared" si="451"/>
        <v>89.310855683885393</v>
      </c>
      <c r="S667">
        <f t="shared" si="451"/>
        <v>109.90349641961501</v>
      </c>
      <c r="T667">
        <f t="shared" si="451"/>
        <v>98.647789210804504</v>
      </c>
      <c r="U667">
        <f t="shared" si="451"/>
        <v>117.48414313260446</v>
      </c>
      <c r="V667">
        <f t="shared" si="451"/>
        <v>103.10540600385472</v>
      </c>
      <c r="W667">
        <f t="shared" si="451"/>
        <v>144.40736282820967</v>
      </c>
      <c r="Y667" s="14">
        <f t="shared" si="445"/>
        <v>2230.4621155207706</v>
      </c>
      <c r="Z667">
        <f t="shared" si="446"/>
        <v>-538.85877242024776</v>
      </c>
    </row>
    <row r="668" spans="1:26" x14ac:dyDescent="0.25">
      <c r="A668" t="s">
        <v>49</v>
      </c>
      <c r="D668">
        <f t="shared" ref="D668:W668" si="452">D74*D173</f>
        <v>165.72375534497633</v>
      </c>
      <c r="E668">
        <f t="shared" si="452"/>
        <v>210.1695259755449</v>
      </c>
      <c r="F668">
        <f t="shared" si="452"/>
        <v>216.05057202321132</v>
      </c>
      <c r="G668">
        <f t="shared" si="452"/>
        <v>138.1275317956443</v>
      </c>
      <c r="H668">
        <f t="shared" si="452"/>
        <v>118.44795157970158</v>
      </c>
      <c r="I668">
        <f t="shared" si="452"/>
        <v>129.59876418721808</v>
      </c>
      <c r="J668">
        <f t="shared" si="452"/>
        <v>60.861879099484796</v>
      </c>
      <c r="K668">
        <f t="shared" si="452"/>
        <v>79.796538514608343</v>
      </c>
      <c r="L668">
        <f t="shared" si="452"/>
        <v>55.13030078147203</v>
      </c>
      <c r="M668">
        <f t="shared" si="452"/>
        <v>72.098252675585798</v>
      </c>
      <c r="N668">
        <f t="shared" si="452"/>
        <v>53.562939393617327</v>
      </c>
      <c r="O668">
        <f t="shared" si="452"/>
        <v>54.400315530443891</v>
      </c>
      <c r="P668">
        <f t="shared" si="452"/>
        <v>72.163784957453402</v>
      </c>
      <c r="Q668">
        <f t="shared" si="452"/>
        <v>84.951679205812425</v>
      </c>
      <c r="R668">
        <f t="shared" si="452"/>
        <v>107.51962645388554</v>
      </c>
      <c r="S668">
        <f t="shared" si="452"/>
        <v>119.37334799063451</v>
      </c>
      <c r="T668">
        <f t="shared" si="452"/>
        <v>127.94215440205249</v>
      </c>
      <c r="U668">
        <f t="shared" si="452"/>
        <v>108.64167213787402</v>
      </c>
      <c r="V668">
        <f t="shared" si="452"/>
        <v>115.59961408367602</v>
      </c>
      <c r="W668">
        <f t="shared" si="452"/>
        <v>230.1966310942081</v>
      </c>
      <c r="Y668" s="14">
        <f t="shared" si="445"/>
        <v>2320.3568372271052</v>
      </c>
      <c r="Z668">
        <f t="shared" si="446"/>
        <v>-512.68637274791388</v>
      </c>
    </row>
    <row r="669" spans="1:26" x14ac:dyDescent="0.25">
      <c r="A669" t="s">
        <v>50</v>
      </c>
      <c r="D669">
        <f t="shared" ref="D669:W669" si="453">D75*D174</f>
        <v>256.96019858088471</v>
      </c>
      <c r="E669">
        <f t="shared" si="453"/>
        <v>268.60980082753633</v>
      </c>
      <c r="F669">
        <f t="shared" si="453"/>
        <v>234.45686340883012</v>
      </c>
      <c r="G669">
        <f t="shared" si="453"/>
        <v>165.18987257619122</v>
      </c>
      <c r="H669">
        <f t="shared" si="453"/>
        <v>168.81865694012015</v>
      </c>
      <c r="I669">
        <f t="shared" si="453"/>
        <v>161.5040681998301</v>
      </c>
      <c r="J669">
        <f t="shared" si="453"/>
        <v>118.63174271679603</v>
      </c>
      <c r="K669">
        <f t="shared" si="453"/>
        <v>97.743329347999861</v>
      </c>
      <c r="L669">
        <f t="shared" si="453"/>
        <v>94.317759648992165</v>
      </c>
      <c r="M669">
        <f t="shared" si="453"/>
        <v>175.44915572276051</v>
      </c>
      <c r="N669">
        <f t="shared" si="453"/>
        <v>131.50787297870056</v>
      </c>
      <c r="O669">
        <f t="shared" si="453"/>
        <v>53.940527947455983</v>
      </c>
      <c r="P669">
        <f t="shared" si="453"/>
        <v>99.123439288346574</v>
      </c>
      <c r="Q669">
        <f t="shared" si="453"/>
        <v>93.7303579608772</v>
      </c>
      <c r="R669">
        <f t="shared" si="453"/>
        <v>129.11117645420353</v>
      </c>
      <c r="S669">
        <f t="shared" si="453"/>
        <v>127.04527971331274</v>
      </c>
      <c r="T669">
        <f t="shared" si="453"/>
        <v>231.02640195074062</v>
      </c>
      <c r="U669">
        <f t="shared" si="453"/>
        <v>191.70112141026124</v>
      </c>
      <c r="V669">
        <f t="shared" si="453"/>
        <v>152.82864937835606</v>
      </c>
      <c r="W669">
        <f t="shared" si="453"/>
        <v>184.30266006901005</v>
      </c>
      <c r="Y669" s="14">
        <f t="shared" si="445"/>
        <v>3135.9989351212057</v>
      </c>
      <c r="Z669">
        <f t="shared" si="446"/>
        <v>-741.84827821731005</v>
      </c>
    </row>
    <row r="670" spans="1:26" x14ac:dyDescent="0.25">
      <c r="A670" t="s">
        <v>51</v>
      </c>
      <c r="D670">
        <f t="shared" ref="D670:W670" si="454">D76*D175</f>
        <v>222.62905245389248</v>
      </c>
      <c r="E670">
        <f t="shared" si="454"/>
        <v>175.71482824791079</v>
      </c>
      <c r="F670">
        <f t="shared" si="454"/>
        <v>239.74803634517991</v>
      </c>
      <c r="G670">
        <f t="shared" si="454"/>
        <v>249.47889080208103</v>
      </c>
      <c r="H670">
        <f t="shared" si="454"/>
        <v>198.39504152032461</v>
      </c>
      <c r="I670">
        <f t="shared" si="454"/>
        <v>74.744421577886257</v>
      </c>
      <c r="J670">
        <f t="shared" si="454"/>
        <v>70.424130451463441</v>
      </c>
      <c r="K670">
        <f t="shared" si="454"/>
        <v>150.66991475480381</v>
      </c>
      <c r="L670">
        <f t="shared" si="454"/>
        <v>78.859000690693236</v>
      </c>
      <c r="M670">
        <f t="shared" si="454"/>
        <v>70.37178105293988</v>
      </c>
      <c r="N670">
        <f t="shared" si="454"/>
        <v>121.63380711748282</v>
      </c>
      <c r="O670">
        <f t="shared" si="454"/>
        <v>60.176575542911429</v>
      </c>
      <c r="P670">
        <f t="shared" si="454"/>
        <v>51.664413621481458</v>
      </c>
      <c r="Q670">
        <f t="shared" si="454"/>
        <v>97.288387721193558</v>
      </c>
      <c r="R670">
        <f t="shared" si="454"/>
        <v>82.567287489796982</v>
      </c>
      <c r="S670">
        <f t="shared" si="454"/>
        <v>70.113782887188279</v>
      </c>
      <c r="T670">
        <f t="shared" si="454"/>
        <v>89.804035162597543</v>
      </c>
      <c r="U670">
        <f t="shared" si="454"/>
        <v>111.33316420306448</v>
      </c>
      <c r="V670">
        <f t="shared" si="454"/>
        <v>125.23162759840837</v>
      </c>
      <c r="W670">
        <f t="shared" si="454"/>
        <v>251.44932099849851</v>
      </c>
      <c r="Y670" s="14">
        <f t="shared" si="445"/>
        <v>2592.2975002397993</v>
      </c>
      <c r="Z670">
        <f t="shared" si="446"/>
        <v>-520.50228982043791</v>
      </c>
    </row>
    <row r="671" spans="1:26" x14ac:dyDescent="0.25">
      <c r="A671" t="s">
        <v>52</v>
      </c>
      <c r="D671">
        <f t="shared" ref="D671:W671" si="455">D77*D176</f>
        <v>371.87283612701424</v>
      </c>
      <c r="E671">
        <f t="shared" si="455"/>
        <v>269.63942748059969</v>
      </c>
      <c r="F671">
        <f t="shared" si="455"/>
        <v>192.10305694658396</v>
      </c>
      <c r="G671">
        <f t="shared" si="455"/>
        <v>233.1843302730806</v>
      </c>
      <c r="H671">
        <f t="shared" si="455"/>
        <v>188.03145530057765</v>
      </c>
      <c r="I671">
        <f t="shared" si="455"/>
        <v>192.25887630719612</v>
      </c>
      <c r="J671">
        <f t="shared" si="455"/>
        <v>106.50665623177269</v>
      </c>
      <c r="K671">
        <f t="shared" si="455"/>
        <v>138.62986201603098</v>
      </c>
      <c r="L671">
        <f t="shared" si="455"/>
        <v>90.335420642477658</v>
      </c>
      <c r="M671">
        <f t="shared" si="455"/>
        <v>110.13125143361795</v>
      </c>
      <c r="N671">
        <f t="shared" si="455"/>
        <v>110.64339882946911</v>
      </c>
      <c r="O671">
        <f t="shared" si="455"/>
        <v>80.89194033934686</v>
      </c>
      <c r="P671">
        <f t="shared" si="455"/>
        <v>78.426973511497536</v>
      </c>
      <c r="Q671">
        <f t="shared" si="455"/>
        <v>106.25140387603464</v>
      </c>
      <c r="R671">
        <f t="shared" si="455"/>
        <v>80.761012919562745</v>
      </c>
      <c r="S671">
        <f t="shared" si="455"/>
        <v>97.899715859785246</v>
      </c>
      <c r="T671">
        <f t="shared" si="455"/>
        <v>96.354067378585597</v>
      </c>
      <c r="U671">
        <f t="shared" si="455"/>
        <v>74.69466721891861</v>
      </c>
      <c r="V671">
        <f t="shared" si="455"/>
        <v>140.75133887631887</v>
      </c>
      <c r="W671">
        <f t="shared" si="455"/>
        <v>164.23147868305048</v>
      </c>
      <c r="Y671" s="14">
        <f t="shared" si="445"/>
        <v>2923.5991702515216</v>
      </c>
      <c r="Z671">
        <f t="shared" si="446"/>
        <v>-604.29316449823182</v>
      </c>
    </row>
    <row r="672" spans="1:26" x14ac:dyDescent="0.25">
      <c r="A672" t="s">
        <v>53</v>
      </c>
      <c r="D672">
        <f t="shared" ref="D672:W672" si="456">D78*D177</f>
        <v>337.83801122464359</v>
      </c>
      <c r="E672">
        <f t="shared" si="456"/>
        <v>227.27368628244494</v>
      </c>
      <c r="F672">
        <f t="shared" si="456"/>
        <v>165.07157568650476</v>
      </c>
      <c r="G672">
        <f t="shared" si="456"/>
        <v>138.42211441623101</v>
      </c>
      <c r="H672">
        <f t="shared" si="456"/>
        <v>78.787230513261633</v>
      </c>
      <c r="I672">
        <f t="shared" si="456"/>
        <v>88.739181808974877</v>
      </c>
      <c r="J672">
        <f t="shared" si="456"/>
        <v>95.685702494292585</v>
      </c>
      <c r="K672">
        <f t="shared" si="456"/>
        <v>85.437868575869558</v>
      </c>
      <c r="L672">
        <f t="shared" si="456"/>
        <v>60.923207516951287</v>
      </c>
      <c r="M672">
        <f t="shared" si="456"/>
        <v>80.521907376545116</v>
      </c>
      <c r="N672">
        <f t="shared" si="456"/>
        <v>69.223363934369544</v>
      </c>
      <c r="O672">
        <f t="shared" si="456"/>
        <v>117.91336463698569</v>
      </c>
      <c r="P672">
        <f t="shared" si="456"/>
        <v>103.85695814556168</v>
      </c>
      <c r="Q672">
        <f t="shared" si="456"/>
        <v>92.507384415371192</v>
      </c>
      <c r="R672">
        <f t="shared" si="456"/>
        <v>160.45933090827884</v>
      </c>
      <c r="S672">
        <f t="shared" si="456"/>
        <v>197.74221522500164</v>
      </c>
      <c r="T672">
        <f t="shared" si="456"/>
        <v>216.76308553476017</v>
      </c>
      <c r="U672">
        <f t="shared" si="456"/>
        <v>213.2649740497595</v>
      </c>
      <c r="V672">
        <f t="shared" si="456"/>
        <v>208.090066343106</v>
      </c>
      <c r="W672">
        <f t="shared" si="456"/>
        <v>196.14585483238028</v>
      </c>
      <c r="Y672" s="14">
        <f t="shared" si="445"/>
        <v>2934.6670839212943</v>
      </c>
      <c r="Z672">
        <f t="shared" si="446"/>
        <v>-699.98581326046815</v>
      </c>
    </row>
    <row r="673" spans="1:26" x14ac:dyDescent="0.25">
      <c r="A673" t="s">
        <v>54</v>
      </c>
      <c r="D673">
        <f t="shared" ref="D673:W673" si="457">D79*D178</f>
        <v>237.03965202283729</v>
      </c>
      <c r="E673">
        <f t="shared" si="457"/>
        <v>196.12887804518888</v>
      </c>
      <c r="F673">
        <f t="shared" si="457"/>
        <v>159.1182391369764</v>
      </c>
      <c r="G673">
        <f t="shared" si="457"/>
        <v>145.89805086024572</v>
      </c>
      <c r="H673">
        <f t="shared" si="457"/>
        <v>93.305579216583638</v>
      </c>
      <c r="I673">
        <f t="shared" si="457"/>
        <v>81.543255789353168</v>
      </c>
      <c r="J673">
        <f t="shared" si="457"/>
        <v>72.141337179119617</v>
      </c>
      <c r="K673">
        <f t="shared" si="457"/>
        <v>93.783359720636753</v>
      </c>
      <c r="L673">
        <f t="shared" si="457"/>
        <v>80.342855500468715</v>
      </c>
      <c r="M673">
        <f t="shared" si="457"/>
        <v>93.505417950019947</v>
      </c>
      <c r="N673">
        <f t="shared" si="457"/>
        <v>99.930336418126274</v>
      </c>
      <c r="O673">
        <f t="shared" si="457"/>
        <v>87.105730902919603</v>
      </c>
      <c r="P673">
        <f t="shared" si="457"/>
        <v>111.11667340011003</v>
      </c>
      <c r="Q673">
        <f t="shared" si="457"/>
        <v>115.30424331466227</v>
      </c>
      <c r="R673">
        <f t="shared" si="457"/>
        <v>87.692436266101652</v>
      </c>
      <c r="S673">
        <f t="shared" si="457"/>
        <v>63.089986825777117</v>
      </c>
      <c r="T673">
        <f t="shared" si="457"/>
        <v>117.29708642522799</v>
      </c>
      <c r="U673">
        <f t="shared" si="457"/>
        <v>128.25933127381066</v>
      </c>
      <c r="V673">
        <f t="shared" si="457"/>
        <v>154.60389582543243</v>
      </c>
      <c r="W673">
        <f t="shared" si="457"/>
        <v>276.64998122204548</v>
      </c>
      <c r="Y673" s="14">
        <f t="shared" si="445"/>
        <v>2493.8563272956435</v>
      </c>
      <c r="Z673">
        <f t="shared" si="446"/>
        <v>-586.96145865761855</v>
      </c>
    </row>
    <row r="674" spans="1:26" x14ac:dyDescent="0.25">
      <c r="A674" t="s">
        <v>55</v>
      </c>
      <c r="D674">
        <f t="shared" ref="D674:W674" si="458">D80*D179</f>
        <v>189.53503809128051</v>
      </c>
      <c r="E674">
        <f t="shared" si="458"/>
        <v>176.73541301963493</v>
      </c>
      <c r="F674">
        <f t="shared" si="458"/>
        <v>180.9323771820537</v>
      </c>
      <c r="G674">
        <f t="shared" si="458"/>
        <v>123.42334549640009</v>
      </c>
      <c r="H674">
        <f t="shared" si="458"/>
        <v>100.90093016990008</v>
      </c>
      <c r="I674">
        <f t="shared" si="458"/>
        <v>54.389531450124686</v>
      </c>
      <c r="J674">
        <f t="shared" si="458"/>
        <v>84.656456752080672</v>
      </c>
      <c r="K674">
        <f t="shared" si="458"/>
        <v>82.42433037834212</v>
      </c>
      <c r="L674">
        <f t="shared" si="458"/>
        <v>74.245419163146963</v>
      </c>
      <c r="M674">
        <f t="shared" si="458"/>
        <v>88.060600943617416</v>
      </c>
      <c r="N674">
        <f t="shared" si="458"/>
        <v>66.146696292864974</v>
      </c>
      <c r="O674">
        <f t="shared" si="458"/>
        <v>98.358740428337967</v>
      </c>
      <c r="P674">
        <f t="shared" si="458"/>
        <v>65.795014926746063</v>
      </c>
      <c r="Q674">
        <f t="shared" si="458"/>
        <v>72.282164001881625</v>
      </c>
      <c r="R674">
        <f t="shared" si="458"/>
        <v>53.335823401552858</v>
      </c>
      <c r="S674">
        <f t="shared" si="458"/>
        <v>89.678847120618528</v>
      </c>
      <c r="T674">
        <f t="shared" si="458"/>
        <v>112.11026413787383</v>
      </c>
      <c r="U674">
        <f t="shared" si="458"/>
        <v>107.01748040200506</v>
      </c>
      <c r="V674">
        <f t="shared" si="458"/>
        <v>75.698651168492148</v>
      </c>
      <c r="W674">
        <f t="shared" si="458"/>
        <v>279.63138973218491</v>
      </c>
      <c r="Y674" s="14">
        <f t="shared" si="445"/>
        <v>2175.3585142591392</v>
      </c>
      <c r="Z674">
        <f t="shared" si="446"/>
        <v>-479.75432250674231</v>
      </c>
    </row>
    <row r="675" spans="1:26" x14ac:dyDescent="0.25">
      <c r="A675" t="s">
        <v>56</v>
      </c>
      <c r="D675">
        <f t="shared" ref="D675:W675" si="459">D81*D180</f>
        <v>254.37551653531639</v>
      </c>
      <c r="E675">
        <f t="shared" si="459"/>
        <v>151.59981565030029</v>
      </c>
      <c r="F675">
        <f t="shared" si="459"/>
        <v>126.64212557583183</v>
      </c>
      <c r="G675">
        <f t="shared" si="459"/>
        <v>155.41117584088357</v>
      </c>
      <c r="H675">
        <f t="shared" si="459"/>
        <v>95.90174699235385</v>
      </c>
      <c r="I675">
        <f t="shared" si="459"/>
        <v>86.493499441400729</v>
      </c>
      <c r="J675">
        <f t="shared" si="459"/>
        <v>95.578717396566489</v>
      </c>
      <c r="K675">
        <f t="shared" si="459"/>
        <v>90.80448694760868</v>
      </c>
      <c r="L675">
        <f t="shared" si="459"/>
        <v>70.973080102673705</v>
      </c>
      <c r="M675">
        <f t="shared" si="459"/>
        <v>107.6524995137781</v>
      </c>
      <c r="N675">
        <f t="shared" si="459"/>
        <v>93.265375623208044</v>
      </c>
      <c r="O675">
        <f t="shared" si="459"/>
        <v>89.173114159857349</v>
      </c>
      <c r="P675">
        <f t="shared" si="459"/>
        <v>91.496157544727595</v>
      </c>
      <c r="Q675">
        <f t="shared" si="459"/>
        <v>81.556529860721156</v>
      </c>
      <c r="R675">
        <f t="shared" si="459"/>
        <v>181.58630798926691</v>
      </c>
      <c r="S675">
        <f t="shared" si="459"/>
        <v>263.04822983615014</v>
      </c>
      <c r="T675">
        <f t="shared" si="459"/>
        <v>293.91703852906198</v>
      </c>
      <c r="U675">
        <f t="shared" si="459"/>
        <v>233.05350667263144</v>
      </c>
      <c r="V675">
        <f t="shared" si="459"/>
        <v>181.58630798926691</v>
      </c>
      <c r="W675">
        <f t="shared" si="459"/>
        <v>263.04822983615014</v>
      </c>
      <c r="Y675" s="14">
        <f t="shared" si="445"/>
        <v>3007.1634620377558</v>
      </c>
      <c r="Z675">
        <f t="shared" si="446"/>
        <v>-747.57122119600695</v>
      </c>
    </row>
    <row r="676" spans="1:26" x14ac:dyDescent="0.25">
      <c r="A676" t="s">
        <v>57</v>
      </c>
      <c r="D676">
        <f t="shared" ref="D676:W676" si="460">D82*D181</f>
        <v>211.00817448245922</v>
      </c>
      <c r="E676">
        <f t="shared" si="460"/>
        <v>240.54770168356904</v>
      </c>
      <c r="F676">
        <f t="shared" si="460"/>
        <v>178.29432079248039</v>
      </c>
      <c r="G676">
        <f t="shared" si="460"/>
        <v>174.65026042167938</v>
      </c>
      <c r="H676">
        <f t="shared" si="460"/>
        <v>112.84393756024122</v>
      </c>
      <c r="I676">
        <f t="shared" si="460"/>
        <v>142.84964551994344</v>
      </c>
      <c r="J676">
        <f t="shared" si="460"/>
        <v>110.22094393209116</v>
      </c>
      <c r="K676">
        <f t="shared" si="460"/>
        <v>130.47000548189621</v>
      </c>
      <c r="L676">
        <f t="shared" si="460"/>
        <v>65.960494096546569</v>
      </c>
      <c r="M676">
        <f t="shared" si="460"/>
        <v>106.41820916926193</v>
      </c>
      <c r="N676">
        <f t="shared" si="460"/>
        <v>101.64098258405109</v>
      </c>
      <c r="O676">
        <f t="shared" si="460"/>
        <v>78.347246823142058</v>
      </c>
      <c r="P676">
        <f t="shared" si="460"/>
        <v>95.281328290257704</v>
      </c>
      <c r="Q676">
        <f t="shared" si="460"/>
        <v>153.06812682093982</v>
      </c>
      <c r="R676">
        <f t="shared" si="460"/>
        <v>238.8160322976081</v>
      </c>
      <c r="S676">
        <f t="shared" si="460"/>
        <v>210.17642980970913</v>
      </c>
      <c r="T676">
        <f t="shared" si="460"/>
        <v>213.94532640756361</v>
      </c>
      <c r="U676">
        <f t="shared" si="460"/>
        <v>278.02995909112673</v>
      </c>
      <c r="V676">
        <f t="shared" si="460"/>
        <v>168.09885002806232</v>
      </c>
      <c r="W676">
        <f t="shared" si="460"/>
        <v>199.41834892707834</v>
      </c>
      <c r="Y676" s="14">
        <f t="shared" si="445"/>
        <v>3210.0863242197074</v>
      </c>
      <c r="Z676">
        <f t="shared" si="446"/>
        <v>-826.64694008501283</v>
      </c>
    </row>
    <row r="677" spans="1:26" x14ac:dyDescent="0.25">
      <c r="A677" t="s">
        <v>58</v>
      </c>
      <c r="D677">
        <f t="shared" ref="D677:W677" si="461">D83*D182</f>
        <v>273.05225669573917</v>
      </c>
      <c r="E677">
        <f t="shared" si="461"/>
        <v>286.5248231477849</v>
      </c>
      <c r="F677">
        <f t="shared" si="461"/>
        <v>189.17154191407147</v>
      </c>
      <c r="G677">
        <f t="shared" si="461"/>
        <v>201.6855525162203</v>
      </c>
      <c r="H677">
        <f t="shared" si="461"/>
        <v>197.7949398472999</v>
      </c>
      <c r="I677">
        <f t="shared" si="461"/>
        <v>121.92026575814671</v>
      </c>
      <c r="J677">
        <f t="shared" si="461"/>
        <v>102.65290159728224</v>
      </c>
      <c r="K677">
        <f t="shared" si="461"/>
        <v>73.273035683335692</v>
      </c>
      <c r="L677">
        <f t="shared" si="461"/>
        <v>47.538439175212979</v>
      </c>
      <c r="M677">
        <f t="shared" si="461"/>
        <v>34.620300915166162</v>
      </c>
      <c r="N677">
        <f t="shared" si="461"/>
        <v>74.899874479121749</v>
      </c>
      <c r="O677">
        <f t="shared" si="461"/>
        <v>88.11062080370256</v>
      </c>
      <c r="P677">
        <f t="shared" si="461"/>
        <v>82.012178568316372</v>
      </c>
      <c r="Q677">
        <f t="shared" si="461"/>
        <v>83.691501019161578</v>
      </c>
      <c r="R677">
        <f t="shared" si="461"/>
        <v>69.949098078482251</v>
      </c>
      <c r="S677">
        <f t="shared" si="461"/>
        <v>101.15985929204685</v>
      </c>
      <c r="T677">
        <f t="shared" si="461"/>
        <v>115.82428387368783</v>
      </c>
      <c r="U677">
        <f t="shared" si="461"/>
        <v>132.50699248898559</v>
      </c>
      <c r="V677">
        <f t="shared" si="461"/>
        <v>141.1995293627414</v>
      </c>
      <c r="W677">
        <f t="shared" si="461"/>
        <v>179.99781788572065</v>
      </c>
      <c r="Y677" s="14">
        <f t="shared" si="445"/>
        <v>2597.5858131022264</v>
      </c>
      <c r="Z677">
        <f t="shared" si="446"/>
        <v>-531.1288939712922</v>
      </c>
    </row>
    <row r="678" spans="1:26" x14ac:dyDescent="0.25">
      <c r="A678" t="s">
        <v>59</v>
      </c>
      <c r="D678">
        <f t="shared" ref="D678:W678" si="462">D84*D183</f>
        <v>222.75658763638026</v>
      </c>
      <c r="E678">
        <f t="shared" si="462"/>
        <v>143.13291284688069</v>
      </c>
      <c r="F678">
        <f t="shared" si="462"/>
        <v>201.32680163257973</v>
      </c>
      <c r="G678">
        <f t="shared" si="462"/>
        <v>183.00833982671872</v>
      </c>
      <c r="H678">
        <f t="shared" si="462"/>
        <v>153.90237436603485</v>
      </c>
      <c r="I678">
        <f t="shared" si="462"/>
        <v>108.22271849814612</v>
      </c>
      <c r="J678">
        <f t="shared" si="462"/>
        <v>67.267858639311925</v>
      </c>
      <c r="K678">
        <f t="shared" si="462"/>
        <v>89.723579524300561</v>
      </c>
      <c r="L678">
        <f t="shared" si="462"/>
        <v>102.63568057231632</v>
      </c>
      <c r="M678">
        <f t="shared" si="462"/>
        <v>81.773403207752494</v>
      </c>
      <c r="N678">
        <f t="shared" si="462"/>
        <v>53.913852014305732</v>
      </c>
      <c r="O678">
        <f t="shared" si="462"/>
        <v>40.13697955189739</v>
      </c>
      <c r="P678">
        <f t="shared" si="462"/>
        <v>64.729179161219164</v>
      </c>
      <c r="Q678">
        <f t="shared" si="462"/>
        <v>79.012557813124857</v>
      </c>
      <c r="R678">
        <f t="shared" si="462"/>
        <v>131.78944396146994</v>
      </c>
      <c r="S678">
        <f t="shared" si="462"/>
        <v>130.45380073293978</v>
      </c>
      <c r="T678">
        <f t="shared" si="462"/>
        <v>25.133853300739627</v>
      </c>
      <c r="U678">
        <f t="shared" si="462"/>
        <v>154.45308619955335</v>
      </c>
      <c r="V678">
        <f t="shared" si="462"/>
        <v>143.39156948006686</v>
      </c>
      <c r="W678">
        <f t="shared" si="462"/>
        <v>156.6356733908124</v>
      </c>
      <c r="Y678" s="14">
        <f t="shared" si="445"/>
        <v>2333.4002523565509</v>
      </c>
      <c r="Z678">
        <f t="shared" si="446"/>
        <v>-512.77281309324871</v>
      </c>
    </row>
    <row r="679" spans="1:26" x14ac:dyDescent="0.25">
      <c r="A679" t="s">
        <v>60</v>
      </c>
      <c r="D679">
        <f t="shared" ref="D679:W679" si="463">D85*D184</f>
        <v>174.32999898966989</v>
      </c>
      <c r="E679">
        <f t="shared" si="463"/>
        <v>159.63632627436567</v>
      </c>
      <c r="F679">
        <f t="shared" si="463"/>
        <v>136.59602804799223</v>
      </c>
      <c r="G679">
        <f t="shared" si="463"/>
        <v>129.00523748189372</v>
      </c>
      <c r="H679">
        <f t="shared" si="463"/>
        <v>119.19365735582873</v>
      </c>
      <c r="I679">
        <f t="shared" si="463"/>
        <v>112.32849550069676</v>
      </c>
      <c r="J679">
        <f t="shared" si="463"/>
        <v>72.096118441847281</v>
      </c>
      <c r="K679">
        <f t="shared" si="463"/>
        <v>60.973160108536057</v>
      </c>
      <c r="L679">
        <f t="shared" si="463"/>
        <v>38.082298142744584</v>
      </c>
      <c r="M679">
        <f t="shared" si="463"/>
        <v>63.372570309482988</v>
      </c>
      <c r="N679">
        <f t="shared" si="463"/>
        <v>65.587957831070042</v>
      </c>
      <c r="O679">
        <f t="shared" si="463"/>
        <v>102.47622298248864</v>
      </c>
      <c r="P679">
        <f t="shared" si="463"/>
        <v>42.539260152000637</v>
      </c>
      <c r="Q679">
        <f t="shared" si="463"/>
        <v>78.218655768121891</v>
      </c>
      <c r="R679">
        <f t="shared" si="463"/>
        <v>77.654213554429319</v>
      </c>
      <c r="S679">
        <f t="shared" si="463"/>
        <v>106.25951053087827</v>
      </c>
      <c r="T679">
        <f t="shared" si="463"/>
        <v>169.80283614572721</v>
      </c>
      <c r="U679">
        <f t="shared" si="463"/>
        <v>134.78270285109843</v>
      </c>
      <c r="V679">
        <f t="shared" si="463"/>
        <v>154.45710828365901</v>
      </c>
      <c r="W679">
        <f t="shared" si="463"/>
        <v>163.46801798525425</v>
      </c>
      <c r="Y679" s="14">
        <f t="shared" si="445"/>
        <v>2160.8603767377858</v>
      </c>
      <c r="Z679">
        <f t="shared" si="446"/>
        <v>-508.92428964348824</v>
      </c>
    </row>
    <row r="680" spans="1:26" x14ac:dyDescent="0.25">
      <c r="A680" t="s">
        <v>61</v>
      </c>
      <c r="D680">
        <f t="shared" ref="D680:W680" si="464">D86*D185</f>
        <v>234.19068081200422</v>
      </c>
      <c r="E680">
        <f t="shared" si="464"/>
        <v>219.05680213401524</v>
      </c>
      <c r="F680">
        <f t="shared" si="464"/>
        <v>203.26715474246402</v>
      </c>
      <c r="G680">
        <f t="shared" si="464"/>
        <v>205.16566810465469</v>
      </c>
      <c r="H680">
        <f t="shared" si="464"/>
        <v>170.83906649990269</v>
      </c>
      <c r="I680">
        <f t="shared" si="464"/>
        <v>200.52426284600003</v>
      </c>
      <c r="J680">
        <f t="shared" si="464"/>
        <v>111.90680413872201</v>
      </c>
      <c r="K680">
        <f t="shared" si="464"/>
        <v>99.659474223991012</v>
      </c>
      <c r="L680">
        <f t="shared" si="464"/>
        <v>137.46163984881204</v>
      </c>
      <c r="M680">
        <f t="shared" si="464"/>
        <v>96.813621180100355</v>
      </c>
      <c r="N680">
        <f t="shared" si="464"/>
        <v>85.507009226234004</v>
      </c>
      <c r="O680">
        <f t="shared" si="464"/>
        <v>82.923077924483792</v>
      </c>
      <c r="P680">
        <f t="shared" si="464"/>
        <v>122.61969233647434</v>
      </c>
      <c r="Q680">
        <f t="shared" si="464"/>
        <v>152.06907221566132</v>
      </c>
      <c r="R680">
        <f t="shared" si="464"/>
        <v>166.45593720103216</v>
      </c>
      <c r="S680">
        <f t="shared" si="464"/>
        <v>161.41529889073652</v>
      </c>
      <c r="T680">
        <f t="shared" si="464"/>
        <v>185.3956388446986</v>
      </c>
      <c r="U680">
        <f t="shared" si="464"/>
        <v>187.37027285039119</v>
      </c>
      <c r="V680">
        <f t="shared" si="464"/>
        <v>140.70447042455794</v>
      </c>
      <c r="W680">
        <f t="shared" si="464"/>
        <v>198.54923825639304</v>
      </c>
      <c r="Y680" s="14">
        <f t="shared" si="445"/>
        <v>3161.8948827013296</v>
      </c>
      <c r="Z680">
        <f t="shared" si="446"/>
        <v>-785.70022847639257</v>
      </c>
    </row>
    <row r="681" spans="1:26" x14ac:dyDescent="0.25">
      <c r="A681" t="s">
        <v>62</v>
      </c>
      <c r="D681">
        <f t="shared" ref="D681:W681" si="465">D87*D186</f>
        <v>306.59808189986609</v>
      </c>
      <c r="E681">
        <f t="shared" si="465"/>
        <v>287.46253851346921</v>
      </c>
      <c r="F681">
        <f t="shared" si="465"/>
        <v>204.37126535969239</v>
      </c>
      <c r="G681">
        <f t="shared" si="465"/>
        <v>111.71225212054919</v>
      </c>
      <c r="H681">
        <f t="shared" si="465"/>
        <v>147.20530656428073</v>
      </c>
      <c r="I681">
        <f t="shared" si="465"/>
        <v>166.68373044708289</v>
      </c>
      <c r="J681">
        <f t="shared" si="465"/>
        <v>125.86525449147899</v>
      </c>
      <c r="K681">
        <f t="shared" si="465"/>
        <v>130.69092852975155</v>
      </c>
      <c r="L681">
        <f t="shared" si="465"/>
        <v>118.67354579926754</v>
      </c>
      <c r="M681">
        <f t="shared" si="465"/>
        <v>109.40580544440874</v>
      </c>
      <c r="N681">
        <f t="shared" si="465"/>
        <v>111.298355584864</v>
      </c>
      <c r="O681">
        <f t="shared" si="465"/>
        <v>85.637752181900325</v>
      </c>
      <c r="P681">
        <f t="shared" si="465"/>
        <v>41.571598574627103</v>
      </c>
      <c r="Q681">
        <f t="shared" si="465"/>
        <v>47.781162843414627</v>
      </c>
      <c r="R681">
        <f t="shared" si="465"/>
        <v>34.955515057119058</v>
      </c>
      <c r="S681">
        <f t="shared" si="465"/>
        <v>85.777915740351361</v>
      </c>
      <c r="T681">
        <f t="shared" si="465"/>
        <v>100.99467175336936</v>
      </c>
      <c r="U681">
        <f t="shared" si="465"/>
        <v>104.97445214654552</v>
      </c>
      <c r="V681">
        <f t="shared" si="465"/>
        <v>200.73350411605699</v>
      </c>
      <c r="W681">
        <f t="shared" si="465"/>
        <v>253.11797808870352</v>
      </c>
      <c r="Y681" s="14">
        <f t="shared" si="445"/>
        <v>2775.5116152567994</v>
      </c>
      <c r="Z681">
        <f t="shared" si="446"/>
        <v>-613.04719506064146</v>
      </c>
    </row>
    <row r="682" spans="1:26" x14ac:dyDescent="0.25">
      <c r="A682" t="s">
        <v>63</v>
      </c>
      <c r="D682">
        <f t="shared" ref="D682:W682" si="466">D88*D187</f>
        <v>230.67878025127806</v>
      </c>
      <c r="E682">
        <f t="shared" si="466"/>
        <v>181.87997851077341</v>
      </c>
      <c r="F682">
        <f t="shared" si="466"/>
        <v>195.28692878761044</v>
      </c>
      <c r="G682">
        <f t="shared" si="466"/>
        <v>174.54430522887546</v>
      </c>
      <c r="H682">
        <f t="shared" si="466"/>
        <v>120.18479309273224</v>
      </c>
      <c r="I682">
        <f t="shared" si="466"/>
        <v>204.0266225668509</v>
      </c>
      <c r="J682">
        <f t="shared" si="466"/>
        <v>211.259756357615</v>
      </c>
      <c r="K682">
        <f t="shared" si="466"/>
        <v>215.01305071605884</v>
      </c>
      <c r="L682">
        <f t="shared" si="466"/>
        <v>117.03342788157873</v>
      </c>
      <c r="M682">
        <f t="shared" si="466"/>
        <v>88.715320228958575</v>
      </c>
      <c r="N682">
        <f t="shared" si="466"/>
        <v>144.28956097358105</v>
      </c>
      <c r="O682">
        <f t="shared" si="466"/>
        <v>218.08427175220191</v>
      </c>
      <c r="P682">
        <f t="shared" si="466"/>
        <v>119.79133756682802</v>
      </c>
      <c r="Q682">
        <f t="shared" si="466"/>
        <v>113.60260687103425</v>
      </c>
      <c r="R682">
        <f t="shared" si="466"/>
        <v>111.51024302938619</v>
      </c>
      <c r="S682">
        <f t="shared" si="466"/>
        <v>133.18966421126919</v>
      </c>
      <c r="T682">
        <f t="shared" si="466"/>
        <v>203.32791944250451</v>
      </c>
      <c r="U682">
        <f t="shared" si="466"/>
        <v>253.5904335806535</v>
      </c>
      <c r="V682">
        <f t="shared" si="466"/>
        <v>239.6675091607859</v>
      </c>
      <c r="W682">
        <f t="shared" si="466"/>
        <v>251.55004654710075</v>
      </c>
      <c r="Y682" s="14">
        <f t="shared" si="445"/>
        <v>3527.2265567576774</v>
      </c>
      <c r="Z682">
        <f t="shared" si="446"/>
        <v>-1000.3594195435846</v>
      </c>
    </row>
    <row r="683" spans="1:26" x14ac:dyDescent="0.25">
      <c r="A683" t="s">
        <v>64</v>
      </c>
      <c r="D683">
        <f t="shared" ref="D683:W683" si="467">D89*D188</f>
        <v>187.45219311998255</v>
      </c>
      <c r="E683">
        <f t="shared" si="467"/>
        <v>252.2513585141011</v>
      </c>
      <c r="F683">
        <f t="shared" si="467"/>
        <v>319.19617318439418</v>
      </c>
      <c r="G683">
        <f t="shared" si="467"/>
        <v>154.94235898112444</v>
      </c>
      <c r="H683">
        <f t="shared" si="467"/>
        <v>150.69606075975904</v>
      </c>
      <c r="I683">
        <f t="shared" si="467"/>
        <v>155.53870790307914</v>
      </c>
      <c r="J683">
        <f t="shared" si="467"/>
        <v>182.60622323875958</v>
      </c>
      <c r="K683">
        <f t="shared" si="467"/>
        <v>214.67511442421679</v>
      </c>
      <c r="L683">
        <f t="shared" si="467"/>
        <v>140.90560285260844</v>
      </c>
      <c r="M683">
        <f t="shared" si="467"/>
        <v>94.904467902854819</v>
      </c>
      <c r="N683">
        <f t="shared" si="467"/>
        <v>103.81858025123803</v>
      </c>
      <c r="O683">
        <f t="shared" si="467"/>
        <v>103.01967691920531</v>
      </c>
      <c r="P683">
        <f t="shared" si="467"/>
        <v>121.96782601739685</v>
      </c>
      <c r="Q683">
        <f t="shared" si="467"/>
        <v>122.54216104663324</v>
      </c>
      <c r="R683">
        <f t="shared" si="467"/>
        <v>193.21129281318798</v>
      </c>
      <c r="S683">
        <f t="shared" si="467"/>
        <v>104.72380847896925</v>
      </c>
      <c r="T683">
        <f t="shared" si="467"/>
        <v>131.28993067353829</v>
      </c>
      <c r="U683">
        <f t="shared" si="467"/>
        <v>220.55940380614533</v>
      </c>
      <c r="V683">
        <f t="shared" si="467"/>
        <v>246.51162070458986</v>
      </c>
      <c r="W683">
        <f t="shared" si="467"/>
        <v>262.68870660842936</v>
      </c>
      <c r="Y683" s="14">
        <f t="shared" si="445"/>
        <v>3463.5012682002134</v>
      </c>
      <c r="Z683">
        <f t="shared" si="446"/>
        <v>-913.05007004305639</v>
      </c>
    </row>
    <row r="684" spans="1:26" x14ac:dyDescent="0.25">
      <c r="A684" t="s">
        <v>65</v>
      </c>
      <c r="D684">
        <f t="shared" ref="D684:W684" si="468">D90*D189</f>
        <v>264.3436917426024</v>
      </c>
      <c r="E684">
        <f t="shared" si="468"/>
        <v>211.26945446246066</v>
      </c>
      <c r="F684">
        <f t="shared" si="468"/>
        <v>185.43688495585636</v>
      </c>
      <c r="G684">
        <f t="shared" si="468"/>
        <v>168.78205712822992</v>
      </c>
      <c r="H684">
        <f t="shared" si="468"/>
        <v>130.14093690454831</v>
      </c>
      <c r="I684">
        <f t="shared" si="468"/>
        <v>124.91601709416425</v>
      </c>
      <c r="J684">
        <f t="shared" si="468"/>
        <v>96.648830395443014</v>
      </c>
      <c r="K684">
        <f t="shared" si="468"/>
        <v>98.442350240803776</v>
      </c>
      <c r="L684">
        <f t="shared" si="468"/>
        <v>72.855931447879428</v>
      </c>
      <c r="M684">
        <f t="shared" si="468"/>
        <v>34.927096629414685</v>
      </c>
      <c r="N684">
        <f t="shared" si="468"/>
        <v>62.905088145195514</v>
      </c>
      <c r="O684">
        <f t="shared" si="468"/>
        <v>51.923210499692715</v>
      </c>
      <c r="P684">
        <f t="shared" si="468"/>
        <v>97.858211689368417</v>
      </c>
      <c r="Q684">
        <f t="shared" si="468"/>
        <v>116.03884557322912</v>
      </c>
      <c r="R684">
        <f t="shared" si="468"/>
        <v>175.91035249293901</v>
      </c>
      <c r="S684">
        <f t="shared" si="468"/>
        <v>141.26853580559009</v>
      </c>
      <c r="T684">
        <f t="shared" si="468"/>
        <v>161.44741372030325</v>
      </c>
      <c r="U684">
        <f t="shared" si="468"/>
        <v>200.43194691768628</v>
      </c>
      <c r="V684">
        <f t="shared" si="468"/>
        <v>138.59492699955638</v>
      </c>
      <c r="W684">
        <f t="shared" si="468"/>
        <v>200.81763246027816</v>
      </c>
      <c r="Y684" s="14">
        <f t="shared" si="445"/>
        <v>2734.9594153052412</v>
      </c>
      <c r="Z684">
        <f t="shared" si="446"/>
        <v>-638.4741493987492</v>
      </c>
    </row>
    <row r="685" spans="1:26" x14ac:dyDescent="0.25">
      <c r="A685" t="s">
        <v>66</v>
      </c>
      <c r="D685">
        <f t="shared" ref="D685:W685" si="469">D91*D190</f>
        <v>165.72375534497633</v>
      </c>
      <c r="E685">
        <f t="shared" si="469"/>
        <v>210.1695259755449</v>
      </c>
      <c r="F685">
        <f t="shared" si="469"/>
        <v>216.05057202321132</v>
      </c>
      <c r="G685">
        <f t="shared" si="469"/>
        <v>138.1275317956443</v>
      </c>
      <c r="H685">
        <f t="shared" si="469"/>
        <v>118.44795157970158</v>
      </c>
      <c r="I685">
        <f t="shared" si="469"/>
        <v>129.59876418721808</v>
      </c>
      <c r="J685">
        <f t="shared" si="469"/>
        <v>60.861879099484796</v>
      </c>
      <c r="K685">
        <f t="shared" si="469"/>
        <v>79.796538514608343</v>
      </c>
      <c r="L685">
        <f t="shared" si="469"/>
        <v>55.13030078147203</v>
      </c>
      <c r="M685">
        <f t="shared" si="469"/>
        <v>72.098252675585798</v>
      </c>
      <c r="N685">
        <f t="shared" si="469"/>
        <v>53.562939393617327</v>
      </c>
      <c r="O685">
        <f t="shared" si="469"/>
        <v>54.400315530443891</v>
      </c>
      <c r="P685">
        <f t="shared" si="469"/>
        <v>68.875070799236127</v>
      </c>
      <c r="Q685">
        <f t="shared" si="469"/>
        <v>83.463207136368396</v>
      </c>
      <c r="R685">
        <f t="shared" si="469"/>
        <v>94.397948352436188</v>
      </c>
      <c r="S685">
        <f t="shared" si="469"/>
        <v>100.84582152809529</v>
      </c>
      <c r="T685">
        <f t="shared" si="469"/>
        <v>125.15578709972689</v>
      </c>
      <c r="U685">
        <f t="shared" si="469"/>
        <v>131.09149285574568</v>
      </c>
      <c r="V685">
        <f t="shared" si="469"/>
        <v>107.67718168052066</v>
      </c>
      <c r="W685">
        <f t="shared" si="469"/>
        <v>185.57732669025745</v>
      </c>
      <c r="Y685" s="14">
        <f t="shared" si="445"/>
        <v>2251.0521630438952</v>
      </c>
      <c r="Z685">
        <f t="shared" si="446"/>
        <v>-503.14354921082577</v>
      </c>
    </row>
    <row r="686" spans="1:26" x14ac:dyDescent="0.25">
      <c r="Y686" s="14"/>
    </row>
    <row r="687" spans="1:26" x14ac:dyDescent="0.25">
      <c r="A687" t="s">
        <v>67</v>
      </c>
      <c r="D687">
        <f t="shared" ref="D687:W687" si="470">D93*D192</f>
        <v>252.8244266920471</v>
      </c>
      <c r="E687">
        <f t="shared" si="470"/>
        <v>208.65596453108853</v>
      </c>
      <c r="F687">
        <f t="shared" si="470"/>
        <v>188.87593637293054</v>
      </c>
      <c r="G687">
        <f t="shared" si="470"/>
        <v>174.08905516313715</v>
      </c>
      <c r="H687">
        <f t="shared" si="470"/>
        <v>139.89079828158066</v>
      </c>
      <c r="I687">
        <f t="shared" si="470"/>
        <v>131.29466631589432</v>
      </c>
      <c r="J687">
        <f t="shared" si="470"/>
        <v>96.42878192724848</v>
      </c>
      <c r="K687">
        <f t="shared" si="470"/>
        <v>100.69788648608426</v>
      </c>
      <c r="L687">
        <f t="shared" si="470"/>
        <v>74.883454635104883</v>
      </c>
      <c r="M687">
        <f t="shared" si="470"/>
        <v>80.788596184572384</v>
      </c>
      <c r="N687">
        <f t="shared" si="470"/>
        <v>90.55733866281517</v>
      </c>
      <c r="O687">
        <f t="shared" si="470"/>
        <v>93.608793454339022</v>
      </c>
      <c r="P687">
        <f t="shared" si="470"/>
        <v>88.231396007452602</v>
      </c>
      <c r="Q687">
        <f t="shared" si="470"/>
        <v>102.78223117276799</v>
      </c>
      <c r="R687">
        <f t="shared" si="470"/>
        <v>126.22573888150568</v>
      </c>
      <c r="S687">
        <f t="shared" si="470"/>
        <v>128.40864688873205</v>
      </c>
      <c r="T687">
        <f t="shared" si="470"/>
        <v>137.86972357326698</v>
      </c>
      <c r="U687">
        <f t="shared" si="470"/>
        <v>146.56729768209607</v>
      </c>
      <c r="V687">
        <f t="shared" si="470"/>
        <v>149.42710549615498</v>
      </c>
      <c r="W687">
        <f t="shared" si="470"/>
        <v>206.21319530034296</v>
      </c>
      <c r="Y687" s="14">
        <f t="shared" si="445"/>
        <v>2718.3210337091623</v>
      </c>
      <c r="Z687">
        <f>SUMPRODUCT($D$691:$W$691,D687:W687)</f>
        <v>-629.94970212077317</v>
      </c>
    </row>
    <row r="688" spans="1:26" x14ac:dyDescent="0.25">
      <c r="A688" t="s">
        <v>311</v>
      </c>
      <c r="D688">
        <f t="shared" ref="D688:W688" si="471">D94*D193</f>
        <v>310.92408163265293</v>
      </c>
      <c r="E688">
        <f t="shared" si="471"/>
        <v>318.84081632653056</v>
      </c>
      <c r="F688">
        <f t="shared" si="471"/>
        <v>198.11959183673468</v>
      </c>
      <c r="G688">
        <f t="shared" si="471"/>
        <v>181.00653061224489</v>
      </c>
      <c r="H688">
        <f t="shared" si="471"/>
        <v>213.46530612244896</v>
      </c>
      <c r="I688">
        <f t="shared" si="471"/>
        <v>173.35632653061228</v>
      </c>
      <c r="J688">
        <f t="shared" si="471"/>
        <v>119.72571428571429</v>
      </c>
      <c r="K688">
        <f t="shared" si="471"/>
        <v>104.88163265306125</v>
      </c>
      <c r="L688">
        <f t="shared" si="471"/>
        <v>125.83171875000001</v>
      </c>
      <c r="M688">
        <f t="shared" si="471"/>
        <v>161.34897959183675</v>
      </c>
      <c r="N688">
        <f t="shared" si="471"/>
        <v>111.83510204081634</v>
      </c>
      <c r="O688">
        <f t="shared" si="471"/>
        <v>121.27999999999997</v>
      </c>
      <c r="P688">
        <f t="shared" si="471"/>
        <v>92.524899068185505</v>
      </c>
      <c r="Q688">
        <f t="shared" si="471"/>
        <v>90.23213743651759</v>
      </c>
      <c r="R688">
        <f t="shared" si="471"/>
        <v>64.08771243617177</v>
      </c>
      <c r="S688">
        <f t="shared" si="471"/>
        <v>104.77332303178305</v>
      </c>
      <c r="T688">
        <f t="shared" si="471"/>
        <v>156.51</v>
      </c>
      <c r="U688">
        <f t="shared" si="471"/>
        <v>136.24</v>
      </c>
      <c r="V688">
        <f t="shared" si="471"/>
        <v>150.07999999999998</v>
      </c>
      <c r="W688">
        <f t="shared" si="471"/>
        <v>196.29999999999998</v>
      </c>
      <c r="Y688" s="14">
        <f t="shared" si="445"/>
        <v>3131.3638723553104</v>
      </c>
      <c r="Z688">
        <f>SUMPRODUCT($D$691:$W$691,D688:W688)</f>
        <v>-701.09882828617265</v>
      </c>
    </row>
    <row r="689" spans="1:26" x14ac:dyDescent="0.25">
      <c r="A689" t="s">
        <v>312</v>
      </c>
      <c r="D689">
        <f t="shared" ref="D689:W689" si="472">D95*D194</f>
        <v>242.80355311935563</v>
      </c>
      <c r="E689">
        <f t="shared" si="472"/>
        <v>216.52160332437569</v>
      </c>
      <c r="F689">
        <f t="shared" si="472"/>
        <v>202.59106527708201</v>
      </c>
      <c r="G689">
        <f t="shared" si="472"/>
        <v>167.60312758233761</v>
      </c>
      <c r="H689">
        <f t="shared" si="472"/>
        <v>141.30825594618491</v>
      </c>
      <c r="I689">
        <f t="shared" si="472"/>
        <v>139.01041684046046</v>
      </c>
      <c r="J689">
        <f t="shared" si="472"/>
        <v>116.20156548977734</v>
      </c>
      <c r="K689">
        <f t="shared" si="472"/>
        <v>116.73454520699909</v>
      </c>
      <c r="L689">
        <f t="shared" si="472"/>
        <v>92.634687215054555</v>
      </c>
      <c r="M689">
        <f t="shared" si="472"/>
        <v>83.701071069587158</v>
      </c>
      <c r="N689">
        <f t="shared" si="472"/>
        <v>91.371526942056292</v>
      </c>
      <c r="O689">
        <f t="shared" si="472"/>
        <v>97.260602633860813</v>
      </c>
      <c r="P689">
        <f t="shared" si="472"/>
        <v>88.894273388165928</v>
      </c>
      <c r="Q689">
        <f t="shared" si="472"/>
        <v>98.539246528281836</v>
      </c>
      <c r="R689">
        <f t="shared" si="472"/>
        <v>113.59266262747387</v>
      </c>
      <c r="S689">
        <f t="shared" si="472"/>
        <v>118.13526240144472</v>
      </c>
      <c r="T689">
        <f t="shared" si="472"/>
        <v>137.5204004844596</v>
      </c>
      <c r="U689">
        <f t="shared" si="472"/>
        <v>172.16536978908456</v>
      </c>
      <c r="V689">
        <f t="shared" si="472"/>
        <v>192.18610422143379</v>
      </c>
      <c r="W689">
        <f t="shared" si="472"/>
        <v>227.13386569865602</v>
      </c>
      <c r="Y689" s="14">
        <f t="shared" si="445"/>
        <v>2855.9092057861317</v>
      </c>
      <c r="Z689">
        <f>SUMPRODUCT($D$691:$W$691,D689:W689)</f>
        <v>-685.79333752197442</v>
      </c>
    </row>
    <row r="690" spans="1:26" x14ac:dyDescent="0.25">
      <c r="A690" t="s">
        <v>674</v>
      </c>
      <c r="D690">
        <f t="shared" ref="D690:W690" si="473">D96*D195</f>
        <v>274.68320177552278</v>
      </c>
      <c r="E690">
        <f t="shared" si="473"/>
        <v>278.95416014802129</v>
      </c>
      <c r="F690">
        <f t="shared" si="473"/>
        <v>242.30169066934502</v>
      </c>
      <c r="G690">
        <f t="shared" si="473"/>
        <v>211.29343234474544</v>
      </c>
      <c r="H690">
        <f t="shared" si="473"/>
        <v>181.30604874009427</v>
      </c>
      <c r="I690">
        <f t="shared" si="473"/>
        <v>124.54372737760961</v>
      </c>
      <c r="J690">
        <f t="shared" si="473"/>
        <v>105.64022017065835</v>
      </c>
      <c r="K690">
        <f t="shared" si="473"/>
        <v>106.78567806986915</v>
      </c>
      <c r="L690">
        <f t="shared" si="473"/>
        <v>83.824403920801231</v>
      </c>
      <c r="M690">
        <f t="shared" si="473"/>
        <v>86.785986158887027</v>
      </c>
      <c r="N690">
        <f t="shared" si="473"/>
        <v>88.79331370024623</v>
      </c>
      <c r="O690">
        <f t="shared" si="473"/>
        <v>94.523416824457257</v>
      </c>
      <c r="P690">
        <f t="shared" si="473"/>
        <v>72.953152420792605</v>
      </c>
      <c r="Q690">
        <f t="shared" si="473"/>
        <v>95.814656989691997</v>
      </c>
      <c r="R690">
        <f t="shared" si="473"/>
        <v>120.57566294499387</v>
      </c>
      <c r="S690">
        <f t="shared" si="473"/>
        <v>126.80497647771006</v>
      </c>
      <c r="T690">
        <f t="shared" si="473"/>
        <v>141.72778439787393</v>
      </c>
      <c r="U690">
        <f t="shared" si="473"/>
        <v>161.03495903070242</v>
      </c>
      <c r="V690">
        <f t="shared" si="473"/>
        <v>161.72323865930611</v>
      </c>
      <c r="W690">
        <f t="shared" si="473"/>
        <v>215.77954089017615</v>
      </c>
      <c r="Y690" s="14">
        <f t="shared" ref="Y690" si="474">SUM(D690:W690)</f>
        <v>2975.8492517115046</v>
      </c>
      <c r="Z690">
        <f>SUMPRODUCT($D$691:$W$691,D690:W690)</f>
        <v>-642.31729592892759</v>
      </c>
    </row>
    <row r="691" spans="1:26" x14ac:dyDescent="0.25">
      <c r="A691" s="2" t="s">
        <v>68</v>
      </c>
      <c r="D691" s="3">
        <f>CORREL($B$2:$B$25,D662:D685)</f>
        <v>9.8798370765660629E-2</v>
      </c>
      <c r="E691" s="3">
        <f t="shared" ref="E691:W691" si="475">CORREL($B$2:$B$25,E662:E685)</f>
        <v>-6.7207264237602871E-2</v>
      </c>
      <c r="F691" s="3">
        <f t="shared" si="475"/>
        <v>-6.4122797539867882E-2</v>
      </c>
      <c r="G691" s="3">
        <f t="shared" si="475"/>
        <v>1.9383308272551796E-2</v>
      </c>
      <c r="H691" s="3">
        <f t="shared" si="475"/>
        <v>3.6199887676851512E-2</v>
      </c>
      <c r="I691" s="3">
        <f t="shared" si="475"/>
        <v>-0.44913548085538013</v>
      </c>
      <c r="J691" s="3">
        <f t="shared" si="475"/>
        <v>-0.55341996551298933</v>
      </c>
      <c r="K691" s="3">
        <f t="shared" si="475"/>
        <v>-0.37106093124936801</v>
      </c>
      <c r="L691" s="3">
        <f t="shared" si="475"/>
        <v>-0.47215465426634762</v>
      </c>
      <c r="M691" s="3">
        <f t="shared" si="475"/>
        <v>-0.2512006665935097</v>
      </c>
      <c r="N691" s="3">
        <f t="shared" si="475"/>
        <v>-0.4372252427140082</v>
      </c>
      <c r="O691" s="3">
        <f t="shared" si="475"/>
        <v>-0.4808170673070663</v>
      </c>
      <c r="P691" s="3">
        <f t="shared" si="475"/>
        <v>-0.62696229803991277</v>
      </c>
      <c r="Q691" s="3">
        <f t="shared" si="475"/>
        <v>-0.36650216329804342</v>
      </c>
      <c r="R691" s="3">
        <f t="shared" si="475"/>
        <v>-0.33786572486950844</v>
      </c>
      <c r="S691" s="3">
        <f t="shared" si="475"/>
        <v>-0.21799592710625598</v>
      </c>
      <c r="T691" s="3">
        <f t="shared" si="475"/>
        <v>-0.27914163119805535</v>
      </c>
      <c r="U691" s="3">
        <f t="shared" si="475"/>
        <v>-0.46180399658458199</v>
      </c>
      <c r="V691" s="3">
        <f t="shared" si="475"/>
        <v>-0.3569144026601539</v>
      </c>
      <c r="W691" s="3">
        <f t="shared" si="475"/>
        <v>-0.11710403340444155</v>
      </c>
    </row>
    <row r="694" spans="1:26" x14ac:dyDescent="0.25">
      <c r="D694" t="s">
        <v>237</v>
      </c>
      <c r="E694" t="s">
        <v>238</v>
      </c>
      <c r="F694" t="s">
        <v>239</v>
      </c>
      <c r="G694" t="s">
        <v>240</v>
      </c>
      <c r="H694" t="s">
        <v>241</v>
      </c>
      <c r="I694" t="s">
        <v>242</v>
      </c>
      <c r="J694" t="s">
        <v>243</v>
      </c>
      <c r="K694" t="s">
        <v>244</v>
      </c>
      <c r="L694" t="s">
        <v>358</v>
      </c>
      <c r="M694" t="s">
        <v>428</v>
      </c>
      <c r="N694" t="s">
        <v>429</v>
      </c>
      <c r="O694" t="s">
        <v>430</v>
      </c>
      <c r="P694" t="s">
        <v>534</v>
      </c>
      <c r="Q694" t="s">
        <v>535</v>
      </c>
      <c r="R694" t="s">
        <v>536</v>
      </c>
      <c r="S694" t="s">
        <v>537</v>
      </c>
      <c r="T694" t="s">
        <v>646</v>
      </c>
      <c r="U694" t="s">
        <v>647</v>
      </c>
      <c r="V694" t="s">
        <v>648</v>
      </c>
      <c r="W694" t="s">
        <v>649</v>
      </c>
      <c r="Y694" t="s">
        <v>245</v>
      </c>
      <c r="Z694" t="s">
        <v>246</v>
      </c>
    </row>
    <row r="695" spans="1:26" x14ac:dyDescent="0.25">
      <c r="A695" t="s">
        <v>43</v>
      </c>
      <c r="D695">
        <f t="shared" ref="D695:W695" si="476">D68*D200</f>
        <v>252.12758700631528</v>
      </c>
      <c r="E695">
        <f t="shared" si="476"/>
        <v>139.81637491086954</v>
      </c>
      <c r="F695">
        <f t="shared" si="476"/>
        <v>198.50488296894397</v>
      </c>
      <c r="G695">
        <f t="shared" si="476"/>
        <v>178.11747233552487</v>
      </c>
      <c r="H695">
        <f t="shared" si="476"/>
        <v>119.15873039058756</v>
      </c>
      <c r="I695">
        <f t="shared" si="476"/>
        <v>128.80618457355988</v>
      </c>
      <c r="J695">
        <f t="shared" si="476"/>
        <v>155.71748127215022</v>
      </c>
      <c r="K695">
        <f t="shared" si="476"/>
        <v>154.53469107092258</v>
      </c>
      <c r="L695">
        <f t="shared" si="476"/>
        <v>104.01452249721937</v>
      </c>
      <c r="M695">
        <f t="shared" si="476"/>
        <v>61.509555154535448</v>
      </c>
      <c r="N695">
        <f t="shared" si="476"/>
        <v>38.733389115940064</v>
      </c>
      <c r="O695">
        <f t="shared" si="476"/>
        <v>43.736003756080166</v>
      </c>
      <c r="P695">
        <f t="shared" si="476"/>
        <v>73.544112219373673</v>
      </c>
      <c r="Q695">
        <f t="shared" si="476"/>
        <v>119.48507603303682</v>
      </c>
      <c r="R695">
        <f t="shared" si="476"/>
        <v>119.63165394446644</v>
      </c>
      <c r="S695">
        <f t="shared" si="476"/>
        <v>221.31527597096454</v>
      </c>
      <c r="T695">
        <f t="shared" si="476"/>
        <v>106.3857142857143</v>
      </c>
      <c r="U695">
        <f t="shared" si="476"/>
        <v>51.715371190617709</v>
      </c>
      <c r="V695">
        <f t="shared" si="476"/>
        <v>62.368314166610169</v>
      </c>
      <c r="W695">
        <f t="shared" si="476"/>
        <v>116.52490372430421</v>
      </c>
      <c r="Y695" s="14">
        <f t="shared" ref="Y695:Y722" si="477">SUM(D695:W695)</f>
        <v>2445.7472965877369</v>
      </c>
      <c r="Z695">
        <f t="shared" ref="Z695:Z718" si="478">SUMPRODUCT($D$724:$W$724,D695:W695)</f>
        <v>-116.04504392652291</v>
      </c>
    </row>
    <row r="696" spans="1:26" x14ac:dyDescent="0.25">
      <c r="A696" t="s">
        <v>44</v>
      </c>
      <c r="D696">
        <f t="shared" ref="D696:W696" si="479">D69*D201</f>
        <v>157.75132418645541</v>
      </c>
      <c r="E696">
        <f t="shared" si="479"/>
        <v>320.72419981165058</v>
      </c>
      <c r="F696">
        <f t="shared" si="479"/>
        <v>318.17048228266407</v>
      </c>
      <c r="G696">
        <f t="shared" si="479"/>
        <v>259.45274614708438</v>
      </c>
      <c r="H696">
        <f t="shared" si="479"/>
        <v>156.38283049993518</v>
      </c>
      <c r="I696">
        <f t="shared" si="479"/>
        <v>120.48450327302231</v>
      </c>
      <c r="J696">
        <f t="shared" si="479"/>
        <v>105.31358618215448</v>
      </c>
      <c r="K696">
        <f t="shared" si="479"/>
        <v>97.980124219522537</v>
      </c>
      <c r="L696">
        <f t="shared" si="479"/>
        <v>41.881138854530725</v>
      </c>
      <c r="M696">
        <f t="shared" si="479"/>
        <v>86.751393570657314</v>
      </c>
      <c r="N696">
        <f t="shared" si="479"/>
        <v>124.98109909413851</v>
      </c>
      <c r="O696">
        <f t="shared" si="479"/>
        <v>79.460537076374663</v>
      </c>
      <c r="P696">
        <f t="shared" si="479"/>
        <v>117.49158869808727</v>
      </c>
      <c r="Q696">
        <f t="shared" si="479"/>
        <v>186.1176690716392</v>
      </c>
      <c r="R696">
        <f t="shared" si="479"/>
        <v>170.62533355201103</v>
      </c>
      <c r="S696">
        <f t="shared" si="479"/>
        <v>226.45542402782525</v>
      </c>
      <c r="T696">
        <f t="shared" si="479"/>
        <v>261.0193808842447</v>
      </c>
      <c r="U696">
        <f t="shared" si="479"/>
        <v>187.77781637786387</v>
      </c>
      <c r="V696">
        <f t="shared" si="479"/>
        <v>173.17140800018893</v>
      </c>
      <c r="W696">
        <f t="shared" si="479"/>
        <v>287.29755260570562</v>
      </c>
      <c r="Y696" s="14">
        <f t="shared" si="477"/>
        <v>3479.2901384157558</v>
      </c>
      <c r="Z696">
        <f t="shared" si="478"/>
        <v>-296.52962619750917</v>
      </c>
    </row>
    <row r="697" spans="1:26" x14ac:dyDescent="0.25">
      <c r="A697" t="s">
        <v>45</v>
      </c>
      <c r="D697">
        <f t="shared" ref="D697:W697" si="480">D70*D202</f>
        <v>358.18361036139362</v>
      </c>
      <c r="E697">
        <f t="shared" si="480"/>
        <v>274.21164676478043</v>
      </c>
      <c r="F697">
        <f t="shared" si="480"/>
        <v>202.26111111917956</v>
      </c>
      <c r="G697">
        <f t="shared" si="480"/>
        <v>228.09688399833291</v>
      </c>
      <c r="H697">
        <f t="shared" si="480"/>
        <v>252.85228970247476</v>
      </c>
      <c r="I697">
        <f t="shared" si="480"/>
        <v>200.48482560560896</v>
      </c>
      <c r="J697">
        <f t="shared" si="480"/>
        <v>149.98217999584332</v>
      </c>
      <c r="K697">
        <f t="shared" si="480"/>
        <v>91.175033258495759</v>
      </c>
      <c r="L697">
        <f t="shared" si="480"/>
        <v>57.872836326432541</v>
      </c>
      <c r="M697">
        <f t="shared" si="480"/>
        <v>117.70438998100011</v>
      </c>
      <c r="N697">
        <f t="shared" si="480"/>
        <v>135.76895097722587</v>
      </c>
      <c r="O697">
        <f t="shared" si="480"/>
        <v>100.29156318480612</v>
      </c>
      <c r="P697">
        <f t="shared" si="480"/>
        <v>116.53585008918682</v>
      </c>
      <c r="Q697">
        <f t="shared" si="480"/>
        <v>130.98773511083044</v>
      </c>
      <c r="R697">
        <f t="shared" si="480"/>
        <v>132.86366465818742</v>
      </c>
      <c r="S697">
        <f t="shared" si="480"/>
        <v>141.57043108507278</v>
      </c>
      <c r="T697">
        <f t="shared" si="480"/>
        <v>159.33725157103524</v>
      </c>
      <c r="U697">
        <f t="shared" si="480"/>
        <v>171.23902022089766</v>
      </c>
      <c r="V697">
        <f t="shared" si="480"/>
        <v>192.24919588102219</v>
      </c>
      <c r="W697">
        <f t="shared" si="480"/>
        <v>274.91179092250223</v>
      </c>
      <c r="Y697" s="14">
        <f t="shared" si="477"/>
        <v>3488.5802608143085</v>
      </c>
      <c r="Z697">
        <f t="shared" si="478"/>
        <v>-158.59664026816375</v>
      </c>
    </row>
    <row r="698" spans="1:26" x14ac:dyDescent="0.25">
      <c r="A698" t="s">
        <v>46</v>
      </c>
      <c r="D698">
        <f t="shared" ref="D698:W698" si="481">D71*D203</f>
        <v>320.21445996428366</v>
      </c>
      <c r="E698">
        <f t="shared" si="481"/>
        <v>228.25511240166747</v>
      </c>
      <c r="F698">
        <f t="shared" si="481"/>
        <v>215.15522477528481</v>
      </c>
      <c r="G698">
        <f t="shared" si="481"/>
        <v>210.82528281745903</v>
      </c>
      <c r="H698">
        <f t="shared" si="481"/>
        <v>167.96967773312821</v>
      </c>
      <c r="I698">
        <f t="shared" si="481"/>
        <v>164.4460324872708</v>
      </c>
      <c r="J698">
        <f t="shared" si="481"/>
        <v>139.34365265976112</v>
      </c>
      <c r="K698">
        <f t="shared" si="481"/>
        <v>147.80234618611723</v>
      </c>
      <c r="L698">
        <f t="shared" si="481"/>
        <v>103.45223502480448</v>
      </c>
      <c r="M698">
        <f t="shared" si="481"/>
        <v>59.931919493023813</v>
      </c>
      <c r="N698">
        <f t="shared" si="481"/>
        <v>108.96263976591869</v>
      </c>
      <c r="O698">
        <f t="shared" si="481"/>
        <v>93.603485744729753</v>
      </c>
      <c r="P698">
        <f t="shared" si="481"/>
        <v>109.80638379572972</v>
      </c>
      <c r="Q698">
        <f t="shared" si="481"/>
        <v>121.55214401057103</v>
      </c>
      <c r="R698">
        <f t="shared" si="481"/>
        <v>118.39168944779368</v>
      </c>
      <c r="S698">
        <f t="shared" si="481"/>
        <v>115.4459435750754</v>
      </c>
      <c r="T698">
        <f t="shared" si="481"/>
        <v>159.00286905120058</v>
      </c>
      <c r="U698">
        <f t="shared" si="481"/>
        <v>190.44366577207222</v>
      </c>
      <c r="V698">
        <f t="shared" si="481"/>
        <v>146.33939896287842</v>
      </c>
      <c r="W698">
        <f t="shared" si="481"/>
        <v>170.47633086768354</v>
      </c>
      <c r="Y698" s="14">
        <f t="shared" si="477"/>
        <v>3091.4204945364531</v>
      </c>
      <c r="Z698">
        <f t="shared" si="478"/>
        <v>-159.91830315521662</v>
      </c>
    </row>
    <row r="699" spans="1:26" x14ac:dyDescent="0.25">
      <c r="A699" t="s">
        <v>47</v>
      </c>
      <c r="D699">
        <f t="shared" ref="D699:W699" si="482">D72*D204</f>
        <v>308.52479679230447</v>
      </c>
      <c r="E699">
        <f t="shared" si="482"/>
        <v>172.66739787306454</v>
      </c>
      <c r="F699">
        <f t="shared" si="482"/>
        <v>144.62416723233548</v>
      </c>
      <c r="G699">
        <f t="shared" si="482"/>
        <v>196.25548552920975</v>
      </c>
      <c r="H699">
        <f t="shared" si="482"/>
        <v>167.36006373467421</v>
      </c>
      <c r="I699">
        <f t="shared" si="482"/>
        <v>161.23536783792898</v>
      </c>
      <c r="J699">
        <f t="shared" si="482"/>
        <v>152.47902242342403</v>
      </c>
      <c r="K699">
        <f t="shared" si="482"/>
        <v>121.56354119221702</v>
      </c>
      <c r="L699">
        <f t="shared" si="482"/>
        <v>93.757840377884634</v>
      </c>
      <c r="M699">
        <f t="shared" si="482"/>
        <v>101.63606092559387</v>
      </c>
      <c r="N699">
        <f t="shared" si="482"/>
        <v>75.793106873096932</v>
      </c>
      <c r="O699">
        <f t="shared" si="482"/>
        <v>96.221864631015094</v>
      </c>
      <c r="P699">
        <f t="shared" si="482"/>
        <v>132.38728376481106</v>
      </c>
      <c r="Q699">
        <f t="shared" si="482"/>
        <v>103.3820289154035</v>
      </c>
      <c r="R699">
        <f t="shared" si="482"/>
        <v>91.078437968495749</v>
      </c>
      <c r="S699">
        <f t="shared" si="482"/>
        <v>93.09091750261409</v>
      </c>
      <c r="T699">
        <f t="shared" si="482"/>
        <v>107.88759157107384</v>
      </c>
      <c r="U699">
        <f t="shared" si="482"/>
        <v>144.72295334420363</v>
      </c>
      <c r="V699">
        <f t="shared" si="482"/>
        <v>196.19580073190977</v>
      </c>
      <c r="W699">
        <f t="shared" si="482"/>
        <v>249.85145472550428</v>
      </c>
      <c r="Y699" s="14">
        <f t="shared" si="477"/>
        <v>2910.7151839467651</v>
      </c>
      <c r="Z699">
        <f t="shared" si="478"/>
        <v>-153.38059572312014</v>
      </c>
    </row>
    <row r="700" spans="1:26" x14ac:dyDescent="0.25">
      <c r="A700" t="s">
        <v>48</v>
      </c>
      <c r="D700">
        <f t="shared" ref="D700:W700" si="483">D73*D205</f>
        <v>171.85183971051634</v>
      </c>
      <c r="E700">
        <f t="shared" si="483"/>
        <v>178.49599075097407</v>
      </c>
      <c r="F700">
        <f t="shared" si="483"/>
        <v>142.77537179582845</v>
      </c>
      <c r="G700">
        <f t="shared" si="483"/>
        <v>157.36601812723831</v>
      </c>
      <c r="H700">
        <f t="shared" si="483"/>
        <v>108.99963478008652</v>
      </c>
      <c r="I700">
        <f t="shared" si="483"/>
        <v>148.01147161883753</v>
      </c>
      <c r="J700">
        <f t="shared" si="483"/>
        <v>180.29050813540653</v>
      </c>
      <c r="K700">
        <f t="shared" si="483"/>
        <v>188.79434212585915</v>
      </c>
      <c r="L700">
        <f t="shared" si="483"/>
        <v>105.11543933526087</v>
      </c>
      <c r="M700">
        <f t="shared" si="483"/>
        <v>156.74372059611437</v>
      </c>
      <c r="N700">
        <f t="shared" si="483"/>
        <v>191.4266674902176</v>
      </c>
      <c r="O700">
        <f t="shared" si="483"/>
        <v>96.657475242305779</v>
      </c>
      <c r="P700">
        <f t="shared" si="483"/>
        <v>100.00223807523143</v>
      </c>
      <c r="Q700">
        <f t="shared" si="483"/>
        <v>96.147725799800057</v>
      </c>
      <c r="R700">
        <f t="shared" si="483"/>
        <v>91.909237051551713</v>
      </c>
      <c r="S700">
        <f t="shared" si="483"/>
        <v>94.219908568401394</v>
      </c>
      <c r="T700">
        <f t="shared" si="483"/>
        <v>97.862423754364428</v>
      </c>
      <c r="U700">
        <f t="shared" si="483"/>
        <v>113.60985870175357</v>
      </c>
      <c r="V700">
        <f t="shared" si="483"/>
        <v>164.23926428135678</v>
      </c>
      <c r="W700">
        <f t="shared" si="483"/>
        <v>178.34586966706166</v>
      </c>
      <c r="Y700" s="14">
        <f t="shared" si="477"/>
        <v>2762.8650056081665</v>
      </c>
      <c r="Z700">
        <f t="shared" si="478"/>
        <v>-272.99778545741935</v>
      </c>
    </row>
    <row r="701" spans="1:26" x14ac:dyDescent="0.25">
      <c r="A701" t="s">
        <v>49</v>
      </c>
      <c r="D701">
        <f t="shared" ref="D701:W701" si="484">D74*D206</f>
        <v>465.0518193654155</v>
      </c>
      <c r="E701">
        <f t="shared" si="484"/>
        <v>313.83939287436101</v>
      </c>
      <c r="F701">
        <f t="shared" si="484"/>
        <v>320.50807404101806</v>
      </c>
      <c r="G701">
        <f t="shared" si="484"/>
        <v>203.41187967965809</v>
      </c>
      <c r="H701">
        <f t="shared" si="484"/>
        <v>126.04989337730298</v>
      </c>
      <c r="I701">
        <f t="shared" si="484"/>
        <v>176.24290181801393</v>
      </c>
      <c r="J701">
        <f t="shared" si="484"/>
        <v>67.546102013553011</v>
      </c>
      <c r="K701">
        <f t="shared" si="484"/>
        <v>81.087504364579857</v>
      </c>
      <c r="L701">
        <f t="shared" si="484"/>
        <v>68.132638902869175</v>
      </c>
      <c r="M701">
        <f t="shared" si="484"/>
        <v>72.390002459949955</v>
      </c>
      <c r="N701">
        <f t="shared" si="484"/>
        <v>108.58961569415602</v>
      </c>
      <c r="O701">
        <f t="shared" si="484"/>
        <v>104.41363976896115</v>
      </c>
      <c r="P701">
        <f t="shared" si="484"/>
        <v>94.089064600531316</v>
      </c>
      <c r="Q701">
        <f t="shared" si="484"/>
        <v>93.634061306915811</v>
      </c>
      <c r="R701">
        <f t="shared" si="484"/>
        <v>132.8562113268888</v>
      </c>
      <c r="S701">
        <f t="shared" si="484"/>
        <v>105.53188287430888</v>
      </c>
      <c r="T701">
        <f t="shared" si="484"/>
        <v>103.476925139006</v>
      </c>
      <c r="U701">
        <f t="shared" si="484"/>
        <v>187.25615740980106</v>
      </c>
      <c r="V701">
        <f t="shared" si="484"/>
        <v>204.22250295998887</v>
      </c>
      <c r="W701">
        <f t="shared" si="484"/>
        <v>410.51551028372762</v>
      </c>
      <c r="Y701" s="14">
        <f t="shared" si="477"/>
        <v>3438.8457802610083</v>
      </c>
      <c r="Z701">
        <f t="shared" si="478"/>
        <v>-10.880439240529135</v>
      </c>
    </row>
    <row r="702" spans="1:26" x14ac:dyDescent="0.25">
      <c r="A702" t="s">
        <v>50</v>
      </c>
      <c r="D702">
        <f t="shared" ref="D702:W702" si="485">D75*D207</f>
        <v>318.91933474326493</v>
      </c>
      <c r="E702">
        <f t="shared" si="485"/>
        <v>253.74896686186355</v>
      </c>
      <c r="F702">
        <f t="shared" si="485"/>
        <v>263.90647278278732</v>
      </c>
      <c r="G702">
        <f t="shared" si="485"/>
        <v>240.04808719037277</v>
      </c>
      <c r="H702">
        <f t="shared" si="485"/>
        <v>264.7934333315672</v>
      </c>
      <c r="I702">
        <f t="shared" si="485"/>
        <v>220.18699650376973</v>
      </c>
      <c r="J702">
        <f t="shared" si="485"/>
        <v>217.56847033517931</v>
      </c>
      <c r="K702">
        <f t="shared" si="485"/>
        <v>174.01111898228697</v>
      </c>
      <c r="L702">
        <f t="shared" si="485"/>
        <v>104.39615874824889</v>
      </c>
      <c r="M702">
        <f t="shared" si="485"/>
        <v>219.74430316193184</v>
      </c>
      <c r="N702">
        <f t="shared" si="485"/>
        <v>177.05245071496583</v>
      </c>
      <c r="O702">
        <f t="shared" si="485"/>
        <v>91.757284712748145</v>
      </c>
      <c r="P702">
        <f t="shared" si="485"/>
        <v>174.94101057198878</v>
      </c>
      <c r="Q702">
        <f t="shared" si="485"/>
        <v>198.20128416429941</v>
      </c>
      <c r="R702">
        <f t="shared" si="485"/>
        <v>239.30859732751833</v>
      </c>
      <c r="S702">
        <f t="shared" si="485"/>
        <v>252.51569120512889</v>
      </c>
      <c r="T702">
        <f t="shared" si="485"/>
        <v>315.37635245956255</v>
      </c>
      <c r="U702">
        <f t="shared" si="485"/>
        <v>228.92872649236207</v>
      </c>
      <c r="V702">
        <f t="shared" si="485"/>
        <v>204.8661717007075</v>
      </c>
      <c r="W702">
        <f t="shared" si="485"/>
        <v>317.30695387828553</v>
      </c>
      <c r="Y702" s="14">
        <f t="shared" si="477"/>
        <v>4477.5778658688396</v>
      </c>
      <c r="Z702">
        <f t="shared" si="478"/>
        <v>-390.05672859198114</v>
      </c>
    </row>
    <row r="703" spans="1:26" x14ac:dyDescent="0.25">
      <c r="A703" t="s">
        <v>51</v>
      </c>
      <c r="D703">
        <f t="shared" ref="D703:W703" si="486">D76*D208</f>
        <v>254.30394007759025</v>
      </c>
      <c r="E703">
        <f t="shared" si="486"/>
        <v>194.27544122568236</v>
      </c>
      <c r="F703">
        <f t="shared" si="486"/>
        <v>245.88998560180357</v>
      </c>
      <c r="G703">
        <f t="shared" si="486"/>
        <v>271.8571265265229</v>
      </c>
      <c r="H703">
        <f t="shared" si="486"/>
        <v>223.30240260884514</v>
      </c>
      <c r="I703">
        <f t="shared" si="486"/>
        <v>124.14105819378572</v>
      </c>
      <c r="J703">
        <f t="shared" si="486"/>
        <v>122.57085637163355</v>
      </c>
      <c r="K703">
        <f t="shared" si="486"/>
        <v>172.2241829274233</v>
      </c>
      <c r="L703">
        <f t="shared" si="486"/>
        <v>116.70545918781954</v>
      </c>
      <c r="M703">
        <f t="shared" si="486"/>
        <v>77.817712332019681</v>
      </c>
      <c r="N703">
        <f t="shared" si="486"/>
        <v>121.33483741914239</v>
      </c>
      <c r="O703">
        <f t="shared" si="486"/>
        <v>64.509364875494356</v>
      </c>
      <c r="P703">
        <f t="shared" si="486"/>
        <v>78.564534225634461</v>
      </c>
      <c r="Q703">
        <f t="shared" si="486"/>
        <v>149.41830294246944</v>
      </c>
      <c r="R703">
        <f t="shared" si="486"/>
        <v>132.9844765399169</v>
      </c>
      <c r="S703">
        <f t="shared" si="486"/>
        <v>130.30298985517263</v>
      </c>
      <c r="T703">
        <f t="shared" si="486"/>
        <v>154.51880006956944</v>
      </c>
      <c r="U703">
        <f t="shared" si="486"/>
        <v>122.01840641255846</v>
      </c>
      <c r="V703">
        <f t="shared" si="486"/>
        <v>144.13374630432492</v>
      </c>
      <c r="W703">
        <f t="shared" si="486"/>
        <v>302.63830721276753</v>
      </c>
      <c r="Y703" s="14">
        <f t="shared" si="477"/>
        <v>3203.5119309101765</v>
      </c>
      <c r="Z703">
        <f t="shared" si="478"/>
        <v>-156.1964772992844</v>
      </c>
    </row>
    <row r="704" spans="1:26" x14ac:dyDescent="0.25">
      <c r="A704" t="s">
        <v>52</v>
      </c>
      <c r="D704">
        <f t="shared" ref="D704:W704" si="487">D77*D209</f>
        <v>381.53088284264817</v>
      </c>
      <c r="E704">
        <f t="shared" si="487"/>
        <v>251.83156586668198</v>
      </c>
      <c r="F704">
        <f t="shared" si="487"/>
        <v>201.6325794030584</v>
      </c>
      <c r="G704">
        <f t="shared" si="487"/>
        <v>245.74462816474474</v>
      </c>
      <c r="H704">
        <f t="shared" si="487"/>
        <v>213.17389538557538</v>
      </c>
      <c r="I704">
        <f t="shared" si="487"/>
        <v>235.31541017145128</v>
      </c>
      <c r="J704">
        <f t="shared" si="487"/>
        <v>127.41990000068515</v>
      </c>
      <c r="K704">
        <f t="shared" si="487"/>
        <v>179.86972169355539</v>
      </c>
      <c r="L704">
        <f t="shared" si="487"/>
        <v>151.61855076267847</v>
      </c>
      <c r="M704">
        <f t="shared" si="487"/>
        <v>174.90828059440059</v>
      </c>
      <c r="N704">
        <f t="shared" si="487"/>
        <v>179.59309083273121</v>
      </c>
      <c r="O704">
        <f t="shared" si="487"/>
        <v>158.28174249148674</v>
      </c>
      <c r="P704">
        <f t="shared" si="487"/>
        <v>132.44894502278484</v>
      </c>
      <c r="Q704">
        <f t="shared" si="487"/>
        <v>160.75617898065974</v>
      </c>
      <c r="R704">
        <f t="shared" si="487"/>
        <v>134.0701627983297</v>
      </c>
      <c r="S704">
        <f t="shared" si="487"/>
        <v>184.82795346324815</v>
      </c>
      <c r="T704">
        <f t="shared" si="487"/>
        <v>183.57618144250881</v>
      </c>
      <c r="U704">
        <f t="shared" si="487"/>
        <v>191.41004312048585</v>
      </c>
      <c r="V704">
        <f t="shared" si="487"/>
        <v>289.43820960768915</v>
      </c>
      <c r="W704">
        <f t="shared" si="487"/>
        <v>312.97525548567728</v>
      </c>
      <c r="Y704" s="14">
        <f t="shared" si="477"/>
        <v>4090.4231781310818</v>
      </c>
      <c r="Z704">
        <f t="shared" si="478"/>
        <v>-258.96745998160441</v>
      </c>
    </row>
    <row r="705" spans="1:26" x14ac:dyDescent="0.25">
      <c r="A705" t="s">
        <v>53</v>
      </c>
      <c r="D705">
        <f t="shared" ref="D705:W705" si="488">D78*D210</f>
        <v>374.85020975938193</v>
      </c>
      <c r="E705">
        <f t="shared" si="488"/>
        <v>240.12740896880672</v>
      </c>
      <c r="F705">
        <f t="shared" si="488"/>
        <v>206.88347084459923</v>
      </c>
      <c r="G705">
        <f t="shared" si="488"/>
        <v>163.83152309315685</v>
      </c>
      <c r="H705">
        <f t="shared" si="488"/>
        <v>95.785171569176953</v>
      </c>
      <c r="I705">
        <f t="shared" si="488"/>
        <v>100.68614040287332</v>
      </c>
      <c r="J705">
        <f t="shared" si="488"/>
        <v>119.32665657588991</v>
      </c>
      <c r="K705">
        <f t="shared" si="488"/>
        <v>119.24404658752267</v>
      </c>
      <c r="L705">
        <f t="shared" si="488"/>
        <v>89.140185683448337</v>
      </c>
      <c r="M705">
        <f t="shared" si="488"/>
        <v>105.8626576771553</v>
      </c>
      <c r="N705">
        <f t="shared" si="488"/>
        <v>77.447405670057748</v>
      </c>
      <c r="O705">
        <f t="shared" si="488"/>
        <v>148.85501668647129</v>
      </c>
      <c r="P705">
        <f t="shared" si="488"/>
        <v>120.39605540349086</v>
      </c>
      <c r="Q705">
        <f t="shared" si="488"/>
        <v>95.89907062385393</v>
      </c>
      <c r="R705">
        <f t="shared" si="488"/>
        <v>169.89690581325837</v>
      </c>
      <c r="S705">
        <f t="shared" si="488"/>
        <v>231.70578154295157</v>
      </c>
      <c r="T705">
        <f t="shared" si="488"/>
        <v>227.95493036020108</v>
      </c>
      <c r="U705">
        <f t="shared" si="488"/>
        <v>221.69608836296013</v>
      </c>
      <c r="V705">
        <f t="shared" si="488"/>
        <v>142.26103630480333</v>
      </c>
      <c r="W705">
        <f t="shared" si="488"/>
        <v>150.88581464469522</v>
      </c>
      <c r="Y705" s="14">
        <f t="shared" si="477"/>
        <v>3202.7355765747548</v>
      </c>
      <c r="Z705">
        <f t="shared" si="478"/>
        <v>-189.10761256100844</v>
      </c>
    </row>
    <row r="706" spans="1:26" x14ac:dyDescent="0.25">
      <c r="A706" t="s">
        <v>54</v>
      </c>
      <c r="D706">
        <f t="shared" ref="D706:W706" si="489">D79*D211</f>
        <v>163.39524776744739</v>
      </c>
      <c r="E706">
        <f t="shared" si="489"/>
        <v>183.95447525640722</v>
      </c>
      <c r="F706">
        <f t="shared" si="489"/>
        <v>176.52281589083481</v>
      </c>
      <c r="G706">
        <f t="shared" si="489"/>
        <v>126.93813651973173</v>
      </c>
      <c r="H706">
        <f t="shared" si="489"/>
        <v>89.374928694869382</v>
      </c>
      <c r="I706">
        <f t="shared" si="489"/>
        <v>73.944529009779927</v>
      </c>
      <c r="J706">
        <f t="shared" si="489"/>
        <v>80.885276574094433</v>
      </c>
      <c r="K706">
        <f t="shared" si="489"/>
        <v>96.225310229604204</v>
      </c>
      <c r="L706">
        <f t="shared" si="489"/>
        <v>82.618822569717892</v>
      </c>
      <c r="M706">
        <f t="shared" si="489"/>
        <v>83.75037164757741</v>
      </c>
      <c r="N706">
        <f t="shared" si="489"/>
        <v>96.090955447680869</v>
      </c>
      <c r="O706">
        <f t="shared" si="489"/>
        <v>93.786074794942309</v>
      </c>
      <c r="P706">
        <f t="shared" si="489"/>
        <v>108.8527702823374</v>
      </c>
      <c r="Q706">
        <f t="shared" si="489"/>
        <v>98.823401608732055</v>
      </c>
      <c r="R706">
        <f t="shared" si="489"/>
        <v>81.48290903580741</v>
      </c>
      <c r="S706">
        <f t="shared" si="489"/>
        <v>72.349290779079524</v>
      </c>
      <c r="T706">
        <f t="shared" si="489"/>
        <v>120.96534600807207</v>
      </c>
      <c r="U706">
        <f t="shared" si="489"/>
        <v>149.54315117159814</v>
      </c>
      <c r="V706">
        <f t="shared" si="489"/>
        <v>138.763616213538</v>
      </c>
      <c r="W706">
        <f t="shared" si="489"/>
        <v>186.34169331559323</v>
      </c>
      <c r="Y706" s="14">
        <f t="shared" si="477"/>
        <v>2304.609122817445</v>
      </c>
      <c r="Z706">
        <f t="shared" si="478"/>
        <v>-190.59475910564797</v>
      </c>
    </row>
    <row r="707" spans="1:26" x14ac:dyDescent="0.25">
      <c r="A707" t="s">
        <v>55</v>
      </c>
      <c r="D707">
        <f t="shared" ref="D707:W707" si="490">D80*D212</f>
        <v>222.73397984864778</v>
      </c>
      <c r="E707">
        <f t="shared" si="490"/>
        <v>178.91175530597627</v>
      </c>
      <c r="F707">
        <f t="shared" si="490"/>
        <v>142.03951873225529</v>
      </c>
      <c r="G707">
        <f t="shared" si="490"/>
        <v>133.05749984089795</v>
      </c>
      <c r="H707">
        <f t="shared" si="490"/>
        <v>79.398583325300109</v>
      </c>
      <c r="I707">
        <f t="shared" si="490"/>
        <v>68.010650737011048</v>
      </c>
      <c r="J707">
        <f t="shared" si="490"/>
        <v>71.827111585861672</v>
      </c>
      <c r="K707">
        <f t="shared" si="490"/>
        <v>71.207946426765389</v>
      </c>
      <c r="L707">
        <f t="shared" si="490"/>
        <v>77.276108916100995</v>
      </c>
      <c r="M707">
        <f t="shared" si="490"/>
        <v>94.321391301018409</v>
      </c>
      <c r="N707">
        <f t="shared" si="490"/>
        <v>100.72570784018622</v>
      </c>
      <c r="O707">
        <f t="shared" si="490"/>
        <v>152.27076395085879</v>
      </c>
      <c r="P707">
        <f t="shared" si="490"/>
        <v>67.900850784957427</v>
      </c>
      <c r="Q707">
        <f t="shared" si="490"/>
        <v>97.471703754586244</v>
      </c>
      <c r="R707">
        <f t="shared" si="490"/>
        <v>67.624453973408805</v>
      </c>
      <c r="S707">
        <f t="shared" si="490"/>
        <v>92.058303663988937</v>
      </c>
      <c r="T707">
        <f t="shared" si="490"/>
        <v>104.62391194074333</v>
      </c>
      <c r="U707">
        <f t="shared" si="490"/>
        <v>107.38270484306628</v>
      </c>
      <c r="V707">
        <f t="shared" si="490"/>
        <v>105.86716042494794</v>
      </c>
      <c r="W707">
        <f t="shared" si="490"/>
        <v>319.41833543713921</v>
      </c>
      <c r="Y707" s="14">
        <f t="shared" si="477"/>
        <v>2354.1284426337179</v>
      </c>
      <c r="Z707">
        <f t="shared" si="478"/>
        <v>-125.15533587512964</v>
      </c>
    </row>
    <row r="708" spans="1:26" x14ac:dyDescent="0.25">
      <c r="A708" t="s">
        <v>56</v>
      </c>
      <c r="D708">
        <f t="shared" ref="D708:W708" si="491">D81*D213</f>
        <v>339.861207363338</v>
      </c>
      <c r="E708">
        <f t="shared" si="491"/>
        <v>186.03308124473509</v>
      </c>
      <c r="F708">
        <f t="shared" si="491"/>
        <v>145.02637346690983</v>
      </c>
      <c r="G708">
        <f t="shared" si="491"/>
        <v>168.87361388065352</v>
      </c>
      <c r="H708">
        <f t="shared" si="491"/>
        <v>113.49832515973137</v>
      </c>
      <c r="I708">
        <f t="shared" si="491"/>
        <v>98.793679379256091</v>
      </c>
      <c r="J708">
        <f t="shared" si="491"/>
        <v>139.05724009460326</v>
      </c>
      <c r="K708">
        <f t="shared" si="491"/>
        <v>129.32969597293993</v>
      </c>
      <c r="L708">
        <f t="shared" si="491"/>
        <v>114.10091860103933</v>
      </c>
      <c r="M708">
        <f t="shared" si="491"/>
        <v>141.73123156118942</v>
      </c>
      <c r="N708">
        <f t="shared" si="491"/>
        <v>190.25856204565852</v>
      </c>
      <c r="O708">
        <f t="shared" si="491"/>
        <v>130.91811421877972</v>
      </c>
      <c r="P708">
        <f t="shared" si="491"/>
        <v>151.04411777539332</v>
      </c>
      <c r="Q708">
        <f t="shared" si="491"/>
        <v>172.24059552169416</v>
      </c>
      <c r="R708">
        <f t="shared" si="491"/>
        <v>150.05987837007797</v>
      </c>
      <c r="S708">
        <f t="shared" si="491"/>
        <v>261.84236708243867</v>
      </c>
      <c r="T708">
        <f t="shared" si="491"/>
        <v>327.13285443132867</v>
      </c>
      <c r="U708">
        <f t="shared" si="491"/>
        <v>196.43470292339791</v>
      </c>
      <c r="V708">
        <f t="shared" si="491"/>
        <v>152.48638696318631</v>
      </c>
      <c r="W708">
        <f t="shared" si="491"/>
        <v>261.84236708243867</v>
      </c>
      <c r="Y708" s="14">
        <f t="shared" si="477"/>
        <v>3570.5653131387894</v>
      </c>
      <c r="Z708">
        <f t="shared" si="478"/>
        <v>-308.05595946134179</v>
      </c>
    </row>
    <row r="709" spans="1:26" x14ac:dyDescent="0.25">
      <c r="A709" t="s">
        <v>57</v>
      </c>
      <c r="D709">
        <f t="shared" ref="D709:W709" si="492">D82*D214</f>
        <v>236.54903499382976</v>
      </c>
      <c r="E709">
        <f t="shared" si="492"/>
        <v>257.9245608332414</v>
      </c>
      <c r="F709">
        <f t="shared" si="492"/>
        <v>268.15006385318412</v>
      </c>
      <c r="G709">
        <f t="shared" si="492"/>
        <v>245.09248773060645</v>
      </c>
      <c r="H709">
        <f t="shared" si="492"/>
        <v>166.08661671547665</v>
      </c>
      <c r="I709">
        <f t="shared" si="492"/>
        <v>148.19868283386279</v>
      </c>
      <c r="J709">
        <f t="shared" si="492"/>
        <v>114.69632139008179</v>
      </c>
      <c r="K709">
        <f t="shared" si="492"/>
        <v>148.36072159648327</v>
      </c>
      <c r="L709">
        <f t="shared" si="492"/>
        <v>60.741769136254412</v>
      </c>
      <c r="M709">
        <f t="shared" si="492"/>
        <v>133.62418624503954</v>
      </c>
      <c r="N709">
        <f t="shared" si="492"/>
        <v>136.80508418005886</v>
      </c>
      <c r="O709">
        <f t="shared" si="492"/>
        <v>128.4925254355804</v>
      </c>
      <c r="P709">
        <f t="shared" si="492"/>
        <v>159.14733952100286</v>
      </c>
      <c r="Q709">
        <f t="shared" si="492"/>
        <v>154.78457374200909</v>
      </c>
      <c r="R709">
        <f t="shared" si="492"/>
        <v>255.71177218610981</v>
      </c>
      <c r="S709">
        <f t="shared" si="492"/>
        <v>198.76633794436313</v>
      </c>
      <c r="T709">
        <f t="shared" si="492"/>
        <v>220.07252697477193</v>
      </c>
      <c r="U709">
        <f t="shared" si="492"/>
        <v>234.15711292857523</v>
      </c>
      <c r="V709">
        <f t="shared" si="492"/>
        <v>245.83582575953278</v>
      </c>
      <c r="W709">
        <f t="shared" si="492"/>
        <v>310.57153994842452</v>
      </c>
      <c r="Y709" s="14">
        <f t="shared" si="477"/>
        <v>3823.7690839484885</v>
      </c>
      <c r="Z709">
        <f t="shared" si="478"/>
        <v>-345.49711968936867</v>
      </c>
    </row>
    <row r="710" spans="1:26" x14ac:dyDescent="0.25">
      <c r="A710" t="s">
        <v>58</v>
      </c>
      <c r="D710">
        <f t="shared" ref="D710:W710" si="493">D83*D215</f>
        <v>199.06679083585286</v>
      </c>
      <c r="E710">
        <f t="shared" si="493"/>
        <v>222.4463592628546</v>
      </c>
      <c r="F710">
        <f t="shared" si="493"/>
        <v>150.33969557948802</v>
      </c>
      <c r="G710">
        <f t="shared" si="493"/>
        <v>172.45046042587339</v>
      </c>
      <c r="H710">
        <f t="shared" si="493"/>
        <v>175.32927384529438</v>
      </c>
      <c r="I710">
        <f t="shared" si="493"/>
        <v>82.343859747690843</v>
      </c>
      <c r="J710">
        <f t="shared" si="493"/>
        <v>109.71130187519415</v>
      </c>
      <c r="K710">
        <f t="shared" si="493"/>
        <v>87.044716207397769</v>
      </c>
      <c r="L710">
        <f t="shared" si="493"/>
        <v>59.128531779864318</v>
      </c>
      <c r="M710">
        <f t="shared" si="493"/>
        <v>23.540975144259679</v>
      </c>
      <c r="N710">
        <f t="shared" si="493"/>
        <v>98.204904023934844</v>
      </c>
      <c r="O710">
        <f t="shared" si="493"/>
        <v>84.41278938913203</v>
      </c>
      <c r="P710">
        <f t="shared" si="493"/>
        <v>95.645688894951718</v>
      </c>
      <c r="Q710">
        <f t="shared" si="493"/>
        <v>74.08332373758509</v>
      </c>
      <c r="R710">
        <f t="shared" si="493"/>
        <v>56.612703414894987</v>
      </c>
      <c r="S710">
        <f t="shared" si="493"/>
        <v>77.416797472655574</v>
      </c>
      <c r="T710">
        <f t="shared" si="493"/>
        <v>97.263217788456558</v>
      </c>
      <c r="U710">
        <f t="shared" si="493"/>
        <v>92.09621545648551</v>
      </c>
      <c r="V710">
        <f t="shared" si="493"/>
        <v>83.252856793811645</v>
      </c>
      <c r="W710">
        <f t="shared" si="493"/>
        <v>109.6537765018321</v>
      </c>
      <c r="Y710" s="14">
        <f t="shared" si="477"/>
        <v>2150.0442381775101</v>
      </c>
      <c r="Z710">
        <f t="shared" si="478"/>
        <v>-101.21454092924537</v>
      </c>
    </row>
    <row r="711" spans="1:26" x14ac:dyDescent="0.25">
      <c r="A711" t="s">
        <v>59</v>
      </c>
      <c r="D711">
        <f t="shared" ref="D711:W711" si="494">D84*D216</f>
        <v>153.06421791771132</v>
      </c>
      <c r="E711">
        <f t="shared" si="494"/>
        <v>171.59122718671867</v>
      </c>
      <c r="F711">
        <f t="shared" si="494"/>
        <v>131.46939355260668</v>
      </c>
      <c r="G711">
        <f t="shared" si="494"/>
        <v>153.86589973309111</v>
      </c>
      <c r="H711">
        <f t="shared" si="494"/>
        <v>133.74335493070336</v>
      </c>
      <c r="I711">
        <f t="shared" si="494"/>
        <v>92.306639600473957</v>
      </c>
      <c r="J711">
        <f t="shared" si="494"/>
        <v>69.874473561755579</v>
      </c>
      <c r="K711">
        <f t="shared" si="494"/>
        <v>87.489180689330865</v>
      </c>
      <c r="L711">
        <f t="shared" si="494"/>
        <v>93.903581951313015</v>
      </c>
      <c r="M711">
        <f t="shared" si="494"/>
        <v>86.140147687606813</v>
      </c>
      <c r="N711">
        <f t="shared" si="494"/>
        <v>51.709266733951658</v>
      </c>
      <c r="O711">
        <f t="shared" si="494"/>
        <v>35.574025652368533</v>
      </c>
      <c r="P711">
        <f t="shared" si="494"/>
        <v>45.505996033153117</v>
      </c>
      <c r="Q711">
        <f t="shared" si="494"/>
        <v>60.347950950271006</v>
      </c>
      <c r="R711">
        <f t="shared" si="494"/>
        <v>101.69377180705631</v>
      </c>
      <c r="S711">
        <f t="shared" si="494"/>
        <v>113.59119007093619</v>
      </c>
      <c r="T711">
        <f t="shared" si="494"/>
        <v>31.888346815859791</v>
      </c>
      <c r="U711">
        <f t="shared" si="494"/>
        <v>112.40904303181793</v>
      </c>
      <c r="V711">
        <f t="shared" si="494"/>
        <v>139.78430356688619</v>
      </c>
      <c r="W711">
        <f t="shared" si="494"/>
        <v>93.221185338891019</v>
      </c>
      <c r="Y711" s="14">
        <f t="shared" si="477"/>
        <v>1959.173196812503</v>
      </c>
      <c r="Z711">
        <f t="shared" si="478"/>
        <v>-102.64407908294672</v>
      </c>
    </row>
    <row r="712" spans="1:26" x14ac:dyDescent="0.25">
      <c r="A712" t="s">
        <v>60</v>
      </c>
      <c r="D712">
        <f t="shared" ref="D712:W712" si="495">D85*D217</f>
        <v>134.93646552227153</v>
      </c>
      <c r="E712">
        <f t="shared" si="495"/>
        <v>131.50629693789196</v>
      </c>
      <c r="F712">
        <f t="shared" si="495"/>
        <v>110.68920871001676</v>
      </c>
      <c r="G712">
        <f t="shared" si="495"/>
        <v>62.524456334601162</v>
      </c>
      <c r="H712">
        <f t="shared" si="495"/>
        <v>69.925107431833254</v>
      </c>
      <c r="I712">
        <f t="shared" si="495"/>
        <v>92.729003249350171</v>
      </c>
      <c r="J712">
        <f t="shared" si="495"/>
        <v>49.767315078645019</v>
      </c>
      <c r="K712">
        <f t="shared" si="495"/>
        <v>57.804228829920064</v>
      </c>
      <c r="L712">
        <f t="shared" si="495"/>
        <v>35.587209577820403</v>
      </c>
      <c r="M712">
        <f t="shared" si="495"/>
        <v>79.164497355159696</v>
      </c>
      <c r="N712">
        <f t="shared" si="495"/>
        <v>67.049251128866032</v>
      </c>
      <c r="O712">
        <f t="shared" si="495"/>
        <v>95.452923256073888</v>
      </c>
      <c r="P712">
        <f t="shared" si="495"/>
        <v>47.006680618557219</v>
      </c>
      <c r="Q712">
        <f t="shared" si="495"/>
        <v>69.666871793335076</v>
      </c>
      <c r="R712">
        <f t="shared" si="495"/>
        <v>53.071838043361787</v>
      </c>
      <c r="S712">
        <f t="shared" si="495"/>
        <v>72.800727390714243</v>
      </c>
      <c r="T712">
        <f t="shared" si="495"/>
        <v>79.826446113333532</v>
      </c>
      <c r="U712">
        <f t="shared" si="495"/>
        <v>93.749768356334855</v>
      </c>
      <c r="V712">
        <f t="shared" si="495"/>
        <v>127.85600825389709</v>
      </c>
      <c r="W712">
        <f t="shared" si="495"/>
        <v>128.48514733354651</v>
      </c>
      <c r="Y712" s="14">
        <f t="shared" si="477"/>
        <v>1659.5994513155304</v>
      </c>
      <c r="Z712">
        <f t="shared" si="478"/>
        <v>-131.6108740973026</v>
      </c>
    </row>
    <row r="713" spans="1:26" x14ac:dyDescent="0.25">
      <c r="A713" t="s">
        <v>61</v>
      </c>
      <c r="D713">
        <f t="shared" ref="D713:W713" si="496">D86*D218</f>
        <v>150.39808511743342</v>
      </c>
      <c r="E713">
        <f t="shared" si="496"/>
        <v>199.54080392780588</v>
      </c>
      <c r="F713">
        <f t="shared" si="496"/>
        <v>177.89165412935247</v>
      </c>
      <c r="G713">
        <f t="shared" si="496"/>
        <v>180.11244474232879</v>
      </c>
      <c r="H713">
        <f t="shared" si="496"/>
        <v>157.68806205040119</v>
      </c>
      <c r="I713">
        <f t="shared" si="496"/>
        <v>197.71966981764686</v>
      </c>
      <c r="J713">
        <f t="shared" si="496"/>
        <v>139.09412587647577</v>
      </c>
      <c r="K713">
        <f t="shared" si="496"/>
        <v>89.20394844308484</v>
      </c>
      <c r="L713">
        <f t="shared" si="496"/>
        <v>136.21077717452783</v>
      </c>
      <c r="M713">
        <f t="shared" si="496"/>
        <v>97.563649998885452</v>
      </c>
      <c r="N713">
        <f t="shared" si="496"/>
        <v>81.060304727471959</v>
      </c>
      <c r="O713">
        <f t="shared" si="496"/>
        <v>90.729629976802698</v>
      </c>
      <c r="P713">
        <f t="shared" si="496"/>
        <v>173.13501774958308</v>
      </c>
      <c r="Q713">
        <f t="shared" si="496"/>
        <v>165.28788485900571</v>
      </c>
      <c r="R713">
        <f t="shared" si="496"/>
        <v>161.82441128302335</v>
      </c>
      <c r="S713">
        <f t="shared" si="496"/>
        <v>151.15943056244851</v>
      </c>
      <c r="T713">
        <f t="shared" si="496"/>
        <v>178.17017423995733</v>
      </c>
      <c r="U713">
        <f t="shared" si="496"/>
        <v>165.77101485301483</v>
      </c>
      <c r="V713">
        <f t="shared" si="496"/>
        <v>144.56960770261949</v>
      </c>
      <c r="W713">
        <f t="shared" si="496"/>
        <v>183.5680601049728</v>
      </c>
      <c r="Y713" s="14">
        <f t="shared" si="477"/>
        <v>3020.6987573368424</v>
      </c>
      <c r="Z713">
        <f t="shared" si="478"/>
        <v>-319.67890507025504</v>
      </c>
    </row>
    <row r="714" spans="1:26" x14ac:dyDescent="0.25">
      <c r="A714" t="s">
        <v>62</v>
      </c>
      <c r="D714">
        <f t="shared" ref="D714:W714" si="497">D87*D219</f>
        <v>335.15010473999536</v>
      </c>
      <c r="E714">
        <f t="shared" si="497"/>
        <v>174.39082101541356</v>
      </c>
      <c r="F714">
        <f t="shared" si="497"/>
        <v>151.02650579422536</v>
      </c>
      <c r="G714">
        <f t="shared" si="497"/>
        <v>116.38619903085757</v>
      </c>
      <c r="H714">
        <f t="shared" si="497"/>
        <v>174.17064930252852</v>
      </c>
      <c r="I714">
        <f t="shared" si="497"/>
        <v>203.47732595624825</v>
      </c>
      <c r="J714">
        <f t="shared" si="497"/>
        <v>165.98961917227771</v>
      </c>
      <c r="K714">
        <f t="shared" si="497"/>
        <v>160.43631511821266</v>
      </c>
      <c r="L714">
        <f t="shared" si="497"/>
        <v>155.78966771411766</v>
      </c>
      <c r="M714">
        <f t="shared" si="497"/>
        <v>145.65465258819884</v>
      </c>
      <c r="N714">
        <f t="shared" si="497"/>
        <v>119.78538038014018</v>
      </c>
      <c r="O714">
        <f t="shared" si="497"/>
        <v>113.56631982735813</v>
      </c>
      <c r="P714">
        <f t="shared" si="497"/>
        <v>52.251057806082677</v>
      </c>
      <c r="Q714">
        <f t="shared" si="497"/>
        <v>44.127819888003977</v>
      </c>
      <c r="R714">
        <f t="shared" si="497"/>
        <v>33.877158673304955</v>
      </c>
      <c r="S714">
        <f t="shared" si="497"/>
        <v>114.82344434332418</v>
      </c>
      <c r="T714">
        <f t="shared" si="497"/>
        <v>131.27324115067819</v>
      </c>
      <c r="U714">
        <f t="shared" si="497"/>
        <v>118.06156820018744</v>
      </c>
      <c r="V714">
        <f t="shared" si="497"/>
        <v>142.94866835789642</v>
      </c>
      <c r="W714">
        <f t="shared" si="497"/>
        <v>217.75266168259162</v>
      </c>
      <c r="Y714" s="14">
        <f t="shared" si="477"/>
        <v>2870.9391807416441</v>
      </c>
      <c r="Z714">
        <f t="shared" si="478"/>
        <v>-109.11287047183009</v>
      </c>
    </row>
    <row r="715" spans="1:26" x14ac:dyDescent="0.25">
      <c r="A715" t="s">
        <v>63</v>
      </c>
      <c r="D715">
        <f t="shared" ref="D715:W715" si="498">D88*D220</f>
        <v>156.87489255310732</v>
      </c>
      <c r="E715">
        <f t="shared" si="498"/>
        <v>164.05466168313004</v>
      </c>
      <c r="F715">
        <f t="shared" si="498"/>
        <v>163.8016476873853</v>
      </c>
      <c r="G715">
        <f t="shared" si="498"/>
        <v>158.60956859637383</v>
      </c>
      <c r="H715">
        <f t="shared" si="498"/>
        <v>114.50298676265054</v>
      </c>
      <c r="I715">
        <f t="shared" si="498"/>
        <v>189.98348026138552</v>
      </c>
      <c r="J715">
        <f t="shared" si="498"/>
        <v>210.21276403131685</v>
      </c>
      <c r="K715">
        <f t="shared" si="498"/>
        <v>196.77059632707346</v>
      </c>
      <c r="L715">
        <f t="shared" si="498"/>
        <v>101.76902640268747</v>
      </c>
      <c r="M715">
        <f t="shared" si="498"/>
        <v>100.00594477128665</v>
      </c>
      <c r="N715">
        <f t="shared" si="498"/>
        <v>154.9734349997897</v>
      </c>
      <c r="O715">
        <f t="shared" si="498"/>
        <v>213.81214650039917</v>
      </c>
      <c r="P715">
        <f t="shared" si="498"/>
        <v>121.36893898676847</v>
      </c>
      <c r="Q715">
        <f t="shared" si="498"/>
        <v>143.00663782284417</v>
      </c>
      <c r="R715">
        <f t="shared" si="498"/>
        <v>157.0476164881774</v>
      </c>
      <c r="S715">
        <f t="shared" si="498"/>
        <v>194.5694705578448</v>
      </c>
      <c r="T715">
        <f t="shared" si="498"/>
        <v>183.31903923225596</v>
      </c>
      <c r="U715">
        <f t="shared" si="498"/>
        <v>138.79081208283083</v>
      </c>
      <c r="V715">
        <f t="shared" si="498"/>
        <v>170.11879966357324</v>
      </c>
      <c r="W715">
        <f t="shared" si="498"/>
        <v>204.84145507751842</v>
      </c>
      <c r="Y715" s="14">
        <f t="shared" si="477"/>
        <v>3238.4339204883991</v>
      </c>
      <c r="Z715">
        <f t="shared" si="478"/>
        <v>-401.03421275687128</v>
      </c>
    </row>
    <row r="716" spans="1:26" x14ac:dyDescent="0.25">
      <c r="A716" t="s">
        <v>64</v>
      </c>
      <c r="D716">
        <f t="shared" ref="D716:W716" si="499">D89*D221</f>
        <v>143.70467846792869</v>
      </c>
      <c r="E716">
        <f t="shared" si="499"/>
        <v>224.20694889349468</v>
      </c>
      <c r="F716">
        <f t="shared" si="499"/>
        <v>348.7781066905913</v>
      </c>
      <c r="G716">
        <f t="shared" si="499"/>
        <v>141.08356209233099</v>
      </c>
      <c r="H716">
        <f t="shared" si="499"/>
        <v>135.56106667354049</v>
      </c>
      <c r="I716">
        <f t="shared" si="499"/>
        <v>129.65809630405286</v>
      </c>
      <c r="J716">
        <f t="shared" si="499"/>
        <v>165.89779955254485</v>
      </c>
      <c r="K716">
        <f t="shared" si="499"/>
        <v>183.79570061162516</v>
      </c>
      <c r="L716">
        <f t="shared" si="499"/>
        <v>125.4644163129781</v>
      </c>
      <c r="M716">
        <f t="shared" si="499"/>
        <v>87.088967577529772</v>
      </c>
      <c r="N716">
        <f t="shared" si="499"/>
        <v>102.49737098540011</v>
      </c>
      <c r="O716">
        <f t="shared" si="499"/>
        <v>110.18226213868437</v>
      </c>
      <c r="P716">
        <f t="shared" si="499"/>
        <v>123.39811689759729</v>
      </c>
      <c r="Q716">
        <f t="shared" si="499"/>
        <v>149.96267825243606</v>
      </c>
      <c r="R716">
        <f t="shared" si="499"/>
        <v>186.63087106857731</v>
      </c>
      <c r="S716">
        <f t="shared" si="499"/>
        <v>77.173632733829535</v>
      </c>
      <c r="T716">
        <f t="shared" si="499"/>
        <v>123.73006418673849</v>
      </c>
      <c r="U716">
        <f t="shared" si="499"/>
        <v>172.15276859996789</v>
      </c>
      <c r="V716">
        <f t="shared" si="499"/>
        <v>280.00941694458584</v>
      </c>
      <c r="W716">
        <f t="shared" si="499"/>
        <v>222.83342819451681</v>
      </c>
      <c r="Y716" s="14">
        <f t="shared" si="477"/>
        <v>3233.8099531789499</v>
      </c>
      <c r="Z716">
        <f t="shared" si="478"/>
        <v>-338.70224448766083</v>
      </c>
    </row>
    <row r="717" spans="1:26" x14ac:dyDescent="0.25">
      <c r="A717" t="s">
        <v>65</v>
      </c>
      <c r="D717">
        <f t="shared" ref="D717:W717" si="500">D90*D222</f>
        <v>320.21445996428366</v>
      </c>
      <c r="E717">
        <f t="shared" si="500"/>
        <v>228.25511240166747</v>
      </c>
      <c r="F717">
        <f t="shared" si="500"/>
        <v>215.15522477528481</v>
      </c>
      <c r="G717">
        <f t="shared" si="500"/>
        <v>210.82528281745903</v>
      </c>
      <c r="H717">
        <f t="shared" si="500"/>
        <v>167.96967773312821</v>
      </c>
      <c r="I717">
        <f t="shared" si="500"/>
        <v>164.4460324872708</v>
      </c>
      <c r="J717">
        <f t="shared" si="500"/>
        <v>139.34365265976112</v>
      </c>
      <c r="K717">
        <f t="shared" si="500"/>
        <v>147.80234618611723</v>
      </c>
      <c r="L717">
        <f t="shared" si="500"/>
        <v>103.45223502480448</v>
      </c>
      <c r="M717">
        <f t="shared" si="500"/>
        <v>59.931919493023813</v>
      </c>
      <c r="N717">
        <f t="shared" si="500"/>
        <v>108.96263976591869</v>
      </c>
      <c r="O717">
        <f t="shared" si="500"/>
        <v>93.603485744729753</v>
      </c>
      <c r="P717">
        <f t="shared" si="500"/>
        <v>127.1434202301356</v>
      </c>
      <c r="Q717">
        <f t="shared" si="500"/>
        <v>100.773922795649</v>
      </c>
      <c r="R717">
        <f t="shared" si="500"/>
        <v>125.88586854674888</v>
      </c>
      <c r="S717">
        <f t="shared" si="500"/>
        <v>134.37195517237851</v>
      </c>
      <c r="T717">
        <f t="shared" si="500"/>
        <v>127.72965274707451</v>
      </c>
      <c r="U717">
        <f t="shared" si="500"/>
        <v>174.57858874303673</v>
      </c>
      <c r="V717">
        <f t="shared" si="500"/>
        <v>184.76674924694615</v>
      </c>
      <c r="W717">
        <f t="shared" si="500"/>
        <v>264.2113085121585</v>
      </c>
      <c r="Y717" s="14">
        <f t="shared" si="477"/>
        <v>3199.4235350475769</v>
      </c>
      <c r="Z717">
        <f t="shared" si="478"/>
        <v>-156.38596848339157</v>
      </c>
    </row>
    <row r="718" spans="1:26" x14ac:dyDescent="0.25">
      <c r="A718" t="s">
        <v>66</v>
      </c>
      <c r="D718">
        <f t="shared" ref="D718:W718" si="501">D91*D223</f>
        <v>465.0518193654155</v>
      </c>
      <c r="E718">
        <f t="shared" si="501"/>
        <v>313.83939287436101</v>
      </c>
      <c r="F718">
        <f t="shared" si="501"/>
        <v>320.50807404101806</v>
      </c>
      <c r="G718">
        <f t="shared" si="501"/>
        <v>203.41187967965809</v>
      </c>
      <c r="H718">
        <f t="shared" si="501"/>
        <v>126.04989337730298</v>
      </c>
      <c r="I718">
        <f t="shared" si="501"/>
        <v>176.24290181801393</v>
      </c>
      <c r="J718">
        <f t="shared" si="501"/>
        <v>67.546102013553011</v>
      </c>
      <c r="K718">
        <f t="shared" si="501"/>
        <v>81.087504364579857</v>
      </c>
      <c r="L718">
        <f t="shared" si="501"/>
        <v>68.132638902869175</v>
      </c>
      <c r="M718">
        <f t="shared" si="501"/>
        <v>72.390002459949955</v>
      </c>
      <c r="N718">
        <f t="shared" si="501"/>
        <v>108.58961569415602</v>
      </c>
      <c r="O718">
        <f t="shared" si="501"/>
        <v>104.41363976896115</v>
      </c>
      <c r="P718">
        <f t="shared" si="501"/>
        <v>113.91826803916436</v>
      </c>
      <c r="Q718">
        <f t="shared" si="501"/>
        <v>126.30316380145881</v>
      </c>
      <c r="R718">
        <f t="shared" si="501"/>
        <v>132.59089056096886</v>
      </c>
      <c r="S718">
        <f t="shared" si="501"/>
        <v>134.68207790220859</v>
      </c>
      <c r="T718">
        <f t="shared" si="501"/>
        <v>154.85467350486982</v>
      </c>
      <c r="U718">
        <f t="shared" si="501"/>
        <v>165.61825684528685</v>
      </c>
      <c r="V718">
        <f t="shared" si="501"/>
        <v>147.52339044227205</v>
      </c>
      <c r="W718">
        <f t="shared" si="501"/>
        <v>268.03415457119524</v>
      </c>
      <c r="Y718" s="14">
        <f t="shared" si="477"/>
        <v>3350.788340027264</v>
      </c>
      <c r="Z718">
        <f t="shared" si="478"/>
        <v>-37.237885391195761</v>
      </c>
    </row>
    <row r="719" spans="1:26" x14ac:dyDescent="0.25">
      <c r="Y719" s="14"/>
    </row>
    <row r="720" spans="1:26" x14ac:dyDescent="0.25">
      <c r="A720" t="s">
        <v>67</v>
      </c>
      <c r="D720">
        <f t="shared" ref="D720:W720" si="502">D93*D225</f>
        <v>311.52413584383783</v>
      </c>
      <c r="E720">
        <f t="shared" si="502"/>
        <v>226.28846037367481</v>
      </c>
      <c r="F720">
        <f t="shared" si="502"/>
        <v>216.54766636005826</v>
      </c>
      <c r="G720">
        <f t="shared" si="502"/>
        <v>219.07530337873663</v>
      </c>
      <c r="H720">
        <f t="shared" si="502"/>
        <v>181.78871177459195</v>
      </c>
      <c r="I720">
        <f t="shared" si="502"/>
        <v>175.72757526547568</v>
      </c>
      <c r="J720">
        <f t="shared" si="502"/>
        <v>141.66542128232413</v>
      </c>
      <c r="K720">
        <f t="shared" si="502"/>
        <v>152.84012791822215</v>
      </c>
      <c r="L720">
        <f t="shared" si="502"/>
        <v>105.80364728432197</v>
      </c>
      <c r="M720">
        <f t="shared" si="502"/>
        <v>85.639578242240034</v>
      </c>
      <c r="N720">
        <f t="shared" si="502"/>
        <v>96.677485523267009</v>
      </c>
      <c r="O720">
        <f t="shared" si="502"/>
        <v>101.71492802729351</v>
      </c>
      <c r="P720">
        <f t="shared" si="502"/>
        <v>100.29676032837482</v>
      </c>
      <c r="Q720">
        <f t="shared" si="502"/>
        <v>103.32516283719541</v>
      </c>
      <c r="R720">
        <f t="shared" si="502"/>
        <v>119.11017694461722</v>
      </c>
      <c r="S720">
        <f t="shared" si="502"/>
        <v>124.39931369661934</v>
      </c>
      <c r="T720">
        <f t="shared" si="502"/>
        <v>125.79683103230605</v>
      </c>
      <c r="U720">
        <f t="shared" si="502"/>
        <v>116.02581076600596</v>
      </c>
      <c r="V720">
        <f t="shared" si="502"/>
        <v>145.14565923719769</v>
      </c>
      <c r="W720">
        <f t="shared" si="502"/>
        <v>190.6060847249737</v>
      </c>
      <c r="Y720" s="14">
        <f t="shared" si="477"/>
        <v>3039.9988408413342</v>
      </c>
      <c r="Z720">
        <f>SUMPRODUCT($D$724:$W$724,D720:W720)</f>
        <v>-134.6519488502</v>
      </c>
    </row>
    <row r="721" spans="1:26" x14ac:dyDescent="0.25">
      <c r="A721" t="s">
        <v>311</v>
      </c>
      <c r="D721">
        <f t="shared" ref="D721:W721" si="503">D94*D226</f>
        <v>302.72163265306114</v>
      </c>
      <c r="E721">
        <f t="shared" si="503"/>
        <v>292.63102040816324</v>
      </c>
      <c r="F721">
        <f t="shared" si="503"/>
        <v>209.55836734693875</v>
      </c>
      <c r="G721">
        <f t="shared" si="503"/>
        <v>188.22979591836736</v>
      </c>
      <c r="H721">
        <f t="shared" si="503"/>
        <v>235.4326530612245</v>
      </c>
      <c r="I721">
        <f t="shared" si="503"/>
        <v>172.57102040816324</v>
      </c>
      <c r="J721">
        <f t="shared" si="503"/>
        <v>123.05142857142859</v>
      </c>
      <c r="K721">
        <f t="shared" si="503"/>
        <v>107.32408163265309</v>
      </c>
      <c r="L721">
        <f t="shared" si="503"/>
        <v>155.62171874999999</v>
      </c>
      <c r="M721">
        <f t="shared" si="503"/>
        <v>173.66000000000003</v>
      </c>
      <c r="N721">
        <f t="shared" si="503"/>
        <v>136.31877551020409</v>
      </c>
      <c r="O721">
        <f t="shared" si="503"/>
        <v>105.12</v>
      </c>
      <c r="P721">
        <f t="shared" si="503"/>
        <v>133.55970818357861</v>
      </c>
      <c r="Q721">
        <f t="shared" si="503"/>
        <v>171.67209274241168</v>
      </c>
      <c r="R721">
        <f t="shared" si="503"/>
        <v>153.4904797926369</v>
      </c>
      <c r="S721">
        <f t="shared" si="503"/>
        <v>193.68165498881098</v>
      </c>
      <c r="T721">
        <f t="shared" si="503"/>
        <v>138.18</v>
      </c>
      <c r="U721">
        <f t="shared" si="503"/>
        <v>119.21</v>
      </c>
      <c r="V721">
        <f t="shared" si="503"/>
        <v>147.4</v>
      </c>
      <c r="W721">
        <f t="shared" si="503"/>
        <v>181.2</v>
      </c>
      <c r="Y721" s="14">
        <f t="shared" si="477"/>
        <v>3440.6344299676416</v>
      </c>
      <c r="Z721">
        <f>SUMPRODUCT($D$724:$W$724,D721:W721)</f>
        <v>-214.46907295677903</v>
      </c>
    </row>
    <row r="722" spans="1:26" x14ac:dyDescent="0.25">
      <c r="A722" t="s">
        <v>312</v>
      </c>
      <c r="D722">
        <f t="shared" ref="D722:W722" si="504">D95*D227</f>
        <v>201.66770915197162</v>
      </c>
      <c r="E722">
        <f t="shared" si="504"/>
        <v>190.21932236352711</v>
      </c>
      <c r="F722">
        <f t="shared" si="504"/>
        <v>178.31798787689254</v>
      </c>
      <c r="G722">
        <f t="shared" si="504"/>
        <v>150.16424668751122</v>
      </c>
      <c r="H722">
        <f t="shared" si="504"/>
        <v>134.69497377870269</v>
      </c>
      <c r="I722">
        <f t="shared" si="504"/>
        <v>134.45938295222021</v>
      </c>
      <c r="J722">
        <f t="shared" si="504"/>
        <v>126.77008951699619</v>
      </c>
      <c r="K722">
        <f t="shared" si="504"/>
        <v>122.21106330764968</v>
      </c>
      <c r="L722">
        <f t="shared" si="504"/>
        <v>98.420700142296738</v>
      </c>
      <c r="M722">
        <f t="shared" si="504"/>
        <v>92.983487750880087</v>
      </c>
      <c r="N722">
        <f t="shared" si="504"/>
        <v>103.31905060904359</v>
      </c>
      <c r="O722">
        <f t="shared" si="504"/>
        <v>107.97743071266383</v>
      </c>
      <c r="P722">
        <f t="shared" si="504"/>
        <v>103.23592067989608</v>
      </c>
      <c r="Q722">
        <f t="shared" si="504"/>
        <v>114.83667323404391</v>
      </c>
      <c r="R722">
        <f t="shared" si="504"/>
        <v>124.67170429210444</v>
      </c>
      <c r="S722">
        <f t="shared" si="504"/>
        <v>133.50714891490901</v>
      </c>
      <c r="T722">
        <f t="shared" si="504"/>
        <v>153.31738380186599</v>
      </c>
      <c r="U722">
        <f t="shared" si="504"/>
        <v>144.94814407547321</v>
      </c>
      <c r="V722">
        <f t="shared" si="504"/>
        <v>184.74827942116485</v>
      </c>
      <c r="W722">
        <f t="shared" si="504"/>
        <v>208.66874359397755</v>
      </c>
      <c r="Y722" s="14">
        <f t="shared" si="477"/>
        <v>2809.1394428637905</v>
      </c>
      <c r="Z722">
        <f>SUMPRODUCT($D$724:$W$724,D722:W722)</f>
        <v>-236.97327493298576</v>
      </c>
    </row>
    <row r="723" spans="1:26" ht="18.75" customHeight="1" x14ac:dyDescent="0.25">
      <c r="A723" t="s">
        <v>674</v>
      </c>
      <c r="D723">
        <f t="shared" ref="D723:W723" si="505">D96*D228</f>
        <v>268.77607751401865</v>
      </c>
      <c r="E723">
        <f t="shared" si="505"/>
        <v>289.92168378839983</v>
      </c>
      <c r="F723">
        <f t="shared" si="505"/>
        <v>197.14050525420981</v>
      </c>
      <c r="G723">
        <f t="shared" si="505"/>
        <v>271.10018413083134</v>
      </c>
      <c r="H723">
        <f t="shared" si="505"/>
        <v>193.20402341572111</v>
      </c>
      <c r="I723">
        <f t="shared" si="505"/>
        <v>132.65874094067885</v>
      </c>
      <c r="J723">
        <f t="shared" si="505"/>
        <v>119.49441631338242</v>
      </c>
      <c r="K723">
        <f t="shared" si="505"/>
        <v>120.20164672109433</v>
      </c>
      <c r="L723">
        <f t="shared" si="505"/>
        <v>98.524878000179839</v>
      </c>
      <c r="M723">
        <f t="shared" si="505"/>
        <v>102.11168951314447</v>
      </c>
      <c r="N723">
        <f t="shared" si="505"/>
        <v>111.96896404455222</v>
      </c>
      <c r="O723">
        <f t="shared" si="505"/>
        <v>116.9354783241543</v>
      </c>
      <c r="P723">
        <f t="shared" si="505"/>
        <v>89.191308970173097</v>
      </c>
      <c r="Q723">
        <f t="shared" si="505"/>
        <v>90.064116846097008</v>
      </c>
      <c r="R723">
        <f t="shared" si="505"/>
        <v>117.79199184996611</v>
      </c>
      <c r="S723">
        <f t="shared" si="505"/>
        <v>123.12529628492521</v>
      </c>
      <c r="T723">
        <f t="shared" si="505"/>
        <v>138.75884278021459</v>
      </c>
      <c r="U723">
        <f t="shared" si="505"/>
        <v>139.76828915182773</v>
      </c>
      <c r="V723">
        <f t="shared" si="505"/>
        <v>149.00364667299675</v>
      </c>
      <c r="W723">
        <f t="shared" si="505"/>
        <v>191.32748867546709</v>
      </c>
      <c r="Y723" s="14">
        <f t="shared" ref="Y723" si="506">SUM(D723:W723)</f>
        <v>3061.0692691920344</v>
      </c>
      <c r="Z723">
        <f>SUMPRODUCT($D$724:$W$724,D723:W723)</f>
        <v>-144.33554506118472</v>
      </c>
    </row>
    <row r="724" spans="1:26" x14ac:dyDescent="0.25">
      <c r="A724" s="2" t="s">
        <v>68</v>
      </c>
      <c r="D724" s="3">
        <f>CORREL($B$2:$B$25,D695:D718)</f>
        <v>0.58256453574128442</v>
      </c>
      <c r="E724" s="3">
        <f t="shared" ref="E724:W724" si="507">CORREL($B$2:$B$25,E695:E718)</f>
        <v>6.1237048252831723E-2</v>
      </c>
      <c r="F724" s="3">
        <f t="shared" si="507"/>
        <v>5.1650868257939318E-2</v>
      </c>
      <c r="G724" s="3">
        <f t="shared" si="507"/>
        <v>0.1216161648410566</v>
      </c>
      <c r="H724" s="3">
        <f t="shared" si="507"/>
        <v>8.1447396540962225E-2</v>
      </c>
      <c r="I724" s="3">
        <f t="shared" si="507"/>
        <v>-9.3320398344205899E-2</v>
      </c>
      <c r="J724" s="3">
        <f t="shared" si="507"/>
        <v>-0.35453966933272851</v>
      </c>
      <c r="K724" s="3">
        <f t="shared" si="507"/>
        <v>-0.14483356543919609</v>
      </c>
      <c r="L724" s="3">
        <f t="shared" si="507"/>
        <v>-4.7158180734891371E-2</v>
      </c>
      <c r="M724" s="3">
        <f t="shared" si="507"/>
        <v>-0.19258828189112895</v>
      </c>
      <c r="N724" s="3">
        <f t="shared" si="507"/>
        <v>-0.26015635536362286</v>
      </c>
      <c r="O724" s="3">
        <f t="shared" si="507"/>
        <v>-0.35460131884570595</v>
      </c>
      <c r="P724" s="3">
        <f t="shared" si="507"/>
        <v>-0.41950082237072167</v>
      </c>
      <c r="Q724" s="3">
        <f t="shared" si="507"/>
        <v>-0.36816041984571202</v>
      </c>
      <c r="R724" s="3">
        <f t="shared" si="507"/>
        <v>-0.28767242572919577</v>
      </c>
      <c r="S724" s="3">
        <f t="shared" si="507"/>
        <v>-0.10987593101703971</v>
      </c>
      <c r="T724" s="3">
        <f t="shared" si="507"/>
        <v>-0.2598282445968742</v>
      </c>
      <c r="U724" s="3">
        <f t="shared" si="507"/>
        <v>-0.2139148445243528</v>
      </c>
      <c r="V724" s="3">
        <f t="shared" si="507"/>
        <v>-0.25690953299097785</v>
      </c>
      <c r="W724" s="3">
        <f t="shared" si="507"/>
        <v>6.1277137638511628E-2</v>
      </c>
    </row>
    <row r="727" spans="1:26" x14ac:dyDescent="0.25">
      <c r="D727" t="s">
        <v>247</v>
      </c>
      <c r="E727" t="s">
        <v>248</v>
      </c>
      <c r="F727" t="s">
        <v>249</v>
      </c>
      <c r="G727" t="s">
        <v>250</v>
      </c>
      <c r="H727" t="s">
        <v>251</v>
      </c>
      <c r="I727" t="s">
        <v>252</v>
      </c>
      <c r="J727" t="s">
        <v>253</v>
      </c>
      <c r="K727" t="s">
        <v>254</v>
      </c>
      <c r="L727" t="s">
        <v>359</v>
      </c>
      <c r="M727" t="s">
        <v>431</v>
      </c>
      <c r="N727" t="s">
        <v>432</v>
      </c>
      <c r="O727" t="s">
        <v>433</v>
      </c>
      <c r="P727" t="s">
        <v>538</v>
      </c>
      <c r="Q727" t="s">
        <v>539</v>
      </c>
      <c r="R727" t="s">
        <v>540</v>
      </c>
      <c r="S727" t="s">
        <v>541</v>
      </c>
      <c r="T727" t="s">
        <v>650</v>
      </c>
      <c r="U727" t="s">
        <v>651</v>
      </c>
      <c r="V727" t="s">
        <v>652</v>
      </c>
      <c r="W727" t="s">
        <v>653</v>
      </c>
      <c r="Y727" t="s">
        <v>255</v>
      </c>
      <c r="Z727" t="s">
        <v>256</v>
      </c>
    </row>
    <row r="728" spans="1:26" x14ac:dyDescent="0.25">
      <c r="A728" t="s">
        <v>43</v>
      </c>
      <c r="D728">
        <f t="shared" ref="D728:W728" si="508">D101*D134</f>
        <v>4272.2863887337644</v>
      </c>
      <c r="E728">
        <f t="shared" si="508"/>
        <v>2295.867599730062</v>
      </c>
      <c r="F728">
        <f t="shared" si="508"/>
        <v>4025.4209986344467</v>
      </c>
      <c r="G728">
        <f t="shared" si="508"/>
        <v>3630.2290480678339</v>
      </c>
      <c r="H728">
        <f t="shared" si="508"/>
        <v>3240.5471390372281</v>
      </c>
      <c r="I728">
        <f t="shared" si="508"/>
        <v>2790.7979996881609</v>
      </c>
      <c r="J728">
        <f t="shared" si="508"/>
        <v>5222.1649176396722</v>
      </c>
      <c r="K728">
        <f t="shared" si="508"/>
        <v>3661.3150632956344</v>
      </c>
      <c r="L728">
        <f t="shared" si="508"/>
        <v>3570.6129252619749</v>
      </c>
      <c r="M728">
        <f t="shared" si="508"/>
        <v>2424.0344413095813</v>
      </c>
      <c r="N728">
        <f t="shared" si="508"/>
        <v>1421.867905610861</v>
      </c>
      <c r="O728">
        <f t="shared" si="508"/>
        <v>2149.575846213042</v>
      </c>
      <c r="P728">
        <f t="shared" si="508"/>
        <v>2151.6098955736402</v>
      </c>
      <c r="Q728">
        <f t="shared" si="508"/>
        <v>2561.3706324216109</v>
      </c>
      <c r="R728">
        <f t="shared" si="508"/>
        <v>3229.3529106580463</v>
      </c>
      <c r="S728">
        <f t="shared" si="508"/>
        <v>5421.3154464834988</v>
      </c>
      <c r="T728">
        <f t="shared" si="508"/>
        <v>1769.2609114893075</v>
      </c>
      <c r="U728">
        <f t="shared" si="508"/>
        <v>948.48718111764401</v>
      </c>
      <c r="V728">
        <f t="shared" si="508"/>
        <v>1085.9995535068992</v>
      </c>
      <c r="W728">
        <f t="shared" si="508"/>
        <v>1408.9245850291486</v>
      </c>
      <c r="Y728" s="14">
        <f t="shared" ref="Y728:Y755" si="509">SUM(D728:W728)</f>
        <v>57281.041389502047</v>
      </c>
      <c r="Z728">
        <f t="shared" ref="Z728:Z751" si="510">SUMPRODUCT($D$757:$W$757,D728:W728)</f>
        <v>9231.6459484339139</v>
      </c>
    </row>
    <row r="729" spans="1:26" x14ac:dyDescent="0.25">
      <c r="A729" t="s">
        <v>44</v>
      </c>
      <c r="D729">
        <f t="shared" ref="D729:W729" si="511">D102*D135</f>
        <v>2754.9667677684074</v>
      </c>
      <c r="E729">
        <f t="shared" si="511"/>
        <v>5809.8693995243275</v>
      </c>
      <c r="F729">
        <f t="shared" si="511"/>
        <v>4863.795979231335</v>
      </c>
      <c r="G729">
        <f t="shared" si="511"/>
        <v>4568.8164592858147</v>
      </c>
      <c r="H729">
        <f t="shared" si="511"/>
        <v>3112.3301259223849</v>
      </c>
      <c r="I729">
        <f t="shared" si="511"/>
        <v>2358.6585967682599</v>
      </c>
      <c r="J729">
        <f t="shared" si="511"/>
        <v>2655.5061438235412</v>
      </c>
      <c r="K729">
        <f t="shared" si="511"/>
        <v>3142.1644414124735</v>
      </c>
      <c r="L729">
        <f t="shared" si="511"/>
        <v>2188.2901099804535</v>
      </c>
      <c r="M729">
        <f t="shared" si="511"/>
        <v>3743.8285263538255</v>
      </c>
      <c r="N729">
        <f t="shared" si="511"/>
        <v>5300.3375369455771</v>
      </c>
      <c r="O729">
        <f t="shared" si="511"/>
        <v>2947.011835837357</v>
      </c>
      <c r="P729">
        <f t="shared" si="511"/>
        <v>3170.2841734826379</v>
      </c>
      <c r="Q729">
        <f t="shared" si="511"/>
        <v>4141.6380503554319</v>
      </c>
      <c r="R729">
        <f t="shared" si="511"/>
        <v>3511.826313977092</v>
      </c>
      <c r="S729">
        <f t="shared" si="511"/>
        <v>4430.055557659246</v>
      </c>
      <c r="T729">
        <f t="shared" si="511"/>
        <v>5666.2434013876145</v>
      </c>
      <c r="U729">
        <f t="shared" si="511"/>
        <v>4343.9133002979088</v>
      </c>
      <c r="V729">
        <f t="shared" si="511"/>
        <v>3086.6588612733026</v>
      </c>
      <c r="W729">
        <f t="shared" si="511"/>
        <v>3445.337383404436</v>
      </c>
      <c r="Y729" s="14">
        <f t="shared" si="509"/>
        <v>75241.532964691418</v>
      </c>
      <c r="Z729">
        <f t="shared" si="510"/>
        <v>8867.5467692751827</v>
      </c>
    </row>
    <row r="730" spans="1:26" x14ac:dyDescent="0.25">
      <c r="A730" t="s">
        <v>45</v>
      </c>
      <c r="D730">
        <f t="shared" ref="D730:W730" si="512">D103*D136</f>
        <v>4236.344849890409</v>
      </c>
      <c r="E730">
        <f t="shared" si="512"/>
        <v>4424.367745321877</v>
      </c>
      <c r="F730">
        <f t="shared" si="512"/>
        <v>4276.739150910792</v>
      </c>
      <c r="G730">
        <f t="shared" si="512"/>
        <v>6015.8524517773767</v>
      </c>
      <c r="H730">
        <f t="shared" si="512"/>
        <v>6930.0325491743306</v>
      </c>
      <c r="I730">
        <f t="shared" si="512"/>
        <v>4638.1593803697797</v>
      </c>
      <c r="J730">
        <f t="shared" si="512"/>
        <v>3993.3653226727138</v>
      </c>
      <c r="K730">
        <f t="shared" si="512"/>
        <v>3335.4849554081479</v>
      </c>
      <c r="L730">
        <f t="shared" si="512"/>
        <v>3368.399162899796</v>
      </c>
      <c r="M730">
        <f t="shared" si="512"/>
        <v>3845.8646157585404</v>
      </c>
      <c r="N730">
        <f t="shared" si="512"/>
        <v>4561.4549722224756</v>
      </c>
      <c r="O730">
        <f t="shared" si="512"/>
        <v>4392.844951024711</v>
      </c>
      <c r="P730">
        <f t="shared" si="512"/>
        <v>3928.8124251440113</v>
      </c>
      <c r="Q730">
        <f t="shared" si="512"/>
        <v>3664.5208789214271</v>
      </c>
      <c r="R730">
        <f t="shared" si="512"/>
        <v>3383.0007509574525</v>
      </c>
      <c r="S730">
        <f t="shared" si="512"/>
        <v>3404.3332024612782</v>
      </c>
      <c r="T730">
        <f t="shared" si="512"/>
        <v>3796.0271497266117</v>
      </c>
      <c r="U730">
        <f t="shared" si="512"/>
        <v>3702.3087591915646</v>
      </c>
      <c r="V730">
        <f t="shared" si="512"/>
        <v>3260.4174486445077</v>
      </c>
      <c r="W730">
        <f t="shared" si="512"/>
        <v>3878.4478171642395</v>
      </c>
      <c r="Y730" s="14">
        <f t="shared" si="509"/>
        <v>83036.778539642037</v>
      </c>
      <c r="Z730">
        <f t="shared" si="510"/>
        <v>12364.01377907954</v>
      </c>
    </row>
    <row r="731" spans="1:26" x14ac:dyDescent="0.25">
      <c r="A731" t="s">
        <v>46</v>
      </c>
      <c r="D731">
        <f t="shared" ref="D731:W731" si="513">D104*D137</f>
        <v>4084.4782654400087</v>
      </c>
      <c r="E731">
        <f t="shared" si="513"/>
        <v>3512.9907338056582</v>
      </c>
      <c r="F731">
        <f t="shared" si="513"/>
        <v>3673.7014074619901</v>
      </c>
      <c r="G731">
        <f t="shared" si="513"/>
        <v>3856.2819065887898</v>
      </c>
      <c r="H731">
        <f t="shared" si="513"/>
        <v>3780.4464670282468</v>
      </c>
      <c r="I731">
        <f t="shared" si="513"/>
        <v>4251.0724582989342</v>
      </c>
      <c r="J731">
        <f t="shared" si="513"/>
        <v>4252.6769292085319</v>
      </c>
      <c r="K731">
        <f t="shared" si="513"/>
        <v>4128.715833722621</v>
      </c>
      <c r="L731">
        <f t="shared" si="513"/>
        <v>3197.271518984252</v>
      </c>
      <c r="M731">
        <f t="shared" si="513"/>
        <v>4907.9697175073316</v>
      </c>
      <c r="N731">
        <f t="shared" si="513"/>
        <v>6206.4058524293141</v>
      </c>
      <c r="O731">
        <f t="shared" si="513"/>
        <v>3813.9181957167839</v>
      </c>
      <c r="P731">
        <f t="shared" si="513"/>
        <v>2231.3224884038818</v>
      </c>
      <c r="Q731">
        <f t="shared" si="513"/>
        <v>3132.4224330183665</v>
      </c>
      <c r="R731">
        <f t="shared" si="513"/>
        <v>3173.1811711067367</v>
      </c>
      <c r="S731">
        <f t="shared" si="513"/>
        <v>3385.046975393414</v>
      </c>
      <c r="T731">
        <f t="shared" si="513"/>
        <v>4245.745577195531</v>
      </c>
      <c r="U731">
        <f t="shared" si="513"/>
        <v>4732.8223066542696</v>
      </c>
      <c r="V731">
        <f t="shared" si="513"/>
        <v>2463.1635859671755</v>
      </c>
      <c r="W731">
        <f t="shared" si="513"/>
        <v>2947.254517053449</v>
      </c>
      <c r="Y731" s="14">
        <f t="shared" si="509"/>
        <v>75976.888340985271</v>
      </c>
      <c r="Z731">
        <f t="shared" si="510"/>
        <v>10670.616152610583</v>
      </c>
    </row>
    <row r="732" spans="1:26" x14ac:dyDescent="0.25">
      <c r="A732" t="s">
        <v>47</v>
      </c>
      <c r="D732">
        <f t="shared" ref="D732:W732" si="514">D105*D138</f>
        <v>5290.6144105990306</v>
      </c>
      <c r="E732">
        <f t="shared" si="514"/>
        <v>3655.8239146268115</v>
      </c>
      <c r="F732">
        <f t="shared" si="514"/>
        <v>3304.5527074525999</v>
      </c>
      <c r="G732">
        <f t="shared" si="514"/>
        <v>4610.9644248303503</v>
      </c>
      <c r="H732">
        <f t="shared" si="514"/>
        <v>3742.4764544813515</v>
      </c>
      <c r="I732">
        <f t="shared" si="514"/>
        <v>4143.5377767376403</v>
      </c>
      <c r="J732">
        <f t="shared" si="514"/>
        <v>3866.7241971081598</v>
      </c>
      <c r="K732">
        <f t="shared" si="514"/>
        <v>4144.2291481088259</v>
      </c>
      <c r="L732">
        <f t="shared" si="514"/>
        <v>3098.3834660354346</v>
      </c>
      <c r="M732">
        <f t="shared" si="514"/>
        <v>2701.9985326307724</v>
      </c>
      <c r="N732">
        <f t="shared" si="514"/>
        <v>2528.1732586477583</v>
      </c>
      <c r="O732">
        <f t="shared" si="514"/>
        <v>3732.6930597319015</v>
      </c>
      <c r="P732">
        <f t="shared" si="514"/>
        <v>4531.2547872813184</v>
      </c>
      <c r="Q732">
        <f t="shared" si="514"/>
        <v>2739.8999197100102</v>
      </c>
      <c r="R732">
        <f t="shared" si="514"/>
        <v>1820.9451292701754</v>
      </c>
      <c r="S732">
        <f t="shared" si="514"/>
        <v>1904.251979171054</v>
      </c>
      <c r="T732">
        <f t="shared" si="514"/>
        <v>2263.2715643713218</v>
      </c>
      <c r="U732">
        <f t="shared" si="514"/>
        <v>3295.0895462400886</v>
      </c>
      <c r="V732">
        <f t="shared" si="514"/>
        <v>3398.4247189560697</v>
      </c>
      <c r="W732">
        <f t="shared" si="514"/>
        <v>3934.1514855728274</v>
      </c>
      <c r="Y732" s="14">
        <f t="shared" si="509"/>
        <v>68707.460481563496</v>
      </c>
      <c r="Z732">
        <f t="shared" si="510"/>
        <v>11146.963102085865</v>
      </c>
    </row>
    <row r="733" spans="1:26" x14ac:dyDescent="0.25">
      <c r="A733" t="s">
        <v>48</v>
      </c>
      <c r="D733">
        <f t="shared" ref="D733:W733" si="515">D106*D139</f>
        <v>2878.4561656965088</v>
      </c>
      <c r="E733">
        <f t="shared" si="515"/>
        <v>3407.7461561214973</v>
      </c>
      <c r="F733">
        <f t="shared" si="515"/>
        <v>2954.5294836014568</v>
      </c>
      <c r="G733">
        <f t="shared" si="515"/>
        <v>3021.8265078117456</v>
      </c>
      <c r="H733">
        <f t="shared" si="515"/>
        <v>3206.5284483800633</v>
      </c>
      <c r="I733">
        <f t="shared" si="515"/>
        <v>4469.409378896903</v>
      </c>
      <c r="J733">
        <f t="shared" si="515"/>
        <v>5180.5491183356471</v>
      </c>
      <c r="K733">
        <f t="shared" si="515"/>
        <v>4134.2435196654505</v>
      </c>
      <c r="L733">
        <f t="shared" si="515"/>
        <v>3081.9187956120513</v>
      </c>
      <c r="M733">
        <f t="shared" si="515"/>
        <v>4220.6573013435227</v>
      </c>
      <c r="N733">
        <f t="shared" si="515"/>
        <v>5009.3806245113201</v>
      </c>
      <c r="O733">
        <f t="shared" si="515"/>
        <v>3498.0469318617979</v>
      </c>
      <c r="P733">
        <f t="shared" si="515"/>
        <v>3789.6600885979565</v>
      </c>
      <c r="Q733">
        <f t="shared" si="515"/>
        <v>3297.4733949152346</v>
      </c>
      <c r="R733">
        <f t="shared" si="515"/>
        <v>3219.9801842134148</v>
      </c>
      <c r="S733">
        <f t="shared" si="515"/>
        <v>2619.8440143733587</v>
      </c>
      <c r="T733">
        <f t="shared" si="515"/>
        <v>3237.159331928342</v>
      </c>
      <c r="U733">
        <f t="shared" si="515"/>
        <v>3011.8966305570675</v>
      </c>
      <c r="V733">
        <f t="shared" si="515"/>
        <v>2012.491400475667</v>
      </c>
      <c r="W733">
        <f t="shared" si="515"/>
        <v>1828.4886615660164</v>
      </c>
      <c r="Y733" s="14">
        <f t="shared" si="509"/>
        <v>68080.286138465031</v>
      </c>
      <c r="Z733">
        <f t="shared" si="510"/>
        <v>9651.7080959041887</v>
      </c>
    </row>
    <row r="734" spans="1:26" x14ac:dyDescent="0.25">
      <c r="A734" t="s">
        <v>49</v>
      </c>
      <c r="D734">
        <f t="shared" ref="D734:W734" si="516">D107*D140</f>
        <v>2503.7557284640761</v>
      </c>
      <c r="E734">
        <f t="shared" si="516"/>
        <v>3590.0443687399952</v>
      </c>
      <c r="F734">
        <f t="shared" si="516"/>
        <v>4098.5457484707449</v>
      </c>
      <c r="G734">
        <f t="shared" si="516"/>
        <v>3169.514255467448</v>
      </c>
      <c r="H734">
        <f t="shared" si="516"/>
        <v>3112.7847271396295</v>
      </c>
      <c r="I734">
        <f t="shared" si="516"/>
        <v>4284.00644195319</v>
      </c>
      <c r="J734">
        <f t="shared" si="516"/>
        <v>2685.0474594140805</v>
      </c>
      <c r="K734">
        <f t="shared" si="516"/>
        <v>2654.8146053273745</v>
      </c>
      <c r="L734">
        <f t="shared" si="516"/>
        <v>2454.0845597456291</v>
      </c>
      <c r="M734">
        <f t="shared" si="516"/>
        <v>3153.3480467562299</v>
      </c>
      <c r="N734">
        <f t="shared" si="516"/>
        <v>4990.2496089315719</v>
      </c>
      <c r="O734">
        <f t="shared" si="516"/>
        <v>5388.0945299775867</v>
      </c>
      <c r="P734">
        <f t="shared" si="516"/>
        <v>3383.4395444345273</v>
      </c>
      <c r="Q734">
        <f t="shared" si="516"/>
        <v>2761.6452673253766</v>
      </c>
      <c r="R734">
        <f t="shared" si="516"/>
        <v>3111.7369342160196</v>
      </c>
      <c r="S734">
        <f t="shared" si="516"/>
        <v>2456.8927339667689</v>
      </c>
      <c r="T734">
        <f t="shared" si="516"/>
        <v>2443.1431176566575</v>
      </c>
      <c r="U734">
        <f t="shared" si="516"/>
        <v>3760.2656838566977</v>
      </c>
      <c r="V734">
        <f t="shared" si="516"/>
        <v>4574.0202839217909</v>
      </c>
      <c r="W734">
        <f t="shared" si="516"/>
        <v>4630.0482463976596</v>
      </c>
      <c r="Y734" s="14">
        <f t="shared" si="509"/>
        <v>69205.481892163036</v>
      </c>
      <c r="Z734">
        <f t="shared" si="510"/>
        <v>9226.9399868048149</v>
      </c>
    </row>
    <row r="735" spans="1:26" x14ac:dyDescent="0.25">
      <c r="A735" t="s">
        <v>50</v>
      </c>
      <c r="D735">
        <f t="shared" ref="D735:W735" si="517">D108*D141</f>
        <v>3202.9327818301531</v>
      </c>
      <c r="E735">
        <f t="shared" si="517"/>
        <v>2914.7963552919709</v>
      </c>
      <c r="F735">
        <f t="shared" si="517"/>
        <v>3687.5959574079588</v>
      </c>
      <c r="G735">
        <f t="shared" si="517"/>
        <v>3696.9753605835331</v>
      </c>
      <c r="H735">
        <f t="shared" si="517"/>
        <v>4384.2622996859354</v>
      </c>
      <c r="I735">
        <f t="shared" si="517"/>
        <v>4786.2349286649305</v>
      </c>
      <c r="J735">
        <f t="shared" si="517"/>
        <v>5455.2010467188593</v>
      </c>
      <c r="K735">
        <f t="shared" si="517"/>
        <v>4564.313849010925</v>
      </c>
      <c r="L735">
        <f t="shared" si="517"/>
        <v>2786.7648240792623</v>
      </c>
      <c r="M735">
        <f t="shared" si="517"/>
        <v>4778.7614611507752</v>
      </c>
      <c r="N735">
        <f t="shared" si="517"/>
        <v>4728.745391608516</v>
      </c>
      <c r="O735">
        <f t="shared" si="517"/>
        <v>5840.8532349231891</v>
      </c>
      <c r="P735">
        <f t="shared" si="517"/>
        <v>5376.592661739046</v>
      </c>
      <c r="Q735">
        <f t="shared" si="517"/>
        <v>5497.2229524858221</v>
      </c>
      <c r="R735">
        <f t="shared" si="517"/>
        <v>5395.1256144365616</v>
      </c>
      <c r="S735">
        <f t="shared" si="517"/>
        <v>5985.8153837410173</v>
      </c>
      <c r="T735">
        <f t="shared" si="517"/>
        <v>5343.431521844308</v>
      </c>
      <c r="U735">
        <f t="shared" si="517"/>
        <v>3508.7461176161191</v>
      </c>
      <c r="V735">
        <f t="shared" si="517"/>
        <v>3216.1484227667665</v>
      </c>
      <c r="W735">
        <f t="shared" si="517"/>
        <v>4932.2224367736453</v>
      </c>
      <c r="Y735" s="14">
        <f t="shared" si="509"/>
        <v>90082.7426023593</v>
      </c>
      <c r="Z735">
        <f t="shared" si="510"/>
        <v>12252.133756595573</v>
      </c>
    </row>
    <row r="736" spans="1:26" x14ac:dyDescent="0.25">
      <c r="A736" t="s">
        <v>51</v>
      </c>
      <c r="D736">
        <f t="shared" ref="D736:W736" si="518">D109*D142</f>
        <v>4789.2467616944641</v>
      </c>
      <c r="E736">
        <f t="shared" si="518"/>
        <v>3398.3049320332711</v>
      </c>
      <c r="F736">
        <f t="shared" si="518"/>
        <v>3936.6669647570238</v>
      </c>
      <c r="G736">
        <f t="shared" si="518"/>
        <v>4692.2703654832676</v>
      </c>
      <c r="H736">
        <f t="shared" si="518"/>
        <v>4384.7983437793082</v>
      </c>
      <c r="I736">
        <f t="shared" si="518"/>
        <v>4003.1103879358275</v>
      </c>
      <c r="J736">
        <f t="shared" si="518"/>
        <v>4368.5457617443526</v>
      </c>
      <c r="K736">
        <f t="shared" si="518"/>
        <v>3819.8986583491251</v>
      </c>
      <c r="L736">
        <f t="shared" si="518"/>
        <v>3282.6676799918023</v>
      </c>
      <c r="M736">
        <f t="shared" si="518"/>
        <v>2776.9799418337457</v>
      </c>
      <c r="N736">
        <f t="shared" si="518"/>
        <v>4246.240839708008</v>
      </c>
      <c r="O736">
        <f t="shared" si="518"/>
        <v>2789.9797015943159</v>
      </c>
      <c r="P736">
        <f t="shared" si="518"/>
        <v>3929.5107343909549</v>
      </c>
      <c r="Q736">
        <f t="shared" si="518"/>
        <v>4324.0769603111057</v>
      </c>
      <c r="R736">
        <f t="shared" si="518"/>
        <v>4172.1251161576356</v>
      </c>
      <c r="S736">
        <f t="shared" si="518"/>
        <v>4399.3401608385911</v>
      </c>
      <c r="T736">
        <f t="shared" si="518"/>
        <v>4680.026749213258</v>
      </c>
      <c r="U736">
        <f t="shared" si="518"/>
        <v>2372.4332156326741</v>
      </c>
      <c r="V736">
        <f t="shared" si="518"/>
        <v>2209.6343533172062</v>
      </c>
      <c r="W736">
        <f t="shared" si="518"/>
        <v>3712.9457839377701</v>
      </c>
      <c r="Y736" s="14">
        <f t="shared" si="509"/>
        <v>76288.803412703695</v>
      </c>
      <c r="Z736">
        <f t="shared" si="510"/>
        <v>11278.404020991069</v>
      </c>
    </row>
    <row r="737" spans="1:26" x14ac:dyDescent="0.25">
      <c r="A737" t="s">
        <v>52</v>
      </c>
      <c r="D737">
        <f t="shared" ref="D737:W737" si="519">D110*D143</f>
        <v>4546.5469652208758</v>
      </c>
      <c r="E737">
        <f t="shared" si="519"/>
        <v>3560.3238419641971</v>
      </c>
      <c r="F737">
        <f t="shared" si="519"/>
        <v>3633.3882434664733</v>
      </c>
      <c r="G737">
        <f t="shared" si="519"/>
        <v>4324.1698584618207</v>
      </c>
      <c r="H737">
        <f t="shared" si="519"/>
        <v>4865.6362460289802</v>
      </c>
      <c r="I737">
        <f t="shared" si="519"/>
        <v>5724.6883167109454</v>
      </c>
      <c r="J737">
        <f t="shared" si="519"/>
        <v>5042.7740117274743</v>
      </c>
      <c r="K737">
        <f t="shared" si="519"/>
        <v>5833.9267088856022</v>
      </c>
      <c r="L737">
        <f t="shared" si="519"/>
        <v>4643.4949937783995</v>
      </c>
      <c r="M737">
        <f t="shared" si="519"/>
        <v>4176.753725790536</v>
      </c>
      <c r="N737">
        <f t="shared" si="519"/>
        <v>4124.6109395523627</v>
      </c>
      <c r="O737">
        <f t="shared" si="519"/>
        <v>5721.4419846484116</v>
      </c>
      <c r="P737">
        <f t="shared" si="519"/>
        <v>4554.5717276151099</v>
      </c>
      <c r="Q737">
        <f t="shared" si="519"/>
        <v>4047.0765319046814</v>
      </c>
      <c r="R737">
        <f t="shared" si="519"/>
        <v>3138.9093406450224</v>
      </c>
      <c r="S737">
        <f t="shared" si="519"/>
        <v>3419.8464663721315</v>
      </c>
      <c r="T737">
        <f t="shared" si="519"/>
        <v>4416.7596171426985</v>
      </c>
      <c r="U737">
        <f t="shared" si="519"/>
        <v>5059.9533992981533</v>
      </c>
      <c r="V737">
        <f t="shared" si="519"/>
        <v>5054.9525122950363</v>
      </c>
      <c r="W737">
        <f t="shared" si="519"/>
        <v>5458.6612272787816</v>
      </c>
      <c r="Y737" s="14">
        <f t="shared" si="509"/>
        <v>91348.48665878769</v>
      </c>
      <c r="Z737">
        <f t="shared" si="510"/>
        <v>13786.716974656074</v>
      </c>
    </row>
    <row r="738" spans="1:26" x14ac:dyDescent="0.25">
      <c r="A738" t="s">
        <v>53</v>
      </c>
      <c r="D738">
        <f t="shared" ref="D738:W738" si="520">D111*D144</f>
        <v>4631.6661846968136</v>
      </c>
      <c r="E738">
        <f t="shared" si="520"/>
        <v>3696.2021302700027</v>
      </c>
      <c r="F738">
        <f t="shared" si="520"/>
        <v>3739.9138380776408</v>
      </c>
      <c r="G738">
        <f t="shared" si="520"/>
        <v>3359.7250915332129</v>
      </c>
      <c r="H738">
        <f t="shared" si="520"/>
        <v>2466.8547218753711</v>
      </c>
      <c r="I738">
        <f t="shared" si="520"/>
        <v>2449.0911773864204</v>
      </c>
      <c r="J738">
        <f t="shared" si="520"/>
        <v>3419.543847035462</v>
      </c>
      <c r="K738">
        <f t="shared" si="520"/>
        <v>3613.2006538517116</v>
      </c>
      <c r="L738">
        <f t="shared" si="520"/>
        <v>2986.428730898886</v>
      </c>
      <c r="M738">
        <f t="shared" si="520"/>
        <v>3331.3390836620679</v>
      </c>
      <c r="N738">
        <f t="shared" si="520"/>
        <v>3485.1577105302099</v>
      </c>
      <c r="O738">
        <f t="shared" si="520"/>
        <v>3560.2358775780285</v>
      </c>
      <c r="P738">
        <f t="shared" si="520"/>
        <v>3263.1749720994189</v>
      </c>
      <c r="Q738">
        <f t="shared" si="520"/>
        <v>3086.3012222532766</v>
      </c>
      <c r="R738">
        <f t="shared" si="520"/>
        <v>3819.8910368970569</v>
      </c>
      <c r="S738">
        <f t="shared" si="520"/>
        <v>3477.2402832399725</v>
      </c>
      <c r="T738">
        <f t="shared" si="520"/>
        <v>3182.9710027750998</v>
      </c>
      <c r="U738">
        <f t="shared" si="520"/>
        <v>2480.1881888440721</v>
      </c>
      <c r="V738">
        <f t="shared" si="520"/>
        <v>1621.2121106395875</v>
      </c>
      <c r="W738">
        <f t="shared" si="520"/>
        <v>1658.3911173845049</v>
      </c>
      <c r="Y738" s="14">
        <f t="shared" si="509"/>
        <v>63328.728981528824</v>
      </c>
      <c r="Z738">
        <f t="shared" si="510"/>
        <v>9012.0508294765114</v>
      </c>
    </row>
    <row r="739" spans="1:26" x14ac:dyDescent="0.25">
      <c r="A739" t="s">
        <v>54</v>
      </c>
      <c r="D739">
        <f t="shared" ref="D739:W739" si="521">D112*D145</f>
        <v>1819.9994637501145</v>
      </c>
      <c r="E739">
        <f t="shared" si="521"/>
        <v>2632.9627403397053</v>
      </c>
      <c r="F739">
        <f t="shared" si="521"/>
        <v>2434.438808355394</v>
      </c>
      <c r="G739">
        <f t="shared" si="521"/>
        <v>2042.7444364063529</v>
      </c>
      <c r="H739">
        <f t="shared" si="521"/>
        <v>1506.2451600354555</v>
      </c>
      <c r="I739">
        <f t="shared" si="521"/>
        <v>1720.0291586861044</v>
      </c>
      <c r="J739">
        <f t="shared" si="521"/>
        <v>2241.828961788055</v>
      </c>
      <c r="K739">
        <f t="shared" si="521"/>
        <v>1901.4103259417545</v>
      </c>
      <c r="L739">
        <f t="shared" si="521"/>
        <v>1420.4817068171476</v>
      </c>
      <c r="M739">
        <f t="shared" si="521"/>
        <v>1459.5309261645771</v>
      </c>
      <c r="N739">
        <f t="shared" si="521"/>
        <v>1801.3845996532523</v>
      </c>
      <c r="O739">
        <f t="shared" si="521"/>
        <v>1955.6189916626895</v>
      </c>
      <c r="P739">
        <f t="shared" si="521"/>
        <v>2169.6642645836096</v>
      </c>
      <c r="Q739">
        <f t="shared" si="521"/>
        <v>2233.1786478759409</v>
      </c>
      <c r="R739">
        <f t="shared" si="521"/>
        <v>1775.7081747369693</v>
      </c>
      <c r="S739">
        <f t="shared" si="521"/>
        <v>1715.4483527075733</v>
      </c>
      <c r="T739">
        <f t="shared" si="521"/>
        <v>1755.5565628726474</v>
      </c>
      <c r="U739">
        <f t="shared" si="521"/>
        <v>2154.6880204017129</v>
      </c>
      <c r="V739">
        <f t="shared" si="521"/>
        <v>1582.8054080551565</v>
      </c>
      <c r="W739">
        <f t="shared" si="521"/>
        <v>2353.487931474192</v>
      </c>
      <c r="Y739" s="14">
        <f t="shared" si="509"/>
        <v>38677.212642308412</v>
      </c>
      <c r="Z739">
        <f t="shared" si="510"/>
        <v>5136.3963707863577</v>
      </c>
    </row>
    <row r="740" spans="1:26" x14ac:dyDescent="0.25">
      <c r="A740" t="s">
        <v>55</v>
      </c>
      <c r="D740">
        <f t="shared" ref="D740:W740" si="522">D113*D146</f>
        <v>2358.3302930265495</v>
      </c>
      <c r="E740">
        <f t="shared" si="522"/>
        <v>1765.9996494905861</v>
      </c>
      <c r="F740">
        <f t="shared" si="522"/>
        <v>1389.8021391858922</v>
      </c>
      <c r="G740">
        <f t="shared" si="522"/>
        <v>1554.6271431029493</v>
      </c>
      <c r="H740">
        <f t="shared" si="522"/>
        <v>1378.3006116033007</v>
      </c>
      <c r="I740">
        <f t="shared" si="522"/>
        <v>1155.6561926452637</v>
      </c>
      <c r="J740">
        <f t="shared" si="522"/>
        <v>1347.6607849480974</v>
      </c>
      <c r="K740">
        <f t="shared" si="522"/>
        <v>1304.9897051041353</v>
      </c>
      <c r="L740">
        <f t="shared" si="522"/>
        <v>992.8090295286197</v>
      </c>
      <c r="M740">
        <f t="shared" si="522"/>
        <v>2515.0238992176601</v>
      </c>
      <c r="N740">
        <f t="shared" si="522"/>
        <v>2158.2055626639344</v>
      </c>
      <c r="O740">
        <f t="shared" si="522"/>
        <v>2621.4675901460669</v>
      </c>
      <c r="P740">
        <f t="shared" si="522"/>
        <v>1634.8385252999212</v>
      </c>
      <c r="Q740">
        <f t="shared" si="522"/>
        <v>1267.2448155902593</v>
      </c>
      <c r="R740">
        <f t="shared" si="522"/>
        <v>1582.1294383817178</v>
      </c>
      <c r="S740">
        <f t="shared" si="522"/>
        <v>1406.5134487459488</v>
      </c>
      <c r="T740">
        <f t="shared" si="522"/>
        <v>1262.1524855228599</v>
      </c>
      <c r="U740">
        <f t="shared" si="522"/>
        <v>1274.1064498135756</v>
      </c>
      <c r="V740">
        <f t="shared" si="522"/>
        <v>952.8778326018803</v>
      </c>
      <c r="W740">
        <f t="shared" si="522"/>
        <v>2904.194510067704</v>
      </c>
      <c r="Y740" s="14">
        <f t="shared" si="509"/>
        <v>32826.930106686923</v>
      </c>
      <c r="Z740">
        <f t="shared" si="510"/>
        <v>4771.3257591081519</v>
      </c>
    </row>
    <row r="741" spans="1:26" x14ac:dyDescent="0.25">
      <c r="A741" t="s">
        <v>56</v>
      </c>
      <c r="D741">
        <f t="shared" ref="D741:W741" si="523">D114*D147</f>
        <v>3532.9936678736326</v>
      </c>
      <c r="E741">
        <f t="shared" si="523"/>
        <v>2471.5177183644978</v>
      </c>
      <c r="F741">
        <f t="shared" si="523"/>
        <v>1729.3731744287393</v>
      </c>
      <c r="G741">
        <f t="shared" si="523"/>
        <v>2040.9500168406237</v>
      </c>
      <c r="H741">
        <f t="shared" si="523"/>
        <v>1616.2453978425874</v>
      </c>
      <c r="I741">
        <f t="shared" si="523"/>
        <v>2556.4555275766529</v>
      </c>
      <c r="J741">
        <f t="shared" si="523"/>
        <v>3002.9168742676206</v>
      </c>
      <c r="K741">
        <f t="shared" si="523"/>
        <v>2631.9211852984427</v>
      </c>
      <c r="L741">
        <f t="shared" si="523"/>
        <v>2002.5497376770802</v>
      </c>
      <c r="M741">
        <f t="shared" si="523"/>
        <v>1938.1743126900014</v>
      </c>
      <c r="N741">
        <f t="shared" si="523"/>
        <v>3752.4413768568943</v>
      </c>
      <c r="O741">
        <f t="shared" si="523"/>
        <v>3438.2437640648636</v>
      </c>
      <c r="P741">
        <f t="shared" si="523"/>
        <v>4039.5169933445191</v>
      </c>
      <c r="Q741">
        <f t="shared" si="523"/>
        <v>3378.7281094304226</v>
      </c>
      <c r="R741">
        <f t="shared" si="523"/>
        <v>1343.6618235271033</v>
      </c>
      <c r="S741">
        <f t="shared" si="523"/>
        <v>2039.568425747362</v>
      </c>
      <c r="T741">
        <f t="shared" si="523"/>
        <v>2174.6793689753736</v>
      </c>
      <c r="U741">
        <f t="shared" si="523"/>
        <v>1392.6274089198471</v>
      </c>
      <c r="V741">
        <f t="shared" si="523"/>
        <v>1365.4236964929937</v>
      </c>
      <c r="W741">
        <f t="shared" si="523"/>
        <v>2039.568425747362</v>
      </c>
      <c r="Y741" s="14">
        <f t="shared" si="509"/>
        <v>48487.557005966621</v>
      </c>
      <c r="Z741">
        <f t="shared" si="510"/>
        <v>7250.0689395316986</v>
      </c>
    </row>
    <row r="742" spans="1:26" x14ac:dyDescent="0.25">
      <c r="A742" t="s">
        <v>57</v>
      </c>
      <c r="D742">
        <f t="shared" ref="D742:W742" si="524">D115*D148</f>
        <v>2960.6280105781102</v>
      </c>
      <c r="E742">
        <f t="shared" si="524"/>
        <v>3138.0795830777429</v>
      </c>
      <c r="F742">
        <f t="shared" si="524"/>
        <v>3331.7590839383815</v>
      </c>
      <c r="G742">
        <f t="shared" si="524"/>
        <v>3260.0669889293335</v>
      </c>
      <c r="H742">
        <f t="shared" si="524"/>
        <v>3199.980057654509</v>
      </c>
      <c r="I742">
        <f t="shared" si="524"/>
        <v>1865.7059807759399</v>
      </c>
      <c r="J742">
        <f t="shared" si="524"/>
        <v>1897.9669714840954</v>
      </c>
      <c r="K742">
        <f t="shared" si="524"/>
        <v>2684.6673144695578</v>
      </c>
      <c r="L742">
        <f t="shared" si="524"/>
        <v>1834.5656287991937</v>
      </c>
      <c r="M742">
        <f t="shared" si="524"/>
        <v>2113.2457114804242</v>
      </c>
      <c r="N742">
        <f t="shared" si="524"/>
        <v>1385.5597274516711</v>
      </c>
      <c r="O742">
        <f t="shared" si="524"/>
        <v>1385.204866348329</v>
      </c>
      <c r="P742">
        <f t="shared" si="524"/>
        <v>1736.2007181503536</v>
      </c>
      <c r="Q742">
        <f t="shared" si="524"/>
        <v>2737.8413986629985</v>
      </c>
      <c r="R742">
        <f t="shared" si="524"/>
        <v>3401.7523536860754</v>
      </c>
      <c r="S742">
        <f t="shared" si="524"/>
        <v>2961.0450488583588</v>
      </c>
      <c r="T742">
        <f t="shared" si="524"/>
        <v>2627.8345298518298</v>
      </c>
      <c r="U742">
        <f t="shared" si="524"/>
        <v>2363.9176427559323</v>
      </c>
      <c r="V742">
        <f t="shared" si="524"/>
        <v>2969.9327567555806</v>
      </c>
      <c r="W742">
        <f t="shared" si="524"/>
        <v>2781.4073887403783</v>
      </c>
      <c r="Y742" s="14">
        <f t="shared" si="509"/>
        <v>50637.361762448803</v>
      </c>
      <c r="Z742">
        <f t="shared" si="510"/>
        <v>6915.9287792648047</v>
      </c>
    </row>
    <row r="743" spans="1:26" x14ac:dyDescent="0.25">
      <c r="A743" t="s">
        <v>58</v>
      </c>
      <c r="D743">
        <f t="shared" ref="D743:W743" si="525">D116*D149</f>
        <v>2167.6807138982203</v>
      </c>
      <c r="E743">
        <f t="shared" si="525"/>
        <v>2563.0532721517634</v>
      </c>
      <c r="F743">
        <f t="shared" si="525"/>
        <v>1611.3684273532269</v>
      </c>
      <c r="G743">
        <f t="shared" si="525"/>
        <v>1754.821517591042</v>
      </c>
      <c r="H743">
        <f t="shared" si="525"/>
        <v>2411.4503475481288</v>
      </c>
      <c r="I743">
        <f t="shared" si="525"/>
        <v>1376.0281367310979</v>
      </c>
      <c r="J743">
        <f t="shared" si="525"/>
        <v>2560.5589834802677</v>
      </c>
      <c r="K743">
        <f t="shared" si="525"/>
        <v>2350.4961895263582</v>
      </c>
      <c r="L743">
        <f t="shared" si="525"/>
        <v>1860.0749805980677</v>
      </c>
      <c r="M743">
        <f t="shared" si="525"/>
        <v>1666.984762159914</v>
      </c>
      <c r="N743">
        <f t="shared" si="525"/>
        <v>2296.2031534057974</v>
      </c>
      <c r="O743">
        <f t="shared" si="525"/>
        <v>1959.7716001947422</v>
      </c>
      <c r="P743">
        <f t="shared" si="525"/>
        <v>2560.2511310106174</v>
      </c>
      <c r="Q743">
        <f t="shared" si="525"/>
        <v>1635.188949529831</v>
      </c>
      <c r="R743">
        <f t="shared" si="525"/>
        <v>1065.7960525479432</v>
      </c>
      <c r="S743">
        <f t="shared" si="525"/>
        <v>1268.4828702222967</v>
      </c>
      <c r="T743">
        <f t="shared" si="525"/>
        <v>1332.0538283021601</v>
      </c>
      <c r="U743">
        <f t="shared" si="525"/>
        <v>996.1215125717946</v>
      </c>
      <c r="V743">
        <f t="shared" si="525"/>
        <v>794.17840384320516</v>
      </c>
      <c r="W743">
        <f t="shared" si="525"/>
        <v>919.16732324175371</v>
      </c>
      <c r="Y743" s="14">
        <f t="shared" si="509"/>
        <v>35149.732155908219</v>
      </c>
      <c r="Z743">
        <f t="shared" si="510"/>
        <v>5396.719418056824</v>
      </c>
    </row>
    <row r="744" spans="1:26" x14ac:dyDescent="0.25">
      <c r="A744" t="s">
        <v>59</v>
      </c>
      <c r="D744">
        <f t="shared" ref="D744:W744" si="526">D117*D150</f>
        <v>1898.4371336059851</v>
      </c>
      <c r="E744">
        <f t="shared" si="526"/>
        <v>1538.2927708685604</v>
      </c>
      <c r="F744">
        <f t="shared" si="526"/>
        <v>1720.1942360301682</v>
      </c>
      <c r="G744">
        <f t="shared" si="526"/>
        <v>2416.1965592677648</v>
      </c>
      <c r="H744">
        <f t="shared" si="526"/>
        <v>1951.4764050322642</v>
      </c>
      <c r="I744">
        <f t="shared" si="526"/>
        <v>1874.6512161398775</v>
      </c>
      <c r="J744">
        <f t="shared" si="526"/>
        <v>2005.3238187123034</v>
      </c>
      <c r="K744">
        <f t="shared" si="526"/>
        <v>2453.5370190133167</v>
      </c>
      <c r="L744">
        <f t="shared" si="526"/>
        <v>1736.8409194512935</v>
      </c>
      <c r="M744">
        <f t="shared" si="526"/>
        <v>2369.0722614516485</v>
      </c>
      <c r="N744">
        <f t="shared" si="526"/>
        <v>1666.8201391494206</v>
      </c>
      <c r="O744">
        <f t="shared" si="526"/>
        <v>1612.3442410753755</v>
      </c>
      <c r="P744">
        <f t="shared" si="526"/>
        <v>1778.0865606117986</v>
      </c>
      <c r="Q744">
        <f t="shared" si="526"/>
        <v>1725.0713918892868</v>
      </c>
      <c r="R744">
        <f t="shared" si="526"/>
        <v>3312.6371450781426</v>
      </c>
      <c r="S744">
        <f t="shared" si="526"/>
        <v>1768.1278169979494</v>
      </c>
      <c r="T744">
        <f t="shared" si="526"/>
        <v>597.25757978064348</v>
      </c>
      <c r="U744">
        <f t="shared" si="526"/>
        <v>1008.7140754010861</v>
      </c>
      <c r="V744">
        <f t="shared" si="526"/>
        <v>1720.7817072664029</v>
      </c>
      <c r="W744">
        <f t="shared" si="526"/>
        <v>1165.9787068183668</v>
      </c>
      <c r="Y744" s="14">
        <f t="shared" si="509"/>
        <v>36319.84170364165</v>
      </c>
      <c r="Z744">
        <f t="shared" si="510"/>
        <v>5255.0630052365295</v>
      </c>
    </row>
    <row r="745" spans="1:26" x14ac:dyDescent="0.25">
      <c r="A745" t="s">
        <v>60</v>
      </c>
      <c r="D745">
        <f t="shared" ref="D745:W745" si="527">D118*D151</f>
        <v>1757.099531954821</v>
      </c>
      <c r="E745">
        <f t="shared" si="527"/>
        <v>1772.9316915707482</v>
      </c>
      <c r="F745">
        <f t="shared" si="527"/>
        <v>1787.7476820069346</v>
      </c>
      <c r="G745">
        <f t="shared" si="527"/>
        <v>1029.5932994605296</v>
      </c>
      <c r="H745">
        <f t="shared" si="527"/>
        <v>1338.3223441653399</v>
      </c>
      <c r="I745">
        <f t="shared" si="527"/>
        <v>1313.2605721387458</v>
      </c>
      <c r="J745">
        <f t="shared" si="527"/>
        <v>1195.6171019608478</v>
      </c>
      <c r="K745">
        <f t="shared" si="527"/>
        <v>2512.8242673703917</v>
      </c>
      <c r="L745">
        <f t="shared" si="527"/>
        <v>1198.7649595097316</v>
      </c>
      <c r="M745">
        <f t="shared" si="527"/>
        <v>2311.1915243523217</v>
      </c>
      <c r="N745">
        <f t="shared" si="527"/>
        <v>1807.9008742392989</v>
      </c>
      <c r="O745">
        <f t="shared" si="527"/>
        <v>1940.425845947148</v>
      </c>
      <c r="P745">
        <f t="shared" si="527"/>
        <v>1264.7694218505594</v>
      </c>
      <c r="Q745">
        <f t="shared" si="527"/>
        <v>994.43970908161714</v>
      </c>
      <c r="R745">
        <f t="shared" si="527"/>
        <v>799.31924973555726</v>
      </c>
      <c r="S745">
        <f t="shared" si="527"/>
        <v>1095.1400425062886</v>
      </c>
      <c r="T745">
        <f t="shared" si="527"/>
        <v>926.39227541333207</v>
      </c>
      <c r="U745">
        <f t="shared" si="527"/>
        <v>1059.1180351311866</v>
      </c>
      <c r="V745">
        <f t="shared" si="527"/>
        <v>2683.9634462374502</v>
      </c>
      <c r="W745">
        <f t="shared" si="527"/>
        <v>1762.2188032910385</v>
      </c>
      <c r="Y745" s="14">
        <f t="shared" si="509"/>
        <v>30551.040677923884</v>
      </c>
      <c r="Z745">
        <f t="shared" si="510"/>
        <v>4478.636010251008</v>
      </c>
    </row>
    <row r="746" spans="1:26" x14ac:dyDescent="0.25">
      <c r="A746" t="s">
        <v>61</v>
      </c>
      <c r="D746">
        <f t="shared" ref="D746:W746" si="528">D119*D152</f>
        <v>2073.7718974292907</v>
      </c>
      <c r="E746">
        <f t="shared" si="528"/>
        <v>2726.2990243985159</v>
      </c>
      <c r="F746">
        <f t="shared" si="528"/>
        <v>2139.1585357369549</v>
      </c>
      <c r="G746">
        <f t="shared" si="528"/>
        <v>2668.4685269694955</v>
      </c>
      <c r="H746">
        <f t="shared" si="528"/>
        <v>2699.6551394284616</v>
      </c>
      <c r="I746">
        <f t="shared" si="528"/>
        <v>3268.651092773533</v>
      </c>
      <c r="J746">
        <f t="shared" si="528"/>
        <v>2671.4423491674111</v>
      </c>
      <c r="K746">
        <f t="shared" si="528"/>
        <v>2268.309977683693</v>
      </c>
      <c r="L746">
        <f t="shared" si="528"/>
        <v>2827.7242985321518</v>
      </c>
      <c r="M746">
        <f t="shared" si="528"/>
        <v>2802.6095042534448</v>
      </c>
      <c r="N746">
        <f t="shared" si="528"/>
        <v>2233.509576832445</v>
      </c>
      <c r="O746">
        <f t="shared" si="528"/>
        <v>2540.0190236094168</v>
      </c>
      <c r="P746">
        <f t="shared" si="528"/>
        <v>2995.6959064196976</v>
      </c>
      <c r="Q746">
        <f t="shared" si="528"/>
        <v>3186.1026410291929</v>
      </c>
      <c r="R746">
        <f t="shared" si="528"/>
        <v>3301.7641273960562</v>
      </c>
      <c r="S746">
        <f t="shared" si="528"/>
        <v>3280.077211978683</v>
      </c>
      <c r="T746">
        <f t="shared" si="528"/>
        <v>2009.910858291662</v>
      </c>
      <c r="U746">
        <f t="shared" si="528"/>
        <v>2639.4246843737214</v>
      </c>
      <c r="V746">
        <f t="shared" si="528"/>
        <v>1961.3753554618443</v>
      </c>
      <c r="W746">
        <f t="shared" si="528"/>
        <v>2148.2248372041254</v>
      </c>
      <c r="Y746" s="14">
        <f t="shared" si="509"/>
        <v>52442.194568969797</v>
      </c>
      <c r="Z746">
        <f t="shared" si="510"/>
        <v>7065.2354863716837</v>
      </c>
    </row>
    <row r="747" spans="1:26" x14ac:dyDescent="0.25">
      <c r="A747" t="s">
        <v>62</v>
      </c>
      <c r="D747">
        <f t="shared" ref="D747:W747" si="529">D120*D153</f>
        <v>3639.3957957573948</v>
      </c>
      <c r="E747">
        <f t="shared" si="529"/>
        <v>1938.6801814241696</v>
      </c>
      <c r="F747">
        <f t="shared" si="529"/>
        <v>2384.977063186006</v>
      </c>
      <c r="G747">
        <f t="shared" si="529"/>
        <v>2125.228031573633</v>
      </c>
      <c r="H747">
        <f t="shared" si="529"/>
        <v>3531.6528530384644</v>
      </c>
      <c r="I747">
        <f t="shared" si="529"/>
        <v>4002.8643816299837</v>
      </c>
      <c r="J747">
        <f t="shared" si="529"/>
        <v>4436.5528846691886</v>
      </c>
      <c r="K747">
        <f t="shared" si="529"/>
        <v>3195.7412283627459</v>
      </c>
      <c r="L747">
        <f t="shared" si="529"/>
        <v>4232.171217068606</v>
      </c>
      <c r="M747">
        <f t="shared" si="529"/>
        <v>3535.2612217369433</v>
      </c>
      <c r="N747">
        <f t="shared" si="529"/>
        <v>3421.3223172293669</v>
      </c>
      <c r="O747">
        <f t="shared" si="529"/>
        <v>3180.8709996632292</v>
      </c>
      <c r="P747">
        <f t="shared" si="529"/>
        <v>2177.3461266480613</v>
      </c>
      <c r="Q747">
        <f t="shared" si="529"/>
        <v>2527.9946758461133</v>
      </c>
      <c r="R747">
        <f t="shared" si="529"/>
        <v>2020.4192662796081</v>
      </c>
      <c r="S747">
        <f t="shared" si="529"/>
        <v>2106.0823284914827</v>
      </c>
      <c r="T747">
        <f t="shared" si="529"/>
        <v>2564.0667941278098</v>
      </c>
      <c r="U747">
        <f t="shared" si="529"/>
        <v>1803.444347181786</v>
      </c>
      <c r="V747">
        <f t="shared" si="529"/>
        <v>1847.7217654775511</v>
      </c>
      <c r="W747">
        <f t="shared" si="529"/>
        <v>1960.1844632765208</v>
      </c>
      <c r="Y747" s="14">
        <f t="shared" si="509"/>
        <v>56631.977942668665</v>
      </c>
      <c r="Z747">
        <f t="shared" si="510"/>
        <v>9138.6377000129651</v>
      </c>
    </row>
    <row r="748" spans="1:26" x14ac:dyDescent="0.25">
      <c r="A748" t="s">
        <v>63</v>
      </c>
      <c r="D748">
        <f t="shared" ref="D748:W748" si="530">D121*D154</f>
        <v>1622.2686368435243</v>
      </c>
      <c r="E748">
        <f t="shared" si="530"/>
        <v>2112.3297428237515</v>
      </c>
      <c r="F748">
        <f t="shared" si="530"/>
        <v>2299.0589822270567</v>
      </c>
      <c r="G748">
        <f t="shared" si="530"/>
        <v>2056.2066948832608</v>
      </c>
      <c r="H748">
        <f t="shared" si="530"/>
        <v>1630.8153605595978</v>
      </c>
      <c r="I748">
        <f t="shared" si="530"/>
        <v>2097.8322526680467</v>
      </c>
      <c r="J748">
        <f t="shared" si="530"/>
        <v>3320.6572805306864</v>
      </c>
      <c r="K748">
        <f t="shared" si="530"/>
        <v>2781.1024004858295</v>
      </c>
      <c r="L748">
        <f t="shared" si="530"/>
        <v>2586.8096864826771</v>
      </c>
      <c r="M748">
        <f t="shared" si="530"/>
        <v>2539.8467513611999</v>
      </c>
      <c r="N748">
        <f t="shared" si="530"/>
        <v>3474.5630611056176</v>
      </c>
      <c r="O748">
        <f t="shared" si="530"/>
        <v>3417.2494458964866</v>
      </c>
      <c r="P748">
        <f t="shared" si="530"/>
        <v>2710.3176429606838</v>
      </c>
      <c r="Q748">
        <f t="shared" si="530"/>
        <v>3174.156882869845</v>
      </c>
      <c r="R748">
        <f t="shared" si="530"/>
        <v>3911.2823217547593</v>
      </c>
      <c r="S748">
        <f t="shared" si="530"/>
        <v>3548.8269489837157</v>
      </c>
      <c r="T748">
        <f t="shared" si="530"/>
        <v>2013.6560303146653</v>
      </c>
      <c r="U748">
        <f t="shared" si="530"/>
        <v>1444.8662896847061</v>
      </c>
      <c r="V748">
        <f t="shared" si="530"/>
        <v>1905.6561116291314</v>
      </c>
      <c r="W748">
        <f t="shared" si="530"/>
        <v>1752.4108346240125</v>
      </c>
      <c r="Y748" s="14">
        <f t="shared" si="509"/>
        <v>50399.913358689264</v>
      </c>
      <c r="Z748">
        <f t="shared" si="510"/>
        <v>6489.9987384566512</v>
      </c>
    </row>
    <row r="749" spans="1:26" x14ac:dyDescent="0.25">
      <c r="A749" t="s">
        <v>64</v>
      </c>
      <c r="D749">
        <f t="shared" ref="D749:W749" si="531">D122*D155</f>
        <v>1358.8864607377939</v>
      </c>
      <c r="E749">
        <f t="shared" si="531"/>
        <v>3042.5177392422329</v>
      </c>
      <c r="F749">
        <f t="shared" si="531"/>
        <v>6253.9822563274556</v>
      </c>
      <c r="G749">
        <f t="shared" si="531"/>
        <v>2525.3245311136634</v>
      </c>
      <c r="H749">
        <f t="shared" si="531"/>
        <v>2278.3187135572052</v>
      </c>
      <c r="I749">
        <f t="shared" si="531"/>
        <v>2886.260945387367</v>
      </c>
      <c r="J749">
        <f t="shared" si="531"/>
        <v>2889.8808511909542</v>
      </c>
      <c r="K749">
        <f t="shared" si="531"/>
        <v>3023.0536470030997</v>
      </c>
      <c r="L749">
        <f t="shared" si="531"/>
        <v>3114.0575981030183</v>
      </c>
      <c r="M749">
        <f t="shared" si="531"/>
        <v>2181.8740952257795</v>
      </c>
      <c r="N749">
        <f t="shared" si="531"/>
        <v>2213.2627047773067</v>
      </c>
      <c r="O749">
        <f t="shared" si="531"/>
        <v>2282.5041489910254</v>
      </c>
      <c r="P749">
        <f t="shared" si="531"/>
        <v>2194.897710689685</v>
      </c>
      <c r="Q749">
        <f t="shared" si="531"/>
        <v>2673.5495738706381</v>
      </c>
      <c r="R749">
        <f t="shared" si="531"/>
        <v>2628.7556184256036</v>
      </c>
      <c r="S749">
        <f t="shared" si="531"/>
        <v>1552.2700272624154</v>
      </c>
      <c r="T749">
        <f t="shared" si="531"/>
        <v>1703.0184580653206</v>
      </c>
      <c r="U749">
        <f t="shared" si="531"/>
        <v>2162.6991045455311</v>
      </c>
      <c r="V749">
        <f t="shared" si="531"/>
        <v>2705.3491602399827</v>
      </c>
      <c r="W749">
        <f t="shared" si="531"/>
        <v>2006.695433452986</v>
      </c>
      <c r="Y749" s="14">
        <f t="shared" si="509"/>
        <v>51677.158778209065</v>
      </c>
      <c r="Z749">
        <f t="shared" si="510"/>
        <v>6741.4950568785116</v>
      </c>
    </row>
    <row r="750" spans="1:26" x14ac:dyDescent="0.25">
      <c r="A750" t="s">
        <v>65</v>
      </c>
      <c r="D750">
        <f t="shared" ref="D750:W750" si="532">D123*D156</f>
        <v>2303.1626464034994</v>
      </c>
      <c r="E750">
        <f t="shared" si="532"/>
        <v>3519.1327587509541</v>
      </c>
      <c r="F750">
        <f t="shared" si="532"/>
        <v>3898.596550268785</v>
      </c>
      <c r="G750">
        <f t="shared" si="532"/>
        <v>5134.5814056952422</v>
      </c>
      <c r="H750">
        <f t="shared" si="532"/>
        <v>4177.417044556054</v>
      </c>
      <c r="I750">
        <f t="shared" si="532"/>
        <v>3324.1914445275615</v>
      </c>
      <c r="J750">
        <f t="shared" si="532"/>
        <v>2215.3726981797436</v>
      </c>
      <c r="K750">
        <f t="shared" si="532"/>
        <v>3507.0880559827924</v>
      </c>
      <c r="L750">
        <f t="shared" si="532"/>
        <v>3043.2221137327515</v>
      </c>
      <c r="M750">
        <f t="shared" si="532"/>
        <v>1651.9705894481256</v>
      </c>
      <c r="N750">
        <f t="shared" si="532"/>
        <v>2234.6713242877568</v>
      </c>
      <c r="O750">
        <f t="shared" si="532"/>
        <v>2308.98058831857</v>
      </c>
      <c r="P750">
        <f t="shared" si="532"/>
        <v>2163.5100668261052</v>
      </c>
      <c r="Q750">
        <f t="shared" si="532"/>
        <v>1832.0549819604005</v>
      </c>
      <c r="R750">
        <f t="shared" si="532"/>
        <v>2030.2938216248733</v>
      </c>
      <c r="S750">
        <f t="shared" si="532"/>
        <v>1867.6042041799572</v>
      </c>
      <c r="T750">
        <f t="shared" si="532"/>
        <v>1870.008459081017</v>
      </c>
      <c r="U750">
        <f t="shared" si="532"/>
        <v>2064.3197835797841</v>
      </c>
      <c r="V750">
        <f t="shared" si="532"/>
        <v>2871.3918671632223</v>
      </c>
      <c r="W750">
        <f t="shared" si="532"/>
        <v>3490.6185579131329</v>
      </c>
      <c r="Y750" s="14">
        <f t="shared" si="509"/>
        <v>55508.18896248033</v>
      </c>
      <c r="Z750">
        <f t="shared" si="510"/>
        <v>8529.6360901451881</v>
      </c>
    </row>
    <row r="751" spans="1:26" x14ac:dyDescent="0.25">
      <c r="A751" t="s">
        <v>66</v>
      </c>
      <c r="D751">
        <f t="shared" ref="D751:W751" si="533">D124*D157</f>
        <v>1755.7260965429232</v>
      </c>
      <c r="E751">
        <f t="shared" si="533"/>
        <v>2574.4628805812636</v>
      </c>
      <c r="F751">
        <f t="shared" si="533"/>
        <v>3075.4939901281728</v>
      </c>
      <c r="G751">
        <f t="shared" si="533"/>
        <v>2870.9097280253445</v>
      </c>
      <c r="H751">
        <f t="shared" si="533"/>
        <v>3502.841375714037</v>
      </c>
      <c r="I751">
        <f t="shared" si="533"/>
        <v>3498.5199749450198</v>
      </c>
      <c r="J751">
        <f t="shared" si="533"/>
        <v>3204.0378416637204</v>
      </c>
      <c r="K751">
        <f t="shared" si="533"/>
        <v>3294.6950878332332</v>
      </c>
      <c r="L751">
        <f t="shared" si="533"/>
        <v>2673.3854325716247</v>
      </c>
      <c r="M751">
        <f t="shared" si="533"/>
        <v>4075.596232676839</v>
      </c>
      <c r="N751">
        <f t="shared" si="533"/>
        <v>4226.6219176041377</v>
      </c>
      <c r="O751">
        <f t="shared" si="533"/>
        <v>4010.9757543173114</v>
      </c>
      <c r="P751">
        <f t="shared" si="533"/>
        <v>3825.7305436970601</v>
      </c>
      <c r="Q751">
        <f t="shared" si="533"/>
        <v>3601.5357309064757</v>
      </c>
      <c r="R751">
        <f t="shared" si="533"/>
        <v>3423.4556210132109</v>
      </c>
      <c r="S751">
        <f t="shared" si="533"/>
        <v>3398.2199120664445</v>
      </c>
      <c r="T751">
        <f t="shared" si="533"/>
        <v>3666.5826334508997</v>
      </c>
      <c r="U751">
        <f t="shared" si="533"/>
        <v>3475.8617735369539</v>
      </c>
      <c r="V751">
        <f t="shared" si="533"/>
        <v>2979.6959514592986</v>
      </c>
      <c r="W751">
        <f t="shared" si="533"/>
        <v>3624.7391066448822</v>
      </c>
      <c r="Y751" s="14">
        <f t="shared" si="509"/>
        <v>66759.087585378846</v>
      </c>
      <c r="Z751">
        <f t="shared" si="510"/>
        <v>8804.0930034314661</v>
      </c>
    </row>
    <row r="752" spans="1:26" x14ac:dyDescent="0.25">
      <c r="Y752" s="14"/>
    </row>
    <row r="753" spans="1:26" x14ac:dyDescent="0.25">
      <c r="A753" t="s">
        <v>67</v>
      </c>
      <c r="D753">
        <f t="shared" ref="D753:W753" si="534">D126*D159</f>
        <v>3992.0167925266505</v>
      </c>
      <c r="E753">
        <f t="shared" si="534"/>
        <v>3480.494078752994</v>
      </c>
      <c r="F753">
        <f t="shared" si="534"/>
        <v>3660.3869474314965</v>
      </c>
      <c r="G753">
        <f t="shared" si="534"/>
        <v>3926.6432332077002</v>
      </c>
      <c r="H753">
        <f t="shared" si="534"/>
        <v>3995.703117478924</v>
      </c>
      <c r="I753">
        <f t="shared" si="534"/>
        <v>4562.6723144249518</v>
      </c>
      <c r="J753">
        <f t="shared" si="534"/>
        <v>4398.0918158817785</v>
      </c>
      <c r="K753">
        <f t="shared" si="534"/>
        <v>4210.9731704026944</v>
      </c>
      <c r="L753">
        <f t="shared" si="534"/>
        <v>3231.5035896555378</v>
      </c>
      <c r="M753">
        <f t="shared" si="534"/>
        <v>2304.2773785737595</v>
      </c>
      <c r="N753">
        <f t="shared" si="534"/>
        <v>2240.7011047061164</v>
      </c>
      <c r="O753">
        <f t="shared" si="534"/>
        <v>2269.4103941544408</v>
      </c>
      <c r="P753">
        <f t="shared" si="534"/>
        <v>2169.325025768007</v>
      </c>
      <c r="Q753">
        <f t="shared" si="534"/>
        <v>2230.3025050006049</v>
      </c>
      <c r="R753">
        <f t="shared" si="534"/>
        <v>2435.6328156765626</v>
      </c>
      <c r="S753">
        <f t="shared" si="534"/>
        <v>2116.1344686538341</v>
      </c>
      <c r="T753">
        <f t="shared" si="534"/>
        <v>1710.3000793585693</v>
      </c>
      <c r="U753">
        <f t="shared" si="534"/>
        <v>1705.7889969613077</v>
      </c>
      <c r="V753">
        <f t="shared" si="534"/>
        <v>2162.817454619912</v>
      </c>
      <c r="W753">
        <f t="shared" si="534"/>
        <v>2001.1696568077396</v>
      </c>
      <c r="Y753" s="14">
        <f t="shared" si="509"/>
        <v>58804.344940043571</v>
      </c>
      <c r="Z753">
        <f>SUMPRODUCT($D$757:$W$757,D753:W753)</f>
        <v>9648.5751861003046</v>
      </c>
    </row>
    <row r="754" spans="1:26" x14ac:dyDescent="0.25">
      <c r="A754" t="s">
        <v>311</v>
      </c>
      <c r="D754">
        <f t="shared" ref="D754:W754" si="535">D127*D160</f>
        <v>4250.3877551020405</v>
      </c>
      <c r="E754">
        <f t="shared" si="535"/>
        <v>3790.1428571428569</v>
      </c>
      <c r="F754">
        <f t="shared" si="535"/>
        <v>3173.1020408163267</v>
      </c>
      <c r="G754">
        <f t="shared" si="535"/>
        <v>2942.2653061224487</v>
      </c>
      <c r="H754">
        <f t="shared" si="535"/>
        <v>3294.7551020408159</v>
      </c>
      <c r="I754">
        <f t="shared" si="535"/>
        <v>3646.2244897959181</v>
      </c>
      <c r="J754">
        <f t="shared" si="535"/>
        <v>3566.6938775510203</v>
      </c>
      <c r="K754">
        <f t="shared" si="535"/>
        <v>3764.9387755102039</v>
      </c>
      <c r="L754">
        <f t="shared" si="535"/>
        <v>3847.421875</v>
      </c>
      <c r="M754">
        <f t="shared" si="535"/>
        <v>4958.2448979591836</v>
      </c>
      <c r="N754">
        <f t="shared" si="535"/>
        <v>4493.0612244897966</v>
      </c>
      <c r="O754">
        <f t="shared" si="535"/>
        <v>3912</v>
      </c>
      <c r="P754">
        <f t="shared" si="535"/>
        <v>3281.085522686797</v>
      </c>
      <c r="Q754">
        <f t="shared" si="535"/>
        <v>2674.7237362402643</v>
      </c>
      <c r="R754">
        <f t="shared" si="535"/>
        <v>2649.5639283518385</v>
      </c>
      <c r="S754">
        <f t="shared" si="535"/>
        <v>2602.7660779682019</v>
      </c>
      <c r="T754">
        <f t="shared" si="535"/>
        <v>1761.5</v>
      </c>
      <c r="U754">
        <f t="shared" si="535"/>
        <v>1709.31</v>
      </c>
      <c r="V754">
        <f t="shared" si="535"/>
        <v>2250.21</v>
      </c>
      <c r="W754">
        <f t="shared" si="535"/>
        <v>2071.92</v>
      </c>
      <c r="Y754" s="14">
        <f t="shared" si="509"/>
        <v>64640.317466777713</v>
      </c>
      <c r="Z754">
        <f>SUMPRODUCT($D$757:$W$757,D754:W754)</f>
        <v>9768.7425087103638</v>
      </c>
    </row>
    <row r="755" spans="1:26" x14ac:dyDescent="0.25">
      <c r="A755" t="s">
        <v>312</v>
      </c>
      <c r="D755">
        <f t="shared" ref="D755:W755" si="536">D128*D161</f>
        <v>2116.6586983096404</v>
      </c>
      <c r="E755">
        <f t="shared" si="536"/>
        <v>2393.3288609322262</v>
      </c>
      <c r="F755">
        <f t="shared" si="536"/>
        <v>2827.0601515842977</v>
      </c>
      <c r="G755">
        <f t="shared" si="536"/>
        <v>2515.1334869017869</v>
      </c>
      <c r="H755">
        <f t="shared" si="536"/>
        <v>2468.0471090724527</v>
      </c>
      <c r="I755">
        <f t="shared" si="536"/>
        <v>2435.5878498843285</v>
      </c>
      <c r="J755">
        <f t="shared" si="536"/>
        <v>2548.020419680186</v>
      </c>
      <c r="K755">
        <f t="shared" si="536"/>
        <v>2785.8111150903974</v>
      </c>
      <c r="L755">
        <f t="shared" si="536"/>
        <v>2511.3286402167009</v>
      </c>
      <c r="M755">
        <f t="shared" si="536"/>
        <v>2379.9210127246179</v>
      </c>
      <c r="N755">
        <f t="shared" si="536"/>
        <v>2372.5530940906215</v>
      </c>
      <c r="O755">
        <f t="shared" si="536"/>
        <v>2358.5785057002131</v>
      </c>
      <c r="P755">
        <f t="shared" si="536"/>
        <v>2235.0978103799348</v>
      </c>
      <c r="Q755">
        <f t="shared" si="536"/>
        <v>2426.1634450049255</v>
      </c>
      <c r="R755">
        <f t="shared" si="536"/>
        <v>2424.0374238397771</v>
      </c>
      <c r="S755">
        <f t="shared" si="536"/>
        <v>2204.4927618498768</v>
      </c>
      <c r="T755">
        <f t="shared" si="536"/>
        <v>1794.1526874672811</v>
      </c>
      <c r="U755">
        <f t="shared" si="536"/>
        <v>1758.8167803211181</v>
      </c>
      <c r="V755">
        <f t="shared" si="536"/>
        <v>2131.1170271647261</v>
      </c>
      <c r="W755">
        <f t="shared" si="536"/>
        <v>1868.8979038533218</v>
      </c>
      <c r="Y755" s="14">
        <f t="shared" si="509"/>
        <v>46554.80478406843</v>
      </c>
      <c r="Z755">
        <f>SUMPRODUCT($D$757:$W$757,D755:W755)</f>
        <v>6603.7972717849379</v>
      </c>
    </row>
    <row r="756" spans="1:26" x14ac:dyDescent="0.25">
      <c r="A756" t="s">
        <v>674</v>
      </c>
      <c r="D756">
        <f t="shared" ref="D756:W756" si="537">D129*D162</f>
        <v>2706.7398004525003</v>
      </c>
      <c r="E756">
        <f t="shared" si="537"/>
        <v>2596.4488400394448</v>
      </c>
      <c r="F756">
        <f t="shared" si="537"/>
        <v>1643.2780147703204</v>
      </c>
      <c r="G756">
        <f t="shared" si="537"/>
        <v>1807.9840871053623</v>
      </c>
      <c r="H756">
        <f t="shared" si="537"/>
        <v>1830.1796213700875</v>
      </c>
      <c r="I756">
        <f t="shared" si="537"/>
        <v>2181.9503567299175</v>
      </c>
      <c r="J756">
        <f t="shared" si="537"/>
        <v>2445.1694402854073</v>
      </c>
      <c r="K756">
        <f t="shared" si="537"/>
        <v>2476.6841536911829</v>
      </c>
      <c r="L756">
        <f t="shared" si="537"/>
        <v>2054.9529404947998</v>
      </c>
      <c r="M756">
        <f t="shared" si="537"/>
        <v>2464.7190051600933</v>
      </c>
      <c r="N756">
        <f t="shared" si="537"/>
        <v>2434.8889065033659</v>
      </c>
      <c r="O756">
        <f t="shared" si="537"/>
        <v>2460.5593352454189</v>
      </c>
      <c r="P756">
        <f t="shared" si="537"/>
        <v>2080.4956005843628</v>
      </c>
      <c r="Q756">
        <f t="shared" si="537"/>
        <v>2079.1814737525706</v>
      </c>
      <c r="R756">
        <f t="shared" si="537"/>
        <v>2508.3347724630394</v>
      </c>
      <c r="S756">
        <f t="shared" si="537"/>
        <v>2144.629738710797</v>
      </c>
      <c r="T756">
        <f t="shared" si="537"/>
        <v>1767.6690084456329</v>
      </c>
      <c r="U756">
        <f t="shared" si="537"/>
        <v>1691.5386280223554</v>
      </c>
      <c r="V756">
        <f t="shared" si="537"/>
        <v>1903.123810296129</v>
      </c>
      <c r="W756">
        <f t="shared" si="537"/>
        <v>2016.902964068764</v>
      </c>
      <c r="Y756" s="14">
        <f t="shared" ref="Y756" si="538">SUM(D756:W756)</f>
        <v>43295.430498191556</v>
      </c>
      <c r="Z756">
        <f>SUMPRODUCT($D$757:$W$757,D756:W756)</f>
        <v>6171.113699907467</v>
      </c>
    </row>
    <row r="757" spans="1:26" x14ac:dyDescent="0.25">
      <c r="A757" s="2" t="s">
        <v>68</v>
      </c>
      <c r="D757" s="3">
        <f>CORREL($B$2:$B$25,D728:D751)</f>
        <v>0.43779449386275482</v>
      </c>
      <c r="E757" s="3">
        <f t="shared" ref="E757:W757" si="539">CORREL($B$2:$B$25,E728:E751)</f>
        <v>-5.2008430045559328E-2</v>
      </c>
      <c r="F757" s="3">
        <f t="shared" si="539"/>
        <v>6.3494802625445199E-2</v>
      </c>
      <c r="G757" s="3">
        <f t="shared" si="539"/>
        <v>0.22151742308710554</v>
      </c>
      <c r="H757" s="3">
        <f t="shared" si="539"/>
        <v>0.29807508413619366</v>
      </c>
      <c r="I757" s="3">
        <f t="shared" si="539"/>
        <v>0.24170365470578203</v>
      </c>
      <c r="J757" s="3">
        <f t="shared" si="539"/>
        <v>0.21992579230984921</v>
      </c>
      <c r="K757" s="3">
        <f t="shared" si="539"/>
        <v>0.27661424401217138</v>
      </c>
      <c r="L757" s="3">
        <f t="shared" si="539"/>
        <v>0.22717727303508231</v>
      </c>
      <c r="M757" s="3">
        <f t="shared" si="539"/>
        <v>9.0613569629916554E-2</v>
      </c>
      <c r="N757" s="3">
        <f t="shared" si="539"/>
        <v>6.5068653542637467E-2</v>
      </c>
      <c r="O757" s="3">
        <f t="shared" si="539"/>
        <v>0.15403182941051066</v>
      </c>
      <c r="P757" s="3">
        <f t="shared" si="539"/>
        <v>0.16300109915309011</v>
      </c>
      <c r="Q757" s="3">
        <f t="shared" si="539"/>
        <v>-3.1253966248147802E-2</v>
      </c>
      <c r="R757" s="3">
        <f t="shared" si="539"/>
        <v>-1.5987956176019124E-2</v>
      </c>
      <c r="S757" s="3">
        <f t="shared" si="539"/>
        <v>8.1389381643389519E-2</v>
      </c>
      <c r="T757" s="3">
        <f t="shared" si="539"/>
        <v>8.4052793456694044E-2</v>
      </c>
      <c r="U757" s="3">
        <f t="shared" si="539"/>
        <v>-8.8169903819347844E-3</v>
      </c>
      <c r="V757" s="3">
        <f t="shared" si="539"/>
        <v>8.4456895140130842E-2</v>
      </c>
      <c r="W757" s="3">
        <f t="shared" si="539"/>
        <v>0.19334583858659973</v>
      </c>
    </row>
    <row r="760" spans="1:26" x14ac:dyDescent="0.25">
      <c r="D760" t="s">
        <v>257</v>
      </c>
      <c r="E760" t="s">
        <v>258</v>
      </c>
      <c r="F760" t="s">
        <v>259</v>
      </c>
      <c r="G760" t="s">
        <v>260</v>
      </c>
      <c r="H760" t="s">
        <v>261</v>
      </c>
      <c r="I760" t="s">
        <v>262</v>
      </c>
      <c r="J760" t="s">
        <v>263</v>
      </c>
      <c r="K760" t="s">
        <v>264</v>
      </c>
      <c r="L760" t="s">
        <v>360</v>
      </c>
      <c r="M760" t="s">
        <v>434</v>
      </c>
      <c r="N760" t="s">
        <v>435</v>
      </c>
      <c r="O760" t="s">
        <v>436</v>
      </c>
      <c r="P760" t="s">
        <v>542</v>
      </c>
      <c r="Q760" t="s">
        <v>543</v>
      </c>
      <c r="R760" t="s">
        <v>544</v>
      </c>
      <c r="S760" t="s">
        <v>545</v>
      </c>
      <c r="T760" t="s">
        <v>654</v>
      </c>
      <c r="U760" t="s">
        <v>655</v>
      </c>
      <c r="V760" t="s">
        <v>656</v>
      </c>
      <c r="W760" t="s">
        <v>657</v>
      </c>
      <c r="Y760" t="s">
        <v>265</v>
      </c>
      <c r="Z760" t="s">
        <v>266</v>
      </c>
    </row>
    <row r="761" spans="1:26" x14ac:dyDescent="0.25">
      <c r="A761" t="s">
        <v>43</v>
      </c>
      <c r="D761">
        <f t="shared" ref="D761:W761" si="540">D101*D167</f>
        <v>1367.4834179386608</v>
      </c>
      <c r="E761">
        <f t="shared" si="540"/>
        <v>709.08396941443539</v>
      </c>
      <c r="F761">
        <f t="shared" si="540"/>
        <v>658.46391017016117</v>
      </c>
      <c r="G761">
        <f t="shared" si="540"/>
        <v>684.31841844060114</v>
      </c>
      <c r="H761">
        <f t="shared" si="540"/>
        <v>789.36633872087805</v>
      </c>
      <c r="I761">
        <f t="shared" si="540"/>
        <v>493.29428932256093</v>
      </c>
      <c r="J761">
        <f t="shared" si="540"/>
        <v>950.13145228541646</v>
      </c>
      <c r="K761">
        <f t="shared" si="540"/>
        <v>596.20334561132847</v>
      </c>
      <c r="L761">
        <f t="shared" si="540"/>
        <v>542.23242894653447</v>
      </c>
      <c r="M761">
        <f t="shared" si="540"/>
        <v>628.49423877490824</v>
      </c>
      <c r="N761">
        <f t="shared" si="540"/>
        <v>349.64471933708199</v>
      </c>
      <c r="O761">
        <f t="shared" si="540"/>
        <v>496.32367814896509</v>
      </c>
      <c r="P761">
        <f t="shared" si="540"/>
        <v>284.37489361377527</v>
      </c>
      <c r="Q761">
        <f t="shared" si="540"/>
        <v>738.85141249315245</v>
      </c>
      <c r="R761">
        <f t="shared" si="540"/>
        <v>540.91601840473061</v>
      </c>
      <c r="S761">
        <f t="shared" si="540"/>
        <v>733.30612671002416</v>
      </c>
      <c r="T761">
        <f t="shared" si="540"/>
        <v>355.76722803419068</v>
      </c>
      <c r="U761">
        <f t="shared" si="540"/>
        <v>511.15567022914092</v>
      </c>
      <c r="V761">
        <f t="shared" si="540"/>
        <v>692.126582285072</v>
      </c>
      <c r="W761">
        <f t="shared" si="540"/>
        <v>892.86814378932786</v>
      </c>
      <c r="Y761" s="14">
        <f t="shared" ref="Y761:Y788" si="541">SUM(D761:W761)</f>
        <v>13014.406282670945</v>
      </c>
      <c r="Z761">
        <f t="shared" ref="Z761:Z784" si="542">SUMPRODUCT($D$790:$W$790,D761:W761)</f>
        <v>-714.74424752547429</v>
      </c>
    </row>
    <row r="762" spans="1:26" x14ac:dyDescent="0.25">
      <c r="A762" t="s">
        <v>44</v>
      </c>
      <c r="D762">
        <f t="shared" ref="D762:W762" si="543">D102*D168</f>
        <v>1208.2402390372774</v>
      </c>
      <c r="E762">
        <f t="shared" si="543"/>
        <v>1072.7434133468437</v>
      </c>
      <c r="F762">
        <f t="shared" si="543"/>
        <v>817.75389788790517</v>
      </c>
      <c r="G762">
        <f t="shared" si="543"/>
        <v>883.50507527726211</v>
      </c>
      <c r="H762">
        <f t="shared" si="543"/>
        <v>942.40873017683225</v>
      </c>
      <c r="I762">
        <f t="shared" si="543"/>
        <v>570.23322003950057</v>
      </c>
      <c r="J762">
        <f t="shared" si="543"/>
        <v>624.84767557674684</v>
      </c>
      <c r="K762">
        <f t="shared" si="543"/>
        <v>792.4776422593485</v>
      </c>
      <c r="L762">
        <f t="shared" si="543"/>
        <v>580.59843976260504</v>
      </c>
      <c r="M762">
        <f t="shared" si="543"/>
        <v>500.48796676948285</v>
      </c>
      <c r="N762">
        <f t="shared" si="543"/>
        <v>651.86479450790591</v>
      </c>
      <c r="O762">
        <f t="shared" si="543"/>
        <v>523.86223139558194</v>
      </c>
      <c r="P762">
        <f t="shared" si="543"/>
        <v>786.59542029078534</v>
      </c>
      <c r="Q762">
        <f t="shared" si="543"/>
        <v>598.33484819277862</v>
      </c>
      <c r="R762">
        <f t="shared" si="543"/>
        <v>868.77604930334167</v>
      </c>
      <c r="S762">
        <f t="shared" si="543"/>
        <v>992.060625737745</v>
      </c>
      <c r="T762">
        <f t="shared" si="543"/>
        <v>650.99202804202901</v>
      </c>
      <c r="U762">
        <f t="shared" si="543"/>
        <v>761.99820621273864</v>
      </c>
      <c r="V762">
        <f t="shared" si="543"/>
        <v>764.43707516358654</v>
      </c>
      <c r="W762">
        <f t="shared" si="543"/>
        <v>951.1797343424264</v>
      </c>
      <c r="Y762" s="14">
        <f t="shared" si="541"/>
        <v>15543.397313322725</v>
      </c>
      <c r="Z762">
        <f t="shared" si="542"/>
        <v>-1056.1381300341645</v>
      </c>
    </row>
    <row r="763" spans="1:26" x14ac:dyDescent="0.25">
      <c r="A763" t="s">
        <v>45</v>
      </c>
      <c r="D763">
        <f t="shared" ref="D763:W763" si="544">D103*D169</f>
        <v>1542.7243094347082</v>
      </c>
      <c r="E763">
        <f t="shared" si="544"/>
        <v>1117.2470858453844</v>
      </c>
      <c r="F763">
        <f t="shared" si="544"/>
        <v>1015.2092018694698</v>
      </c>
      <c r="G763">
        <f t="shared" si="544"/>
        <v>1070.7631440821131</v>
      </c>
      <c r="H763">
        <f t="shared" si="544"/>
        <v>1241.4495985798776</v>
      </c>
      <c r="I763">
        <f t="shared" si="544"/>
        <v>823.34023825532336</v>
      </c>
      <c r="J763">
        <f t="shared" si="544"/>
        <v>621.38435652751468</v>
      </c>
      <c r="K763">
        <f t="shared" si="544"/>
        <v>576.62778722670168</v>
      </c>
      <c r="L763">
        <f t="shared" si="544"/>
        <v>540.25342776984394</v>
      </c>
      <c r="M763">
        <f t="shared" si="544"/>
        <v>703.6536240562267</v>
      </c>
      <c r="N763">
        <f t="shared" si="544"/>
        <v>735.4987954023951</v>
      </c>
      <c r="O763">
        <f t="shared" si="544"/>
        <v>628.94077094359534</v>
      </c>
      <c r="P763">
        <f t="shared" si="544"/>
        <v>647.08416796260292</v>
      </c>
      <c r="Q763">
        <f t="shared" si="544"/>
        <v>723.58307334502729</v>
      </c>
      <c r="R763">
        <f t="shared" si="544"/>
        <v>718.29753720901965</v>
      </c>
      <c r="S763">
        <f t="shared" si="544"/>
        <v>761.51089311557848</v>
      </c>
      <c r="T763">
        <f t="shared" si="544"/>
        <v>864.44465054363479</v>
      </c>
      <c r="U763">
        <f t="shared" si="544"/>
        <v>857.53367299263186</v>
      </c>
      <c r="V763">
        <f t="shared" si="544"/>
        <v>781.66392681687682</v>
      </c>
      <c r="W763">
        <f t="shared" si="544"/>
        <v>958.00876633364544</v>
      </c>
      <c r="Y763" s="14">
        <f t="shared" si="541"/>
        <v>16929.219028312171</v>
      </c>
      <c r="Z763">
        <f t="shared" si="542"/>
        <v>-808.81254932360082</v>
      </c>
    </row>
    <row r="764" spans="1:26" x14ac:dyDescent="0.25">
      <c r="A764" t="s">
        <v>46</v>
      </c>
      <c r="D764">
        <f t="shared" ref="D764:W764" si="545">D104*D170</f>
        <v>1093.1156642390415</v>
      </c>
      <c r="E764">
        <f t="shared" si="545"/>
        <v>1039.9665179928152</v>
      </c>
      <c r="F764">
        <f t="shared" si="545"/>
        <v>993.37663130774354</v>
      </c>
      <c r="G764">
        <f t="shared" si="545"/>
        <v>953.13848724499826</v>
      </c>
      <c r="H764">
        <f t="shared" si="545"/>
        <v>872.11966513266111</v>
      </c>
      <c r="I764">
        <f t="shared" si="545"/>
        <v>958.59882242012748</v>
      </c>
      <c r="J764">
        <f t="shared" si="545"/>
        <v>824.2312890907582</v>
      </c>
      <c r="K764">
        <f t="shared" si="545"/>
        <v>745.11162664034123</v>
      </c>
      <c r="L764">
        <f t="shared" si="545"/>
        <v>592.37577809961408</v>
      </c>
      <c r="M764">
        <f t="shared" si="545"/>
        <v>411.32403069338017</v>
      </c>
      <c r="N764">
        <f t="shared" si="545"/>
        <v>624.35084798055186</v>
      </c>
      <c r="O764">
        <f t="shared" si="545"/>
        <v>497.64077162415231</v>
      </c>
      <c r="P764">
        <f t="shared" si="545"/>
        <v>454.75506435952474</v>
      </c>
      <c r="Q764">
        <f t="shared" si="545"/>
        <v>542.57990091759984</v>
      </c>
      <c r="R764">
        <f t="shared" si="545"/>
        <v>802.55326780322673</v>
      </c>
      <c r="S764">
        <f t="shared" si="545"/>
        <v>618.91440509567144</v>
      </c>
      <c r="T764">
        <f t="shared" si="545"/>
        <v>816.41292223740982</v>
      </c>
      <c r="U764">
        <f t="shared" si="545"/>
        <v>963.12580773866375</v>
      </c>
      <c r="V764">
        <f t="shared" si="545"/>
        <v>611.57320627204592</v>
      </c>
      <c r="W764">
        <f t="shared" si="545"/>
        <v>746.14290848133237</v>
      </c>
      <c r="Y764" s="14">
        <f t="shared" si="541"/>
        <v>15161.407615371656</v>
      </c>
      <c r="Z764">
        <f t="shared" si="542"/>
        <v>-1032.7264803461692</v>
      </c>
    </row>
    <row r="765" spans="1:26" x14ac:dyDescent="0.25">
      <c r="A765" t="s">
        <v>47</v>
      </c>
      <c r="D765">
        <f t="shared" ref="D765:W765" si="546">D105*D171</f>
        <v>1353.7135348250208</v>
      </c>
      <c r="E765">
        <f t="shared" si="546"/>
        <v>893.46044476960014</v>
      </c>
      <c r="F765">
        <f t="shared" si="546"/>
        <v>766.71049387522351</v>
      </c>
      <c r="G765">
        <f t="shared" si="546"/>
        <v>1014.7369633183862</v>
      </c>
      <c r="H765">
        <f t="shared" si="546"/>
        <v>616.96909068994671</v>
      </c>
      <c r="I765">
        <f t="shared" si="546"/>
        <v>814.93172464291217</v>
      </c>
      <c r="J765">
        <f t="shared" si="546"/>
        <v>951.36630765928032</v>
      </c>
      <c r="K765">
        <f t="shared" si="546"/>
        <v>654.26712427799373</v>
      </c>
      <c r="L765">
        <f t="shared" si="546"/>
        <v>506.44569503774983</v>
      </c>
      <c r="M765">
        <f t="shared" si="546"/>
        <v>593.21268194563879</v>
      </c>
      <c r="N765">
        <f t="shared" si="546"/>
        <v>615.25365497358018</v>
      </c>
      <c r="O765">
        <f t="shared" si="546"/>
        <v>701.41857734040661</v>
      </c>
      <c r="P765">
        <f t="shared" si="546"/>
        <v>610.59243895710233</v>
      </c>
      <c r="Q765">
        <f t="shared" si="546"/>
        <v>594.32562477376121</v>
      </c>
      <c r="R765">
        <f t="shared" si="546"/>
        <v>455.21683586355363</v>
      </c>
      <c r="S765">
        <f t="shared" si="546"/>
        <v>736.93333647325085</v>
      </c>
      <c r="T765">
        <f t="shared" si="546"/>
        <v>793.04658193131786</v>
      </c>
      <c r="U765">
        <f t="shared" si="546"/>
        <v>1072.6688264885363</v>
      </c>
      <c r="V765">
        <f t="shared" si="546"/>
        <v>1174.2572240389918</v>
      </c>
      <c r="W765">
        <f t="shared" si="546"/>
        <v>1222.0896832897708</v>
      </c>
      <c r="Y765" s="14">
        <f t="shared" si="541"/>
        <v>16141.616845172022</v>
      </c>
      <c r="Z765">
        <f t="shared" si="542"/>
        <v>-1079.6614008244426</v>
      </c>
    </row>
    <row r="766" spans="1:26" x14ac:dyDescent="0.25">
      <c r="A766" t="s">
        <v>48</v>
      </c>
      <c r="D766">
        <f t="shared" ref="D766:W766" si="547">D106*D172</f>
        <v>1091.1537022029588</v>
      </c>
      <c r="E766">
        <f t="shared" si="547"/>
        <v>1092.6857183036025</v>
      </c>
      <c r="F766">
        <f t="shared" si="547"/>
        <v>1024.3587280208717</v>
      </c>
      <c r="G766">
        <f t="shared" si="547"/>
        <v>774.36513357775289</v>
      </c>
      <c r="H766">
        <f t="shared" si="547"/>
        <v>720.50710815245145</v>
      </c>
      <c r="I766">
        <f t="shared" si="547"/>
        <v>1167.3441136260406</v>
      </c>
      <c r="J766">
        <f t="shared" si="547"/>
        <v>912.98053474155233</v>
      </c>
      <c r="K766">
        <f t="shared" si="547"/>
        <v>454.26993097496285</v>
      </c>
      <c r="L766">
        <f t="shared" si="547"/>
        <v>567.61868321746135</v>
      </c>
      <c r="M766">
        <f t="shared" si="547"/>
        <v>739.93294843377362</v>
      </c>
      <c r="N766">
        <f t="shared" si="547"/>
        <v>758.45141421048311</v>
      </c>
      <c r="O766">
        <f t="shared" si="547"/>
        <v>705.97198876208233</v>
      </c>
      <c r="P766">
        <f t="shared" si="547"/>
        <v>708.60972169071567</v>
      </c>
      <c r="Q766">
        <f t="shared" si="547"/>
        <v>759.74757187994317</v>
      </c>
      <c r="R766">
        <f t="shared" si="547"/>
        <v>781.67777161865661</v>
      </c>
      <c r="S766">
        <f t="shared" si="547"/>
        <v>815.3753772810162</v>
      </c>
      <c r="T766">
        <f t="shared" si="547"/>
        <v>837.58446387686445</v>
      </c>
      <c r="U766">
        <f t="shared" si="547"/>
        <v>848.02695727596847</v>
      </c>
      <c r="V766">
        <f t="shared" si="547"/>
        <v>430.51296254901297</v>
      </c>
      <c r="W766">
        <f t="shared" si="547"/>
        <v>629.84968804291054</v>
      </c>
      <c r="Y766" s="14">
        <f t="shared" si="541"/>
        <v>15821.024518439084</v>
      </c>
      <c r="Z766">
        <f t="shared" si="542"/>
        <v>-1172.4406310546367</v>
      </c>
    </row>
    <row r="767" spans="1:26" x14ac:dyDescent="0.25">
      <c r="A767" t="s">
        <v>49</v>
      </c>
      <c r="D767">
        <f t="shared" ref="D767:W767" si="548">D107*D173</f>
        <v>295.87114338927285</v>
      </c>
      <c r="E767">
        <f t="shared" si="548"/>
        <v>784.11742248391533</v>
      </c>
      <c r="F767">
        <f t="shared" si="548"/>
        <v>912.03616846528291</v>
      </c>
      <c r="G767">
        <f t="shared" si="548"/>
        <v>678.35851652279894</v>
      </c>
      <c r="H767">
        <f t="shared" si="548"/>
        <v>912.19209017604999</v>
      </c>
      <c r="I767">
        <f t="shared" si="548"/>
        <v>905.68228621056778</v>
      </c>
      <c r="J767">
        <f t="shared" si="548"/>
        <v>614.27390103521361</v>
      </c>
      <c r="K767">
        <f t="shared" si="548"/>
        <v>684.69833043991002</v>
      </c>
      <c r="L767">
        <f t="shared" si="548"/>
        <v>513.97828844295941</v>
      </c>
      <c r="M767">
        <f t="shared" si="548"/>
        <v>729.48084977296162</v>
      </c>
      <c r="N767">
        <f t="shared" si="548"/>
        <v>499.05878744647157</v>
      </c>
      <c r="O767">
        <f t="shared" si="548"/>
        <v>539.63586932588555</v>
      </c>
      <c r="P767">
        <f t="shared" si="548"/>
        <v>623.9522146139733</v>
      </c>
      <c r="Q767">
        <f t="shared" si="548"/>
        <v>710.89316182718198</v>
      </c>
      <c r="R767">
        <f t="shared" si="548"/>
        <v>747.07321671080217</v>
      </c>
      <c r="S767">
        <f t="shared" si="548"/>
        <v>798.9730284020053</v>
      </c>
      <c r="T767">
        <f t="shared" si="548"/>
        <v>841.23531919293987</v>
      </c>
      <c r="U767">
        <f t="shared" si="548"/>
        <v>600.14498364231815</v>
      </c>
      <c r="V767">
        <f t="shared" si="548"/>
        <v>706.71862604363594</v>
      </c>
      <c r="W767">
        <f t="shared" si="548"/>
        <v>939.09620196054141</v>
      </c>
      <c r="Y767" s="14">
        <f t="shared" si="541"/>
        <v>14037.470406104687</v>
      </c>
      <c r="Z767">
        <f t="shared" si="542"/>
        <v>-831.02525788147852</v>
      </c>
    </row>
    <row r="768" spans="1:26" x14ac:dyDescent="0.25">
      <c r="A768" t="s">
        <v>50</v>
      </c>
      <c r="D768">
        <f t="shared" ref="D768:W768" si="549">D108*D174</f>
        <v>838.52597593042958</v>
      </c>
      <c r="E768">
        <f t="shared" si="549"/>
        <v>881.08429951812229</v>
      </c>
      <c r="F768">
        <f t="shared" si="549"/>
        <v>846.14841767643793</v>
      </c>
      <c r="G768">
        <f t="shared" si="549"/>
        <v>733.23902966544631</v>
      </c>
      <c r="H768">
        <f t="shared" si="549"/>
        <v>894.57667160642973</v>
      </c>
      <c r="I768">
        <f t="shared" si="549"/>
        <v>1125.2450226331077</v>
      </c>
      <c r="J768">
        <f t="shared" si="549"/>
        <v>938.77205669159866</v>
      </c>
      <c r="K768">
        <f t="shared" si="549"/>
        <v>809.60410382557347</v>
      </c>
      <c r="L768">
        <f t="shared" si="549"/>
        <v>712.53294986796277</v>
      </c>
      <c r="M768">
        <f t="shared" si="549"/>
        <v>1016.9068167175976</v>
      </c>
      <c r="N768">
        <f t="shared" si="549"/>
        <v>924.29459277746582</v>
      </c>
      <c r="O768">
        <f t="shared" si="549"/>
        <v>667.75357326561152</v>
      </c>
      <c r="P768">
        <f t="shared" si="549"/>
        <v>879.94684670173228</v>
      </c>
      <c r="Q768">
        <f t="shared" si="549"/>
        <v>792.68571625572588</v>
      </c>
      <c r="R768">
        <f t="shared" si="549"/>
        <v>926.80495929079621</v>
      </c>
      <c r="S768">
        <f t="shared" si="549"/>
        <v>1001.039677806429</v>
      </c>
      <c r="T768">
        <f t="shared" si="549"/>
        <v>1340.275627946646</v>
      </c>
      <c r="U768">
        <f t="shared" si="549"/>
        <v>1125.0170526606062</v>
      </c>
      <c r="V768">
        <f t="shared" si="549"/>
        <v>993.87094561359299</v>
      </c>
      <c r="W768">
        <f t="shared" si="549"/>
        <v>1059.4483534678227</v>
      </c>
      <c r="Y768" s="14">
        <f t="shared" si="541"/>
        <v>18507.772689919133</v>
      </c>
      <c r="Z768">
        <f t="shared" si="542"/>
        <v>-1365.6032676573259</v>
      </c>
    </row>
    <row r="769" spans="1:26" x14ac:dyDescent="0.25">
      <c r="A769" t="s">
        <v>51</v>
      </c>
      <c r="D769">
        <f t="shared" ref="D769:W769" si="550">D109*D175</f>
        <v>1268.9784509293872</v>
      </c>
      <c r="E769">
        <f t="shared" si="550"/>
        <v>1043.6160239035883</v>
      </c>
      <c r="F769">
        <f t="shared" si="550"/>
        <v>1292.762639121644</v>
      </c>
      <c r="G769">
        <f t="shared" si="550"/>
        <v>1335.5432853403136</v>
      </c>
      <c r="H769">
        <f t="shared" si="550"/>
        <v>1141.8969263834404</v>
      </c>
      <c r="I769">
        <f t="shared" si="550"/>
        <v>707.84233091073384</v>
      </c>
      <c r="J769">
        <f t="shared" si="550"/>
        <v>707.71406365449707</v>
      </c>
      <c r="K769">
        <f t="shared" si="550"/>
        <v>945.24380545818713</v>
      </c>
      <c r="L769">
        <f t="shared" si="550"/>
        <v>623.13861036419939</v>
      </c>
      <c r="M769">
        <f t="shared" si="550"/>
        <v>705.36372522828674</v>
      </c>
      <c r="N769">
        <f t="shared" si="550"/>
        <v>958.9540019411877</v>
      </c>
      <c r="O769">
        <f t="shared" si="550"/>
        <v>599.2752035868341</v>
      </c>
      <c r="P769">
        <f t="shared" si="550"/>
        <v>641.67232483547002</v>
      </c>
      <c r="Q769">
        <f t="shared" si="550"/>
        <v>840.04705948448782</v>
      </c>
      <c r="R769">
        <f t="shared" si="550"/>
        <v>745.0096022066972</v>
      </c>
      <c r="S769">
        <f t="shared" si="550"/>
        <v>710.69189992176507</v>
      </c>
      <c r="T769">
        <f t="shared" si="550"/>
        <v>801.26593998288217</v>
      </c>
      <c r="U769">
        <f t="shared" si="550"/>
        <v>793.31845427016412</v>
      </c>
      <c r="V769">
        <f t="shared" si="550"/>
        <v>786.20302759649985</v>
      </c>
      <c r="W769">
        <f t="shared" si="550"/>
        <v>1230.3734708808979</v>
      </c>
      <c r="Y769" s="14">
        <f t="shared" si="541"/>
        <v>17878.910846001167</v>
      </c>
      <c r="Z769">
        <f t="shared" si="542"/>
        <v>-819.2852459822758</v>
      </c>
    </row>
    <row r="770" spans="1:26" x14ac:dyDescent="0.25">
      <c r="A770" t="s">
        <v>52</v>
      </c>
      <c r="D770">
        <f t="shared" ref="D770:W770" si="551">D110*D176</f>
        <v>1635.9824175805043</v>
      </c>
      <c r="E770">
        <f t="shared" si="551"/>
        <v>1456.5978133058875</v>
      </c>
      <c r="F770">
        <f t="shared" si="551"/>
        <v>1172.21235982598</v>
      </c>
      <c r="G770">
        <f t="shared" si="551"/>
        <v>1328.9217167651082</v>
      </c>
      <c r="H770">
        <f t="shared" si="551"/>
        <v>1215.3990023543181</v>
      </c>
      <c r="I770">
        <f t="shared" si="551"/>
        <v>1326.5084447789966</v>
      </c>
      <c r="J770">
        <f t="shared" si="551"/>
        <v>994.8949318393386</v>
      </c>
      <c r="K770">
        <f t="shared" si="551"/>
        <v>1007.5532571375472</v>
      </c>
      <c r="L770">
        <f t="shared" si="551"/>
        <v>636.8904590400233</v>
      </c>
      <c r="M770">
        <f t="shared" si="551"/>
        <v>770.10661361633584</v>
      </c>
      <c r="N770">
        <f t="shared" si="551"/>
        <v>813.45537887632952</v>
      </c>
      <c r="O770">
        <f t="shared" si="551"/>
        <v>706.31057219541219</v>
      </c>
      <c r="P770">
        <f t="shared" si="551"/>
        <v>637.91890778148468</v>
      </c>
      <c r="Q770">
        <f t="shared" si="551"/>
        <v>852.47508751155021</v>
      </c>
      <c r="R770">
        <f t="shared" si="551"/>
        <v>608.61689742561941</v>
      </c>
      <c r="S770">
        <f t="shared" si="551"/>
        <v>660.09114654175073</v>
      </c>
      <c r="T770">
        <f t="shared" si="551"/>
        <v>652.06922925224364</v>
      </c>
      <c r="U770">
        <f t="shared" si="551"/>
        <v>642.23486270891146</v>
      </c>
      <c r="V770">
        <f t="shared" si="551"/>
        <v>857.07677752149061</v>
      </c>
      <c r="W770">
        <f t="shared" si="551"/>
        <v>940.38648238774545</v>
      </c>
      <c r="Y770" s="14">
        <f t="shared" si="541"/>
        <v>18915.702358446579</v>
      </c>
      <c r="Z770">
        <f t="shared" si="542"/>
        <v>-912.87795362034763</v>
      </c>
    </row>
    <row r="771" spans="1:26" x14ac:dyDescent="0.25">
      <c r="A771" t="s">
        <v>53</v>
      </c>
      <c r="D771">
        <f t="shared" ref="D771:W771" si="552">D111*D177</f>
        <v>1489.4083459086269</v>
      </c>
      <c r="E771">
        <f t="shared" si="552"/>
        <v>1163.6120305324453</v>
      </c>
      <c r="F771">
        <f t="shared" si="552"/>
        <v>956.56403788087414</v>
      </c>
      <c r="G771">
        <f t="shared" si="552"/>
        <v>899.95979372659747</v>
      </c>
      <c r="H771">
        <f t="shared" si="552"/>
        <v>652.54714323651638</v>
      </c>
      <c r="I771">
        <f t="shared" si="552"/>
        <v>698.92781020140228</v>
      </c>
      <c r="J771">
        <f t="shared" si="552"/>
        <v>673.86146499913082</v>
      </c>
      <c r="K771">
        <f t="shared" si="552"/>
        <v>721.55742580659796</v>
      </c>
      <c r="L771">
        <f t="shared" si="552"/>
        <v>591.76452780331044</v>
      </c>
      <c r="M771">
        <f t="shared" si="552"/>
        <v>708.43779876433325</v>
      </c>
      <c r="N771">
        <f t="shared" si="552"/>
        <v>713.07746776746603</v>
      </c>
      <c r="O771">
        <f t="shared" si="552"/>
        <v>803.38582628718962</v>
      </c>
      <c r="P771">
        <f t="shared" si="552"/>
        <v>772.57093688718351</v>
      </c>
      <c r="Q771">
        <f t="shared" si="552"/>
        <v>724.84332629928065</v>
      </c>
      <c r="R771">
        <f t="shared" si="552"/>
        <v>991.08037288203263</v>
      </c>
      <c r="S771">
        <f t="shared" si="552"/>
        <v>981.7778891208128</v>
      </c>
      <c r="T771">
        <f t="shared" si="552"/>
        <v>1116.8950194391621</v>
      </c>
      <c r="U771">
        <f t="shared" si="552"/>
        <v>984.31170638655976</v>
      </c>
      <c r="V771">
        <f t="shared" si="552"/>
        <v>968.19183720088154</v>
      </c>
      <c r="W771">
        <f t="shared" si="552"/>
        <v>922.46048399038864</v>
      </c>
      <c r="Y771" s="14">
        <f t="shared" si="541"/>
        <v>17535.235245120788</v>
      </c>
      <c r="Z771">
        <f t="shared" si="542"/>
        <v>-1309.0403795063935</v>
      </c>
    </row>
    <row r="772" spans="1:26" x14ac:dyDescent="0.25">
      <c r="A772" t="s">
        <v>54</v>
      </c>
      <c r="D772">
        <f t="shared" ref="D772:W772" si="553">D112*D178</f>
        <v>1066.8208772269868</v>
      </c>
      <c r="E772">
        <f t="shared" si="553"/>
        <v>985.36622903890679</v>
      </c>
      <c r="F772">
        <f t="shared" si="553"/>
        <v>724.13719097050148</v>
      </c>
      <c r="G772">
        <f t="shared" si="553"/>
        <v>725.84286657132577</v>
      </c>
      <c r="H772">
        <f t="shared" si="553"/>
        <v>527.37535972169042</v>
      </c>
      <c r="I772">
        <f t="shared" si="553"/>
        <v>587.42076822357001</v>
      </c>
      <c r="J772">
        <f t="shared" si="553"/>
        <v>563.52257223337472</v>
      </c>
      <c r="K772">
        <f t="shared" si="553"/>
        <v>547.18052328271312</v>
      </c>
      <c r="L772">
        <f t="shared" si="553"/>
        <v>393.55673108645215</v>
      </c>
      <c r="M772">
        <f t="shared" si="553"/>
        <v>519.28469389082886</v>
      </c>
      <c r="N772">
        <f t="shared" si="553"/>
        <v>565.40289527000016</v>
      </c>
      <c r="O772">
        <f t="shared" si="553"/>
        <v>528.48590593036658</v>
      </c>
      <c r="P772">
        <f t="shared" si="553"/>
        <v>589.68908362889499</v>
      </c>
      <c r="Q772">
        <f t="shared" si="553"/>
        <v>707.02025025658986</v>
      </c>
      <c r="R772">
        <f t="shared" si="553"/>
        <v>498.7984793437052</v>
      </c>
      <c r="S772">
        <f t="shared" si="553"/>
        <v>396.80074807913525</v>
      </c>
      <c r="T772">
        <f t="shared" si="553"/>
        <v>558.81995243914332</v>
      </c>
      <c r="U772">
        <f t="shared" si="553"/>
        <v>590.12534601170478</v>
      </c>
      <c r="V772">
        <f t="shared" si="553"/>
        <v>605.10095552234168</v>
      </c>
      <c r="W772">
        <f t="shared" si="553"/>
        <v>1205.6141685278178</v>
      </c>
      <c r="Y772" s="14">
        <f t="shared" si="541"/>
        <v>12886.365597256048</v>
      </c>
      <c r="Z772">
        <f t="shared" si="542"/>
        <v>-732.70101893465244</v>
      </c>
    </row>
    <row r="773" spans="1:26" x14ac:dyDescent="0.25">
      <c r="A773" t="s">
        <v>55</v>
      </c>
      <c r="D773">
        <f t="shared" ref="D773:W773" si="554">D113*D179</f>
        <v>846.69788245979612</v>
      </c>
      <c r="E773">
        <f t="shared" si="554"/>
        <v>733.23104652619895</v>
      </c>
      <c r="F773">
        <f t="shared" si="554"/>
        <v>734.74217852076504</v>
      </c>
      <c r="G773">
        <f t="shared" si="554"/>
        <v>569.80654899608851</v>
      </c>
      <c r="H773">
        <f t="shared" si="554"/>
        <v>573.49426838002148</v>
      </c>
      <c r="I773">
        <f t="shared" si="554"/>
        <v>324.48822345393171</v>
      </c>
      <c r="J773">
        <f t="shared" si="554"/>
        <v>581.89485666058169</v>
      </c>
      <c r="K773">
        <f t="shared" si="554"/>
        <v>541.84563859148523</v>
      </c>
      <c r="L773">
        <f t="shared" si="554"/>
        <v>315.5332810678882</v>
      </c>
      <c r="M773">
        <f t="shared" si="554"/>
        <v>597.27628713637068</v>
      </c>
      <c r="N773">
        <f t="shared" si="554"/>
        <v>409.22006391257912</v>
      </c>
      <c r="O773">
        <f t="shared" si="554"/>
        <v>562.12364175448715</v>
      </c>
      <c r="P773">
        <f t="shared" si="554"/>
        <v>478.46434973016017</v>
      </c>
      <c r="Q773">
        <f t="shared" si="554"/>
        <v>300.13124146394546</v>
      </c>
      <c r="R773">
        <f t="shared" si="554"/>
        <v>423.38573091852436</v>
      </c>
      <c r="S773">
        <f t="shared" si="554"/>
        <v>496.45115669322161</v>
      </c>
      <c r="T773">
        <f t="shared" si="554"/>
        <v>529.07478031868061</v>
      </c>
      <c r="U773">
        <f t="shared" si="554"/>
        <v>487.89080053196619</v>
      </c>
      <c r="V773">
        <f t="shared" si="554"/>
        <v>283.07774246219043</v>
      </c>
      <c r="W773">
        <f t="shared" si="554"/>
        <v>1107.5043654549827</v>
      </c>
      <c r="Y773" s="14">
        <f t="shared" si="541"/>
        <v>10896.334085033865</v>
      </c>
      <c r="Z773">
        <f t="shared" si="542"/>
        <v>-573.92769801588327</v>
      </c>
    </row>
    <row r="774" spans="1:26" x14ac:dyDescent="0.25">
      <c r="A774" t="s">
        <v>56</v>
      </c>
      <c r="D774">
        <f t="shared" ref="D774:W774" si="555">D114*D180</f>
        <v>1138.8130241190022</v>
      </c>
      <c r="E774">
        <f t="shared" si="555"/>
        <v>756.53799129321703</v>
      </c>
      <c r="F774">
        <f t="shared" si="555"/>
        <v>596.38104458706835</v>
      </c>
      <c r="G774">
        <f t="shared" si="555"/>
        <v>719.87111578278757</v>
      </c>
      <c r="H774">
        <f t="shared" si="555"/>
        <v>450.0317192692558</v>
      </c>
      <c r="I774">
        <f t="shared" si="555"/>
        <v>755.52597471721242</v>
      </c>
      <c r="J774">
        <f t="shared" si="555"/>
        <v>706.27384675854762</v>
      </c>
      <c r="K774">
        <f t="shared" si="555"/>
        <v>613.64238252161692</v>
      </c>
      <c r="L774">
        <f t="shared" si="555"/>
        <v>389.53626082154904</v>
      </c>
      <c r="M774">
        <f t="shared" si="555"/>
        <v>428.94617761588495</v>
      </c>
      <c r="N774">
        <f t="shared" si="555"/>
        <v>564.0238097128821</v>
      </c>
      <c r="O774">
        <f t="shared" si="555"/>
        <v>612.95843696348209</v>
      </c>
      <c r="P774">
        <f t="shared" si="555"/>
        <v>618.41762070467848</v>
      </c>
      <c r="Q774">
        <f t="shared" si="555"/>
        <v>458.41376120692433</v>
      </c>
      <c r="R774">
        <f t="shared" si="555"/>
        <v>612.26400827022962</v>
      </c>
      <c r="S774">
        <f t="shared" si="555"/>
        <v>874.12411713050881</v>
      </c>
      <c r="T774">
        <f t="shared" si="555"/>
        <v>902.5196589820722</v>
      </c>
      <c r="U774">
        <f t="shared" si="555"/>
        <v>780.62579707538089</v>
      </c>
      <c r="V774">
        <f t="shared" si="555"/>
        <v>612.26400827022962</v>
      </c>
      <c r="W774">
        <f t="shared" si="555"/>
        <v>874.12411713050881</v>
      </c>
      <c r="Y774" s="14">
        <f t="shared" si="541"/>
        <v>13465.294872933038</v>
      </c>
      <c r="Z774">
        <f t="shared" si="542"/>
        <v>-1059.5292714408463</v>
      </c>
    </row>
    <row r="775" spans="1:26" x14ac:dyDescent="0.25">
      <c r="A775" t="s">
        <v>57</v>
      </c>
      <c r="D775">
        <f t="shared" ref="D775:W775" si="556">D115*D181</f>
        <v>1060.0158904372825</v>
      </c>
      <c r="E775">
        <f t="shared" si="556"/>
        <v>1106.6707301808135</v>
      </c>
      <c r="F775">
        <f t="shared" si="556"/>
        <v>781.45394361208571</v>
      </c>
      <c r="G775">
        <f t="shared" si="556"/>
        <v>884.52267032334521</v>
      </c>
      <c r="H775">
        <f t="shared" si="556"/>
        <v>763.25671667012034</v>
      </c>
      <c r="I775">
        <f t="shared" si="556"/>
        <v>623.6518993653317</v>
      </c>
      <c r="J775">
        <f t="shared" si="556"/>
        <v>649.44230394771955</v>
      </c>
      <c r="K775">
        <f t="shared" si="556"/>
        <v>798.67993668774386</v>
      </c>
      <c r="L775">
        <f t="shared" si="556"/>
        <v>539.58377563483873</v>
      </c>
      <c r="M775">
        <f t="shared" si="556"/>
        <v>446.40332105640562</v>
      </c>
      <c r="N775">
        <f t="shared" si="556"/>
        <v>305.16455838006715</v>
      </c>
      <c r="O775">
        <f t="shared" si="556"/>
        <v>264.16470370749948</v>
      </c>
      <c r="P775">
        <f t="shared" si="556"/>
        <v>381.55107818456628</v>
      </c>
      <c r="Q775">
        <f t="shared" si="556"/>
        <v>787.21299324087965</v>
      </c>
      <c r="R775">
        <f t="shared" si="556"/>
        <v>1103.3021141761076</v>
      </c>
      <c r="S775">
        <f t="shared" si="556"/>
        <v>1085.217136795821</v>
      </c>
      <c r="T775">
        <f t="shared" si="556"/>
        <v>837.4771730916716</v>
      </c>
      <c r="U775">
        <f t="shared" si="556"/>
        <v>1001.8497299614088</v>
      </c>
      <c r="V775">
        <f t="shared" si="556"/>
        <v>778.82393764055007</v>
      </c>
      <c r="W775">
        <f t="shared" si="556"/>
        <v>721.89229368883639</v>
      </c>
      <c r="Y775" s="14">
        <f t="shared" si="541"/>
        <v>14920.336906783094</v>
      </c>
      <c r="Z775">
        <f t="shared" si="542"/>
        <v>-1112.2450459053364</v>
      </c>
    </row>
    <row r="776" spans="1:26" x14ac:dyDescent="0.25">
      <c r="A776" t="s">
        <v>58</v>
      </c>
      <c r="D776">
        <f t="shared" ref="D776:W776" si="557">D116*D182</f>
        <v>1181.4677352213241</v>
      </c>
      <c r="E776">
        <f t="shared" si="557"/>
        <v>1303.0122908245705</v>
      </c>
      <c r="F776">
        <f t="shared" si="557"/>
        <v>765.22541384521719</v>
      </c>
      <c r="G776">
        <f t="shared" si="557"/>
        <v>757.56614542634452</v>
      </c>
      <c r="H776">
        <f t="shared" si="557"/>
        <v>963.65365605162469</v>
      </c>
      <c r="I776">
        <f t="shared" si="557"/>
        <v>722.80984891348476</v>
      </c>
      <c r="J776">
        <f t="shared" si="557"/>
        <v>789.0683854037178</v>
      </c>
      <c r="K776">
        <f t="shared" si="557"/>
        <v>528.80842396833827</v>
      </c>
      <c r="L776">
        <f t="shared" si="557"/>
        <v>383.16983759611833</v>
      </c>
      <c r="M776">
        <f t="shared" si="557"/>
        <v>648.59939718618159</v>
      </c>
      <c r="N776">
        <f t="shared" si="557"/>
        <v>538.63172848709098</v>
      </c>
      <c r="O776">
        <f t="shared" si="557"/>
        <v>663.18418506070225</v>
      </c>
      <c r="P776">
        <f t="shared" si="557"/>
        <v>607.5001085875416</v>
      </c>
      <c r="Q776">
        <f t="shared" si="557"/>
        <v>489.42394093612813</v>
      </c>
      <c r="R776">
        <f t="shared" si="557"/>
        <v>394.83082732535189</v>
      </c>
      <c r="S776">
        <f t="shared" si="557"/>
        <v>532.20123328747979</v>
      </c>
      <c r="T776">
        <f t="shared" si="557"/>
        <v>620.354592262035</v>
      </c>
      <c r="U776">
        <f t="shared" si="557"/>
        <v>577.5139933405477</v>
      </c>
      <c r="V776">
        <f t="shared" si="557"/>
        <v>626.67638384884299</v>
      </c>
      <c r="W776">
        <f t="shared" si="557"/>
        <v>766.18372226927977</v>
      </c>
      <c r="Y776" s="14">
        <f t="shared" si="541"/>
        <v>13859.88184984192</v>
      </c>
      <c r="Z776">
        <f t="shared" si="542"/>
        <v>-713.95024968223299</v>
      </c>
    </row>
    <row r="777" spans="1:26" x14ac:dyDescent="0.25">
      <c r="A777" t="s">
        <v>59</v>
      </c>
      <c r="D777">
        <f t="shared" ref="D777:W777" si="558">D117*D183</f>
        <v>1081.1330338848684</v>
      </c>
      <c r="E777">
        <f t="shared" si="558"/>
        <v>465.04856823859257</v>
      </c>
      <c r="F777">
        <f t="shared" si="558"/>
        <v>977.57487597969589</v>
      </c>
      <c r="G777">
        <f t="shared" si="558"/>
        <v>1045.8047862169287</v>
      </c>
      <c r="H777">
        <f t="shared" si="558"/>
        <v>804.77354323841575</v>
      </c>
      <c r="I777">
        <f t="shared" si="558"/>
        <v>718.18270868982563</v>
      </c>
      <c r="J777">
        <f t="shared" si="558"/>
        <v>648.42050510794229</v>
      </c>
      <c r="K777">
        <f t="shared" si="558"/>
        <v>762.99666175775474</v>
      </c>
      <c r="L777">
        <f t="shared" si="558"/>
        <v>550.21096028148327</v>
      </c>
      <c r="M777">
        <f t="shared" si="558"/>
        <v>574.86514428426017</v>
      </c>
      <c r="N777">
        <f t="shared" si="558"/>
        <v>436.2452800964777</v>
      </c>
      <c r="O777">
        <f t="shared" si="558"/>
        <v>433.47357620038679</v>
      </c>
      <c r="P777">
        <f t="shared" si="558"/>
        <v>611.85155663026092</v>
      </c>
      <c r="Q777">
        <f t="shared" si="558"/>
        <v>596.7508820286057</v>
      </c>
      <c r="R777">
        <f t="shared" si="558"/>
        <v>1274.9476793204722</v>
      </c>
      <c r="S777">
        <f t="shared" si="558"/>
        <v>648.49637481220736</v>
      </c>
      <c r="T777">
        <f t="shared" si="558"/>
        <v>120.77842946947413</v>
      </c>
      <c r="U777">
        <f t="shared" si="558"/>
        <v>582.29324346560554</v>
      </c>
      <c r="V777">
        <f t="shared" si="558"/>
        <v>620.27311841777396</v>
      </c>
      <c r="W777">
        <f t="shared" si="558"/>
        <v>820.03561892177311</v>
      </c>
      <c r="Y777" s="14">
        <f t="shared" si="541"/>
        <v>13774.156547042805</v>
      </c>
      <c r="Z777">
        <f t="shared" si="542"/>
        <v>-889.70340545655449</v>
      </c>
    </row>
    <row r="778" spans="1:26" x14ac:dyDescent="0.25">
      <c r="A778" t="s">
        <v>60</v>
      </c>
      <c r="D778">
        <f t="shared" ref="D778:W778" si="559">D118*D184</f>
        <v>829.28091268151184</v>
      </c>
      <c r="E778">
        <f t="shared" si="559"/>
        <v>776.06590682447427</v>
      </c>
      <c r="F778">
        <f t="shared" si="559"/>
        <v>846.30855472061523</v>
      </c>
      <c r="G778">
        <f t="shared" si="559"/>
        <v>783.2214410878662</v>
      </c>
      <c r="H778">
        <f t="shared" si="559"/>
        <v>669.64352444578856</v>
      </c>
      <c r="I778">
        <f t="shared" si="559"/>
        <v>528.03795826065902</v>
      </c>
      <c r="J778">
        <f t="shared" si="559"/>
        <v>523.88705644783681</v>
      </c>
      <c r="K778">
        <f t="shared" si="559"/>
        <v>672.72538948834938</v>
      </c>
      <c r="L778">
        <f t="shared" si="559"/>
        <v>370.04167677131034</v>
      </c>
      <c r="M778">
        <f t="shared" si="559"/>
        <v>435.45731230378158</v>
      </c>
      <c r="N778">
        <f t="shared" si="559"/>
        <v>539.57120103195575</v>
      </c>
      <c r="O778">
        <f t="shared" si="559"/>
        <v>675.85324461067012</v>
      </c>
      <c r="P778">
        <f t="shared" si="559"/>
        <v>300.78573597041964</v>
      </c>
      <c r="Q778">
        <f t="shared" si="559"/>
        <v>394.31695753214967</v>
      </c>
      <c r="R778">
        <f t="shared" si="559"/>
        <v>422.90708195589332</v>
      </c>
      <c r="S778">
        <f t="shared" si="559"/>
        <v>579.93660545029013</v>
      </c>
      <c r="T778">
        <f t="shared" si="559"/>
        <v>846.04182608386816</v>
      </c>
      <c r="U778">
        <f t="shared" si="559"/>
        <v>633.20395368550487</v>
      </c>
      <c r="V778">
        <f t="shared" si="559"/>
        <v>850.83816818544756</v>
      </c>
      <c r="W778">
        <f t="shared" si="559"/>
        <v>790.85351021016584</v>
      </c>
      <c r="Y778" s="14">
        <f t="shared" si="541"/>
        <v>12468.978017748557</v>
      </c>
      <c r="Z778">
        <f t="shared" si="542"/>
        <v>-680.95790655394217</v>
      </c>
    </row>
    <row r="779" spans="1:26" x14ac:dyDescent="0.25">
      <c r="A779" t="s">
        <v>61</v>
      </c>
      <c r="D779">
        <f t="shared" ref="D779:W779" si="560">D119*D185</f>
        <v>1149.7301496206869</v>
      </c>
      <c r="E779">
        <f t="shared" si="560"/>
        <v>1079.5756692569557</v>
      </c>
      <c r="F779">
        <f t="shared" si="560"/>
        <v>856.43847188338077</v>
      </c>
      <c r="G779">
        <f t="shared" si="560"/>
        <v>981.949904529631</v>
      </c>
      <c r="H779">
        <f t="shared" si="560"/>
        <v>896.94643183615938</v>
      </c>
      <c r="I779">
        <f t="shared" si="560"/>
        <v>1022.0234959196555</v>
      </c>
      <c r="J779">
        <f t="shared" si="560"/>
        <v>625.12653431336003</v>
      </c>
      <c r="K779">
        <f t="shared" si="560"/>
        <v>716.40693800772613</v>
      </c>
      <c r="L779">
        <f t="shared" si="560"/>
        <v>838.02390569008787</v>
      </c>
      <c r="M779">
        <f t="shared" si="560"/>
        <v>730.69250650680442</v>
      </c>
      <c r="N779">
        <f t="shared" si="560"/>
        <v>622.42578139546526</v>
      </c>
      <c r="O779">
        <f t="shared" si="560"/>
        <v>646.29220864480396</v>
      </c>
      <c r="P779">
        <f t="shared" si="560"/>
        <v>668.69157751241255</v>
      </c>
      <c r="Q779">
        <f t="shared" si="560"/>
        <v>852.08679372859967</v>
      </c>
      <c r="R779">
        <f t="shared" si="560"/>
        <v>1000.11947767845</v>
      </c>
      <c r="S779">
        <f t="shared" si="560"/>
        <v>958.69246016871773</v>
      </c>
      <c r="T779">
        <f t="shared" si="560"/>
        <v>829.84338580822885</v>
      </c>
      <c r="U779">
        <f t="shared" si="560"/>
        <v>961.88050977020714</v>
      </c>
      <c r="V779">
        <f t="shared" si="560"/>
        <v>691.59753865646019</v>
      </c>
      <c r="W779">
        <f t="shared" si="560"/>
        <v>899.65126924032199</v>
      </c>
      <c r="Y779" s="14">
        <f t="shared" si="541"/>
        <v>17028.195010168118</v>
      </c>
      <c r="Z779">
        <f t="shared" si="542"/>
        <v>-1231.288919790097</v>
      </c>
    </row>
    <row r="780" spans="1:26" x14ac:dyDescent="0.25">
      <c r="A780" t="s">
        <v>62</v>
      </c>
      <c r="D780">
        <f t="shared" ref="D780:W780" si="561">D120*D186</f>
        <v>1276.1784748527807</v>
      </c>
      <c r="E780">
        <f t="shared" si="561"/>
        <v>1279.0880801984654</v>
      </c>
      <c r="F780">
        <f t="shared" si="561"/>
        <v>1145.9000780127922</v>
      </c>
      <c r="G780">
        <f t="shared" si="561"/>
        <v>679.41382991320631</v>
      </c>
      <c r="H780">
        <f t="shared" si="561"/>
        <v>966.49508043898174</v>
      </c>
      <c r="I780">
        <f t="shared" si="561"/>
        <v>981.41715772396697</v>
      </c>
      <c r="J780">
        <f t="shared" si="561"/>
        <v>893.30680588495954</v>
      </c>
      <c r="K780">
        <f t="shared" si="561"/>
        <v>796.33578432927789</v>
      </c>
      <c r="L780">
        <f t="shared" si="561"/>
        <v>935.23600654932523</v>
      </c>
      <c r="M780">
        <f t="shared" si="561"/>
        <v>747.7653771968138</v>
      </c>
      <c r="N780">
        <f t="shared" si="561"/>
        <v>884.94745270757483</v>
      </c>
      <c r="O780">
        <f t="shared" si="561"/>
        <v>670.80782440519704</v>
      </c>
      <c r="P780">
        <f t="shared" si="561"/>
        <v>405.74731524958952</v>
      </c>
      <c r="Q780">
        <f t="shared" si="561"/>
        <v>568.19326812217571</v>
      </c>
      <c r="R780">
        <f t="shared" si="561"/>
        <v>434.76313510446766</v>
      </c>
      <c r="S780">
        <f t="shared" si="561"/>
        <v>533.84455320571146</v>
      </c>
      <c r="T780">
        <f t="shared" si="561"/>
        <v>672.44774806179225</v>
      </c>
      <c r="U780">
        <f t="shared" si="561"/>
        <v>624.59760555311493</v>
      </c>
      <c r="V780">
        <f t="shared" si="561"/>
        <v>1048.0704622724013</v>
      </c>
      <c r="W780">
        <f t="shared" si="561"/>
        <v>938.27973252458901</v>
      </c>
      <c r="Y780" s="14">
        <f t="shared" si="541"/>
        <v>16482.835772307182</v>
      </c>
      <c r="Z780">
        <f t="shared" si="542"/>
        <v>-942.99152456454829</v>
      </c>
    </row>
    <row r="781" spans="1:26" x14ac:dyDescent="0.25">
      <c r="A781" t="s">
        <v>63</v>
      </c>
      <c r="D781">
        <f t="shared" ref="D781:W781" si="562">D121*D187</f>
        <v>971.89581077137507</v>
      </c>
      <c r="E781">
        <f t="shared" si="562"/>
        <v>878.41561087390937</v>
      </c>
      <c r="F781">
        <f t="shared" si="562"/>
        <v>976.2700422399048</v>
      </c>
      <c r="G781">
        <f t="shared" si="562"/>
        <v>747.65806561834836</v>
      </c>
      <c r="H781">
        <f t="shared" si="562"/>
        <v>531.63734304127865</v>
      </c>
      <c r="I781">
        <f t="shared" si="562"/>
        <v>840.75142107179147</v>
      </c>
      <c r="J781">
        <f t="shared" si="562"/>
        <v>1090.0918764461483</v>
      </c>
      <c r="K781">
        <f t="shared" si="562"/>
        <v>959.77895487759861</v>
      </c>
      <c r="L781">
        <f t="shared" si="562"/>
        <v>844.21982206914618</v>
      </c>
      <c r="M781">
        <f t="shared" si="562"/>
        <v>612.67407504674497</v>
      </c>
      <c r="N781">
        <f t="shared" si="562"/>
        <v>893.32670584093125</v>
      </c>
      <c r="O781">
        <f t="shared" si="562"/>
        <v>1138.8023842100331</v>
      </c>
      <c r="P781">
        <f t="shared" si="562"/>
        <v>818.11008504023596</v>
      </c>
      <c r="Q781">
        <f t="shared" si="562"/>
        <v>812.60092141367147</v>
      </c>
      <c r="R781">
        <f t="shared" si="562"/>
        <v>833.15148141450152</v>
      </c>
      <c r="S781">
        <f t="shared" si="562"/>
        <v>793.84580772234642</v>
      </c>
      <c r="T781">
        <f t="shared" si="562"/>
        <v>902.5351681181927</v>
      </c>
      <c r="U781">
        <f t="shared" si="562"/>
        <v>1149.8732204083444</v>
      </c>
      <c r="V781">
        <f t="shared" si="562"/>
        <v>1068.7264147269725</v>
      </c>
      <c r="W781">
        <f t="shared" si="562"/>
        <v>945.24894656417405</v>
      </c>
      <c r="Y781" s="14">
        <f t="shared" si="541"/>
        <v>17809.614157515651</v>
      </c>
      <c r="Z781">
        <f t="shared" si="542"/>
        <v>-1669.4504755492567</v>
      </c>
    </row>
    <row r="782" spans="1:26" x14ac:dyDescent="0.25">
      <c r="A782" t="s">
        <v>64</v>
      </c>
      <c r="D782">
        <f t="shared" ref="D782:W782" si="563">D122*D188</f>
        <v>728.80969887201059</v>
      </c>
      <c r="E782">
        <f t="shared" si="563"/>
        <v>1103.0437277046055</v>
      </c>
      <c r="F782">
        <f t="shared" si="563"/>
        <v>1604.625003589503</v>
      </c>
      <c r="G782">
        <f t="shared" si="563"/>
        <v>848.82044874431483</v>
      </c>
      <c r="H782">
        <f t="shared" si="563"/>
        <v>807.92419343816482</v>
      </c>
      <c r="I782">
        <f t="shared" si="563"/>
        <v>1072.4921407620957</v>
      </c>
      <c r="J782">
        <f t="shared" si="563"/>
        <v>1057.8695517432552</v>
      </c>
      <c r="K782">
        <f t="shared" si="563"/>
        <v>1075.0955860817851</v>
      </c>
      <c r="L782">
        <f t="shared" si="563"/>
        <v>994.93142415614375</v>
      </c>
      <c r="M782">
        <f t="shared" si="563"/>
        <v>643.56384769607575</v>
      </c>
      <c r="N782">
        <f t="shared" si="563"/>
        <v>630.71733763222835</v>
      </c>
      <c r="O782">
        <f t="shared" si="563"/>
        <v>642.45307833572406</v>
      </c>
      <c r="P782">
        <f t="shared" si="563"/>
        <v>711.85192940912259</v>
      </c>
      <c r="Q782">
        <f t="shared" si="563"/>
        <v>706.90129242547118</v>
      </c>
      <c r="R782">
        <f t="shared" si="563"/>
        <v>911.2441788702331</v>
      </c>
      <c r="S782">
        <f t="shared" si="563"/>
        <v>678.03709647048049</v>
      </c>
      <c r="T782">
        <f t="shared" si="563"/>
        <v>639.56891834869555</v>
      </c>
      <c r="U782">
        <f t="shared" si="563"/>
        <v>1094.4466919431286</v>
      </c>
      <c r="V782">
        <f t="shared" si="563"/>
        <v>945.60735992803848</v>
      </c>
      <c r="W782">
        <f t="shared" si="563"/>
        <v>1157.7117517713364</v>
      </c>
      <c r="Y782" s="14">
        <f t="shared" si="541"/>
        <v>18055.715257922413</v>
      </c>
      <c r="Z782">
        <f t="shared" si="542"/>
        <v>-1416.3321404704473</v>
      </c>
    </row>
    <row r="783" spans="1:26" x14ac:dyDescent="0.25">
      <c r="A783" t="s">
        <v>65</v>
      </c>
      <c r="D783">
        <f t="shared" ref="D783:W783" si="564">D123*D189</f>
        <v>1093.1156642390415</v>
      </c>
      <c r="E783">
        <f t="shared" si="564"/>
        <v>1039.9665179928152</v>
      </c>
      <c r="F783">
        <f t="shared" si="564"/>
        <v>993.37663130774354</v>
      </c>
      <c r="G783">
        <f t="shared" si="564"/>
        <v>953.13848724499826</v>
      </c>
      <c r="H783">
        <f t="shared" si="564"/>
        <v>872.11966513266111</v>
      </c>
      <c r="I783">
        <f t="shared" si="564"/>
        <v>958.59882242012748</v>
      </c>
      <c r="J783">
        <f t="shared" si="564"/>
        <v>824.2312890907582</v>
      </c>
      <c r="K783">
        <f t="shared" si="564"/>
        <v>745.11162664034123</v>
      </c>
      <c r="L783">
        <f t="shared" si="564"/>
        <v>592.37577809961408</v>
      </c>
      <c r="M783">
        <f t="shared" si="564"/>
        <v>411.32403069338017</v>
      </c>
      <c r="N783">
        <f t="shared" si="564"/>
        <v>624.35084798055186</v>
      </c>
      <c r="O783">
        <f t="shared" si="564"/>
        <v>497.64077162415231</v>
      </c>
      <c r="P783">
        <f t="shared" si="564"/>
        <v>503.65181386832353</v>
      </c>
      <c r="Q783">
        <f t="shared" si="564"/>
        <v>671.64840785142223</v>
      </c>
      <c r="R783">
        <f t="shared" si="564"/>
        <v>940.36382542989315</v>
      </c>
      <c r="S783">
        <f t="shared" si="564"/>
        <v>655.44471763024831</v>
      </c>
      <c r="T783">
        <f t="shared" si="564"/>
        <v>801.20625970360277</v>
      </c>
      <c r="U783">
        <f t="shared" si="564"/>
        <v>894.8950703789078</v>
      </c>
      <c r="V783">
        <f t="shared" si="564"/>
        <v>752.94902738363612</v>
      </c>
      <c r="W783">
        <f t="shared" si="564"/>
        <v>981.608886277446</v>
      </c>
      <c r="Y783" s="14">
        <f t="shared" si="541"/>
        <v>15807.118140989664</v>
      </c>
      <c r="Z783">
        <f t="shared" si="542"/>
        <v>-1046.9927413799214</v>
      </c>
    </row>
    <row r="784" spans="1:26" x14ac:dyDescent="0.25">
      <c r="A784" t="s">
        <v>66</v>
      </c>
      <c r="D784">
        <f t="shared" ref="D784:W784" si="565">D124*D190</f>
        <v>295.87114338927285</v>
      </c>
      <c r="E784">
        <f t="shared" si="565"/>
        <v>784.11742248391533</v>
      </c>
      <c r="F784">
        <f t="shared" si="565"/>
        <v>912.03616846528291</v>
      </c>
      <c r="G784">
        <f t="shared" si="565"/>
        <v>678.35851652279894</v>
      </c>
      <c r="H784">
        <f t="shared" si="565"/>
        <v>912.19209017604999</v>
      </c>
      <c r="I784">
        <f t="shared" si="565"/>
        <v>905.68228621056778</v>
      </c>
      <c r="J784">
        <f t="shared" si="565"/>
        <v>614.27390103521361</v>
      </c>
      <c r="K784">
        <f t="shared" si="565"/>
        <v>684.69833043991002</v>
      </c>
      <c r="L784">
        <f t="shared" si="565"/>
        <v>513.97828844295941</v>
      </c>
      <c r="M784">
        <f t="shared" si="565"/>
        <v>729.48084977296162</v>
      </c>
      <c r="N784">
        <f t="shared" si="565"/>
        <v>499.05878744647157</v>
      </c>
      <c r="O784">
        <f t="shared" si="565"/>
        <v>539.63586932588555</v>
      </c>
      <c r="P784">
        <f t="shared" si="565"/>
        <v>634.00470203959696</v>
      </c>
      <c r="Q784">
        <f t="shared" si="565"/>
        <v>703.12295222547573</v>
      </c>
      <c r="R784">
        <f t="shared" si="565"/>
        <v>737.45904522925582</v>
      </c>
      <c r="S784">
        <f t="shared" si="565"/>
        <v>779.11844262849195</v>
      </c>
      <c r="T784">
        <f t="shared" si="565"/>
        <v>902.68140786562458</v>
      </c>
      <c r="U784">
        <f t="shared" si="565"/>
        <v>893.44410367163471</v>
      </c>
      <c r="V784">
        <f t="shared" si="565"/>
        <v>769.395627760563</v>
      </c>
      <c r="W784">
        <f t="shared" si="565"/>
        <v>960.59867589504211</v>
      </c>
      <c r="Y784" s="14">
        <f t="shared" si="541"/>
        <v>14449.208611026976</v>
      </c>
      <c r="Z784">
        <f t="shared" si="542"/>
        <v>-933.82050716742822</v>
      </c>
    </row>
    <row r="785" spans="1:26" x14ac:dyDescent="0.25">
      <c r="Y785" s="14"/>
    </row>
    <row r="786" spans="1:26" x14ac:dyDescent="0.25">
      <c r="A786" t="s">
        <v>67</v>
      </c>
      <c r="D786">
        <f t="shared" ref="D786:W786" si="566">D126*D192</f>
        <v>1032.9337370542235</v>
      </c>
      <c r="E786">
        <f t="shared" si="566"/>
        <v>1019.867004627505</v>
      </c>
      <c r="F786">
        <f t="shared" si="566"/>
        <v>998.21765940294279</v>
      </c>
      <c r="G786">
        <f t="shared" si="566"/>
        <v>959.98731035551737</v>
      </c>
      <c r="H786">
        <f t="shared" si="566"/>
        <v>908.09168207916207</v>
      </c>
      <c r="I786">
        <f t="shared" si="566"/>
        <v>1003.4219192049633</v>
      </c>
      <c r="J786">
        <f t="shared" si="566"/>
        <v>850.44491450857822</v>
      </c>
      <c r="K786">
        <f t="shared" si="566"/>
        <v>748.77366012647974</v>
      </c>
      <c r="L786">
        <f t="shared" si="566"/>
        <v>592.43986061914904</v>
      </c>
      <c r="M786">
        <f t="shared" si="566"/>
        <v>571.23806872369323</v>
      </c>
      <c r="N786">
        <f t="shared" si="566"/>
        <v>590.62149427500322</v>
      </c>
      <c r="O786">
        <f t="shared" si="566"/>
        <v>619.46898020875267</v>
      </c>
      <c r="P786">
        <f t="shared" si="566"/>
        <v>563.41749552793374</v>
      </c>
      <c r="Q786">
        <f t="shared" si="566"/>
        <v>647.35439507723811</v>
      </c>
      <c r="R786">
        <f t="shared" si="566"/>
        <v>791.20954182221305</v>
      </c>
      <c r="S786">
        <f t="shared" si="566"/>
        <v>708.7110827774693</v>
      </c>
      <c r="T786">
        <f t="shared" si="566"/>
        <v>668.63603597692145</v>
      </c>
      <c r="U786">
        <f t="shared" si="566"/>
        <v>823.16737515242539</v>
      </c>
      <c r="V786">
        <f t="shared" si="566"/>
        <v>815.48419089372214</v>
      </c>
      <c r="W786">
        <f t="shared" si="566"/>
        <v>889.03471656356055</v>
      </c>
      <c r="Y786" s="14">
        <f t="shared" si="541"/>
        <v>15802.521124977453</v>
      </c>
      <c r="Z786">
        <f>SUMPRODUCT($D$790:$W$790,D786:W786)</f>
        <v>-1016.4686167183611</v>
      </c>
    </row>
    <row r="787" spans="1:26" x14ac:dyDescent="0.25">
      <c r="A787" t="s">
        <v>311</v>
      </c>
      <c r="D787">
        <f t="shared" ref="D787:W787" si="567">D127*D193</f>
        <v>1626.4102040816324</v>
      </c>
      <c r="E787">
        <f t="shared" si="567"/>
        <v>1485.8367346938776</v>
      </c>
      <c r="F787">
        <f t="shared" si="567"/>
        <v>950.83265306122462</v>
      </c>
      <c r="G787">
        <f t="shared" si="567"/>
        <v>1006.7510204081633</v>
      </c>
      <c r="H787">
        <f t="shared" si="567"/>
        <v>1005.2938775510203</v>
      </c>
      <c r="I787">
        <f t="shared" si="567"/>
        <v>1162.3163265306123</v>
      </c>
      <c r="J787">
        <f t="shared" si="567"/>
        <v>1021.3714285714284</v>
      </c>
      <c r="K787">
        <f t="shared" si="567"/>
        <v>992.20408163265301</v>
      </c>
      <c r="L787">
        <f t="shared" si="567"/>
        <v>766.64843750000011</v>
      </c>
      <c r="M787">
        <f t="shared" si="567"/>
        <v>1168.6326530612246</v>
      </c>
      <c r="N787">
        <f t="shared" si="567"/>
        <v>924.73469387755097</v>
      </c>
      <c r="O787">
        <f t="shared" si="567"/>
        <v>1008.6040816326529</v>
      </c>
      <c r="P787">
        <f t="shared" si="567"/>
        <v>607.5001085875416</v>
      </c>
      <c r="Q787">
        <f t="shared" si="567"/>
        <v>489.42394093612813</v>
      </c>
      <c r="R787">
        <f t="shared" si="567"/>
        <v>394.83082732535189</v>
      </c>
      <c r="S787">
        <f t="shared" si="567"/>
        <v>532.20123328747979</v>
      </c>
      <c r="T787">
        <f t="shared" si="567"/>
        <v>721.5</v>
      </c>
      <c r="U787">
        <f t="shared" si="567"/>
        <v>708.24</v>
      </c>
      <c r="V787">
        <f t="shared" si="567"/>
        <v>785.11999999999989</v>
      </c>
      <c r="W787">
        <f t="shared" si="567"/>
        <v>925.6</v>
      </c>
      <c r="Y787" s="14">
        <f t="shared" si="541"/>
        <v>18284.052302738542</v>
      </c>
      <c r="Z787">
        <f>SUMPRODUCT($D$790:$W$790,D787:W787)</f>
        <v>-1006.1393784709732</v>
      </c>
    </row>
    <row r="788" spans="1:26" x14ac:dyDescent="0.25">
      <c r="A788" t="s">
        <v>312</v>
      </c>
      <c r="D788">
        <f t="shared" ref="D788:W788" si="568">D128*D194</f>
        <v>1024.6096332867303</v>
      </c>
      <c r="E788">
        <f t="shared" si="568"/>
        <v>958.60735581337633</v>
      </c>
      <c r="F788">
        <f t="shared" si="568"/>
        <v>1030.8242355950506</v>
      </c>
      <c r="G788">
        <f t="shared" si="568"/>
        <v>860.58595189471555</v>
      </c>
      <c r="H788">
        <f t="shared" si="568"/>
        <v>800.41480972147451</v>
      </c>
      <c r="I788">
        <f t="shared" si="568"/>
        <v>851.94867537299228</v>
      </c>
      <c r="J788">
        <f t="shared" si="568"/>
        <v>791.89300504874097</v>
      </c>
      <c r="K788">
        <f t="shared" si="568"/>
        <v>794.27421760779885</v>
      </c>
      <c r="L788">
        <f t="shared" si="568"/>
        <v>689.27340588944992</v>
      </c>
      <c r="M788">
        <f t="shared" si="568"/>
        <v>591.0104917791557</v>
      </c>
      <c r="N788">
        <f t="shared" si="568"/>
        <v>641.40281313194976</v>
      </c>
      <c r="O788">
        <f t="shared" si="568"/>
        <v>658.79840272039007</v>
      </c>
      <c r="P788">
        <f t="shared" si="568"/>
        <v>583.84072122206851</v>
      </c>
      <c r="Q788">
        <f t="shared" si="568"/>
        <v>689.17021799889619</v>
      </c>
      <c r="R788">
        <f t="shared" si="568"/>
        <v>759.20376410253311</v>
      </c>
      <c r="S788">
        <f t="shared" si="568"/>
        <v>724.15228382696444</v>
      </c>
      <c r="T788">
        <f t="shared" si="568"/>
        <v>683.68380973946307</v>
      </c>
      <c r="U788">
        <f t="shared" si="568"/>
        <v>871.21516167141942</v>
      </c>
      <c r="V788">
        <f t="shared" si="568"/>
        <v>875.97226872623412</v>
      </c>
      <c r="W788">
        <f t="shared" si="568"/>
        <v>925.49830130694079</v>
      </c>
      <c r="Y788" s="14">
        <f t="shared" si="541"/>
        <v>15806.379526456347</v>
      </c>
      <c r="Z788">
        <f>SUMPRODUCT($D$790:$W$790,D788:W788)</f>
        <v>-1100.4318215131657</v>
      </c>
    </row>
    <row r="789" spans="1:26" x14ac:dyDescent="0.25">
      <c r="A789" t="s">
        <v>674</v>
      </c>
      <c r="D789">
        <f t="shared" ref="D789:W789" si="569">D129*D195</f>
        <v>989.58078288475258</v>
      </c>
      <c r="E789">
        <f t="shared" si="569"/>
        <v>1046.369067383275</v>
      </c>
      <c r="F789">
        <f t="shared" si="569"/>
        <v>810.27006642622894</v>
      </c>
      <c r="G789">
        <f t="shared" si="569"/>
        <v>487.48777476130169</v>
      </c>
      <c r="H789">
        <f t="shared" si="569"/>
        <v>585.78392059714122</v>
      </c>
      <c r="I789">
        <f t="shared" si="569"/>
        <v>715.86433024800408</v>
      </c>
      <c r="J789">
        <f t="shared" si="569"/>
        <v>712.10798871738086</v>
      </c>
      <c r="K789">
        <f t="shared" si="569"/>
        <v>705.8992669487186</v>
      </c>
      <c r="L789">
        <f t="shared" si="569"/>
        <v>545.1521808040934</v>
      </c>
      <c r="M789">
        <f t="shared" si="569"/>
        <v>589.46341756463062</v>
      </c>
      <c r="N789">
        <f t="shared" si="569"/>
        <v>586.2396847257877</v>
      </c>
      <c r="O789">
        <f t="shared" si="569"/>
        <v>632.09183228876714</v>
      </c>
      <c r="P789">
        <f t="shared" si="569"/>
        <v>487.91276024852823</v>
      </c>
      <c r="Q789">
        <f t="shared" si="569"/>
        <v>607.12595038768688</v>
      </c>
      <c r="R789">
        <f t="shared" si="569"/>
        <v>780.78680438973436</v>
      </c>
      <c r="S789">
        <f t="shared" si="569"/>
        <v>714.16280693956355</v>
      </c>
      <c r="T789">
        <f t="shared" si="569"/>
        <v>691.20176972006948</v>
      </c>
      <c r="U789">
        <f t="shared" si="569"/>
        <v>768.34403702318252</v>
      </c>
      <c r="V789">
        <f t="shared" si="569"/>
        <v>755.14358563434882</v>
      </c>
      <c r="W789">
        <f t="shared" si="569"/>
        <v>930.8332180332045</v>
      </c>
      <c r="Y789" s="14">
        <f t="shared" ref="Y789" si="570">SUM(D789:W789)</f>
        <v>14141.821245726398</v>
      </c>
      <c r="Z789">
        <f>SUMPRODUCT($D$790:$W$790,D789:W789)</f>
        <v>-1075.9391641934405</v>
      </c>
    </row>
    <row r="790" spans="1:26" x14ac:dyDescent="0.25">
      <c r="A790" s="2" t="s">
        <v>68</v>
      </c>
      <c r="D790" s="3">
        <f>CORREL($B$2:$B$25,D761:D784)</f>
        <v>-1.0131472762033486E-2</v>
      </c>
      <c r="E790" s="3">
        <f t="shared" ref="E790:W790" si="571">CORREL($B$2:$B$25,E761:E784)</f>
        <v>-8.7336688924018704E-2</v>
      </c>
      <c r="F790" s="3">
        <f t="shared" si="571"/>
        <v>5.3865367810992069E-2</v>
      </c>
      <c r="G790" s="3">
        <f t="shared" si="571"/>
        <v>0.16116954374803757</v>
      </c>
      <c r="H790" s="3">
        <f t="shared" si="571"/>
        <v>0.31456634669562683</v>
      </c>
      <c r="I790" s="3">
        <f t="shared" si="571"/>
        <v>-9.5760260749743961E-2</v>
      </c>
      <c r="J790" s="3">
        <f t="shared" si="571"/>
        <v>-0.19468147806247627</v>
      </c>
      <c r="K790" s="3">
        <f t="shared" si="571"/>
        <v>-0.16485829681910186</v>
      </c>
      <c r="L790" s="3">
        <f t="shared" si="571"/>
        <v>-0.34515985915782904</v>
      </c>
      <c r="M790" s="3">
        <f t="shared" si="571"/>
        <v>0.18429554481108334</v>
      </c>
      <c r="N790" s="3">
        <f t="shared" si="571"/>
        <v>-4.5831315738619822E-2</v>
      </c>
      <c r="O790" s="3">
        <f t="shared" si="571"/>
        <v>-0.23697091513902704</v>
      </c>
      <c r="P790" s="3">
        <f t="shared" si="571"/>
        <v>-0.30812460377198564</v>
      </c>
      <c r="Q790" s="3">
        <f t="shared" si="571"/>
        <v>-3.4188925154067983E-2</v>
      </c>
      <c r="R790" s="3">
        <f t="shared" si="571"/>
        <v>-0.24041143320569325</v>
      </c>
      <c r="S790" s="3">
        <f t="shared" si="571"/>
        <v>-0.1945463757608949</v>
      </c>
      <c r="T790" s="3">
        <f t="shared" si="571"/>
        <v>-8.0843614531776417E-4</v>
      </c>
      <c r="U790" s="3">
        <f t="shared" si="571"/>
        <v>-0.36423902312089862</v>
      </c>
      <c r="V790" s="3">
        <f t="shared" si="571"/>
        <v>-2.2841159012359176E-2</v>
      </c>
      <c r="W790" s="3">
        <f t="shared" si="571"/>
        <v>0.1011416372405437</v>
      </c>
    </row>
    <row r="793" spans="1:26" x14ac:dyDescent="0.25">
      <c r="D793" t="s">
        <v>267</v>
      </c>
      <c r="E793" t="s">
        <v>268</v>
      </c>
      <c r="F793" t="s">
        <v>269</v>
      </c>
      <c r="G793" t="s">
        <v>270</v>
      </c>
      <c r="H793" t="s">
        <v>271</v>
      </c>
      <c r="I793" t="s">
        <v>272</v>
      </c>
      <c r="J793" t="s">
        <v>273</v>
      </c>
      <c r="K793" t="s">
        <v>274</v>
      </c>
      <c r="L793" t="s">
        <v>361</v>
      </c>
      <c r="M793" t="s">
        <v>437</v>
      </c>
      <c r="N793" t="s">
        <v>438</v>
      </c>
      <c r="O793" t="s">
        <v>439</v>
      </c>
      <c r="P793" t="s">
        <v>546</v>
      </c>
      <c r="Q793" t="s">
        <v>547</v>
      </c>
      <c r="R793" t="s">
        <v>548</v>
      </c>
      <c r="S793" t="s">
        <v>549</v>
      </c>
      <c r="T793" t="s">
        <v>658</v>
      </c>
      <c r="U793" t="s">
        <v>659</v>
      </c>
      <c r="V793" t="s">
        <v>660</v>
      </c>
      <c r="W793" t="s">
        <v>661</v>
      </c>
      <c r="Y793" t="s">
        <v>275</v>
      </c>
      <c r="Z793" t="s">
        <v>276</v>
      </c>
    </row>
    <row r="794" spans="1:26" x14ac:dyDescent="0.25">
      <c r="A794" t="s">
        <v>43</v>
      </c>
      <c r="D794">
        <f t="shared" ref="D794:W794" si="572">D101*D200</f>
        <v>1668.3019968008261</v>
      </c>
      <c r="E794">
        <f t="shared" si="572"/>
        <v>824.22006479553488</v>
      </c>
      <c r="F794">
        <f t="shared" si="572"/>
        <v>1430.6385967659203</v>
      </c>
      <c r="G794">
        <f t="shared" si="572"/>
        <v>1060.2643924036665</v>
      </c>
      <c r="H794">
        <f t="shared" si="572"/>
        <v>870.67797090698969</v>
      </c>
      <c r="I794">
        <f t="shared" si="572"/>
        <v>874.15625136023073</v>
      </c>
      <c r="J794">
        <f t="shared" si="572"/>
        <v>1237.4931494800796</v>
      </c>
      <c r="K794">
        <f t="shared" si="572"/>
        <v>1165.7736443624351</v>
      </c>
      <c r="L794">
        <f t="shared" si="572"/>
        <v>1000.8206867555247</v>
      </c>
      <c r="M794">
        <f t="shared" si="572"/>
        <v>686.70228502670625</v>
      </c>
      <c r="N794">
        <f t="shared" si="572"/>
        <v>354.03563228261822</v>
      </c>
      <c r="O794">
        <f t="shared" si="572"/>
        <v>564.14851854114613</v>
      </c>
      <c r="P794">
        <f t="shared" si="572"/>
        <v>611.60744420373601</v>
      </c>
      <c r="Q794">
        <f t="shared" si="572"/>
        <v>897.1825543447269</v>
      </c>
      <c r="R794">
        <f t="shared" si="572"/>
        <v>980.58686354290876</v>
      </c>
      <c r="S794">
        <f t="shared" si="572"/>
        <v>1645.1661454378996</v>
      </c>
      <c r="T794">
        <f t="shared" si="572"/>
        <v>628.22278195923184</v>
      </c>
      <c r="U794">
        <f t="shared" si="572"/>
        <v>366.29948401817569</v>
      </c>
      <c r="V794">
        <f t="shared" si="572"/>
        <v>392.81093908853023</v>
      </c>
      <c r="W794">
        <f t="shared" si="572"/>
        <v>557.42188591383797</v>
      </c>
      <c r="Y794" s="14">
        <f t="shared" ref="Y794:Y821" si="573">SUM(D794:W794)</f>
        <v>17816.531287990721</v>
      </c>
      <c r="Z794">
        <f t="shared" ref="Z794:Z817" si="574">SUMPRODUCT($D$823:$W$823,D794:W794)</f>
        <v>1778.5903160608284</v>
      </c>
    </row>
    <row r="795" spans="1:26" x14ac:dyDescent="0.25">
      <c r="A795" t="s">
        <v>44</v>
      </c>
      <c r="D795">
        <f t="shared" ref="D795:W795" si="575">D102*D201</f>
        <v>1098.9787994321082</v>
      </c>
      <c r="E795">
        <f t="shared" si="575"/>
        <v>2071.6021840456719</v>
      </c>
      <c r="F795">
        <f t="shared" si="575"/>
        <v>1949.0521737705571</v>
      </c>
      <c r="G795">
        <f t="shared" si="575"/>
        <v>1791.1313126260006</v>
      </c>
      <c r="H795">
        <f t="shared" si="575"/>
        <v>1078.1302317354964</v>
      </c>
      <c r="I795">
        <f t="shared" si="575"/>
        <v>774.81380360277012</v>
      </c>
      <c r="J795">
        <f t="shared" si="575"/>
        <v>855.78617313199311</v>
      </c>
      <c r="K795">
        <f t="shared" si="575"/>
        <v>965.61752143446142</v>
      </c>
      <c r="L795">
        <f t="shared" si="575"/>
        <v>558.38063008487541</v>
      </c>
      <c r="M795">
        <f t="shared" si="575"/>
        <v>787.17251460527825</v>
      </c>
      <c r="N795">
        <f t="shared" si="575"/>
        <v>935.19855718694123</v>
      </c>
      <c r="O795">
        <f t="shared" si="575"/>
        <v>744.57939426006749</v>
      </c>
      <c r="P795">
        <f t="shared" si="575"/>
        <v>1188.5623196470049</v>
      </c>
      <c r="Q795">
        <f t="shared" si="575"/>
        <v>1488.9494115741652</v>
      </c>
      <c r="R795">
        <f t="shared" si="575"/>
        <v>1302.1188081347075</v>
      </c>
      <c r="S795">
        <f t="shared" si="575"/>
        <v>1705.3535122514527</v>
      </c>
      <c r="T795">
        <f t="shared" si="575"/>
        <v>1712.8988675978555</v>
      </c>
      <c r="U795">
        <f t="shared" si="575"/>
        <v>1218.5968069085898</v>
      </c>
      <c r="V795">
        <f t="shared" si="575"/>
        <v>1072.3265512552132</v>
      </c>
      <c r="W795">
        <f t="shared" si="575"/>
        <v>1545.0957885552573</v>
      </c>
      <c r="Y795" s="14">
        <f t="shared" si="573"/>
        <v>24844.345361840464</v>
      </c>
      <c r="Z795">
        <f t="shared" si="574"/>
        <v>1628.1725089870667</v>
      </c>
    </row>
    <row r="796" spans="1:26" x14ac:dyDescent="0.25">
      <c r="A796" t="s">
        <v>45</v>
      </c>
      <c r="D796">
        <f t="shared" ref="D796:W796" si="576">D103*D202</f>
        <v>1618.4406451245766</v>
      </c>
      <c r="E796">
        <f t="shared" si="576"/>
        <v>1497.7992708274833</v>
      </c>
      <c r="F796">
        <f t="shared" si="576"/>
        <v>1525.7133158040895</v>
      </c>
      <c r="G796">
        <f t="shared" si="576"/>
        <v>1649.0598022967097</v>
      </c>
      <c r="H796">
        <f t="shared" si="576"/>
        <v>1931.5849729652095</v>
      </c>
      <c r="I796">
        <f t="shared" si="576"/>
        <v>1316.8137180423348</v>
      </c>
      <c r="J796">
        <f t="shared" si="576"/>
        <v>1065.8601786345732</v>
      </c>
      <c r="K796">
        <f t="shared" si="576"/>
        <v>812.35829221683423</v>
      </c>
      <c r="L796">
        <f t="shared" si="576"/>
        <v>616.25028174810234</v>
      </c>
      <c r="M796">
        <f t="shared" si="576"/>
        <v>967.35081950153256</v>
      </c>
      <c r="N796">
        <f t="shared" si="576"/>
        <v>1118.6299870483454</v>
      </c>
      <c r="O796">
        <f t="shared" si="576"/>
        <v>1000.3247378064925</v>
      </c>
      <c r="P796">
        <f t="shared" si="576"/>
        <v>1052.7094604057688</v>
      </c>
      <c r="Q796">
        <f t="shared" si="576"/>
        <v>1094.9499645988174</v>
      </c>
      <c r="R796">
        <f t="shared" si="576"/>
        <v>1032.9664808947955</v>
      </c>
      <c r="S796">
        <f t="shared" si="576"/>
        <v>1072.9220266583907</v>
      </c>
      <c r="T796">
        <f t="shared" si="576"/>
        <v>1139.7164158367307</v>
      </c>
      <c r="U796">
        <f t="shared" si="576"/>
        <v>1202.6656915411354</v>
      </c>
      <c r="V796">
        <f t="shared" si="576"/>
        <v>1149.9566344243729</v>
      </c>
      <c r="W796">
        <f t="shared" si="576"/>
        <v>1443.5221049361687</v>
      </c>
      <c r="Y796" s="14">
        <f t="shared" si="573"/>
        <v>24309.594801312462</v>
      </c>
      <c r="Z796">
        <f t="shared" si="574"/>
        <v>2245.9507678654236</v>
      </c>
    </row>
    <row r="797" spans="1:26" x14ac:dyDescent="0.25">
      <c r="A797" t="s">
        <v>46</v>
      </c>
      <c r="D797">
        <f t="shared" ref="D797:W797" si="577">D104*D203</f>
        <v>1324.1528095311526</v>
      </c>
      <c r="E797">
        <f t="shared" si="577"/>
        <v>1123.5778265362026</v>
      </c>
      <c r="F797">
        <f t="shared" si="577"/>
        <v>1152.5763736077195</v>
      </c>
      <c r="G797">
        <f t="shared" si="577"/>
        <v>1190.5631117232206</v>
      </c>
      <c r="H797">
        <f t="shared" si="577"/>
        <v>1125.6232095862304</v>
      </c>
      <c r="I797">
        <f t="shared" si="577"/>
        <v>1261.9500426044585</v>
      </c>
      <c r="J797">
        <f t="shared" si="577"/>
        <v>1188.3371789234297</v>
      </c>
      <c r="K797">
        <f t="shared" si="577"/>
        <v>1118.7181768680357</v>
      </c>
      <c r="L797">
        <f t="shared" si="577"/>
        <v>841.14768696360431</v>
      </c>
      <c r="M797">
        <f t="shared" si="577"/>
        <v>705.7969620154721</v>
      </c>
      <c r="N797">
        <f t="shared" si="577"/>
        <v>1081.4851157830658</v>
      </c>
      <c r="O797">
        <f t="shared" si="577"/>
        <v>897.11153113294722</v>
      </c>
      <c r="P797">
        <f t="shared" si="577"/>
        <v>752.45931553339494</v>
      </c>
      <c r="Q797">
        <f t="shared" si="577"/>
        <v>968.04436697787139</v>
      </c>
      <c r="R797">
        <f t="shared" si="577"/>
        <v>1071.8031705187534</v>
      </c>
      <c r="S797">
        <f t="shared" si="577"/>
        <v>1081.0817220176509</v>
      </c>
      <c r="T797">
        <f t="shared" si="577"/>
        <v>1404.4622801545906</v>
      </c>
      <c r="U797">
        <f t="shared" si="577"/>
        <v>1685.8884778455822</v>
      </c>
      <c r="V797">
        <f t="shared" si="577"/>
        <v>904.24053337179214</v>
      </c>
      <c r="W797">
        <f t="shared" si="577"/>
        <v>1107.3941277940214</v>
      </c>
      <c r="Y797" s="14">
        <f t="shared" si="573"/>
        <v>21986.414019489195</v>
      </c>
      <c r="Z797">
        <f t="shared" si="574"/>
        <v>1845.1963312953421</v>
      </c>
    </row>
    <row r="798" spans="1:26" x14ac:dyDescent="0.25">
      <c r="A798" t="s">
        <v>47</v>
      </c>
      <c r="D798">
        <f t="shared" ref="D798:W798" si="578">D105*D204</f>
        <v>1466.9967476604463</v>
      </c>
      <c r="E798">
        <f t="shared" si="578"/>
        <v>1035.8402881623012</v>
      </c>
      <c r="F798">
        <f t="shared" si="578"/>
        <v>1051.8556122801558</v>
      </c>
      <c r="G798">
        <f t="shared" si="578"/>
        <v>1386.7114329647432</v>
      </c>
      <c r="H798">
        <f t="shared" si="578"/>
        <v>1090.7116859726207</v>
      </c>
      <c r="I798">
        <f t="shared" si="578"/>
        <v>1199.8126349807653</v>
      </c>
      <c r="J798">
        <f t="shared" si="578"/>
        <v>1133.1002521340695</v>
      </c>
      <c r="K798">
        <f t="shared" si="578"/>
        <v>986.10298219593813</v>
      </c>
      <c r="L798">
        <f t="shared" si="578"/>
        <v>691.89520533015889</v>
      </c>
      <c r="M798">
        <f t="shared" si="578"/>
        <v>816.98620917603387</v>
      </c>
      <c r="N798">
        <f t="shared" si="578"/>
        <v>734.42100282733952</v>
      </c>
      <c r="O798">
        <f t="shared" si="578"/>
        <v>1057.0802344878941</v>
      </c>
      <c r="P798">
        <f t="shared" si="578"/>
        <v>1249.487204013031</v>
      </c>
      <c r="Q798">
        <f t="shared" si="578"/>
        <v>828.80710989095496</v>
      </c>
      <c r="R798">
        <f t="shared" si="578"/>
        <v>578.266892923819</v>
      </c>
      <c r="S798">
        <f t="shared" si="578"/>
        <v>565.58467461281953</v>
      </c>
      <c r="T798">
        <f t="shared" si="578"/>
        <v>647.53538657624597</v>
      </c>
      <c r="U798">
        <f t="shared" si="578"/>
        <v>1013.0870480355413</v>
      </c>
      <c r="V798">
        <f t="shared" si="578"/>
        <v>1297.6815545229481</v>
      </c>
      <c r="W798">
        <f t="shared" si="578"/>
        <v>1544.2953568941762</v>
      </c>
      <c r="Y798" s="14">
        <f t="shared" si="573"/>
        <v>20376.259515641999</v>
      </c>
      <c r="Z798">
        <f t="shared" si="574"/>
        <v>1957.8269831427494</v>
      </c>
    </row>
    <row r="799" spans="1:26" x14ac:dyDescent="0.25">
      <c r="A799" t="s">
        <v>48</v>
      </c>
      <c r="D799">
        <f t="shared" ref="D799:W799" si="579">D106*D205</f>
        <v>914.34406498485066</v>
      </c>
      <c r="E799">
        <f t="shared" si="579"/>
        <v>1032.5027162339579</v>
      </c>
      <c r="F799">
        <f t="shared" si="579"/>
        <v>907.81883863362395</v>
      </c>
      <c r="G799">
        <f t="shared" si="579"/>
        <v>949.9135807525347</v>
      </c>
      <c r="H799">
        <f t="shared" si="579"/>
        <v>866.50401744197984</v>
      </c>
      <c r="I799">
        <f t="shared" si="579"/>
        <v>1303.3609736626872</v>
      </c>
      <c r="J799">
        <f t="shared" si="579"/>
        <v>1595.9954766580126</v>
      </c>
      <c r="K799">
        <f t="shared" si="579"/>
        <v>1244.1132262443841</v>
      </c>
      <c r="L799">
        <f t="shared" si="579"/>
        <v>917.12762100736745</v>
      </c>
      <c r="M799">
        <f t="shared" si="579"/>
        <v>1258.8362825999734</v>
      </c>
      <c r="N799">
        <f t="shared" si="579"/>
        <v>1493.4921040045958</v>
      </c>
      <c r="O799">
        <f t="shared" si="579"/>
        <v>872.37144274019272</v>
      </c>
      <c r="P799">
        <f t="shared" si="579"/>
        <v>983.93695278501991</v>
      </c>
      <c r="Q799">
        <f t="shared" si="579"/>
        <v>866.32953126476991</v>
      </c>
      <c r="R799">
        <f t="shared" si="579"/>
        <v>804.41965379792828</v>
      </c>
      <c r="S799">
        <f t="shared" si="579"/>
        <v>699.01864816952161</v>
      </c>
      <c r="T799">
        <f t="shared" si="579"/>
        <v>830.91619578852374</v>
      </c>
      <c r="U799">
        <f t="shared" si="579"/>
        <v>820.0615012585738</v>
      </c>
      <c r="V799">
        <f t="shared" si="579"/>
        <v>685.77521754769793</v>
      </c>
      <c r="W799">
        <f t="shared" si="579"/>
        <v>777.8764750878529</v>
      </c>
      <c r="Y799" s="14">
        <f t="shared" si="573"/>
        <v>19824.714520664045</v>
      </c>
      <c r="Z799">
        <f t="shared" si="574"/>
        <v>1664.3353657613413</v>
      </c>
    </row>
    <row r="800" spans="1:26" x14ac:dyDescent="0.25">
      <c r="A800" t="s">
        <v>49</v>
      </c>
      <c r="D800">
        <f t="shared" ref="D800:W800" si="580">D107*D206</f>
        <v>830.2697054172088</v>
      </c>
      <c r="E800">
        <f t="shared" si="580"/>
        <v>1170.8973252534968</v>
      </c>
      <c r="F800">
        <f t="shared" si="580"/>
        <v>1352.9932046611409</v>
      </c>
      <c r="G800">
        <f t="shared" si="580"/>
        <v>998.9766641653564</v>
      </c>
      <c r="H800">
        <f t="shared" si="580"/>
        <v>970.73621090813924</v>
      </c>
      <c r="I800">
        <f t="shared" si="580"/>
        <v>1231.6481198565805</v>
      </c>
      <c r="J800">
        <f t="shared" si="580"/>
        <v>681.73720886542492</v>
      </c>
      <c r="K800">
        <f t="shared" si="580"/>
        <v>695.77552975938443</v>
      </c>
      <c r="L800">
        <f t="shared" si="580"/>
        <v>635.19873162324245</v>
      </c>
      <c r="M800">
        <f t="shared" si="580"/>
        <v>732.43273657633097</v>
      </c>
      <c r="N800">
        <f t="shared" si="580"/>
        <v>1011.7555636623922</v>
      </c>
      <c r="O800">
        <f t="shared" si="580"/>
        <v>1035.7540157036556</v>
      </c>
      <c r="P800">
        <f t="shared" si="580"/>
        <v>813.5255137056829</v>
      </c>
      <c r="Q800">
        <f t="shared" si="580"/>
        <v>783.5491248610806</v>
      </c>
      <c r="R800">
        <f t="shared" si="580"/>
        <v>923.11813600429514</v>
      </c>
      <c r="S800">
        <f t="shared" si="580"/>
        <v>706.33126633649761</v>
      </c>
      <c r="T800">
        <f t="shared" si="580"/>
        <v>680.37344341466849</v>
      </c>
      <c r="U800">
        <f t="shared" si="580"/>
        <v>1034.4174690445589</v>
      </c>
      <c r="V800">
        <f t="shared" si="580"/>
        <v>1248.5149526070645</v>
      </c>
      <c r="W800">
        <f t="shared" si="580"/>
        <v>1674.7141551153741</v>
      </c>
      <c r="Y800" s="14">
        <f t="shared" si="573"/>
        <v>19212.719077541573</v>
      </c>
      <c r="Z800">
        <f t="shared" si="574"/>
        <v>1590.3961333744783</v>
      </c>
    </row>
    <row r="801" spans="1:26" x14ac:dyDescent="0.25">
      <c r="A801" t="s">
        <v>50</v>
      </c>
      <c r="D801">
        <f t="shared" ref="D801:W801" si="581">D108*D207</f>
        <v>1040.714273594016</v>
      </c>
      <c r="E801">
        <f t="shared" si="581"/>
        <v>832.3383213573818</v>
      </c>
      <c r="F801">
        <f t="shared" si="581"/>
        <v>952.43125371997678</v>
      </c>
      <c r="G801">
        <f t="shared" si="581"/>
        <v>1065.5170548868384</v>
      </c>
      <c r="H801">
        <f t="shared" si="581"/>
        <v>1403.1507686796308</v>
      </c>
      <c r="I801">
        <f t="shared" si="581"/>
        <v>1534.1057635640475</v>
      </c>
      <c r="J801">
        <f t="shared" si="581"/>
        <v>1721.690971491425</v>
      </c>
      <c r="K801">
        <f t="shared" si="581"/>
        <v>1441.3271675835599</v>
      </c>
      <c r="L801">
        <f t="shared" si="581"/>
        <v>788.67122400493497</v>
      </c>
      <c r="M801">
        <f t="shared" si="581"/>
        <v>1273.6423774721993</v>
      </c>
      <c r="N801">
        <f t="shared" si="581"/>
        <v>1244.4017162405687</v>
      </c>
      <c r="O801">
        <f t="shared" si="581"/>
        <v>1135.9038754639664</v>
      </c>
      <c r="P801">
        <f t="shared" si="581"/>
        <v>1553.0009018738085</v>
      </c>
      <c r="Q801">
        <f t="shared" si="581"/>
        <v>1676.2053439096028</v>
      </c>
      <c r="R801">
        <f t="shared" si="581"/>
        <v>1717.8403984471415</v>
      </c>
      <c r="S801">
        <f t="shared" si="581"/>
        <v>1989.6703500945732</v>
      </c>
      <c r="T801">
        <f t="shared" si="581"/>
        <v>1829.6230875049037</v>
      </c>
      <c r="U801">
        <f t="shared" si="581"/>
        <v>1343.4909470174716</v>
      </c>
      <c r="V801">
        <f t="shared" si="581"/>
        <v>1332.2798874466444</v>
      </c>
      <c r="W801">
        <f t="shared" si="581"/>
        <v>1824.0123593678181</v>
      </c>
      <c r="Y801" s="14">
        <f t="shared" si="573"/>
        <v>27700.018043720509</v>
      </c>
      <c r="Z801">
        <f t="shared" si="574"/>
        <v>1900.5339988208889</v>
      </c>
    </row>
    <row r="802" spans="1:26" x14ac:dyDescent="0.25">
      <c r="A802" t="s">
        <v>51</v>
      </c>
      <c r="D802">
        <f t="shared" ref="D802:W802" si="582">D109*D208</f>
        <v>1449.5242933836507</v>
      </c>
      <c r="E802">
        <f t="shared" si="582"/>
        <v>1153.8523272948225</v>
      </c>
      <c r="F802">
        <f t="shared" si="582"/>
        <v>1325.8810856849027</v>
      </c>
      <c r="G802">
        <f t="shared" si="582"/>
        <v>1455.3414067904023</v>
      </c>
      <c r="H802">
        <f t="shared" si="582"/>
        <v>1285.2555448920102</v>
      </c>
      <c r="I802">
        <f t="shared" si="582"/>
        <v>1175.636845380473</v>
      </c>
      <c r="J802">
        <f t="shared" si="582"/>
        <v>1231.7527854769257</v>
      </c>
      <c r="K802">
        <f t="shared" si="582"/>
        <v>1080.4668093638393</v>
      </c>
      <c r="L802">
        <f t="shared" si="582"/>
        <v>922.19882351104081</v>
      </c>
      <c r="M802">
        <f t="shared" si="582"/>
        <v>779.9971897537115</v>
      </c>
      <c r="N802">
        <f t="shared" si="582"/>
        <v>956.59694188134927</v>
      </c>
      <c r="O802">
        <f t="shared" si="582"/>
        <v>642.42377403898502</v>
      </c>
      <c r="P802">
        <f t="shared" si="582"/>
        <v>975.77198292671051</v>
      </c>
      <c r="Q802">
        <f t="shared" si="582"/>
        <v>1290.1684256469655</v>
      </c>
      <c r="R802">
        <f t="shared" si="582"/>
        <v>1199.9269320663127</v>
      </c>
      <c r="S802">
        <f t="shared" si="582"/>
        <v>1320.7856659889428</v>
      </c>
      <c r="T802">
        <f t="shared" si="582"/>
        <v>1378.6758173906248</v>
      </c>
      <c r="U802">
        <f t="shared" si="582"/>
        <v>869.45749059250318</v>
      </c>
      <c r="V802">
        <f t="shared" si="582"/>
        <v>904.87035820275707</v>
      </c>
      <c r="W802">
        <f t="shared" si="582"/>
        <v>1480.847683295656</v>
      </c>
      <c r="Y802" s="14">
        <f t="shared" si="573"/>
        <v>22879.432183562581</v>
      </c>
      <c r="Z802">
        <f t="shared" si="574"/>
        <v>1962.2904582887363</v>
      </c>
    </row>
    <row r="803" spans="1:26" x14ac:dyDescent="0.25">
      <c r="A803" t="s">
        <v>52</v>
      </c>
      <c r="D803">
        <f t="shared" ref="D803:W803" si="583">D110*D209</f>
        <v>1678.4711209219649</v>
      </c>
      <c r="E803">
        <f t="shared" si="583"/>
        <v>1360.3993733045538</v>
      </c>
      <c r="F803">
        <f t="shared" si="583"/>
        <v>1230.3614813666366</v>
      </c>
      <c r="G803">
        <f t="shared" si="583"/>
        <v>1400.5030816781107</v>
      </c>
      <c r="H803">
        <f t="shared" si="583"/>
        <v>1377.9148779412556</v>
      </c>
      <c r="I803">
        <f t="shared" si="583"/>
        <v>1623.5811046783904</v>
      </c>
      <c r="J803">
        <f t="shared" si="583"/>
        <v>1190.2487338471112</v>
      </c>
      <c r="K803">
        <f t="shared" si="583"/>
        <v>1307.2820048815231</v>
      </c>
      <c r="L803">
        <f t="shared" si="583"/>
        <v>1068.9539906655252</v>
      </c>
      <c r="M803">
        <f t="shared" si="583"/>
        <v>1223.0681292421295</v>
      </c>
      <c r="N803">
        <f t="shared" si="583"/>
        <v>1320.3766993101453</v>
      </c>
      <c r="O803">
        <f t="shared" si="583"/>
        <v>1382.0421124559164</v>
      </c>
      <c r="P803">
        <f t="shared" si="583"/>
        <v>1077.3294258684887</v>
      </c>
      <c r="Q803">
        <f t="shared" si="583"/>
        <v>1289.7771958330832</v>
      </c>
      <c r="R803">
        <f t="shared" si="583"/>
        <v>1010.3559077563499</v>
      </c>
      <c r="S803">
        <f t="shared" si="583"/>
        <v>1246.2068417977575</v>
      </c>
      <c r="T803">
        <f t="shared" si="583"/>
        <v>1242.3386204544458</v>
      </c>
      <c r="U803">
        <f t="shared" si="583"/>
        <v>1645.7694684454848</v>
      </c>
      <c r="V803">
        <f t="shared" si="583"/>
        <v>1762.4753694182114</v>
      </c>
      <c r="W803">
        <f t="shared" si="583"/>
        <v>1792.0906633775382</v>
      </c>
      <c r="Y803" s="14">
        <f t="shared" si="573"/>
        <v>27229.546203244619</v>
      </c>
      <c r="Z803">
        <f t="shared" si="574"/>
        <v>2413.3162256382207</v>
      </c>
    </row>
    <row r="804" spans="1:26" x14ac:dyDescent="0.25">
      <c r="A804" t="s">
        <v>53</v>
      </c>
      <c r="D804">
        <f t="shared" ref="D804:W804" si="584">D111*D210</f>
        <v>1652.5820432620912</v>
      </c>
      <c r="E804">
        <f t="shared" si="584"/>
        <v>1229.4214368021655</v>
      </c>
      <c r="F804">
        <f t="shared" si="584"/>
        <v>1198.8574496784113</v>
      </c>
      <c r="G804">
        <f t="shared" si="584"/>
        <v>1065.1606092757611</v>
      </c>
      <c r="H804">
        <f t="shared" si="584"/>
        <v>793.33084390325348</v>
      </c>
      <c r="I804">
        <f t="shared" si="584"/>
        <v>793.02448134916085</v>
      </c>
      <c r="J804">
        <f t="shared" si="584"/>
        <v>840.35162534834899</v>
      </c>
      <c r="K804">
        <f t="shared" si="584"/>
        <v>1007.0642998549216</v>
      </c>
      <c r="L804">
        <f t="shared" si="584"/>
        <v>865.84410176677011</v>
      </c>
      <c r="M804">
        <f t="shared" si="584"/>
        <v>931.38762629450127</v>
      </c>
      <c r="N804">
        <f t="shared" si="584"/>
        <v>797.79422411086614</v>
      </c>
      <c r="O804">
        <f t="shared" si="584"/>
        <v>1014.2023420824611</v>
      </c>
      <c r="P804">
        <f t="shared" si="584"/>
        <v>895.60194118366985</v>
      </c>
      <c r="Q804">
        <f t="shared" si="584"/>
        <v>751.41894649065125</v>
      </c>
      <c r="R804">
        <f t="shared" si="584"/>
        <v>1049.3717492886549</v>
      </c>
      <c r="S804">
        <f t="shared" si="584"/>
        <v>1150.4048988299448</v>
      </c>
      <c r="T804">
        <f t="shared" si="584"/>
        <v>1174.5621988531884</v>
      </c>
      <c r="U804">
        <f t="shared" si="584"/>
        <v>1023.2250092078208</v>
      </c>
      <c r="V804">
        <f t="shared" si="584"/>
        <v>661.90557061452932</v>
      </c>
      <c r="W804">
        <f t="shared" si="584"/>
        <v>709.60562344472453</v>
      </c>
      <c r="Y804" s="14">
        <f t="shared" si="573"/>
        <v>19605.117021641898</v>
      </c>
      <c r="Z804">
        <f t="shared" si="574"/>
        <v>1734.6528518485752</v>
      </c>
    </row>
    <row r="805" spans="1:26" x14ac:dyDescent="0.25">
      <c r="A805" t="s">
        <v>54</v>
      </c>
      <c r="D805">
        <f t="shared" ref="D805:W805" si="585">D112*D211</f>
        <v>735.37680329194484</v>
      </c>
      <c r="E805">
        <f t="shared" si="585"/>
        <v>924.20111410861819</v>
      </c>
      <c r="F805">
        <f t="shared" si="585"/>
        <v>803.34433522327322</v>
      </c>
      <c r="G805">
        <f t="shared" si="585"/>
        <v>631.51728446983589</v>
      </c>
      <c r="H805">
        <f t="shared" si="585"/>
        <v>505.15880793310384</v>
      </c>
      <c r="I805">
        <f t="shared" si="585"/>
        <v>532.68111036751554</v>
      </c>
      <c r="J805">
        <f t="shared" si="585"/>
        <v>631.82470540668567</v>
      </c>
      <c r="K805">
        <f t="shared" si="585"/>
        <v>561.4281228708229</v>
      </c>
      <c r="L805">
        <f t="shared" si="585"/>
        <v>404.70547796947642</v>
      </c>
      <c r="M805">
        <f t="shared" si="585"/>
        <v>465.10979853062202</v>
      </c>
      <c r="N805">
        <f t="shared" si="585"/>
        <v>543.67979101013486</v>
      </c>
      <c r="O805">
        <f t="shared" si="585"/>
        <v>569.01673618809969</v>
      </c>
      <c r="P805">
        <f t="shared" si="585"/>
        <v>577.67469448194072</v>
      </c>
      <c r="Q805">
        <f t="shared" si="585"/>
        <v>605.96335510341476</v>
      </c>
      <c r="R805">
        <f t="shared" si="585"/>
        <v>463.4784121657861</v>
      </c>
      <c r="S805">
        <f t="shared" si="585"/>
        <v>455.03659373731409</v>
      </c>
      <c r="T805">
        <f t="shared" si="585"/>
        <v>576.29606125047417</v>
      </c>
      <c r="U805">
        <f t="shared" si="585"/>
        <v>688.05289215506514</v>
      </c>
      <c r="V805">
        <f t="shared" si="585"/>
        <v>543.10401632670175</v>
      </c>
      <c r="W805">
        <f t="shared" si="585"/>
        <v>812.05928392393594</v>
      </c>
      <c r="Y805" s="14">
        <f t="shared" si="573"/>
        <v>12029.709396514767</v>
      </c>
      <c r="Z805">
        <f t="shared" si="574"/>
        <v>968.99592124489084</v>
      </c>
    </row>
    <row r="806" spans="1:26" x14ac:dyDescent="0.25">
      <c r="A806" t="s">
        <v>55</v>
      </c>
      <c r="D806">
        <f t="shared" ref="D806:W806" si="586">D113*D212</f>
        <v>995.00541424360995</v>
      </c>
      <c r="E806">
        <f t="shared" si="586"/>
        <v>742.26014660834255</v>
      </c>
      <c r="F806">
        <f t="shared" si="586"/>
        <v>576.80348346039284</v>
      </c>
      <c r="G806">
        <f t="shared" si="586"/>
        <v>614.28439244989534</v>
      </c>
      <c r="H806">
        <f t="shared" si="586"/>
        <v>451.28060145610698</v>
      </c>
      <c r="I806">
        <f t="shared" si="586"/>
        <v>405.75189094680002</v>
      </c>
      <c r="J806">
        <f t="shared" si="586"/>
        <v>493.71103403251442</v>
      </c>
      <c r="K806">
        <f t="shared" si="586"/>
        <v>468.11075112521928</v>
      </c>
      <c r="L806">
        <f t="shared" si="586"/>
        <v>328.4133145086999</v>
      </c>
      <c r="M806">
        <f t="shared" si="586"/>
        <v>639.74047179032152</v>
      </c>
      <c r="N806">
        <f t="shared" si="586"/>
        <v>623.14496278851846</v>
      </c>
      <c r="O806">
        <f t="shared" si="586"/>
        <v>870.23274181878389</v>
      </c>
      <c r="P806">
        <f t="shared" si="586"/>
        <v>493.77808414695971</v>
      </c>
      <c r="Q806">
        <f t="shared" si="586"/>
        <v>404.72368058472</v>
      </c>
      <c r="R806">
        <f t="shared" si="586"/>
        <v>536.81047835223262</v>
      </c>
      <c r="S806">
        <f t="shared" si="586"/>
        <v>509.62353781971689</v>
      </c>
      <c r="T806">
        <f t="shared" si="586"/>
        <v>493.74491846754773</v>
      </c>
      <c r="U806">
        <f t="shared" si="586"/>
        <v>489.55585229971325</v>
      </c>
      <c r="V806">
        <f t="shared" si="586"/>
        <v>395.89393352956574</v>
      </c>
      <c r="W806">
        <f t="shared" si="586"/>
        <v>1265.0840137861642</v>
      </c>
      <c r="Y806" s="14">
        <f t="shared" si="573"/>
        <v>11797.953704215823</v>
      </c>
      <c r="Z806">
        <f t="shared" si="574"/>
        <v>1110.9296774391864</v>
      </c>
    </row>
    <row r="807" spans="1:26" x14ac:dyDescent="0.25">
      <c r="A807" t="s">
        <v>56</v>
      </c>
      <c r="D807">
        <f t="shared" ref="D807:W807" si="587">D114*D213</f>
        <v>1521.5236694544205</v>
      </c>
      <c r="E807">
        <f t="shared" si="587"/>
        <v>928.37245873458926</v>
      </c>
      <c r="F807">
        <f t="shared" si="587"/>
        <v>682.95584670268488</v>
      </c>
      <c r="G807">
        <f t="shared" si="587"/>
        <v>782.22969611273834</v>
      </c>
      <c r="H807">
        <f t="shared" si="587"/>
        <v>532.60600570589531</v>
      </c>
      <c r="I807">
        <f t="shared" si="587"/>
        <v>862.96879408239886</v>
      </c>
      <c r="J807">
        <f t="shared" si="587"/>
        <v>1027.5560768800451</v>
      </c>
      <c r="K807">
        <f t="shared" si="587"/>
        <v>873.98966103316798</v>
      </c>
      <c r="L807">
        <f t="shared" si="587"/>
        <v>626.24371274085934</v>
      </c>
      <c r="M807">
        <f t="shared" si="587"/>
        <v>564.734402838302</v>
      </c>
      <c r="N807">
        <f t="shared" si="587"/>
        <v>1150.5916132158277</v>
      </c>
      <c r="O807">
        <f t="shared" si="587"/>
        <v>899.90535171726037</v>
      </c>
      <c r="P807">
        <f t="shared" si="587"/>
        <v>1020.8990895648662</v>
      </c>
      <c r="Q807">
        <f t="shared" si="587"/>
        <v>968.13166720629988</v>
      </c>
      <c r="R807">
        <f t="shared" si="587"/>
        <v>505.96470421568142</v>
      </c>
      <c r="S807">
        <f t="shared" si="587"/>
        <v>870.11696712754099</v>
      </c>
      <c r="T807">
        <f t="shared" si="587"/>
        <v>1004.5141775406172</v>
      </c>
      <c r="U807">
        <f t="shared" si="587"/>
        <v>657.96905926089119</v>
      </c>
      <c r="V807">
        <f t="shared" si="587"/>
        <v>514.14628956630418</v>
      </c>
      <c r="W807">
        <f t="shared" si="587"/>
        <v>870.11696712754099</v>
      </c>
      <c r="Y807" s="14">
        <f t="shared" si="573"/>
        <v>16865.53621082793</v>
      </c>
      <c r="Z807">
        <f t="shared" si="574"/>
        <v>1516.668730319218</v>
      </c>
    </row>
    <row r="808" spans="1:26" x14ac:dyDescent="0.25">
      <c r="A808" t="s">
        <v>57</v>
      </c>
      <c r="D808">
        <f t="shared" ref="D808:W808" si="588">D115*D214</f>
        <v>1188.3223793394243</v>
      </c>
      <c r="E808">
        <f t="shared" si="588"/>
        <v>1186.6152121643247</v>
      </c>
      <c r="F808">
        <f t="shared" si="588"/>
        <v>1175.2865932381453</v>
      </c>
      <c r="G808">
        <f t="shared" si="588"/>
        <v>1241.2799225162653</v>
      </c>
      <c r="H808">
        <f t="shared" si="588"/>
        <v>1123.3809143661758</v>
      </c>
      <c r="I808">
        <f t="shared" si="588"/>
        <v>647.00468591555182</v>
      </c>
      <c r="J808">
        <f t="shared" si="588"/>
        <v>675.81206039930521</v>
      </c>
      <c r="K808">
        <f t="shared" si="588"/>
        <v>908.19902470280113</v>
      </c>
      <c r="L808">
        <f t="shared" si="588"/>
        <v>496.89247447580686</v>
      </c>
      <c r="M808">
        <f t="shared" si="588"/>
        <v>560.52700922987196</v>
      </c>
      <c r="N808">
        <f t="shared" si="588"/>
        <v>410.74045170148167</v>
      </c>
      <c r="O808">
        <f t="shared" si="588"/>
        <v>433.24036627528767</v>
      </c>
      <c r="P808">
        <f t="shared" si="588"/>
        <v>637.30050865225655</v>
      </c>
      <c r="Q808">
        <f t="shared" si="588"/>
        <v>796.04049604330623</v>
      </c>
      <c r="R808">
        <f t="shared" si="588"/>
        <v>1181.3584546998597</v>
      </c>
      <c r="S808">
        <f t="shared" si="588"/>
        <v>1026.3026941254468</v>
      </c>
      <c r="T808">
        <f t="shared" si="588"/>
        <v>861.46176156646754</v>
      </c>
      <c r="U808">
        <f t="shared" si="588"/>
        <v>843.75885650203338</v>
      </c>
      <c r="V808">
        <f t="shared" si="588"/>
        <v>1138.9895040875817</v>
      </c>
      <c r="W808">
        <f t="shared" si="588"/>
        <v>1124.2656582711234</v>
      </c>
      <c r="Y808" s="14">
        <f t="shared" si="573"/>
        <v>17656.779028272518</v>
      </c>
      <c r="Z808">
        <f t="shared" si="574"/>
        <v>1473.0336047534613</v>
      </c>
    </row>
    <row r="809" spans="1:26" x14ac:dyDescent="0.25">
      <c r="A809" t="s">
        <v>58</v>
      </c>
      <c r="D809">
        <f t="shared" ref="D809:W809" si="589">D116*D215</f>
        <v>861.34058503198662</v>
      </c>
      <c r="E809">
        <f t="shared" si="589"/>
        <v>1011.6063836436869</v>
      </c>
      <c r="F809">
        <f t="shared" si="589"/>
        <v>608.14515018033057</v>
      </c>
      <c r="G809">
        <f t="shared" si="589"/>
        <v>647.75403568542913</v>
      </c>
      <c r="H809">
        <f t="shared" si="589"/>
        <v>854.2013050704486</v>
      </c>
      <c r="I809">
        <f t="shared" si="589"/>
        <v>488.17932320824639</v>
      </c>
      <c r="J809">
        <f t="shared" si="589"/>
        <v>843.32462584273685</v>
      </c>
      <c r="K809">
        <f t="shared" si="589"/>
        <v>628.19806444669757</v>
      </c>
      <c r="L809">
        <f t="shared" si="589"/>
        <v>476.58842638655119</v>
      </c>
      <c r="M809">
        <f t="shared" si="589"/>
        <v>441.03205010135974</v>
      </c>
      <c r="N809">
        <f t="shared" si="589"/>
        <v>706.22651330431358</v>
      </c>
      <c r="O809">
        <f t="shared" si="589"/>
        <v>635.35163444654552</v>
      </c>
      <c r="P809">
        <f t="shared" si="589"/>
        <v>708.48948782907848</v>
      </c>
      <c r="Q809">
        <f t="shared" si="589"/>
        <v>433.23577447839563</v>
      </c>
      <c r="R809">
        <f t="shared" si="589"/>
        <v>319.55294836465981</v>
      </c>
      <c r="S809">
        <f t="shared" si="589"/>
        <v>407.28916964155542</v>
      </c>
      <c r="T809">
        <f t="shared" si="589"/>
        <v>520.94156592457534</v>
      </c>
      <c r="U809">
        <f t="shared" si="589"/>
        <v>401.38902982231281</v>
      </c>
      <c r="V809">
        <f t="shared" si="589"/>
        <v>369.49556047456878</v>
      </c>
      <c r="W809">
        <f t="shared" si="589"/>
        <v>466.7553175250041</v>
      </c>
      <c r="Y809" s="14">
        <f t="shared" si="573"/>
        <v>11829.096951408483</v>
      </c>
      <c r="Z809">
        <f t="shared" si="574"/>
        <v>1090.3043740859116</v>
      </c>
    </row>
    <row r="810" spans="1:26" x14ac:dyDescent="0.25">
      <c r="A810" t="s">
        <v>59</v>
      </c>
      <c r="D810">
        <f t="shared" ref="D810:W810" si="590">D117*D216</f>
        <v>742.88614335715147</v>
      </c>
      <c r="E810">
        <f t="shared" si="590"/>
        <v>557.51156696470196</v>
      </c>
      <c r="F810">
        <f t="shared" si="590"/>
        <v>638.37092257525524</v>
      </c>
      <c r="G810">
        <f t="shared" si="590"/>
        <v>879.26973453123355</v>
      </c>
      <c r="H810">
        <f t="shared" si="590"/>
        <v>699.35966924191291</v>
      </c>
      <c r="I810">
        <f t="shared" si="590"/>
        <v>612.56114592482288</v>
      </c>
      <c r="J810">
        <f t="shared" si="590"/>
        <v>673.54665894755715</v>
      </c>
      <c r="K810">
        <f t="shared" si="590"/>
        <v>743.99564930198699</v>
      </c>
      <c r="L810">
        <f t="shared" si="590"/>
        <v>503.39978953906655</v>
      </c>
      <c r="M810">
        <f t="shared" si="590"/>
        <v>605.56325757038985</v>
      </c>
      <c r="N810">
        <f t="shared" si="590"/>
        <v>418.40682323998294</v>
      </c>
      <c r="O810">
        <f t="shared" si="590"/>
        <v>384.19433379230247</v>
      </c>
      <c r="P810">
        <f t="shared" si="590"/>
        <v>430.14471787982421</v>
      </c>
      <c r="Q810">
        <f t="shared" si="590"/>
        <v>455.78442155192641</v>
      </c>
      <c r="R810">
        <f t="shared" si="590"/>
        <v>983.79835644998946</v>
      </c>
      <c r="S810">
        <f t="shared" si="590"/>
        <v>564.67097591435959</v>
      </c>
      <c r="T810">
        <f t="shared" si="590"/>
        <v>153.23652926247144</v>
      </c>
      <c r="U810">
        <f t="shared" si="590"/>
        <v>423.78581012809417</v>
      </c>
      <c r="V810">
        <f t="shared" si="590"/>
        <v>604.66906243984033</v>
      </c>
      <c r="W810">
        <f t="shared" si="590"/>
        <v>488.04139415461378</v>
      </c>
      <c r="Y810" s="14">
        <f t="shared" si="573"/>
        <v>11563.196962767483</v>
      </c>
      <c r="Z810">
        <f t="shared" si="574"/>
        <v>1034.6970302822999</v>
      </c>
    </row>
    <row r="811" spans="1:26" x14ac:dyDescent="0.25">
      <c r="A811" t="s">
        <v>60</v>
      </c>
      <c r="D811">
        <f t="shared" ref="D811:W811" si="591">D118*D217</f>
        <v>641.88743148537196</v>
      </c>
      <c r="E811">
        <f t="shared" si="591"/>
        <v>639.31284293543695</v>
      </c>
      <c r="F811">
        <f t="shared" si="591"/>
        <v>685.79757102182987</v>
      </c>
      <c r="G811">
        <f t="shared" si="591"/>
        <v>379.60082667569873</v>
      </c>
      <c r="H811">
        <f t="shared" si="591"/>
        <v>392.84720702979098</v>
      </c>
      <c r="I811">
        <f t="shared" si="591"/>
        <v>435.90393807980058</v>
      </c>
      <c r="J811">
        <f t="shared" si="591"/>
        <v>361.63461733232447</v>
      </c>
      <c r="K811">
        <f t="shared" si="591"/>
        <v>637.76212819643035</v>
      </c>
      <c r="L811">
        <f t="shared" si="591"/>
        <v>345.79716419497646</v>
      </c>
      <c r="M811">
        <f t="shared" si="591"/>
        <v>543.96971875700001</v>
      </c>
      <c r="N811">
        <f t="shared" si="591"/>
        <v>551.59279471814034</v>
      </c>
      <c r="O811">
        <f t="shared" si="591"/>
        <v>629.53303715355321</v>
      </c>
      <c r="P811">
        <f t="shared" si="591"/>
        <v>332.37388179432719</v>
      </c>
      <c r="Q811">
        <f t="shared" si="591"/>
        <v>351.20558716538301</v>
      </c>
      <c r="R811">
        <f t="shared" si="591"/>
        <v>289.03075742595928</v>
      </c>
      <c r="S811">
        <f t="shared" si="591"/>
        <v>397.32732163314444</v>
      </c>
      <c r="T811">
        <f t="shared" si="591"/>
        <v>397.73488931332929</v>
      </c>
      <c r="U811">
        <f t="shared" si="591"/>
        <v>440.43280572814001</v>
      </c>
      <c r="V811">
        <f t="shared" si="591"/>
        <v>704.30408197508825</v>
      </c>
      <c r="W811">
        <f t="shared" si="591"/>
        <v>621.60740082975531</v>
      </c>
      <c r="Y811" s="14">
        <f t="shared" si="573"/>
        <v>9779.6560034454778</v>
      </c>
      <c r="Z811">
        <f t="shared" si="574"/>
        <v>885.96779315215247</v>
      </c>
    </row>
    <row r="812" spans="1:26" x14ac:dyDescent="0.25">
      <c r="A812" t="s">
        <v>61</v>
      </c>
      <c r="D812">
        <f t="shared" ref="D812:W812" si="592">D119*D218</f>
        <v>738.36077637752055</v>
      </c>
      <c r="E812">
        <f t="shared" si="592"/>
        <v>983.39515069083347</v>
      </c>
      <c r="F812">
        <f t="shared" si="592"/>
        <v>749.5222561479668</v>
      </c>
      <c r="G812">
        <f t="shared" si="592"/>
        <v>862.04187841560042</v>
      </c>
      <c r="H812">
        <f t="shared" si="592"/>
        <v>827.90047672934827</v>
      </c>
      <c r="I812">
        <f t="shared" si="592"/>
        <v>1007.7291659927542</v>
      </c>
      <c r="J812">
        <f t="shared" si="592"/>
        <v>776.99858843900813</v>
      </c>
      <c r="K812">
        <f t="shared" si="592"/>
        <v>641.24688655968566</v>
      </c>
      <c r="L812">
        <f t="shared" si="592"/>
        <v>830.39812132625707</v>
      </c>
      <c r="M812">
        <f t="shared" si="592"/>
        <v>736.35328472034644</v>
      </c>
      <c r="N812">
        <f t="shared" si="592"/>
        <v>590.05716568404648</v>
      </c>
      <c r="O812">
        <f t="shared" si="592"/>
        <v>707.13550937694117</v>
      </c>
      <c r="P812">
        <f t="shared" si="592"/>
        <v>944.17076030429951</v>
      </c>
      <c r="Q812">
        <f t="shared" si="592"/>
        <v>926.15560678871111</v>
      </c>
      <c r="R812">
        <f t="shared" si="592"/>
        <v>972.2918173386513</v>
      </c>
      <c r="S812">
        <f t="shared" si="592"/>
        <v>897.77987191728812</v>
      </c>
      <c r="T812">
        <f t="shared" si="592"/>
        <v>797.50171882511961</v>
      </c>
      <c r="U812">
        <f t="shared" si="592"/>
        <v>850.99896502397382</v>
      </c>
      <c r="V812">
        <f t="shared" si="592"/>
        <v>710.59565165181061</v>
      </c>
      <c r="W812">
        <f t="shared" si="592"/>
        <v>831.7696895525861</v>
      </c>
      <c r="Y812" s="14">
        <f t="shared" si="573"/>
        <v>16382.403341862748</v>
      </c>
      <c r="Z812">
        <f t="shared" si="574"/>
        <v>1221.1456065664852</v>
      </c>
    </row>
    <row r="813" spans="1:26" x14ac:dyDescent="0.25">
      <c r="A813" t="s">
        <v>62</v>
      </c>
      <c r="D813">
        <f t="shared" ref="D813:W813" si="593">D120*D219</f>
        <v>1395.0229135925454</v>
      </c>
      <c r="E813">
        <f t="shared" si="593"/>
        <v>775.96622366982922</v>
      </c>
      <c r="F813">
        <f t="shared" si="593"/>
        <v>846.79851870083235</v>
      </c>
      <c r="G813">
        <f t="shared" si="593"/>
        <v>707.83993457822419</v>
      </c>
      <c r="H813">
        <f t="shared" si="593"/>
        <v>1143.5394527319531</v>
      </c>
      <c r="I813">
        <f t="shared" si="593"/>
        <v>1198.0541734074754</v>
      </c>
      <c r="J813">
        <f t="shared" si="593"/>
        <v>1178.0825225510246</v>
      </c>
      <c r="K813">
        <f t="shared" si="593"/>
        <v>977.58260861599479</v>
      </c>
      <c r="L813">
        <f t="shared" si="593"/>
        <v>1227.7387155941624</v>
      </c>
      <c r="M813">
        <f t="shared" si="593"/>
        <v>995.51852655961227</v>
      </c>
      <c r="N813">
        <f t="shared" si="593"/>
        <v>952.42887176519014</v>
      </c>
      <c r="O813">
        <f t="shared" si="593"/>
        <v>889.57467925221783</v>
      </c>
      <c r="P813">
        <f t="shared" si="593"/>
        <v>509.98102432146663</v>
      </c>
      <c r="Q813">
        <f t="shared" si="593"/>
        <v>524.74926739308921</v>
      </c>
      <c r="R813">
        <f t="shared" si="593"/>
        <v>421.35095675662058</v>
      </c>
      <c r="S813">
        <f t="shared" si="593"/>
        <v>714.61132873116946</v>
      </c>
      <c r="T813">
        <f t="shared" si="593"/>
        <v>874.05002521433676</v>
      </c>
      <c r="U813">
        <f t="shared" si="593"/>
        <v>702.46589810956687</v>
      </c>
      <c r="V813">
        <f t="shared" si="593"/>
        <v>746.36407901524956</v>
      </c>
      <c r="W813">
        <f t="shared" si="593"/>
        <v>807.18450227371557</v>
      </c>
      <c r="Y813" s="14">
        <f t="shared" si="573"/>
        <v>17588.904222834281</v>
      </c>
      <c r="Z813">
        <f t="shared" si="574"/>
        <v>1938.9533823814854</v>
      </c>
    </row>
    <row r="814" spans="1:26" x14ac:dyDescent="0.25">
      <c r="A814" t="s">
        <v>63</v>
      </c>
      <c r="D814">
        <f t="shared" ref="D814:W814" si="594">D121*D220</f>
        <v>660.94527949858912</v>
      </c>
      <c r="E814">
        <f t="shared" si="594"/>
        <v>792.32567014275935</v>
      </c>
      <c r="F814">
        <f t="shared" si="594"/>
        <v>818.8701747706275</v>
      </c>
      <c r="G814">
        <f t="shared" si="594"/>
        <v>679.40184636689912</v>
      </c>
      <c r="H814">
        <f t="shared" si="594"/>
        <v>506.50387695735344</v>
      </c>
      <c r="I814">
        <f t="shared" si="594"/>
        <v>782.88254248578812</v>
      </c>
      <c r="J814">
        <f t="shared" si="594"/>
        <v>1084.6894380012839</v>
      </c>
      <c r="K814">
        <f t="shared" si="594"/>
        <v>878.34797313228921</v>
      </c>
      <c r="L814">
        <f t="shared" si="594"/>
        <v>734.11016764168721</v>
      </c>
      <c r="M814">
        <f t="shared" si="594"/>
        <v>690.64790110427555</v>
      </c>
      <c r="N814">
        <f t="shared" si="594"/>
        <v>959.47279378418853</v>
      </c>
      <c r="O814">
        <f t="shared" si="594"/>
        <v>1116.4940059702451</v>
      </c>
      <c r="P814">
        <f t="shared" si="594"/>
        <v>828.88425000109601</v>
      </c>
      <c r="Q814">
        <f t="shared" si="594"/>
        <v>1022.9283364512672</v>
      </c>
      <c r="R814">
        <f t="shared" si="594"/>
        <v>1173.3850700626683</v>
      </c>
      <c r="S814">
        <f t="shared" si="594"/>
        <v>1159.6857716233574</v>
      </c>
      <c r="T814">
        <f t="shared" si="594"/>
        <v>813.71943580790378</v>
      </c>
      <c r="U814">
        <f t="shared" si="594"/>
        <v>629.32909494796252</v>
      </c>
      <c r="V814">
        <f t="shared" si="594"/>
        <v>758.5945023534058</v>
      </c>
      <c r="W814">
        <f t="shared" si="594"/>
        <v>769.7321955710388</v>
      </c>
      <c r="Y814" s="14">
        <f t="shared" si="573"/>
        <v>16860.950326674687</v>
      </c>
      <c r="Z814">
        <f t="shared" si="574"/>
        <v>1087.4507766421925</v>
      </c>
    </row>
    <row r="815" spans="1:26" x14ac:dyDescent="0.25">
      <c r="A815" t="s">
        <v>64</v>
      </c>
      <c r="D815">
        <f t="shared" ref="D815:W815" si="595">D122*D221</f>
        <v>558.72039530459642</v>
      </c>
      <c r="E815">
        <f t="shared" si="595"/>
        <v>980.41124591577363</v>
      </c>
      <c r="F815">
        <f t="shared" si="595"/>
        <v>1753.3357781737102</v>
      </c>
      <c r="G815">
        <f t="shared" si="595"/>
        <v>772.89782647653954</v>
      </c>
      <c r="H815">
        <f t="shared" si="595"/>
        <v>726.78121048193884</v>
      </c>
      <c r="I815">
        <f t="shared" si="595"/>
        <v>894.03654657413256</v>
      </c>
      <c r="J815">
        <f t="shared" si="595"/>
        <v>961.07475273927105</v>
      </c>
      <c r="K815">
        <f t="shared" si="595"/>
        <v>920.45110584125109</v>
      </c>
      <c r="L815">
        <f t="shared" si="595"/>
        <v>885.90153887468216</v>
      </c>
      <c r="M815">
        <f t="shared" si="595"/>
        <v>590.56556877221476</v>
      </c>
      <c r="N815">
        <f t="shared" si="595"/>
        <v>622.69074365851259</v>
      </c>
      <c r="O815">
        <f t="shared" si="595"/>
        <v>687.1205152827954</v>
      </c>
      <c r="P815">
        <f t="shared" si="595"/>
        <v>720.19966631591751</v>
      </c>
      <c r="Q815">
        <f t="shared" si="595"/>
        <v>865.08031331266193</v>
      </c>
      <c r="R815">
        <f t="shared" si="595"/>
        <v>880.20887590227801</v>
      </c>
      <c r="S815">
        <f t="shared" si="595"/>
        <v>499.6627474012588</v>
      </c>
      <c r="T815">
        <f t="shared" si="595"/>
        <v>602.74160335950717</v>
      </c>
      <c r="U815">
        <f t="shared" si="595"/>
        <v>854.24617972165606</v>
      </c>
      <c r="V815">
        <f t="shared" si="595"/>
        <v>1074.1033820440466</v>
      </c>
      <c r="W815">
        <f t="shared" si="595"/>
        <v>982.06307320563053</v>
      </c>
      <c r="Y815" s="14">
        <f t="shared" si="573"/>
        <v>16832.293069358373</v>
      </c>
      <c r="Z815">
        <f t="shared" si="574"/>
        <v>1271.4547609686722</v>
      </c>
    </row>
    <row r="816" spans="1:26" x14ac:dyDescent="0.25">
      <c r="A816" t="s">
        <v>65</v>
      </c>
      <c r="D816">
        <f t="shared" ref="D816:W816" si="596">D123*D222</f>
        <v>1324.1528095311526</v>
      </c>
      <c r="E816">
        <f t="shared" si="596"/>
        <v>1123.5778265362026</v>
      </c>
      <c r="F816">
        <f t="shared" si="596"/>
        <v>1152.5763736077195</v>
      </c>
      <c r="G816">
        <f t="shared" si="596"/>
        <v>1190.5631117232206</v>
      </c>
      <c r="H816">
        <f t="shared" si="596"/>
        <v>1125.6232095862304</v>
      </c>
      <c r="I816">
        <f t="shared" si="596"/>
        <v>1261.9500426044585</v>
      </c>
      <c r="J816">
        <f t="shared" si="596"/>
        <v>1188.3371789234297</v>
      </c>
      <c r="K816">
        <f t="shared" si="596"/>
        <v>1118.7181768680357</v>
      </c>
      <c r="L816">
        <f t="shared" si="596"/>
        <v>841.14768696360431</v>
      </c>
      <c r="M816">
        <f t="shared" si="596"/>
        <v>705.7969620154721</v>
      </c>
      <c r="N816">
        <f t="shared" si="596"/>
        <v>1081.4851157830658</v>
      </c>
      <c r="O816">
        <f t="shared" si="596"/>
        <v>897.11153113294722</v>
      </c>
      <c r="P816">
        <f t="shared" si="596"/>
        <v>654.37547973592643</v>
      </c>
      <c r="Q816">
        <f t="shared" si="596"/>
        <v>583.2929866225337</v>
      </c>
      <c r="R816">
        <f t="shared" si="596"/>
        <v>672.9479830866527</v>
      </c>
      <c r="S816">
        <f t="shared" si="596"/>
        <v>623.44659915346051</v>
      </c>
      <c r="T816">
        <f t="shared" si="596"/>
        <v>633.87696942619903</v>
      </c>
      <c r="U816">
        <f t="shared" si="596"/>
        <v>779.46415659980028</v>
      </c>
      <c r="V816">
        <f t="shared" si="596"/>
        <v>1003.7881410967487</v>
      </c>
      <c r="W816">
        <f t="shared" si="596"/>
        <v>1291.4810572812953</v>
      </c>
      <c r="Y816" s="14">
        <f t="shared" si="573"/>
        <v>19253.713398278156</v>
      </c>
      <c r="Z816">
        <f t="shared" si="574"/>
        <v>1954.0656045709459</v>
      </c>
    </row>
    <row r="817" spans="1:26" x14ac:dyDescent="0.25">
      <c r="A817" t="s">
        <v>66</v>
      </c>
      <c r="D817">
        <f t="shared" ref="D817:W817" si="597">D124*D223</f>
        <v>830.2697054172088</v>
      </c>
      <c r="E817">
        <f t="shared" si="597"/>
        <v>1170.8973252534968</v>
      </c>
      <c r="F817">
        <f t="shared" si="597"/>
        <v>1352.9932046611409</v>
      </c>
      <c r="G817">
        <f t="shared" si="597"/>
        <v>998.9766641653564</v>
      </c>
      <c r="H817">
        <f t="shared" si="597"/>
        <v>970.73621090813924</v>
      </c>
      <c r="I817">
        <f t="shared" si="597"/>
        <v>1231.6481198565805</v>
      </c>
      <c r="J817">
        <f t="shared" si="597"/>
        <v>681.73720886542492</v>
      </c>
      <c r="K817">
        <f t="shared" si="597"/>
        <v>695.77552975938443</v>
      </c>
      <c r="L817">
        <f t="shared" si="597"/>
        <v>635.19873162324245</v>
      </c>
      <c r="M817">
        <f t="shared" si="597"/>
        <v>732.43273657633097</v>
      </c>
      <c r="N817">
        <f t="shared" si="597"/>
        <v>1011.7555636623922</v>
      </c>
      <c r="O817">
        <f t="shared" si="597"/>
        <v>1035.7540157036556</v>
      </c>
      <c r="P817">
        <f t="shared" si="597"/>
        <v>1048.6336601462829</v>
      </c>
      <c r="Q817">
        <f t="shared" si="597"/>
        <v>1064.0215785429934</v>
      </c>
      <c r="R817">
        <f t="shared" si="597"/>
        <v>1035.8313211863926</v>
      </c>
      <c r="S817">
        <f t="shared" si="597"/>
        <v>1040.5318653277463</v>
      </c>
      <c r="T817">
        <f t="shared" si="597"/>
        <v>1116.8835092105185</v>
      </c>
      <c r="U817">
        <f t="shared" si="597"/>
        <v>1128.7586388357342</v>
      </c>
      <c r="V817">
        <f t="shared" si="597"/>
        <v>1054.1123924980286</v>
      </c>
      <c r="W817">
        <f t="shared" si="597"/>
        <v>1387.4176256751423</v>
      </c>
      <c r="Y817" s="14">
        <f t="shared" si="573"/>
        <v>20224.365607875192</v>
      </c>
      <c r="Z817">
        <f t="shared" si="574"/>
        <v>1498.549828672273</v>
      </c>
    </row>
    <row r="818" spans="1:26" x14ac:dyDescent="0.25">
      <c r="Y818" s="14"/>
    </row>
    <row r="819" spans="1:26" x14ac:dyDescent="0.25">
      <c r="A819" t="s">
        <v>67</v>
      </c>
      <c r="D819">
        <f t="shared" ref="D819:W819" si="598">D126*D225</f>
        <v>1272.7559359274721</v>
      </c>
      <c r="E819">
        <f t="shared" si="598"/>
        <v>1106.0509810093833</v>
      </c>
      <c r="F819">
        <f t="shared" si="598"/>
        <v>1144.4639736228819</v>
      </c>
      <c r="G819">
        <f t="shared" si="598"/>
        <v>1208.0570548148096</v>
      </c>
      <c r="H819">
        <f t="shared" si="598"/>
        <v>1180.0691617050359</v>
      </c>
      <c r="I819">
        <f t="shared" si="598"/>
        <v>1343.0012488540226</v>
      </c>
      <c r="J819">
        <f t="shared" si="598"/>
        <v>1249.4053609654013</v>
      </c>
      <c r="K819">
        <f t="shared" si="598"/>
        <v>1136.4951737228539</v>
      </c>
      <c r="L819">
        <f t="shared" si="598"/>
        <v>837.06472084604195</v>
      </c>
      <c r="M819">
        <f t="shared" si="598"/>
        <v>605.53827633844719</v>
      </c>
      <c r="N819">
        <f t="shared" si="598"/>
        <v>630.53753351906289</v>
      </c>
      <c r="O819">
        <f t="shared" si="598"/>
        <v>673.11243326524823</v>
      </c>
      <c r="P819">
        <f t="shared" si="598"/>
        <v>640.46305590591851</v>
      </c>
      <c r="Q819">
        <f t="shared" si="598"/>
        <v>650.77394722339557</v>
      </c>
      <c r="R819">
        <f t="shared" si="598"/>
        <v>746.60769952142721</v>
      </c>
      <c r="S819">
        <f t="shared" si="598"/>
        <v>686.58283100747747</v>
      </c>
      <c r="T819">
        <f t="shared" si="598"/>
        <v>610.08532011163845</v>
      </c>
      <c r="U819">
        <f t="shared" si="598"/>
        <v>651.63691770686171</v>
      </c>
      <c r="V819">
        <f t="shared" si="598"/>
        <v>792.11860586985517</v>
      </c>
      <c r="W819">
        <f t="shared" si="598"/>
        <v>821.74870653621645</v>
      </c>
      <c r="Y819" s="14">
        <f t="shared" si="573"/>
        <v>17986.568938473451</v>
      </c>
      <c r="Z819">
        <f>SUMPRODUCT($D$823:$W$823,D819:W819)</f>
        <v>1830.2084101134774</v>
      </c>
    </row>
    <row r="820" spans="1:26" x14ac:dyDescent="0.25">
      <c r="A820" t="s">
        <v>311</v>
      </c>
      <c r="D820">
        <f t="shared" ref="D820:W820" si="599">D127*D226</f>
        <v>1583.504081632653</v>
      </c>
      <c r="E820">
        <f t="shared" si="599"/>
        <v>1363.6959183673468</v>
      </c>
      <c r="F820">
        <f t="shared" si="599"/>
        <v>1005.730612244898</v>
      </c>
      <c r="G820">
        <f t="shared" si="599"/>
        <v>1046.926530612245</v>
      </c>
      <c r="H820">
        <f t="shared" si="599"/>
        <v>1108.74693877551</v>
      </c>
      <c r="I820">
        <f t="shared" si="599"/>
        <v>1157.0510204081631</v>
      </c>
      <c r="J820">
        <f t="shared" si="599"/>
        <v>1049.742857142857</v>
      </c>
      <c r="K820">
        <f t="shared" si="599"/>
        <v>1015.3102040816327</v>
      </c>
      <c r="L820">
        <f t="shared" si="599"/>
        <v>948.1484375</v>
      </c>
      <c r="M820">
        <f t="shared" si="599"/>
        <v>1257.8</v>
      </c>
      <c r="N820">
        <f t="shared" si="599"/>
        <v>1127.1836734693877</v>
      </c>
      <c r="O820">
        <f t="shared" si="599"/>
        <v>874.21224489795918</v>
      </c>
      <c r="P820">
        <f t="shared" si="599"/>
        <v>876.92651428509737</v>
      </c>
      <c r="Q820">
        <f t="shared" si="599"/>
        <v>931.15861560805649</v>
      </c>
      <c r="R820">
        <f t="shared" si="599"/>
        <v>945.62234817554827</v>
      </c>
      <c r="S820">
        <f t="shared" si="599"/>
        <v>983.81546626078375</v>
      </c>
      <c r="T820">
        <f t="shared" si="599"/>
        <v>637</v>
      </c>
      <c r="U820">
        <f t="shared" si="599"/>
        <v>619.70999999999992</v>
      </c>
      <c r="V820">
        <f t="shared" si="599"/>
        <v>771.09999999999991</v>
      </c>
      <c r="W820">
        <f t="shared" si="599"/>
        <v>854.40000000000009</v>
      </c>
      <c r="Y820" s="14">
        <f t="shared" si="573"/>
        <v>20157.785463462136</v>
      </c>
      <c r="Z820">
        <f>SUMPRODUCT($D$823:$W$823,D820:W820)</f>
        <v>1923.5760488575768</v>
      </c>
    </row>
    <row r="821" spans="1:26" x14ac:dyDescent="0.25">
      <c r="A821" t="s">
        <v>312</v>
      </c>
      <c r="D821">
        <f t="shared" ref="D821:W821" si="600">D128*D227</f>
        <v>851.01999070994884</v>
      </c>
      <c r="E821">
        <f t="shared" si="600"/>
        <v>842.15911408312002</v>
      </c>
      <c r="F821">
        <f t="shared" si="600"/>
        <v>907.31791796762491</v>
      </c>
      <c r="G821">
        <f t="shared" si="600"/>
        <v>771.04313648704965</v>
      </c>
      <c r="H821">
        <f t="shared" si="600"/>
        <v>762.95508061877013</v>
      </c>
      <c r="I821">
        <f t="shared" si="600"/>
        <v>824.05690020398663</v>
      </c>
      <c r="J821">
        <f t="shared" si="600"/>
        <v>863.91561692637902</v>
      </c>
      <c r="K821">
        <f t="shared" si="600"/>
        <v>831.53702718910858</v>
      </c>
      <c r="L821">
        <f t="shared" si="600"/>
        <v>732.32579756668406</v>
      </c>
      <c r="M821">
        <f t="shared" si="600"/>
        <v>656.55332865813705</v>
      </c>
      <c r="N821">
        <f t="shared" si="600"/>
        <v>725.27112032162631</v>
      </c>
      <c r="O821">
        <f t="shared" si="600"/>
        <v>731.38924659088116</v>
      </c>
      <c r="P821">
        <f t="shared" si="600"/>
        <v>678.03393951582359</v>
      </c>
      <c r="Q821">
        <f t="shared" si="600"/>
        <v>803.15222528375466</v>
      </c>
      <c r="R821">
        <f t="shared" si="600"/>
        <v>833.25124164094541</v>
      </c>
      <c r="S821">
        <f t="shared" si="600"/>
        <v>818.37975240130902</v>
      </c>
      <c r="T821">
        <f t="shared" si="600"/>
        <v>762.21864310809906</v>
      </c>
      <c r="U821">
        <f t="shared" si="600"/>
        <v>733.48676873513693</v>
      </c>
      <c r="V821">
        <f t="shared" si="600"/>
        <v>842.07112748049155</v>
      </c>
      <c r="W821">
        <f t="shared" si="600"/>
        <v>850.25879843167104</v>
      </c>
      <c r="Y821" s="14">
        <f t="shared" si="573"/>
        <v>15820.396773920545</v>
      </c>
      <c r="Z821">
        <f>SUMPRODUCT($D$823:$W$823,D821:W821)</f>
        <v>1280.258419286424</v>
      </c>
    </row>
    <row r="822" spans="1:26" x14ac:dyDescent="0.25">
      <c r="A822" t="s">
        <v>674</v>
      </c>
      <c r="D822">
        <f t="shared" ref="D822:W822" si="601">D129*D228</f>
        <v>968.29962475964123</v>
      </c>
      <c r="E822">
        <f t="shared" si="601"/>
        <v>1087.508720855363</v>
      </c>
      <c r="F822">
        <f t="shared" si="601"/>
        <v>659.24859973681635</v>
      </c>
      <c r="G822">
        <f t="shared" si="601"/>
        <v>625.47152570123274</v>
      </c>
      <c r="H822">
        <f t="shared" si="601"/>
        <v>624.22523185557202</v>
      </c>
      <c r="I822">
        <f t="shared" si="601"/>
        <v>762.50858019619079</v>
      </c>
      <c r="J822">
        <f t="shared" si="601"/>
        <v>805.49745472335508</v>
      </c>
      <c r="K822">
        <f t="shared" si="601"/>
        <v>794.58459074382984</v>
      </c>
      <c r="L822">
        <f t="shared" si="601"/>
        <v>640.75674377598227</v>
      </c>
      <c r="M822">
        <f t="shared" si="601"/>
        <v>693.55789036630006</v>
      </c>
      <c r="N822">
        <f t="shared" si="601"/>
        <v>739.25217389841953</v>
      </c>
      <c r="O822">
        <f t="shared" si="601"/>
        <v>781.96454631709207</v>
      </c>
      <c r="P822">
        <f t="shared" si="601"/>
        <v>596.51401352484118</v>
      </c>
      <c r="Q822">
        <f t="shared" si="601"/>
        <v>570.68787024825417</v>
      </c>
      <c r="R822">
        <f t="shared" si="601"/>
        <v>762.76116301507057</v>
      </c>
      <c r="S822">
        <f t="shared" si="601"/>
        <v>693.43892994266139</v>
      </c>
      <c r="T822">
        <f t="shared" si="601"/>
        <v>676.72233854120691</v>
      </c>
      <c r="U822">
        <f t="shared" si="601"/>
        <v>666.87464747492584</v>
      </c>
      <c r="V822">
        <f t="shared" si="601"/>
        <v>695.75126589122158</v>
      </c>
      <c r="W822">
        <f t="shared" si="601"/>
        <v>825.35156598854667</v>
      </c>
      <c r="Y822" s="14">
        <f t="shared" ref="Y822" si="602">SUM(D822:W822)</f>
        <v>14670.977477556526</v>
      </c>
      <c r="Z822">
        <f>SUMPRODUCT($D$823:$W$823,D822:W822)</f>
        <v>1239.7811931449241</v>
      </c>
    </row>
    <row r="823" spans="1:26" x14ac:dyDescent="0.25">
      <c r="A823" s="2" t="s">
        <v>68</v>
      </c>
      <c r="D823" s="3">
        <f>CORREL($B$2:$B$25,D794:D817)</f>
        <v>0.43549116500486434</v>
      </c>
      <c r="E823" s="3">
        <f t="shared" ref="E823:W823" si="603">CORREL($B$2:$B$25,E794:E817)</f>
        <v>-4.3597509804725418E-2</v>
      </c>
      <c r="F823" s="3">
        <f t="shared" si="603"/>
        <v>0.10484517768565342</v>
      </c>
      <c r="G823" s="3">
        <f t="shared" si="603"/>
        <v>0.13680642614732966</v>
      </c>
      <c r="H823" s="3">
        <f t="shared" si="603"/>
        <v>0.23786359634709736</v>
      </c>
      <c r="I823" s="3">
        <f t="shared" si="603"/>
        <v>0.23395830701619139</v>
      </c>
      <c r="J823" s="3">
        <f t="shared" si="603"/>
        <v>2.9847186253964493E-2</v>
      </c>
      <c r="K823" s="3">
        <f t="shared" si="603"/>
        <v>0.12529627169315449</v>
      </c>
      <c r="L823" s="3">
        <f t="shared" si="603"/>
        <v>0.18073671288165644</v>
      </c>
      <c r="M823" s="3">
        <f t="shared" si="603"/>
        <v>0.11546225029452377</v>
      </c>
      <c r="N823" s="3">
        <f t="shared" si="603"/>
        <v>7.1925579450559649E-2</v>
      </c>
      <c r="O823" s="3">
        <f t="shared" si="603"/>
        <v>5.7554125042022161E-2</v>
      </c>
      <c r="P823" s="3">
        <f t="shared" si="603"/>
        <v>-5.4282095711321934E-2</v>
      </c>
      <c r="Q823" s="3">
        <f t="shared" si="603"/>
        <v>-0.10664978251392439</v>
      </c>
      <c r="R823" s="3">
        <f t="shared" si="603"/>
        <v>-0.10969574682296092</v>
      </c>
      <c r="S823" s="3">
        <f t="shared" si="603"/>
        <v>1.8206597247868515E-2</v>
      </c>
      <c r="T823" s="3">
        <f t="shared" si="603"/>
        <v>2.8163774180794444E-3</v>
      </c>
      <c r="U823" s="3">
        <f t="shared" si="603"/>
        <v>-1.9819672903199502E-3</v>
      </c>
      <c r="V823" s="3">
        <f t="shared" si="603"/>
        <v>2.7460551783315312E-2</v>
      </c>
      <c r="W823" s="3">
        <f t="shared" si="603"/>
        <v>0.13434310805877334</v>
      </c>
    </row>
    <row r="826" spans="1:26" x14ac:dyDescent="0.25">
      <c r="D826" t="s">
        <v>277</v>
      </c>
      <c r="E826" t="s">
        <v>278</v>
      </c>
      <c r="F826" t="s">
        <v>279</v>
      </c>
      <c r="G826" t="s">
        <v>280</v>
      </c>
      <c r="H826" t="s">
        <v>281</v>
      </c>
      <c r="I826" t="s">
        <v>282</v>
      </c>
      <c r="J826" t="s">
        <v>283</v>
      </c>
      <c r="K826" t="s">
        <v>284</v>
      </c>
      <c r="L826" t="s">
        <v>362</v>
      </c>
      <c r="M826" t="s">
        <v>440</v>
      </c>
      <c r="N826" t="s">
        <v>441</v>
      </c>
      <c r="O826" t="s">
        <v>442</v>
      </c>
      <c r="P826" t="s">
        <v>550</v>
      </c>
      <c r="Q826" t="s">
        <v>551</v>
      </c>
      <c r="R826" t="s">
        <v>552</v>
      </c>
      <c r="S826" t="s">
        <v>553</v>
      </c>
      <c r="T826" t="s">
        <v>662</v>
      </c>
      <c r="U826" t="s">
        <v>663</v>
      </c>
      <c r="V826" t="s">
        <v>664</v>
      </c>
      <c r="W826" t="s">
        <v>665</v>
      </c>
      <c r="Y826" t="s">
        <v>285</v>
      </c>
      <c r="Z826" t="s">
        <v>286</v>
      </c>
    </row>
    <row r="827" spans="1:26" x14ac:dyDescent="0.25">
      <c r="A827" t="s">
        <v>43</v>
      </c>
      <c r="D827">
        <f t="shared" ref="D827:W827" si="604">D134*D167</f>
        <v>609.18666921558395</v>
      </c>
      <c r="E827">
        <f t="shared" si="604"/>
        <v>338.07719230931838</v>
      </c>
      <c r="F827">
        <f t="shared" si="604"/>
        <v>507.39671795360175</v>
      </c>
      <c r="G827">
        <f t="shared" si="604"/>
        <v>490.36799227237356</v>
      </c>
      <c r="H827">
        <f t="shared" si="604"/>
        <v>381.94209174521319</v>
      </c>
      <c r="I827">
        <f t="shared" si="604"/>
        <v>330.20025866882565</v>
      </c>
      <c r="J827">
        <f t="shared" si="604"/>
        <v>632.74727899255288</v>
      </c>
      <c r="K827">
        <f t="shared" si="604"/>
        <v>393.63617922196454</v>
      </c>
      <c r="L827">
        <f t="shared" si="604"/>
        <v>327.66564631317544</v>
      </c>
      <c r="M827">
        <f t="shared" si="604"/>
        <v>215.65678374771048</v>
      </c>
      <c r="N827">
        <f t="shared" si="604"/>
        <v>139.00435217224683</v>
      </c>
      <c r="O827">
        <f t="shared" si="604"/>
        <v>186.91210434607095</v>
      </c>
      <c r="P827">
        <f t="shared" si="604"/>
        <v>204.87336239415552</v>
      </c>
      <c r="Q827">
        <f t="shared" si="604"/>
        <v>292.39421450756623</v>
      </c>
      <c r="R827">
        <f t="shared" si="604"/>
        <v>359.85502510539948</v>
      </c>
      <c r="S827">
        <f t="shared" si="604"/>
        <v>652.55128401763739</v>
      </c>
      <c r="T827">
        <f t="shared" si="604"/>
        <v>192.98156750426497</v>
      </c>
      <c r="U827">
        <f t="shared" si="604"/>
        <v>111.05063458121634</v>
      </c>
      <c r="V827">
        <f t="shared" si="604"/>
        <v>142.56898234754934</v>
      </c>
      <c r="W827">
        <f t="shared" si="604"/>
        <v>235.27353253259895</v>
      </c>
      <c r="Y827" s="14">
        <f t="shared" ref="Y827:Y854" si="605">SUM(D827:W827)</f>
        <v>6744.3418699490239</v>
      </c>
      <c r="Z827">
        <f t="shared" ref="Z827:Z850" si="606">SUMPRODUCT($D$856:$W$856,D827:W827)</f>
        <v>80.84989167737433</v>
      </c>
    </row>
    <row r="828" spans="1:26" x14ac:dyDescent="0.25">
      <c r="A828" t="s">
        <v>44</v>
      </c>
      <c r="D828">
        <f t="shared" ref="D828:W828" si="607">D135*D168</f>
        <v>440.96553824806625</v>
      </c>
      <c r="E828">
        <f t="shared" si="607"/>
        <v>889.80424359089682</v>
      </c>
      <c r="F828">
        <f t="shared" si="607"/>
        <v>772.39453165480495</v>
      </c>
      <c r="G828">
        <f t="shared" si="607"/>
        <v>682.15226578080001</v>
      </c>
      <c r="H828">
        <f t="shared" si="607"/>
        <v>497.01274135826753</v>
      </c>
      <c r="I828">
        <f t="shared" si="607"/>
        <v>339.62544431555472</v>
      </c>
      <c r="J828">
        <f t="shared" si="607"/>
        <v>305.35734542654887</v>
      </c>
      <c r="K828">
        <f t="shared" si="607"/>
        <v>343.21554923628071</v>
      </c>
      <c r="L828">
        <f t="shared" si="607"/>
        <v>235.33076385010293</v>
      </c>
      <c r="M828">
        <f t="shared" si="607"/>
        <v>460.66852537483283</v>
      </c>
      <c r="N828">
        <f t="shared" si="607"/>
        <v>633.26000792949367</v>
      </c>
      <c r="O828">
        <f t="shared" si="607"/>
        <v>282.74690446732131</v>
      </c>
      <c r="P828">
        <f t="shared" si="607"/>
        <v>324.06933709978642</v>
      </c>
      <c r="Q828">
        <f t="shared" si="607"/>
        <v>415.17811482008455</v>
      </c>
      <c r="R828">
        <f t="shared" si="607"/>
        <v>487.02304274348614</v>
      </c>
      <c r="S828">
        <f t="shared" si="607"/>
        <v>656.39828605733703</v>
      </c>
      <c r="T828">
        <f t="shared" si="607"/>
        <v>603.41616629106102</v>
      </c>
      <c r="U828">
        <f t="shared" si="607"/>
        <v>536.57172157082505</v>
      </c>
      <c r="V828">
        <f t="shared" si="607"/>
        <v>404.85836953344045</v>
      </c>
      <c r="W828">
        <f t="shared" si="607"/>
        <v>498.81389321248093</v>
      </c>
      <c r="Y828" s="14">
        <f t="shared" si="605"/>
        <v>9808.862792561471</v>
      </c>
      <c r="Z828">
        <f t="shared" si="606"/>
        <v>-176.59107686977828</v>
      </c>
    </row>
    <row r="829" spans="1:26" x14ac:dyDescent="0.25">
      <c r="A829" t="s">
        <v>45</v>
      </c>
      <c r="D829">
        <f t="shared" ref="D829:W829" si="608">D136*D169</f>
        <v>995.87796454065847</v>
      </c>
      <c r="E829">
        <f t="shared" si="608"/>
        <v>803.76477403856859</v>
      </c>
      <c r="F829">
        <f t="shared" si="608"/>
        <v>591.57394085032843</v>
      </c>
      <c r="G829">
        <f t="shared" si="608"/>
        <v>979.97106089911688</v>
      </c>
      <c r="H829">
        <f t="shared" si="608"/>
        <v>1157.477105465754</v>
      </c>
      <c r="I829">
        <f t="shared" si="608"/>
        <v>722.15764590357628</v>
      </c>
      <c r="J829">
        <f t="shared" si="608"/>
        <v>484.39098700974347</v>
      </c>
      <c r="K829">
        <f t="shared" si="608"/>
        <v>352.89968510824286</v>
      </c>
      <c r="L829">
        <f t="shared" si="608"/>
        <v>386.44294833630039</v>
      </c>
      <c r="M829">
        <f t="shared" si="608"/>
        <v>429.97193879067532</v>
      </c>
      <c r="N829">
        <f t="shared" si="608"/>
        <v>517.17140173489838</v>
      </c>
      <c r="O829">
        <f t="shared" si="608"/>
        <v>427.36640078399029</v>
      </c>
      <c r="P829">
        <f t="shared" si="608"/>
        <v>392.59772458345668</v>
      </c>
      <c r="Q829">
        <f t="shared" si="608"/>
        <v>405.52141545701096</v>
      </c>
      <c r="R829">
        <f t="shared" si="608"/>
        <v>404.4915851987534</v>
      </c>
      <c r="S829">
        <f t="shared" si="608"/>
        <v>414.53150359089216</v>
      </c>
      <c r="T829">
        <f t="shared" si="608"/>
        <v>504.46975357262374</v>
      </c>
      <c r="U829">
        <f t="shared" si="608"/>
        <v>505.15456817729086</v>
      </c>
      <c r="V829">
        <f t="shared" si="608"/>
        <v>480.65191880786068</v>
      </c>
      <c r="W829">
        <f t="shared" si="608"/>
        <v>666.98675680629117</v>
      </c>
      <c r="Y829" s="14">
        <f t="shared" si="605"/>
        <v>11623.471079656034</v>
      </c>
      <c r="Z829">
        <f t="shared" si="606"/>
        <v>247.78214600057325</v>
      </c>
    </row>
    <row r="830" spans="1:26" x14ac:dyDescent="0.25">
      <c r="A830" t="s">
        <v>46</v>
      </c>
      <c r="D830">
        <f t="shared" ref="D830:W830" si="609">D137*D170</f>
        <v>823.88915960323311</v>
      </c>
      <c r="E830">
        <f t="shared" si="609"/>
        <v>627.2475533574094</v>
      </c>
      <c r="F830">
        <f t="shared" si="609"/>
        <v>601.45700115276202</v>
      </c>
      <c r="G830">
        <f t="shared" si="609"/>
        <v>618.30853910491896</v>
      </c>
      <c r="H830">
        <f t="shared" si="609"/>
        <v>531.48727889364955</v>
      </c>
      <c r="I830">
        <f t="shared" si="609"/>
        <v>589.47390252852495</v>
      </c>
      <c r="J830">
        <f t="shared" si="609"/>
        <v>511.151670297789</v>
      </c>
      <c r="K830">
        <f t="shared" si="609"/>
        <v>485.16830404125818</v>
      </c>
      <c r="L830">
        <f t="shared" si="609"/>
        <v>350.7181406272025</v>
      </c>
      <c r="M830">
        <f t="shared" si="609"/>
        <v>414.13568060276816</v>
      </c>
      <c r="N830">
        <f t="shared" si="609"/>
        <v>637.16764929194187</v>
      </c>
      <c r="O830">
        <f t="shared" si="609"/>
        <v>381.73336123801795</v>
      </c>
      <c r="P830">
        <f t="shared" si="609"/>
        <v>266.77430689110076</v>
      </c>
      <c r="Q830">
        <f t="shared" si="609"/>
        <v>377.1992383033234</v>
      </c>
      <c r="R830">
        <f t="shared" si="609"/>
        <v>437.39433506320677</v>
      </c>
      <c r="S830">
        <f t="shared" si="609"/>
        <v>394.12925486005832</v>
      </c>
      <c r="T830">
        <f t="shared" si="609"/>
        <v>575.57171903133269</v>
      </c>
      <c r="U830">
        <f t="shared" si="609"/>
        <v>674.60253082979682</v>
      </c>
      <c r="V830">
        <f t="shared" si="609"/>
        <v>334.70730712342692</v>
      </c>
      <c r="W830">
        <f t="shared" si="609"/>
        <v>460.09439104932852</v>
      </c>
      <c r="Y830" s="14">
        <f t="shared" si="605"/>
        <v>10092.41132389105</v>
      </c>
      <c r="Z830">
        <f t="shared" si="606"/>
        <v>5.6484349860611047</v>
      </c>
    </row>
    <row r="831" spans="1:26" x14ac:dyDescent="0.25">
      <c r="A831" t="s">
        <v>47</v>
      </c>
      <c r="D831">
        <f t="shared" ref="D831:W831" si="610">D138*D171</f>
        <v>1248.5360160202226</v>
      </c>
      <c r="E831">
        <f t="shared" si="610"/>
        <v>630.2795246823257</v>
      </c>
      <c r="F831">
        <f t="shared" si="610"/>
        <v>472.20591421164289</v>
      </c>
      <c r="G831">
        <f t="shared" si="610"/>
        <v>774.51761311178461</v>
      </c>
      <c r="H831">
        <f t="shared" si="610"/>
        <v>576.08221934316362</v>
      </c>
      <c r="I831">
        <f t="shared" si="610"/>
        <v>609.79841446021965</v>
      </c>
      <c r="J831">
        <f t="shared" si="610"/>
        <v>572.63338662120498</v>
      </c>
      <c r="K831">
        <f t="shared" si="610"/>
        <v>508.71668452226237</v>
      </c>
      <c r="L831">
        <f t="shared" si="610"/>
        <v>304.83969011169796</v>
      </c>
      <c r="M831">
        <f t="shared" si="610"/>
        <v>306.25043583722186</v>
      </c>
      <c r="N831">
        <f t="shared" si="610"/>
        <v>278.380518381309</v>
      </c>
      <c r="O831">
        <f t="shared" si="610"/>
        <v>364.53542287580888</v>
      </c>
      <c r="P831">
        <f t="shared" si="610"/>
        <v>444.71642549291522</v>
      </c>
      <c r="Q831">
        <f t="shared" si="610"/>
        <v>307.88671569654736</v>
      </c>
      <c r="R831">
        <f t="shared" si="610"/>
        <v>238.48388166605619</v>
      </c>
      <c r="S831">
        <f t="shared" si="610"/>
        <v>287.45925340645908</v>
      </c>
      <c r="T831">
        <f t="shared" si="610"/>
        <v>358.70673460573619</v>
      </c>
      <c r="U831">
        <f t="shared" si="610"/>
        <v>532.10219478161628</v>
      </c>
      <c r="V831">
        <f t="shared" si="610"/>
        <v>681.2556063595481</v>
      </c>
      <c r="W831">
        <f t="shared" si="610"/>
        <v>805.44736266074551</v>
      </c>
      <c r="Y831" s="14">
        <f t="shared" si="605"/>
        <v>10302.834014848486</v>
      </c>
      <c r="Z831">
        <f t="shared" si="606"/>
        <v>394.08419283756768</v>
      </c>
    </row>
    <row r="832" spans="1:26" x14ac:dyDescent="0.25">
      <c r="A832" t="s">
        <v>48</v>
      </c>
      <c r="D832">
        <f t="shared" ref="D832:W832" si="611">D139*D172</f>
        <v>457.59124424304684</v>
      </c>
      <c r="E832">
        <f t="shared" si="611"/>
        <v>567.78113392980003</v>
      </c>
      <c r="F832">
        <f t="shared" si="611"/>
        <v>479.10267133546614</v>
      </c>
      <c r="G832">
        <f t="shared" si="611"/>
        <v>479.61756228007528</v>
      </c>
      <c r="H832">
        <f t="shared" si="611"/>
        <v>430.58504520684272</v>
      </c>
      <c r="I832">
        <f t="shared" si="611"/>
        <v>712.99849965434498</v>
      </c>
      <c r="J832">
        <f t="shared" si="611"/>
        <v>689.33956732560637</v>
      </c>
      <c r="K832">
        <f t="shared" si="611"/>
        <v>458.29638935073143</v>
      </c>
      <c r="L832">
        <f t="shared" si="611"/>
        <v>318.06325200902387</v>
      </c>
      <c r="M832">
        <f t="shared" si="611"/>
        <v>445.20969805292793</v>
      </c>
      <c r="N832">
        <f t="shared" si="611"/>
        <v>551.05423910886554</v>
      </c>
      <c r="O832">
        <f t="shared" si="611"/>
        <v>330.92348489300713</v>
      </c>
      <c r="P832">
        <f t="shared" si="611"/>
        <v>353.59406118385454</v>
      </c>
      <c r="Q832">
        <f t="shared" si="611"/>
        <v>331.85697510024619</v>
      </c>
      <c r="R832">
        <f t="shared" si="611"/>
        <v>338.16747603595417</v>
      </c>
      <c r="S832">
        <f t="shared" si="611"/>
        <v>308.60121131339901</v>
      </c>
      <c r="T832">
        <f t="shared" si="611"/>
        <v>360.4907891129821</v>
      </c>
      <c r="U832">
        <f t="shared" si="611"/>
        <v>388.81221476471006</v>
      </c>
      <c r="V832">
        <f t="shared" si="611"/>
        <v>307.41619374676975</v>
      </c>
      <c r="W832">
        <f t="shared" si="611"/>
        <v>299.62906944039418</v>
      </c>
      <c r="Y832" s="14">
        <f t="shared" si="605"/>
        <v>8609.1307780880488</v>
      </c>
      <c r="Z832">
        <f t="shared" si="606"/>
        <v>-101.44614212247714</v>
      </c>
    </row>
    <row r="833" spans="1:26" x14ac:dyDescent="0.25">
      <c r="A833" t="s">
        <v>49</v>
      </c>
      <c r="D833">
        <f t="shared" ref="D833:W833" si="612">D140*D173</f>
        <v>560.82224189278486</v>
      </c>
      <c r="E833">
        <f t="shared" si="612"/>
        <v>723.90663681596641</v>
      </c>
      <c r="F833">
        <f t="shared" si="612"/>
        <v>744.47293452036649</v>
      </c>
      <c r="G833">
        <f t="shared" si="612"/>
        <v>483.99714522508299</v>
      </c>
      <c r="H833">
        <f t="shared" si="612"/>
        <v>366.55065503083176</v>
      </c>
      <c r="I833">
        <f t="shared" si="612"/>
        <v>558.34044854829995</v>
      </c>
      <c r="J833">
        <f t="shared" si="612"/>
        <v>287.84460237367762</v>
      </c>
      <c r="K833">
        <f t="shared" si="612"/>
        <v>281.97883666427651</v>
      </c>
      <c r="L833">
        <f t="shared" si="612"/>
        <v>254.21002098435252</v>
      </c>
      <c r="M833">
        <f t="shared" si="612"/>
        <v>316.30025981476712</v>
      </c>
      <c r="N833">
        <f t="shared" si="612"/>
        <v>464.69721225652199</v>
      </c>
      <c r="O833">
        <f t="shared" si="612"/>
        <v>496.53034474558876</v>
      </c>
      <c r="P833">
        <f t="shared" si="612"/>
        <v>337.81725587982118</v>
      </c>
      <c r="Q833">
        <f t="shared" si="612"/>
        <v>320.19973765871464</v>
      </c>
      <c r="R833">
        <f t="shared" si="612"/>
        <v>359.61785302018387</v>
      </c>
      <c r="S833">
        <f t="shared" si="612"/>
        <v>307.95832947534336</v>
      </c>
      <c r="T833">
        <f t="shared" si="612"/>
        <v>304.25568595679107</v>
      </c>
      <c r="U833">
        <f t="shared" si="612"/>
        <v>513.56183456320605</v>
      </c>
      <c r="V833">
        <f t="shared" si="612"/>
        <v>615.18283954880587</v>
      </c>
      <c r="W833">
        <f t="shared" si="612"/>
        <v>911.65966117701305</v>
      </c>
      <c r="Y833" s="14">
        <f t="shared" si="605"/>
        <v>9209.9045361523968</v>
      </c>
      <c r="Z833">
        <f t="shared" si="606"/>
        <v>12.038465057187636</v>
      </c>
    </row>
    <row r="834" spans="1:26" x14ac:dyDescent="0.25">
      <c r="A834" t="s">
        <v>50</v>
      </c>
      <c r="D834">
        <f t="shared" ref="D834:W834" si="613">D141*D174</f>
        <v>790.93187127793522</v>
      </c>
      <c r="E834">
        <f t="shared" si="613"/>
        <v>681.5346704161326</v>
      </c>
      <c r="F834">
        <f t="shared" si="613"/>
        <v>801.76671779232947</v>
      </c>
      <c r="G834">
        <f t="shared" si="613"/>
        <v>701.9590007701629</v>
      </c>
      <c r="H834">
        <f t="shared" si="613"/>
        <v>774.56918439289768</v>
      </c>
      <c r="I834">
        <f t="shared" si="613"/>
        <v>752.44034301073452</v>
      </c>
      <c r="J834">
        <f t="shared" si="613"/>
        <v>650.29317186522928</v>
      </c>
      <c r="K834">
        <f t="shared" si="613"/>
        <v>502.10797735443424</v>
      </c>
      <c r="L834">
        <f t="shared" si="613"/>
        <v>340.31771339702686</v>
      </c>
      <c r="M834">
        <f t="shared" si="613"/>
        <v>715.95656867292666</v>
      </c>
      <c r="N834">
        <f t="shared" si="613"/>
        <v>636.98207115356865</v>
      </c>
      <c r="O834">
        <f t="shared" si="613"/>
        <v>530.15524394187548</v>
      </c>
      <c r="P834">
        <f t="shared" si="613"/>
        <v>583.55635498527226</v>
      </c>
      <c r="Q834">
        <f t="shared" si="613"/>
        <v>592.21888519883953</v>
      </c>
      <c r="R834">
        <f t="shared" si="613"/>
        <v>698.60078857525957</v>
      </c>
      <c r="S834">
        <f t="shared" si="613"/>
        <v>757.75880459167217</v>
      </c>
      <c r="T834">
        <f t="shared" si="613"/>
        <v>902.2533600924761</v>
      </c>
      <c r="U834">
        <f t="shared" si="613"/>
        <v>556.04008755128632</v>
      </c>
      <c r="V834">
        <f t="shared" si="613"/>
        <v>423.63174480883868</v>
      </c>
      <c r="W834">
        <f t="shared" si="613"/>
        <v>737.52105018754332</v>
      </c>
      <c r="Y834" s="14">
        <f t="shared" si="605"/>
        <v>13130.59561003644</v>
      </c>
      <c r="Z834">
        <f t="shared" si="606"/>
        <v>-127.69913825035101</v>
      </c>
    </row>
    <row r="835" spans="1:26" x14ac:dyDescent="0.25">
      <c r="A835" t="s">
        <v>51</v>
      </c>
      <c r="D835">
        <f t="shared" ref="D835:W835" si="614">D142*D175</f>
        <v>760.27033068435492</v>
      </c>
      <c r="E835">
        <f t="shared" si="614"/>
        <v>495.61471830113891</v>
      </c>
      <c r="F835">
        <f t="shared" si="614"/>
        <v>637.38245173418898</v>
      </c>
      <c r="G835">
        <f t="shared" si="614"/>
        <v>756.64963330888781</v>
      </c>
      <c r="H835">
        <f t="shared" si="614"/>
        <v>661.62071299142883</v>
      </c>
      <c r="I835">
        <f t="shared" si="614"/>
        <v>396.32790463778412</v>
      </c>
      <c r="J835">
        <f t="shared" si="614"/>
        <v>441.34785541504334</v>
      </c>
      <c r="K835">
        <f t="shared" si="614"/>
        <v>531.10637178836294</v>
      </c>
      <c r="L835">
        <f t="shared" si="614"/>
        <v>357.95094431536785</v>
      </c>
      <c r="M835">
        <f t="shared" si="614"/>
        <v>288.94627342461956</v>
      </c>
      <c r="N835">
        <f t="shared" si="614"/>
        <v>507.89889783991788</v>
      </c>
      <c r="O835">
        <f t="shared" si="614"/>
        <v>299.71408173643806</v>
      </c>
      <c r="P835">
        <f t="shared" si="614"/>
        <v>347.63363156497252</v>
      </c>
      <c r="Q835">
        <f t="shared" si="614"/>
        <v>480.31887965508002</v>
      </c>
      <c r="R835">
        <f t="shared" si="614"/>
        <v>436.03863182607432</v>
      </c>
      <c r="S835">
        <f t="shared" si="614"/>
        <v>431.27511982244562</v>
      </c>
      <c r="T835">
        <f t="shared" si="614"/>
        <v>499.1621081142851</v>
      </c>
      <c r="U835">
        <f t="shared" si="614"/>
        <v>291.02978664753476</v>
      </c>
      <c r="V835">
        <f t="shared" si="614"/>
        <v>298.93170555618502</v>
      </c>
      <c r="W835">
        <f t="shared" si="614"/>
        <v>654.70077235249676</v>
      </c>
      <c r="Y835" s="14">
        <f t="shared" si="605"/>
        <v>9573.9208117166054</v>
      </c>
      <c r="Z835">
        <f t="shared" si="606"/>
        <v>140.60387659690096</v>
      </c>
    </row>
    <row r="836" spans="1:26" x14ac:dyDescent="0.25">
      <c r="A836" t="s">
        <v>52</v>
      </c>
      <c r="D836">
        <f t="shared" ref="D836:W836" si="615">D143*D176</f>
        <v>953.97148462682094</v>
      </c>
      <c r="E836">
        <f t="shared" si="615"/>
        <v>641.59485244332768</v>
      </c>
      <c r="F836">
        <f t="shared" si="615"/>
        <v>566.14018255502356</v>
      </c>
      <c r="G836">
        <f t="shared" si="615"/>
        <v>729.70136174406036</v>
      </c>
      <c r="H836">
        <f t="shared" si="615"/>
        <v>750.98468756535306</v>
      </c>
      <c r="I836">
        <f t="shared" si="615"/>
        <v>954.36289987953967</v>
      </c>
      <c r="J836">
        <f t="shared" si="615"/>
        <v>618.34993914092229</v>
      </c>
      <c r="K836">
        <f t="shared" si="615"/>
        <v>728.73630216283527</v>
      </c>
      <c r="L836">
        <f t="shared" si="615"/>
        <v>581.9673434008032</v>
      </c>
      <c r="M836">
        <f t="shared" si="615"/>
        <v>510.00095188507521</v>
      </c>
      <c r="N836">
        <f t="shared" si="615"/>
        <v>493.57941307653715</v>
      </c>
      <c r="O836">
        <f t="shared" si="615"/>
        <v>570.04459448132889</v>
      </c>
      <c r="P836">
        <f t="shared" si="615"/>
        <v>439.15009710572639</v>
      </c>
      <c r="Q836">
        <f t="shared" si="615"/>
        <v>442.93877954658228</v>
      </c>
      <c r="R836">
        <f t="shared" si="615"/>
        <v>372.72718611797882</v>
      </c>
      <c r="S836">
        <f t="shared" si="615"/>
        <v>415.75623737901907</v>
      </c>
      <c r="T836">
        <f t="shared" si="615"/>
        <v>562.70762701782053</v>
      </c>
      <c r="U836">
        <f t="shared" si="615"/>
        <v>517.73614357041527</v>
      </c>
      <c r="V836">
        <f t="shared" si="615"/>
        <v>722.80057294726635</v>
      </c>
      <c r="W836">
        <f t="shared" si="615"/>
        <v>859.06303845953198</v>
      </c>
      <c r="Y836" s="14">
        <f t="shared" si="605"/>
        <v>12432.313695105966</v>
      </c>
      <c r="Z836">
        <f t="shared" si="606"/>
        <v>181.71768457636901</v>
      </c>
    </row>
    <row r="837" spans="1:26" x14ac:dyDescent="0.25">
      <c r="A837" t="s">
        <v>53</v>
      </c>
      <c r="D837">
        <f t="shared" ref="D837:W837" si="616">D144*D177</f>
        <v>968.56099393853299</v>
      </c>
      <c r="E837">
        <f t="shared" si="616"/>
        <v>624.09424724359826</v>
      </c>
      <c r="F837">
        <f t="shared" si="616"/>
        <v>516.83997589395619</v>
      </c>
      <c r="G837">
        <f t="shared" si="616"/>
        <v>432.71570144086007</v>
      </c>
      <c r="H837">
        <f t="shared" si="616"/>
        <v>252.36660463181701</v>
      </c>
      <c r="I837">
        <f t="shared" si="616"/>
        <v>265.21808152118427</v>
      </c>
      <c r="J837">
        <f t="shared" si="616"/>
        <v>374.19547291810318</v>
      </c>
      <c r="K837">
        <f t="shared" si="616"/>
        <v>387.34704318995017</v>
      </c>
      <c r="L837">
        <f t="shared" si="616"/>
        <v>315.9274022948793</v>
      </c>
      <c r="M837">
        <f t="shared" si="616"/>
        <v>337.82984351812223</v>
      </c>
      <c r="N837">
        <f t="shared" si="616"/>
        <v>324.15540757877733</v>
      </c>
      <c r="O837">
        <f t="shared" si="616"/>
        <v>398.87631215350029</v>
      </c>
      <c r="P837">
        <f t="shared" si="616"/>
        <v>348.81029764890508</v>
      </c>
      <c r="Q837">
        <f t="shared" si="616"/>
        <v>335.04051644114662</v>
      </c>
      <c r="R837">
        <f t="shared" si="616"/>
        <v>522.17191114333787</v>
      </c>
      <c r="S837">
        <f t="shared" si="616"/>
        <v>531.44636193934491</v>
      </c>
      <c r="T837">
        <f t="shared" si="616"/>
        <v>491.83914202093047</v>
      </c>
      <c r="U837">
        <f t="shared" si="616"/>
        <v>383.5450591811009</v>
      </c>
      <c r="V837">
        <f t="shared" si="616"/>
        <v>275.79442109800118</v>
      </c>
      <c r="W837">
        <f t="shared" si="616"/>
        <v>280.60677740293295</v>
      </c>
      <c r="Y837" s="14">
        <f t="shared" si="605"/>
        <v>8367.3815731989798</v>
      </c>
      <c r="Z837">
        <f t="shared" si="606"/>
        <v>21.860292679801859</v>
      </c>
    </row>
    <row r="838" spans="1:26" x14ac:dyDescent="0.25">
      <c r="A838" t="s">
        <v>54</v>
      </c>
      <c r="D838">
        <f t="shared" ref="D838:W838" si="617">D145*D178</f>
        <v>300.60611428198837</v>
      </c>
      <c r="E838">
        <f t="shared" si="617"/>
        <v>420.04707912414045</v>
      </c>
      <c r="F838">
        <f t="shared" si="617"/>
        <v>374.72191995879268</v>
      </c>
      <c r="G838">
        <f t="shared" si="617"/>
        <v>318.51069308702534</v>
      </c>
      <c r="H838">
        <f t="shared" si="617"/>
        <v>222.49676287501845</v>
      </c>
      <c r="I838">
        <f t="shared" si="617"/>
        <v>189.25265906420535</v>
      </c>
      <c r="J838">
        <f t="shared" si="617"/>
        <v>217.47743759598558</v>
      </c>
      <c r="K838">
        <f t="shared" si="617"/>
        <v>209.73912590732178</v>
      </c>
      <c r="L838">
        <f t="shared" si="617"/>
        <v>190.23445074530639</v>
      </c>
      <c r="M838">
        <f t="shared" si="617"/>
        <v>203.09347059130056</v>
      </c>
      <c r="N838">
        <f t="shared" si="617"/>
        <v>234.70588489304365</v>
      </c>
      <c r="O838">
        <f t="shared" si="617"/>
        <v>213.89057031734066</v>
      </c>
      <c r="P838">
        <f t="shared" si="617"/>
        <v>274.81407445515333</v>
      </c>
      <c r="Q838">
        <f t="shared" si="617"/>
        <v>278.21553185050402</v>
      </c>
      <c r="R838">
        <f t="shared" si="617"/>
        <v>212.24260506026295</v>
      </c>
      <c r="S838">
        <f t="shared" si="617"/>
        <v>175.0665517094566</v>
      </c>
      <c r="T838">
        <f t="shared" si="617"/>
        <v>225.09714337018545</v>
      </c>
      <c r="U838">
        <f t="shared" si="617"/>
        <v>309.60282878974692</v>
      </c>
      <c r="V838">
        <f t="shared" si="617"/>
        <v>244.23088783702096</v>
      </c>
      <c r="W838">
        <f t="shared" si="617"/>
        <v>413.86406645763026</v>
      </c>
      <c r="Y838" s="14">
        <f t="shared" si="605"/>
        <v>5227.9098579714309</v>
      </c>
      <c r="Z838">
        <f t="shared" si="606"/>
        <v>-27.48116392466514</v>
      </c>
    </row>
    <row r="839" spans="1:26" x14ac:dyDescent="0.25">
      <c r="A839" t="s">
        <v>55</v>
      </c>
      <c r="D839">
        <f t="shared" ref="D839:W839" si="618">D146*D179</f>
        <v>361.2429656812609</v>
      </c>
      <c r="E839">
        <f t="shared" si="618"/>
        <v>283.65033648542459</v>
      </c>
      <c r="F839">
        <f t="shared" si="618"/>
        <v>221.65367647495995</v>
      </c>
      <c r="G839">
        <f t="shared" si="618"/>
        <v>212.04955556623844</v>
      </c>
      <c r="H839">
        <f t="shared" si="618"/>
        <v>171.13954412633345</v>
      </c>
      <c r="I839">
        <f t="shared" si="618"/>
        <v>115.34643878711377</v>
      </c>
      <c r="J839">
        <f t="shared" si="618"/>
        <v>142.67846363323102</v>
      </c>
      <c r="K839">
        <f t="shared" si="618"/>
        <v>144.45277634708117</v>
      </c>
      <c r="L839">
        <f t="shared" si="618"/>
        <v>122.70925950552981</v>
      </c>
      <c r="M839">
        <f t="shared" si="618"/>
        <v>284.44852520254091</v>
      </c>
      <c r="N839">
        <f t="shared" si="618"/>
        <v>237.49261177619505</v>
      </c>
      <c r="O839">
        <f t="shared" si="618"/>
        <v>339.459189003473</v>
      </c>
      <c r="P839">
        <f t="shared" si="618"/>
        <v>171.54601171943241</v>
      </c>
      <c r="Q839">
        <f t="shared" si="618"/>
        <v>162.73931111273367</v>
      </c>
      <c r="R839">
        <f t="shared" si="618"/>
        <v>144.68962191350056</v>
      </c>
      <c r="S839">
        <f t="shared" si="618"/>
        <v>153.80281550451861</v>
      </c>
      <c r="T839">
        <f t="shared" si="618"/>
        <v>148.69926758039895</v>
      </c>
      <c r="U839">
        <f t="shared" si="618"/>
        <v>164.10620089044562</v>
      </c>
      <c r="V839">
        <f t="shared" si="618"/>
        <v>132.99910344155828</v>
      </c>
      <c r="W839">
        <f t="shared" si="618"/>
        <v>543.21325520088885</v>
      </c>
      <c r="Y839" s="14">
        <f t="shared" si="605"/>
        <v>4258.1189299528596</v>
      </c>
      <c r="Z839">
        <f t="shared" si="606"/>
        <v>58.880337981155073</v>
      </c>
    </row>
    <row r="840" spans="1:26" x14ac:dyDescent="0.25">
      <c r="A840" t="s">
        <v>56</v>
      </c>
      <c r="D840">
        <f t="shared" ref="D840:W840" si="619">D147*D180</f>
        <v>604.13748301838996</v>
      </c>
      <c r="E840">
        <f t="shared" si="619"/>
        <v>343.43591760531496</v>
      </c>
      <c r="F840">
        <f t="shared" si="619"/>
        <v>233.92845025727843</v>
      </c>
      <c r="G840">
        <f t="shared" si="619"/>
        <v>304.3403917015039</v>
      </c>
      <c r="H840">
        <f t="shared" si="619"/>
        <v>177.83471533643032</v>
      </c>
      <c r="I840">
        <f t="shared" si="619"/>
        <v>276.31359547901445</v>
      </c>
      <c r="J840">
        <f t="shared" si="619"/>
        <v>333.88334746652544</v>
      </c>
      <c r="K840">
        <f t="shared" si="619"/>
        <v>308.89053081104066</v>
      </c>
      <c r="L840">
        <f t="shared" si="619"/>
        <v>225.24394185763177</v>
      </c>
      <c r="M840">
        <f t="shared" si="619"/>
        <v>259.69379819484976</v>
      </c>
      <c r="N840">
        <f t="shared" si="619"/>
        <v>416.62521301908657</v>
      </c>
      <c r="O840">
        <f t="shared" si="619"/>
        <v>415.80869907342418</v>
      </c>
      <c r="P840">
        <f t="shared" si="619"/>
        <v>451.92662198960227</v>
      </c>
      <c r="Q840">
        <f t="shared" si="619"/>
        <v>378.17473685269442</v>
      </c>
      <c r="R840">
        <f t="shared" si="619"/>
        <v>242.18251472255744</v>
      </c>
      <c r="S840">
        <f t="shared" si="619"/>
        <v>400.18553190456396</v>
      </c>
      <c r="T840">
        <f t="shared" si="619"/>
        <v>465.65121358795085</v>
      </c>
      <c r="U840">
        <f t="shared" si="619"/>
        <v>254.44739244650503</v>
      </c>
      <c r="V840">
        <f t="shared" si="619"/>
        <v>246.10488940617955</v>
      </c>
      <c r="W840">
        <f t="shared" si="619"/>
        <v>400.18553190456396</v>
      </c>
      <c r="Y840" s="14">
        <f t="shared" si="605"/>
        <v>6738.9945166351081</v>
      </c>
      <c r="Z840">
        <f t="shared" si="606"/>
        <v>-25.550765089486134</v>
      </c>
    </row>
    <row r="841" spans="1:26" x14ac:dyDescent="0.25">
      <c r="A841" t="s">
        <v>57</v>
      </c>
      <c r="D841">
        <f t="shared" ref="D841:W841" si="620">D148*D181</f>
        <v>445.13770769542509</v>
      </c>
      <c r="E841">
        <f t="shared" si="620"/>
        <v>498.46720581743006</v>
      </c>
      <c r="F841">
        <f t="shared" si="620"/>
        <v>486.80565815994601</v>
      </c>
      <c r="G841">
        <f t="shared" si="620"/>
        <v>439.15321407919072</v>
      </c>
      <c r="H841">
        <f t="shared" si="620"/>
        <v>357.84664637342939</v>
      </c>
      <c r="I841">
        <f t="shared" si="620"/>
        <v>251.76906819713946</v>
      </c>
      <c r="J841">
        <f t="shared" si="620"/>
        <v>227.22509928749241</v>
      </c>
      <c r="K841">
        <f t="shared" si="620"/>
        <v>334.88288595180182</v>
      </c>
      <c r="L841">
        <f t="shared" si="620"/>
        <v>186.2852429747162</v>
      </c>
      <c r="M841">
        <f t="shared" si="620"/>
        <v>276.33845205798366</v>
      </c>
      <c r="N841">
        <f t="shared" si="620"/>
        <v>195.23850409188356</v>
      </c>
      <c r="O841">
        <f t="shared" si="620"/>
        <v>186.34044325931447</v>
      </c>
      <c r="P841">
        <f t="shared" si="620"/>
        <v>218.73021918198276</v>
      </c>
      <c r="Q841">
        <f t="shared" si="620"/>
        <v>352.69425994376024</v>
      </c>
      <c r="R841">
        <f t="shared" si="620"/>
        <v>574.19459956778962</v>
      </c>
      <c r="S841">
        <f t="shared" si="620"/>
        <v>457.6524693135392</v>
      </c>
      <c r="T841">
        <f t="shared" si="620"/>
        <v>469.74686315341307</v>
      </c>
      <c r="U841">
        <f t="shared" si="620"/>
        <v>443.23325711554554</v>
      </c>
      <c r="V841">
        <f t="shared" si="620"/>
        <v>510.49440204241404</v>
      </c>
      <c r="W841">
        <f t="shared" si="620"/>
        <v>531.07370841091767</v>
      </c>
      <c r="Y841" s="14">
        <f t="shared" si="605"/>
        <v>7443.3099066751147</v>
      </c>
      <c r="Z841">
        <f t="shared" si="606"/>
        <v>-65.036767928429967</v>
      </c>
    </row>
    <row r="842" spans="1:26" x14ac:dyDescent="0.25">
      <c r="A842" t="s">
        <v>58</v>
      </c>
      <c r="D842">
        <f t="shared" ref="D842:W842" si="621">D149*D182</f>
        <v>452.56390350540937</v>
      </c>
      <c r="E842">
        <f t="shared" si="621"/>
        <v>531.63069203545672</v>
      </c>
      <c r="F842">
        <f t="shared" si="621"/>
        <v>286.62985864192638</v>
      </c>
      <c r="G842">
        <f t="shared" si="621"/>
        <v>337.27669039666512</v>
      </c>
      <c r="H842">
        <f t="shared" si="621"/>
        <v>392.87937343048083</v>
      </c>
      <c r="I842">
        <f t="shared" si="621"/>
        <v>181.93767759722797</v>
      </c>
      <c r="J842">
        <f t="shared" si="621"/>
        <v>297.87643918789729</v>
      </c>
      <c r="K842">
        <f t="shared" si="621"/>
        <v>285.48657337064896</v>
      </c>
      <c r="L842">
        <f t="shared" si="621"/>
        <v>207.12446142228978</v>
      </c>
      <c r="M842">
        <f t="shared" si="621"/>
        <v>180.72455354977319</v>
      </c>
      <c r="N842">
        <f t="shared" si="621"/>
        <v>239.25324547135892</v>
      </c>
      <c r="O842">
        <f t="shared" si="621"/>
        <v>219.98110495571689</v>
      </c>
      <c r="P842">
        <f t="shared" si="621"/>
        <v>265.50286345036608</v>
      </c>
      <c r="Q842">
        <f t="shared" si="621"/>
        <v>203.15675457488408</v>
      </c>
      <c r="R842">
        <f t="shared" si="621"/>
        <v>95.052836788867509</v>
      </c>
      <c r="S842">
        <f t="shared" si="621"/>
        <v>167.83532803129495</v>
      </c>
      <c r="T842">
        <f t="shared" si="621"/>
        <v>174.97913298274011</v>
      </c>
      <c r="U842">
        <f t="shared" si="621"/>
        <v>138.52966431773467</v>
      </c>
      <c r="V842">
        <f t="shared" si="621"/>
        <v>116.8598790362192</v>
      </c>
      <c r="W842">
        <f t="shared" si="621"/>
        <v>149.69111304897709</v>
      </c>
      <c r="Y842" s="14">
        <f t="shared" si="605"/>
        <v>4924.9721457959349</v>
      </c>
      <c r="Z842">
        <f t="shared" si="606"/>
        <v>75.277910674722364</v>
      </c>
    </row>
    <row r="843" spans="1:26" x14ac:dyDescent="0.25">
      <c r="A843" t="s">
        <v>59</v>
      </c>
      <c r="D843">
        <f t="shared" ref="D843:W843" si="622">D150*D183</f>
        <v>358.69454698956366</v>
      </c>
      <c r="E843">
        <f t="shared" si="622"/>
        <v>282.06961788609919</v>
      </c>
      <c r="F843">
        <f t="shared" si="622"/>
        <v>297.96812750243851</v>
      </c>
      <c r="G843">
        <f t="shared" si="622"/>
        <v>375.39402477555211</v>
      </c>
      <c r="H843">
        <f t="shared" si="622"/>
        <v>305.37527293721575</v>
      </c>
      <c r="I843">
        <f t="shared" si="622"/>
        <v>223.33186249373526</v>
      </c>
      <c r="J843">
        <f t="shared" si="622"/>
        <v>211.05193900670994</v>
      </c>
      <c r="K843">
        <f t="shared" si="622"/>
        <v>295.66276911700731</v>
      </c>
      <c r="L843">
        <f t="shared" si="622"/>
        <v>218.60827598136353</v>
      </c>
      <c r="M843">
        <f t="shared" si="622"/>
        <v>253.38846197258192</v>
      </c>
      <c r="N843">
        <f t="shared" si="622"/>
        <v>183.21532523478379</v>
      </c>
      <c r="O843">
        <f t="shared" si="622"/>
        <v>155.16797143615983</v>
      </c>
      <c r="P843">
        <f t="shared" si="622"/>
        <v>177.35650521207796</v>
      </c>
      <c r="Q843">
        <f t="shared" si="622"/>
        <v>203.00860858916795</v>
      </c>
      <c r="R843">
        <f t="shared" si="622"/>
        <v>328.86005956998423</v>
      </c>
      <c r="S843">
        <f t="shared" si="622"/>
        <v>296.96109187848396</v>
      </c>
      <c r="T843">
        <f t="shared" si="622"/>
        <v>70.791419057620573</v>
      </c>
      <c r="U843">
        <f t="shared" si="622"/>
        <v>167.35173564747009</v>
      </c>
      <c r="V843">
        <f t="shared" si="622"/>
        <v>289.84323060852188</v>
      </c>
      <c r="W843">
        <f t="shared" si="622"/>
        <v>195.11184792226447</v>
      </c>
      <c r="Y843" s="14">
        <f t="shared" si="605"/>
        <v>4889.2126938188012</v>
      </c>
      <c r="Z843">
        <f t="shared" si="606"/>
        <v>2.3094980905678213</v>
      </c>
    </row>
    <row r="844" spans="1:26" x14ac:dyDescent="0.25">
      <c r="A844" t="s">
        <v>60</v>
      </c>
      <c r="D844">
        <f t="shared" ref="D844:W844" si="623">D151*D184</f>
        <v>331.91417298843334</v>
      </c>
      <c r="E844">
        <f t="shared" si="623"/>
        <v>279.64701002967581</v>
      </c>
      <c r="F844">
        <f t="shared" si="623"/>
        <v>249.39306382542711</v>
      </c>
      <c r="G844">
        <f t="shared" si="623"/>
        <v>171.766205664023</v>
      </c>
      <c r="H844">
        <f t="shared" si="623"/>
        <v>199.54758505955041</v>
      </c>
      <c r="I844">
        <f t="shared" si="623"/>
        <v>189.83518414574971</v>
      </c>
      <c r="J844">
        <f t="shared" si="623"/>
        <v>146.45128886121498</v>
      </c>
      <c r="K844">
        <f t="shared" si="623"/>
        <v>266.81794249115882</v>
      </c>
      <c r="L844">
        <f t="shared" si="623"/>
        <v>117.12915351158246</v>
      </c>
      <c r="M844">
        <f t="shared" si="623"/>
        <v>247.2079077785302</v>
      </c>
      <c r="N844">
        <f t="shared" si="623"/>
        <v>202.89256256695393</v>
      </c>
      <c r="O844">
        <f t="shared" si="623"/>
        <v>259.17496252592639</v>
      </c>
      <c r="P844">
        <f t="shared" si="623"/>
        <v>123.25503967425678</v>
      </c>
      <c r="Q844">
        <f t="shared" si="623"/>
        <v>138.06587205337871</v>
      </c>
      <c r="R844">
        <f t="shared" si="623"/>
        <v>104.79865899648367</v>
      </c>
      <c r="S844">
        <f t="shared" si="623"/>
        <v>163.24536704956321</v>
      </c>
      <c r="T844">
        <f t="shared" si="623"/>
        <v>156.25822594491572</v>
      </c>
      <c r="U844">
        <f t="shared" si="623"/>
        <v>158.24196945732183</v>
      </c>
      <c r="V844">
        <f t="shared" si="623"/>
        <v>404.32888605312809</v>
      </c>
      <c r="W844">
        <f t="shared" si="623"/>
        <v>280.43041503372353</v>
      </c>
      <c r="Y844" s="14">
        <f t="shared" si="605"/>
        <v>4190.4014737109983</v>
      </c>
      <c r="Z844">
        <f t="shared" si="606"/>
        <v>25.388872592579112</v>
      </c>
    </row>
    <row r="845" spans="1:26" x14ac:dyDescent="0.25">
      <c r="A845" t="s">
        <v>61</v>
      </c>
      <c r="D845">
        <f t="shared" ref="D845:W845" si="624">D152*D185</f>
        <v>407.240406119206</v>
      </c>
      <c r="E845">
        <f t="shared" si="624"/>
        <v>509.07580402365937</v>
      </c>
      <c r="F845">
        <f t="shared" si="624"/>
        <v>437.58292979335363</v>
      </c>
      <c r="G845">
        <f t="shared" si="624"/>
        <v>520.21575785499817</v>
      </c>
      <c r="H845">
        <f t="shared" si="624"/>
        <v>459.36883514056876</v>
      </c>
      <c r="I845">
        <f t="shared" si="624"/>
        <v>606.86103545365881</v>
      </c>
      <c r="J845">
        <f t="shared" si="624"/>
        <v>407.69764497154716</v>
      </c>
      <c r="K845">
        <f t="shared" si="624"/>
        <v>307.40389637458492</v>
      </c>
      <c r="L845">
        <f t="shared" si="624"/>
        <v>407.12855599301952</v>
      </c>
      <c r="M845">
        <f t="shared" si="624"/>
        <v>357.45610757865933</v>
      </c>
      <c r="N845">
        <f t="shared" si="624"/>
        <v>271.59569524504707</v>
      </c>
      <c r="O845">
        <f t="shared" si="624"/>
        <v>312.45895750599902</v>
      </c>
      <c r="P845">
        <f t="shared" si="624"/>
        <v>410.20741927418163</v>
      </c>
      <c r="Q845">
        <f t="shared" si="624"/>
        <v>485.69099155894276</v>
      </c>
      <c r="R845">
        <f t="shared" si="624"/>
        <v>480.32430959580466</v>
      </c>
      <c r="S845">
        <f t="shared" si="624"/>
        <v>492.25305362038785</v>
      </c>
      <c r="T845">
        <f t="shared" si="624"/>
        <v>355.62871911050547</v>
      </c>
      <c r="U845">
        <f t="shared" si="624"/>
        <v>468.29355629310083</v>
      </c>
      <c r="V845">
        <f t="shared" si="624"/>
        <v>347.32747071995374</v>
      </c>
      <c r="W845">
        <f t="shared" si="624"/>
        <v>391.09153542632782</v>
      </c>
      <c r="Y845" s="14">
        <f t="shared" si="605"/>
        <v>8434.9026816535061</v>
      </c>
      <c r="Z845">
        <f t="shared" si="606"/>
        <v>-134.03438268357996</v>
      </c>
    </row>
    <row r="846" spans="1:26" x14ac:dyDescent="0.25">
      <c r="A846" t="s">
        <v>62</v>
      </c>
      <c r="D846">
        <f t="shared" ref="D846:W846" si="625">D153*D186</f>
        <v>801.73876310673688</v>
      </c>
      <c r="E846">
        <f t="shared" si="625"/>
        <v>384.1228689193639</v>
      </c>
      <c r="F846">
        <f t="shared" si="625"/>
        <v>398.41174059586928</v>
      </c>
      <c r="G846">
        <f t="shared" si="625"/>
        <v>313.59330299664333</v>
      </c>
      <c r="H846">
        <f t="shared" si="625"/>
        <v>509.08802863736611</v>
      </c>
      <c r="I846">
        <f t="shared" si="625"/>
        <v>592.58276840509859</v>
      </c>
      <c r="J846">
        <f t="shared" si="625"/>
        <v>635.29860425537674</v>
      </c>
      <c r="K846">
        <f t="shared" si="625"/>
        <v>459.44138394875336</v>
      </c>
      <c r="L846">
        <f t="shared" si="625"/>
        <v>547.6564795238852</v>
      </c>
      <c r="M846">
        <f t="shared" si="625"/>
        <v>480.07134901625744</v>
      </c>
      <c r="N846">
        <f t="shared" si="625"/>
        <v>423.93982015404072</v>
      </c>
      <c r="O846">
        <f t="shared" si="625"/>
        <v>367.43482182122671</v>
      </c>
      <c r="P846">
        <f t="shared" si="625"/>
        <v>233.6598907528402</v>
      </c>
      <c r="Q846">
        <f t="shared" si="625"/>
        <v>250.21875762113584</v>
      </c>
      <c r="R846">
        <f t="shared" si="625"/>
        <v>196.80702249534377</v>
      </c>
      <c r="S846">
        <f t="shared" si="625"/>
        <v>297.8869598697861</v>
      </c>
      <c r="T846">
        <f t="shared" si="625"/>
        <v>360.57446947641643</v>
      </c>
      <c r="U846">
        <f t="shared" si="625"/>
        <v>272.78604703475992</v>
      </c>
      <c r="V846">
        <f t="shared" si="625"/>
        <v>333.91076531403974</v>
      </c>
      <c r="W846">
        <f t="shared" si="625"/>
        <v>400.30105371703939</v>
      </c>
      <c r="Y846" s="14">
        <f t="shared" si="605"/>
        <v>8259.5248976619769</v>
      </c>
      <c r="Z846">
        <f t="shared" si="606"/>
        <v>133.27804019112892</v>
      </c>
    </row>
    <row r="847" spans="1:26" x14ac:dyDescent="0.25">
      <c r="A847" t="s">
        <v>63</v>
      </c>
      <c r="D847">
        <f t="shared" ref="D847:W847" si="626">D154*D187</f>
        <v>324.56173468354814</v>
      </c>
      <c r="E847">
        <f t="shared" si="626"/>
        <v>376.12481000839074</v>
      </c>
      <c r="F847">
        <f t="shared" si="626"/>
        <v>396.13330708888793</v>
      </c>
      <c r="G847">
        <f t="shared" si="626"/>
        <v>366.08275711138845</v>
      </c>
      <c r="H847">
        <f t="shared" si="626"/>
        <v>265.67309420482536</v>
      </c>
      <c r="I847">
        <f t="shared" si="626"/>
        <v>373.06733368169466</v>
      </c>
      <c r="J847">
        <f t="shared" si="626"/>
        <v>551.56309036246466</v>
      </c>
      <c r="K847">
        <f t="shared" si="626"/>
        <v>475.4400317923712</v>
      </c>
      <c r="L847">
        <f t="shared" si="626"/>
        <v>331.60703827571723</v>
      </c>
      <c r="M847">
        <f t="shared" si="626"/>
        <v>321.65707203986381</v>
      </c>
      <c r="N847">
        <f t="shared" si="626"/>
        <v>507.75154658115548</v>
      </c>
      <c r="O847">
        <f t="shared" si="626"/>
        <v>580.05397140002424</v>
      </c>
      <c r="P847">
        <f t="shared" si="626"/>
        <v>349.84448878448541</v>
      </c>
      <c r="Q847">
        <f t="shared" si="626"/>
        <v>376.49023337375036</v>
      </c>
      <c r="R847">
        <f t="shared" si="626"/>
        <v>500.46903026025632</v>
      </c>
      <c r="S847">
        <f t="shared" si="626"/>
        <v>508.70139613872107</v>
      </c>
      <c r="T847">
        <f t="shared" si="626"/>
        <v>347.77756650670563</v>
      </c>
      <c r="U847">
        <f t="shared" si="626"/>
        <v>269.10260981209808</v>
      </c>
      <c r="V847">
        <f t="shared" si="626"/>
        <v>338.85292330036953</v>
      </c>
      <c r="W847">
        <f t="shared" si="626"/>
        <v>334.95928462373797</v>
      </c>
      <c r="Y847" s="14">
        <f t="shared" si="605"/>
        <v>7895.9133200304568</v>
      </c>
      <c r="Z847">
        <f t="shared" si="606"/>
        <v>-214.33692629393727</v>
      </c>
    </row>
    <row r="848" spans="1:26" x14ac:dyDescent="0.25">
      <c r="A848" t="s">
        <v>64</v>
      </c>
      <c r="D848">
        <f t="shared" ref="D848:W848" si="627">D155*D188</f>
        <v>273.20434084602988</v>
      </c>
      <c r="E848">
        <f t="shared" si="627"/>
        <v>594.25417642814773</v>
      </c>
      <c r="F848">
        <f t="shared" si="627"/>
        <v>1180.224087705184</v>
      </c>
      <c r="G848">
        <f t="shared" si="627"/>
        <v>426.36483276595948</v>
      </c>
      <c r="H848">
        <f t="shared" si="627"/>
        <v>389.12673532991653</v>
      </c>
      <c r="I848">
        <f t="shared" si="627"/>
        <v>460.85879044919903</v>
      </c>
      <c r="J848">
        <f t="shared" si="627"/>
        <v>476.34798675289147</v>
      </c>
      <c r="K848">
        <f t="shared" si="627"/>
        <v>525.73014114436921</v>
      </c>
      <c r="L848">
        <f t="shared" si="627"/>
        <v>435.68593797051244</v>
      </c>
      <c r="M848">
        <f t="shared" si="627"/>
        <v>298.49765820842765</v>
      </c>
      <c r="N848">
        <f t="shared" si="627"/>
        <v>299.22300684496008</v>
      </c>
      <c r="O848">
        <f t="shared" si="627"/>
        <v>317.36390587686464</v>
      </c>
      <c r="P848">
        <f t="shared" si="627"/>
        <v>311.08094779078829</v>
      </c>
      <c r="Q848">
        <f t="shared" si="627"/>
        <v>405.91578659882975</v>
      </c>
      <c r="R848">
        <f t="shared" si="627"/>
        <v>460.04212218314046</v>
      </c>
      <c r="S848">
        <f t="shared" si="627"/>
        <v>211.3253884709454</v>
      </c>
      <c r="T848">
        <f t="shared" si="627"/>
        <v>288.4493177687234</v>
      </c>
      <c r="U848">
        <f t="shared" si="627"/>
        <v>388.57431306963468</v>
      </c>
      <c r="V848">
        <f t="shared" si="627"/>
        <v>579.93339096241948</v>
      </c>
      <c r="W848">
        <f t="shared" si="627"/>
        <v>425.22981863133867</v>
      </c>
      <c r="Y848" s="14">
        <f t="shared" si="605"/>
        <v>8747.4326857982815</v>
      </c>
      <c r="Z848">
        <f t="shared" si="606"/>
        <v>-158.15812003477743</v>
      </c>
    </row>
    <row r="849" spans="1:26" x14ac:dyDescent="0.25">
      <c r="A849" t="s">
        <v>65</v>
      </c>
      <c r="D849">
        <f t="shared" ref="D849:W849" si="628">D156*D189</f>
        <v>464.57603979207852</v>
      </c>
      <c r="E849">
        <f t="shared" si="628"/>
        <v>628.34421725763639</v>
      </c>
      <c r="F849">
        <f t="shared" si="628"/>
        <v>638.27674864003689</v>
      </c>
      <c r="G849">
        <f t="shared" si="628"/>
        <v>823.26852776151122</v>
      </c>
      <c r="H849">
        <f t="shared" si="628"/>
        <v>587.29677491250129</v>
      </c>
      <c r="I849">
        <f t="shared" si="628"/>
        <v>460.94817784914903</v>
      </c>
      <c r="J849">
        <f t="shared" si="628"/>
        <v>266.27732928149931</v>
      </c>
      <c r="K849">
        <f t="shared" si="628"/>
        <v>412.12038628252031</v>
      </c>
      <c r="L849">
        <f t="shared" si="628"/>
        <v>333.82000712376555</v>
      </c>
      <c r="M849">
        <f t="shared" si="628"/>
        <v>139.39368084453417</v>
      </c>
      <c r="N849">
        <f t="shared" si="628"/>
        <v>229.41784802539343</v>
      </c>
      <c r="O849">
        <f t="shared" si="628"/>
        <v>231.10483124731303</v>
      </c>
      <c r="P849">
        <f t="shared" si="628"/>
        <v>233.55422061769272</v>
      </c>
      <c r="Q849">
        <f t="shared" si="628"/>
        <v>254.45289775534016</v>
      </c>
      <c r="R849">
        <f t="shared" si="628"/>
        <v>293.01636883735574</v>
      </c>
      <c r="S849">
        <f t="shared" si="628"/>
        <v>301.08255921073788</v>
      </c>
      <c r="T849">
        <f t="shared" si="628"/>
        <v>294.55170472866735</v>
      </c>
      <c r="U849">
        <f t="shared" si="628"/>
        <v>374.59346031713807</v>
      </c>
      <c r="V849">
        <f t="shared" si="628"/>
        <v>416.79421749387313</v>
      </c>
      <c r="W849">
        <f t="shared" si="628"/>
        <v>591.6570859504269</v>
      </c>
      <c r="Y849" s="14">
        <f t="shared" si="605"/>
        <v>7974.5470839291711</v>
      </c>
      <c r="Z849">
        <f t="shared" si="606"/>
        <v>151.24475769296811</v>
      </c>
    </row>
    <row r="850" spans="1:26" x14ac:dyDescent="0.25">
      <c r="A850" t="s">
        <v>66</v>
      </c>
      <c r="D850">
        <f t="shared" ref="D850:W850" si="629">D157*D190</f>
        <v>393.26929317378011</v>
      </c>
      <c r="E850">
        <f t="shared" si="629"/>
        <v>519.12193111508066</v>
      </c>
      <c r="F850">
        <f t="shared" si="629"/>
        <v>558.64254700213576</v>
      </c>
      <c r="G850">
        <f t="shared" si="629"/>
        <v>438.39907334894048</v>
      </c>
      <c r="H850">
        <f t="shared" si="629"/>
        <v>412.48236331361488</v>
      </c>
      <c r="I850">
        <f t="shared" si="629"/>
        <v>455.96691754165511</v>
      </c>
      <c r="J850">
        <f t="shared" si="629"/>
        <v>343.48182386510308</v>
      </c>
      <c r="K850">
        <f t="shared" si="629"/>
        <v>349.94318856256211</v>
      </c>
      <c r="L850">
        <f t="shared" si="629"/>
        <v>276.92663001952025</v>
      </c>
      <c r="M850">
        <f t="shared" si="629"/>
        <v>408.80744154513729</v>
      </c>
      <c r="N850">
        <f t="shared" si="629"/>
        <v>393.58741070939692</v>
      </c>
      <c r="O850">
        <f t="shared" si="629"/>
        <v>369.6243937401108</v>
      </c>
      <c r="P850">
        <f t="shared" si="629"/>
        <v>375.92104464716732</v>
      </c>
      <c r="Q850">
        <f t="shared" si="629"/>
        <v>399.35962666075989</v>
      </c>
      <c r="R850">
        <f t="shared" si="629"/>
        <v>409.75624883507936</v>
      </c>
      <c r="S850">
        <f t="shared" si="629"/>
        <v>413.88846426193555</v>
      </c>
      <c r="T850">
        <f t="shared" si="629"/>
        <v>490.1889846764517</v>
      </c>
      <c r="U850">
        <f t="shared" si="629"/>
        <v>494.01004999169146</v>
      </c>
      <c r="V850">
        <f t="shared" si="629"/>
        <v>441.63282767426688</v>
      </c>
      <c r="W850">
        <f t="shared" si="629"/>
        <v>632.54320753247111</v>
      </c>
      <c r="Y850" s="14">
        <f t="shared" si="605"/>
        <v>8577.5534682168618</v>
      </c>
      <c r="Z850">
        <f t="shared" si="606"/>
        <v>-111.11425366187044</v>
      </c>
    </row>
    <row r="851" spans="1:26" x14ac:dyDescent="0.25">
      <c r="Y851" s="14"/>
    </row>
    <row r="852" spans="1:26" x14ac:dyDescent="0.25">
      <c r="A852" t="s">
        <v>67</v>
      </c>
      <c r="D852">
        <f t="shared" ref="D852:W852" si="630">D159*D192</f>
        <v>799.44907310979193</v>
      </c>
      <c r="E852">
        <f t="shared" si="630"/>
        <v>627.65882391891603</v>
      </c>
      <c r="F852">
        <f t="shared" si="630"/>
        <v>616.09934445244426</v>
      </c>
      <c r="G852">
        <f t="shared" si="630"/>
        <v>652.28943054387719</v>
      </c>
      <c r="H852">
        <f t="shared" si="630"/>
        <v>587.66430029456967</v>
      </c>
      <c r="I852">
        <f t="shared" si="630"/>
        <v>654.87349376107181</v>
      </c>
      <c r="J852">
        <f t="shared" si="630"/>
        <v>536.04406017439896</v>
      </c>
      <c r="K852">
        <f t="shared" si="630"/>
        <v>502.32538755850737</v>
      </c>
      <c r="L852">
        <f t="shared" si="630"/>
        <v>356.62018878109239</v>
      </c>
      <c r="M852">
        <f t="shared" si="630"/>
        <v>280.8271978124593</v>
      </c>
      <c r="N852">
        <f t="shared" si="630"/>
        <v>276.40682530594711</v>
      </c>
      <c r="O852">
        <f t="shared" si="630"/>
        <v>289.08211449892065</v>
      </c>
      <c r="P852">
        <f t="shared" si="630"/>
        <v>261.237052094283</v>
      </c>
      <c r="Q852">
        <f t="shared" si="630"/>
        <v>288.65139467196929</v>
      </c>
      <c r="R852">
        <f t="shared" si="630"/>
        <v>317.83498559148933</v>
      </c>
      <c r="S852">
        <f t="shared" si="630"/>
        <v>314.14903234044806</v>
      </c>
      <c r="T852">
        <f t="shared" si="630"/>
        <v>272.89651175709992</v>
      </c>
      <c r="U852">
        <f t="shared" si="630"/>
        <v>289.66121740782091</v>
      </c>
      <c r="V852">
        <f t="shared" si="630"/>
        <v>368.0534302698382</v>
      </c>
      <c r="W852">
        <f t="shared" si="630"/>
        <v>364.24363130511267</v>
      </c>
      <c r="Y852" s="14">
        <f t="shared" si="605"/>
        <v>8656.0674956500588</v>
      </c>
      <c r="Z852">
        <f>SUMPRODUCT($D$856:$W$856,D852:W852)</f>
        <v>178.44370628645447</v>
      </c>
    </row>
    <row r="853" spans="1:26" x14ac:dyDescent="0.25">
      <c r="A853" t="s">
        <v>311</v>
      </c>
      <c r="D853">
        <f t="shared" ref="D853:W853" si="631">D160*D193</f>
        <v>784.73673469387745</v>
      </c>
      <c r="E853">
        <f t="shared" si="631"/>
        <v>724.85714285714289</v>
      </c>
      <c r="F853">
        <f t="shared" si="631"/>
        <v>510.76326530612243</v>
      </c>
      <c r="G853">
        <f t="shared" si="631"/>
        <v>432.95510204081637</v>
      </c>
      <c r="H853">
        <f t="shared" si="631"/>
        <v>534.57551020408152</v>
      </c>
      <c r="I853">
        <f t="shared" si="631"/>
        <v>499.16530612244901</v>
      </c>
      <c r="J853">
        <f t="shared" si="631"/>
        <v>407.31428571428569</v>
      </c>
      <c r="K853">
        <f t="shared" si="631"/>
        <v>412.67346938775506</v>
      </c>
      <c r="L853">
        <f t="shared" si="631"/>
        <v>515.74531250000007</v>
      </c>
      <c r="M853">
        <f t="shared" si="631"/>
        <v>647.86734693877554</v>
      </c>
      <c r="N853">
        <f t="shared" si="631"/>
        <v>497.04489795918369</v>
      </c>
      <c r="O853">
        <f t="shared" si="631"/>
        <v>454.79999999999995</v>
      </c>
      <c r="P853">
        <f t="shared" si="631"/>
        <v>340.2547472579451</v>
      </c>
      <c r="Q853">
        <f t="shared" si="631"/>
        <v>332.30911558888766</v>
      </c>
      <c r="R853">
        <f t="shared" si="631"/>
        <v>236.3009011350874</v>
      </c>
      <c r="S853">
        <f t="shared" si="631"/>
        <v>344.3768211138447</v>
      </c>
      <c r="T853">
        <f t="shared" si="631"/>
        <v>300.81</v>
      </c>
      <c r="U853">
        <f t="shared" si="631"/>
        <v>261.04000000000002</v>
      </c>
      <c r="V853">
        <f t="shared" si="631"/>
        <v>359.52</v>
      </c>
      <c r="W853">
        <f t="shared" si="631"/>
        <v>378.3</v>
      </c>
      <c r="Y853" s="14">
        <f t="shared" si="605"/>
        <v>8975.4099588202571</v>
      </c>
      <c r="Z853">
        <f>SUMPRODUCT($D$856:$W$856,D853:W853)</f>
        <v>47.156264864252542</v>
      </c>
    </row>
    <row r="854" spans="1:26" x14ac:dyDescent="0.25">
      <c r="A854" t="s">
        <v>312</v>
      </c>
      <c r="D854">
        <f t="shared" ref="D854:W854" si="632">D161*D194</f>
        <v>428.40704468675023</v>
      </c>
      <c r="E854">
        <f t="shared" si="632"/>
        <v>452.21792138302823</v>
      </c>
      <c r="F854">
        <f t="shared" si="632"/>
        <v>479.13600572392227</v>
      </c>
      <c r="G854">
        <f t="shared" si="632"/>
        <v>420.53350013211906</v>
      </c>
      <c r="H854">
        <f t="shared" si="632"/>
        <v>390.49317695613365</v>
      </c>
      <c r="I854">
        <f t="shared" si="632"/>
        <v>365.32080320050676</v>
      </c>
      <c r="J854">
        <f t="shared" si="632"/>
        <v>350.90681454287017</v>
      </c>
      <c r="K854">
        <f t="shared" si="632"/>
        <v>372.53073523702199</v>
      </c>
      <c r="L854">
        <f t="shared" si="632"/>
        <v>304.32582990408099</v>
      </c>
      <c r="M854">
        <f t="shared" si="632"/>
        <v>281.31275746073578</v>
      </c>
      <c r="N854">
        <f t="shared" si="632"/>
        <v>283.49040437267303</v>
      </c>
      <c r="O854">
        <f t="shared" si="632"/>
        <v>295.81275723452609</v>
      </c>
      <c r="P854">
        <f t="shared" si="632"/>
        <v>262.82454753794229</v>
      </c>
      <c r="Q854">
        <f t="shared" si="632"/>
        <v>294.23180742735582</v>
      </c>
      <c r="R854">
        <f t="shared" si="632"/>
        <v>321.62745283161962</v>
      </c>
      <c r="S854">
        <f t="shared" si="632"/>
        <v>311.50027217285253</v>
      </c>
      <c r="T854">
        <f t="shared" si="632"/>
        <v>266.50192390966356</v>
      </c>
      <c r="U854">
        <f t="shared" si="632"/>
        <v>282.65767895991894</v>
      </c>
      <c r="V854">
        <f t="shared" si="632"/>
        <v>374.02231310082914</v>
      </c>
      <c r="W854">
        <f t="shared" si="632"/>
        <v>347.22127005195978</v>
      </c>
      <c r="Y854" s="14">
        <f t="shared" si="605"/>
        <v>6885.0750168265085</v>
      </c>
      <c r="Z854">
        <f>SUMPRODUCT($D$856:$W$856,D854:W854)</f>
        <v>-16.682063996934744</v>
      </c>
    </row>
    <row r="855" spans="1:26" x14ac:dyDescent="0.25">
      <c r="A855" t="s">
        <v>674</v>
      </c>
      <c r="D855">
        <f t="shared" ref="D855:W855" si="633">D162*D195</f>
        <v>581.25398975870382</v>
      </c>
      <c r="E855">
        <f t="shared" si="633"/>
        <v>580.19615693120841</v>
      </c>
      <c r="F855">
        <f t="shared" si="633"/>
        <v>367.4930485381596</v>
      </c>
      <c r="G855">
        <f t="shared" si="633"/>
        <v>392.90306314120056</v>
      </c>
      <c r="H855">
        <f t="shared" si="633"/>
        <v>431.44895805188992</v>
      </c>
      <c r="I855">
        <f t="shared" si="633"/>
        <v>285.49413169263028</v>
      </c>
      <c r="J855">
        <f t="shared" si="633"/>
        <v>294.63580217940466</v>
      </c>
      <c r="K855">
        <f t="shared" si="633"/>
        <v>302.82375299475814</v>
      </c>
      <c r="L855">
        <f t="shared" si="633"/>
        <v>245.06517034242088</v>
      </c>
      <c r="M855">
        <f t="shared" si="633"/>
        <v>292.5322512767703</v>
      </c>
      <c r="N855">
        <f t="shared" si="633"/>
        <v>282.40003077192171</v>
      </c>
      <c r="O855">
        <f t="shared" si="633"/>
        <v>298.98616994957803</v>
      </c>
      <c r="P855">
        <f t="shared" si="633"/>
        <v>232.07465640622394</v>
      </c>
      <c r="Q855">
        <f t="shared" si="633"/>
        <v>262.63405647442403</v>
      </c>
      <c r="R855">
        <f t="shared" si="633"/>
        <v>319.65466390731393</v>
      </c>
      <c r="S855">
        <f t="shared" si="633"/>
        <v>315.77817308254993</v>
      </c>
      <c r="T855">
        <f t="shared" si="633"/>
        <v>272.69258189292242</v>
      </c>
      <c r="U855">
        <f t="shared" si="633"/>
        <v>267.07913249243057</v>
      </c>
      <c r="V855">
        <f t="shared" si="633"/>
        <v>317.54937343381795</v>
      </c>
      <c r="W855">
        <f t="shared" si="633"/>
        <v>363.14113838972605</v>
      </c>
      <c r="Y855" s="14">
        <f t="shared" ref="Y855" si="634">SUM(D855:W855)</f>
        <v>6705.8363017080546</v>
      </c>
      <c r="Z855">
        <f>SUMPRODUCT($D$856:$W$856,D855:W855)</f>
        <v>49.675264954626201</v>
      </c>
    </row>
    <row r="856" spans="1:26" x14ac:dyDescent="0.25">
      <c r="A856" s="2" t="s">
        <v>68</v>
      </c>
      <c r="D856" s="3">
        <f>CORREL($B$2:$B$25,D827:D850)</f>
        <v>0.37131891218361823</v>
      </c>
      <c r="E856" s="3">
        <f t="shared" ref="E856:W856" si="635">CORREL($B$2:$B$25,E827:E850)</f>
        <v>-4.5717805209305025E-2</v>
      </c>
      <c r="F856" s="3">
        <f t="shared" si="635"/>
        <v>-4.272965391421011E-2</v>
      </c>
      <c r="G856" s="3">
        <f t="shared" si="635"/>
        <v>0.13462473644050194</v>
      </c>
      <c r="H856" s="3">
        <f t="shared" si="635"/>
        <v>0.13437059344172617</v>
      </c>
      <c r="I856" s="3">
        <f t="shared" si="635"/>
        <v>2.74641900317604E-4</v>
      </c>
      <c r="J856" s="3">
        <f t="shared" si="635"/>
        <v>-1.5902724436056975E-2</v>
      </c>
      <c r="K856" s="3">
        <f t="shared" si="635"/>
        <v>7.4764141402554621E-2</v>
      </c>
      <c r="L856" s="3">
        <f t="shared" si="635"/>
        <v>1.4836547065707247E-2</v>
      </c>
      <c r="M856" s="3">
        <f t="shared" si="635"/>
        <v>-0.126199449266231</v>
      </c>
      <c r="N856" s="3">
        <f t="shared" si="635"/>
        <v>-0.13041396831461474</v>
      </c>
      <c r="O856" s="3">
        <f t="shared" si="635"/>
        <v>-0.10952717199023712</v>
      </c>
      <c r="P856" s="3">
        <f t="shared" si="635"/>
        <v>-0.10036839385071809</v>
      </c>
      <c r="Q856" s="3">
        <f t="shared" si="635"/>
        <v>-0.16699017973280814</v>
      </c>
      <c r="R856" s="3">
        <f t="shared" si="635"/>
        <v>-0.2209722822589324</v>
      </c>
      <c r="S856" s="3">
        <f t="shared" si="635"/>
        <v>-8.4060789936109284E-2</v>
      </c>
      <c r="T856" s="3">
        <f t="shared" si="635"/>
        <v>-4.3443776805185408E-2</v>
      </c>
      <c r="U856" s="3">
        <f t="shared" si="635"/>
        <v>-0.14268381794581902</v>
      </c>
      <c r="V856" s="3">
        <f t="shared" si="635"/>
        <v>-3.5883086602930665E-2</v>
      </c>
      <c r="W856" s="3">
        <f t="shared" si="635"/>
        <v>0.2084795721557389</v>
      </c>
    </row>
    <row r="859" spans="1:26" x14ac:dyDescent="0.25">
      <c r="D859" t="s">
        <v>287</v>
      </c>
      <c r="E859" t="s">
        <v>288</v>
      </c>
      <c r="F859" t="s">
        <v>289</v>
      </c>
      <c r="G859" t="s">
        <v>290</v>
      </c>
      <c r="H859" t="s">
        <v>291</v>
      </c>
      <c r="I859" t="s">
        <v>292</v>
      </c>
      <c r="J859" t="s">
        <v>293</v>
      </c>
      <c r="K859" t="s">
        <v>294</v>
      </c>
      <c r="L859" t="s">
        <v>363</v>
      </c>
      <c r="M859" t="s">
        <v>443</v>
      </c>
      <c r="N859" t="s">
        <v>444</v>
      </c>
      <c r="O859" t="s">
        <v>445</v>
      </c>
      <c r="P859" t="s">
        <v>554</v>
      </c>
      <c r="Q859" t="s">
        <v>555</v>
      </c>
      <c r="R859" t="s">
        <v>556</v>
      </c>
      <c r="S859" t="s">
        <v>557</v>
      </c>
      <c r="T859" t="s">
        <v>666</v>
      </c>
      <c r="U859" t="s">
        <v>667</v>
      </c>
      <c r="V859" t="s">
        <v>668</v>
      </c>
      <c r="W859" t="s">
        <v>669</v>
      </c>
      <c r="Y859" t="s">
        <v>295</v>
      </c>
      <c r="Z859" t="s">
        <v>296</v>
      </c>
    </row>
    <row r="860" spans="1:26" x14ac:dyDescent="0.25">
      <c r="A860" t="s">
        <v>43</v>
      </c>
      <c r="D860">
        <f t="shared" ref="D860:W860" si="636">D134*D200</f>
        <v>743.19536408622832</v>
      </c>
      <c r="E860">
        <f t="shared" si="636"/>
        <v>392.97180217060793</v>
      </c>
      <c r="F860">
        <f t="shared" si="636"/>
        <v>1102.4162712109551</v>
      </c>
      <c r="G860">
        <f t="shared" si="636"/>
        <v>759.76286385166622</v>
      </c>
      <c r="H860">
        <f t="shared" si="636"/>
        <v>421.28546548307213</v>
      </c>
      <c r="I860">
        <f t="shared" si="636"/>
        <v>585.14081059506361</v>
      </c>
      <c r="J860">
        <f t="shared" si="636"/>
        <v>824.11799043384167</v>
      </c>
      <c r="K860">
        <f t="shared" si="636"/>
        <v>769.68820551310716</v>
      </c>
      <c r="L860">
        <f t="shared" si="636"/>
        <v>604.78595462552153</v>
      </c>
      <c r="M860">
        <f t="shared" si="636"/>
        <v>235.62985472982413</v>
      </c>
      <c r="N860">
        <f t="shared" si="636"/>
        <v>140.7499984688539</v>
      </c>
      <c r="O860">
        <f t="shared" si="636"/>
        <v>212.45447559041449</v>
      </c>
      <c r="P860">
        <f t="shared" si="636"/>
        <v>440.62284109192387</v>
      </c>
      <c r="Q860">
        <f t="shared" si="636"/>
        <v>355.05242842037541</v>
      </c>
      <c r="R860">
        <f t="shared" si="636"/>
        <v>652.35470644581733</v>
      </c>
      <c r="S860">
        <f t="shared" si="636"/>
        <v>1463.9933331040763</v>
      </c>
      <c r="T860">
        <f t="shared" si="636"/>
        <v>340.77173964076144</v>
      </c>
      <c r="U860">
        <f t="shared" si="636"/>
        <v>79.58004286395861</v>
      </c>
      <c r="V860">
        <f t="shared" si="636"/>
        <v>80.913892450052799</v>
      </c>
      <c r="W860">
        <f t="shared" si="636"/>
        <v>146.88240041059865</v>
      </c>
      <c r="Y860" s="14">
        <f t="shared" ref="Y860:Y887" si="637">SUM(D860:W860)</f>
        <v>10352.370441186718</v>
      </c>
      <c r="Z860">
        <f t="shared" ref="Z860:Z883" si="638">SUMPRODUCT($D$889:$W$889,D860:W860)</f>
        <v>953.71006416146736</v>
      </c>
    </row>
    <row r="861" spans="1:26" x14ac:dyDescent="0.25">
      <c r="A861" t="s">
        <v>44</v>
      </c>
      <c r="D861">
        <f t="shared" ref="D861:W861" si="639">D135*D201</f>
        <v>401.0889243358842</v>
      </c>
      <c r="E861">
        <f t="shared" si="639"/>
        <v>1718.3236843608747</v>
      </c>
      <c r="F861">
        <f t="shared" si="639"/>
        <v>1840.9416877357999</v>
      </c>
      <c r="G861">
        <f t="shared" si="639"/>
        <v>1382.9284261160935</v>
      </c>
      <c r="H861">
        <f t="shared" si="639"/>
        <v>568.59029936568845</v>
      </c>
      <c r="I861">
        <f t="shared" si="639"/>
        <v>461.47168046819041</v>
      </c>
      <c r="J861">
        <f t="shared" si="639"/>
        <v>418.21487747253963</v>
      </c>
      <c r="K861">
        <f t="shared" si="639"/>
        <v>418.20100694127217</v>
      </c>
      <c r="L861">
        <f t="shared" si="639"/>
        <v>226.3253415746415</v>
      </c>
      <c r="M861">
        <f t="shared" si="639"/>
        <v>724.54409615372913</v>
      </c>
      <c r="N861">
        <f t="shared" si="639"/>
        <v>908.50717929463349</v>
      </c>
      <c r="O861">
        <f t="shared" si="639"/>
        <v>401.87573419129063</v>
      </c>
      <c r="P861">
        <f t="shared" si="639"/>
        <v>489.6756236991551</v>
      </c>
      <c r="Q861">
        <f t="shared" si="639"/>
        <v>1033.1659799307961</v>
      </c>
      <c r="R861">
        <f t="shared" si="639"/>
        <v>729.94860350928377</v>
      </c>
      <c r="S861">
        <f t="shared" si="639"/>
        <v>1128.3495116352181</v>
      </c>
      <c r="T861">
        <f t="shared" si="639"/>
        <v>1587.716628479923</v>
      </c>
      <c r="U861">
        <f t="shared" si="639"/>
        <v>858.09202863281132</v>
      </c>
      <c r="V861">
        <f t="shared" si="639"/>
        <v>567.92166844563178</v>
      </c>
      <c r="W861">
        <f t="shared" si="639"/>
        <v>810.27298821528223</v>
      </c>
      <c r="Y861" s="14">
        <f t="shared" si="637"/>
        <v>16676.155970558739</v>
      </c>
      <c r="Z861">
        <f t="shared" si="638"/>
        <v>443.69160290568152</v>
      </c>
    </row>
    <row r="862" spans="1:26" x14ac:dyDescent="0.25">
      <c r="A862" t="s">
        <v>45</v>
      </c>
      <c r="D862">
        <f t="shared" ref="D862:W862" si="640">D136*D202</f>
        <v>1044.7552848811499</v>
      </c>
      <c r="E862">
        <f t="shared" si="640"/>
        <v>1077.5398814854366</v>
      </c>
      <c r="F862">
        <f t="shared" si="640"/>
        <v>889.05049045654209</v>
      </c>
      <c r="G862">
        <f t="shared" si="640"/>
        <v>1509.2328241537484</v>
      </c>
      <c r="H862">
        <f t="shared" si="640"/>
        <v>1800.9312549027043</v>
      </c>
      <c r="I862">
        <f t="shared" si="640"/>
        <v>1154.9867849651885</v>
      </c>
      <c r="J862">
        <f t="shared" si="640"/>
        <v>830.87554187618355</v>
      </c>
      <c r="K862">
        <f t="shared" si="640"/>
        <v>497.16817654103426</v>
      </c>
      <c r="L862">
        <f t="shared" si="640"/>
        <v>440.80345177053846</v>
      </c>
      <c r="M862">
        <f t="shared" si="640"/>
        <v>591.1057559174692</v>
      </c>
      <c r="N862">
        <f t="shared" si="640"/>
        <v>786.57292444370466</v>
      </c>
      <c r="O862">
        <f t="shared" si="640"/>
        <v>679.72248351806877</v>
      </c>
      <c r="P862">
        <f t="shared" si="640"/>
        <v>638.69796120041792</v>
      </c>
      <c r="Q862">
        <f t="shared" si="640"/>
        <v>613.64848882664648</v>
      </c>
      <c r="R862">
        <f t="shared" si="640"/>
        <v>581.68965876981576</v>
      </c>
      <c r="S862">
        <f t="shared" si="640"/>
        <v>584.0494009571396</v>
      </c>
      <c r="T862">
        <f t="shared" si="640"/>
        <v>665.11194103434104</v>
      </c>
      <c r="U862">
        <f t="shared" si="640"/>
        <v>708.46438712072029</v>
      </c>
      <c r="V862">
        <f t="shared" si="640"/>
        <v>707.11829460104298</v>
      </c>
      <c r="W862">
        <f t="shared" si="640"/>
        <v>1005.0118130278656</v>
      </c>
      <c r="Y862" s="14">
        <f t="shared" si="637"/>
        <v>16806.536800449758</v>
      </c>
      <c r="Z862">
        <f t="shared" si="638"/>
        <v>1455.3428503631378</v>
      </c>
    </row>
    <row r="863" spans="1:26" x14ac:dyDescent="0.25">
      <c r="A863" t="s">
        <v>46</v>
      </c>
      <c r="D863">
        <f t="shared" ref="D863:W863" si="641">D137*D203</f>
        <v>998.02352223205548</v>
      </c>
      <c r="E863">
        <f t="shared" si="641"/>
        <v>677.67705066283463</v>
      </c>
      <c r="F863">
        <f t="shared" si="641"/>
        <v>697.84722875654847</v>
      </c>
      <c r="G863">
        <f t="shared" si="641"/>
        <v>772.327786751698</v>
      </c>
      <c r="H863">
        <f t="shared" si="641"/>
        <v>685.97744167541418</v>
      </c>
      <c r="I863">
        <f t="shared" si="641"/>
        <v>776.01453184767558</v>
      </c>
      <c r="J863">
        <f t="shared" si="641"/>
        <v>736.95398600281601</v>
      </c>
      <c r="K863">
        <f t="shared" si="641"/>
        <v>728.43662770166634</v>
      </c>
      <c r="L863">
        <f t="shared" si="641"/>
        <v>498.00441488534199</v>
      </c>
      <c r="M863">
        <f t="shared" si="641"/>
        <v>710.6215135033874</v>
      </c>
      <c r="N863">
        <f t="shared" si="641"/>
        <v>1103.6860624063481</v>
      </c>
      <c r="O863">
        <f t="shared" si="641"/>
        <v>688.16186235521877</v>
      </c>
      <c r="P863">
        <f t="shared" si="641"/>
        <v>441.41743126685225</v>
      </c>
      <c r="Q863">
        <f t="shared" si="641"/>
        <v>672.98032464960329</v>
      </c>
      <c r="R863">
        <f t="shared" si="641"/>
        <v>584.13647279874942</v>
      </c>
      <c r="S863">
        <f t="shared" si="641"/>
        <v>688.44080867011223</v>
      </c>
      <c r="T863">
        <f t="shared" si="641"/>
        <v>990.14695491085354</v>
      </c>
      <c r="U863">
        <f t="shared" si="641"/>
        <v>1180.847428978896</v>
      </c>
      <c r="V863">
        <f t="shared" si="641"/>
        <v>494.8809248227488</v>
      </c>
      <c r="W863">
        <f t="shared" si="641"/>
        <v>682.85287052586091</v>
      </c>
      <c r="Y863" s="14">
        <f t="shared" si="637"/>
        <v>14809.43524540468</v>
      </c>
      <c r="Z863">
        <f t="shared" si="638"/>
        <v>1114.9608695621932</v>
      </c>
    </row>
    <row r="864" spans="1:26" x14ac:dyDescent="0.25">
      <c r="A864" t="s">
        <v>47</v>
      </c>
      <c r="D864">
        <f t="shared" ref="D864:W864" si="642">D138*D204</f>
        <v>1353.0176272303781</v>
      </c>
      <c r="E864">
        <f t="shared" si="642"/>
        <v>730.71944963170267</v>
      </c>
      <c r="F864">
        <f t="shared" si="642"/>
        <v>647.82267229047659</v>
      </c>
      <c r="G864">
        <f t="shared" si="642"/>
        <v>1058.4343213657867</v>
      </c>
      <c r="H864">
        <f t="shared" si="642"/>
        <v>1018.4296396695803</v>
      </c>
      <c r="I864">
        <f t="shared" si="642"/>
        <v>897.79771769371428</v>
      </c>
      <c r="J864">
        <f t="shared" si="642"/>
        <v>682.02019509950014</v>
      </c>
      <c r="K864">
        <f t="shared" si="642"/>
        <v>766.73123420929619</v>
      </c>
      <c r="L864">
        <f t="shared" si="642"/>
        <v>416.46542176036019</v>
      </c>
      <c r="M864">
        <f t="shared" si="642"/>
        <v>421.77517482016384</v>
      </c>
      <c r="N864">
        <f t="shared" si="642"/>
        <v>332.29952853506393</v>
      </c>
      <c r="O864">
        <f t="shared" si="642"/>
        <v>549.37693802440037</v>
      </c>
      <c r="P864">
        <f t="shared" si="642"/>
        <v>910.0464526172276</v>
      </c>
      <c r="Q864">
        <f t="shared" si="642"/>
        <v>429.35839945890109</v>
      </c>
      <c r="R864">
        <f t="shared" si="642"/>
        <v>302.94866621492508</v>
      </c>
      <c r="S864">
        <f t="shared" si="642"/>
        <v>220.62042827429832</v>
      </c>
      <c r="T864">
        <f t="shared" si="642"/>
        <v>292.8898621500453</v>
      </c>
      <c r="U864">
        <f t="shared" si="642"/>
        <v>502.54638566239839</v>
      </c>
      <c r="V864">
        <f t="shared" si="642"/>
        <v>752.86131197671602</v>
      </c>
      <c r="W864">
        <f t="shared" si="642"/>
        <v>1017.8046991046554</v>
      </c>
      <c r="Y864" s="14">
        <f t="shared" si="637"/>
        <v>13303.966125789591</v>
      </c>
      <c r="Z864">
        <f t="shared" si="638"/>
        <v>1588.9162696272247</v>
      </c>
    </row>
    <row r="865" spans="1:26" x14ac:dyDescent="0.25">
      <c r="A865" t="s">
        <v>48</v>
      </c>
      <c r="D865">
        <f t="shared" ref="D865:W865" si="643">D139*D205</f>
        <v>383.44354009701181</v>
      </c>
      <c r="E865">
        <f t="shared" si="643"/>
        <v>536.50885445729762</v>
      </c>
      <c r="F865">
        <f t="shared" si="643"/>
        <v>424.59581666118021</v>
      </c>
      <c r="G865">
        <f t="shared" si="643"/>
        <v>588.3467839936294</v>
      </c>
      <c r="H865">
        <f t="shared" si="643"/>
        <v>517.83482397403509</v>
      </c>
      <c r="I865">
        <f t="shared" si="643"/>
        <v>796.07581678972031</v>
      </c>
      <c r="J865">
        <f t="shared" si="643"/>
        <v>1205.0452221793539</v>
      </c>
      <c r="K865">
        <f t="shared" si="643"/>
        <v>1255.1405247262912</v>
      </c>
      <c r="L865">
        <f t="shared" si="643"/>
        <v>513.90942946313737</v>
      </c>
      <c r="M865">
        <f t="shared" si="643"/>
        <v>757.4282540880339</v>
      </c>
      <c r="N865">
        <f t="shared" si="643"/>
        <v>1085.0993742876142</v>
      </c>
      <c r="O865">
        <f t="shared" si="643"/>
        <v>408.92302038631595</v>
      </c>
      <c r="P865">
        <f t="shared" si="643"/>
        <v>490.98149860830534</v>
      </c>
      <c r="Q865">
        <f t="shared" si="643"/>
        <v>378.41186773937022</v>
      </c>
      <c r="R865">
        <f t="shared" si="643"/>
        <v>348.00601203646772</v>
      </c>
      <c r="S865">
        <f t="shared" si="643"/>
        <v>264.56281065919734</v>
      </c>
      <c r="T865">
        <f t="shared" si="643"/>
        <v>357.62081082559081</v>
      </c>
      <c r="U865">
        <f t="shared" si="643"/>
        <v>375.99032178390729</v>
      </c>
      <c r="V865">
        <f t="shared" si="643"/>
        <v>489.69119511790552</v>
      </c>
      <c r="W865">
        <f t="shared" si="643"/>
        <v>370.04766183875347</v>
      </c>
      <c r="Y865" s="14">
        <f t="shared" si="637"/>
        <v>11547.663639713119</v>
      </c>
      <c r="Z865">
        <f t="shared" si="638"/>
        <v>842.48660520855242</v>
      </c>
    </row>
    <row r="866" spans="1:26" x14ac:dyDescent="0.25">
      <c r="A866" t="s">
        <v>49</v>
      </c>
      <c r="D866">
        <f t="shared" ref="D866:W866" si="644">D140*D206</f>
        <v>1573.7719881492951</v>
      </c>
      <c r="E866">
        <f t="shared" si="644"/>
        <v>1080.986495741914</v>
      </c>
      <c r="F866">
        <f t="shared" si="644"/>
        <v>1104.4154347027263</v>
      </c>
      <c r="G866">
        <f t="shared" si="644"/>
        <v>712.75268434882094</v>
      </c>
      <c r="H866">
        <f t="shared" si="644"/>
        <v>390.07572834999399</v>
      </c>
      <c r="I866">
        <f t="shared" si="644"/>
        <v>759.29382098405154</v>
      </c>
      <c r="J866">
        <f t="shared" si="644"/>
        <v>319.45745290252819</v>
      </c>
      <c r="K866">
        <f t="shared" si="644"/>
        <v>286.54075194687533</v>
      </c>
      <c r="L866">
        <f t="shared" si="644"/>
        <v>314.16479358368599</v>
      </c>
      <c r="M866">
        <f t="shared" si="644"/>
        <v>317.58018726336309</v>
      </c>
      <c r="N866">
        <f t="shared" si="644"/>
        <v>942.09340010743426</v>
      </c>
      <c r="O866">
        <f t="shared" si="644"/>
        <v>953.01911478087641</v>
      </c>
      <c r="P866">
        <f t="shared" si="644"/>
        <v>440.45513453029912</v>
      </c>
      <c r="Q866">
        <f t="shared" si="644"/>
        <v>352.92535882378525</v>
      </c>
      <c r="R866">
        <f t="shared" si="644"/>
        <v>444.36041170830356</v>
      </c>
      <c r="S866">
        <f t="shared" si="644"/>
        <v>272.2502376234728</v>
      </c>
      <c r="T866">
        <f t="shared" si="644"/>
        <v>246.07560335378187</v>
      </c>
      <c r="U866">
        <f t="shared" si="644"/>
        <v>885.18166040918766</v>
      </c>
      <c r="V866">
        <f t="shared" si="644"/>
        <v>1086.8044869055609</v>
      </c>
      <c r="W866">
        <f t="shared" si="644"/>
        <v>1625.7858737298789</v>
      </c>
      <c r="Y866" s="14">
        <f t="shared" si="637"/>
        <v>14107.990619945835</v>
      </c>
      <c r="Z866">
        <f t="shared" si="638"/>
        <v>1602.4796586473458</v>
      </c>
    </row>
    <row r="867" spans="1:26" x14ac:dyDescent="0.25">
      <c r="A867" t="s">
        <v>50</v>
      </c>
      <c r="D867">
        <f t="shared" ref="D867:W867" si="645">D141*D207</f>
        <v>981.64411301155155</v>
      </c>
      <c r="E867">
        <f t="shared" si="645"/>
        <v>643.82877305981617</v>
      </c>
      <c r="F867">
        <f t="shared" si="645"/>
        <v>902.47486642456352</v>
      </c>
      <c r="G867">
        <f t="shared" si="645"/>
        <v>1020.0620219210062</v>
      </c>
      <c r="H867">
        <f t="shared" si="645"/>
        <v>1214.9180511545965</v>
      </c>
      <c r="I867">
        <f t="shared" si="645"/>
        <v>1025.8415222755</v>
      </c>
      <c r="J867">
        <f t="shared" si="645"/>
        <v>1192.6259147173298</v>
      </c>
      <c r="K867">
        <f t="shared" si="645"/>
        <v>893.89599855251743</v>
      </c>
      <c r="L867">
        <f t="shared" si="645"/>
        <v>376.68263288754571</v>
      </c>
      <c r="M867">
        <f t="shared" si="645"/>
        <v>896.71207951461486</v>
      </c>
      <c r="N867">
        <f t="shared" si="645"/>
        <v>857.5854373182674</v>
      </c>
      <c r="O867">
        <f t="shared" si="645"/>
        <v>901.83777414483768</v>
      </c>
      <c r="P867">
        <f t="shared" si="645"/>
        <v>1029.9071460773223</v>
      </c>
      <c r="Q867">
        <f t="shared" si="645"/>
        <v>1252.3001736721553</v>
      </c>
      <c r="R867">
        <f t="shared" si="645"/>
        <v>1294.862144371705</v>
      </c>
      <c r="S867">
        <f t="shared" si="645"/>
        <v>1506.1243419670921</v>
      </c>
      <c r="T867">
        <f t="shared" si="645"/>
        <v>1231.6746973405268</v>
      </c>
      <c r="U867">
        <f t="shared" si="645"/>
        <v>664.0208893165285</v>
      </c>
      <c r="V867">
        <f t="shared" si="645"/>
        <v>567.87659985804305</v>
      </c>
      <c r="W867">
        <f t="shared" si="645"/>
        <v>1269.7622365759514</v>
      </c>
      <c r="Y867" s="14">
        <f t="shared" si="637"/>
        <v>19724.637414161472</v>
      </c>
      <c r="Z867">
        <f t="shared" si="638"/>
        <v>1260.5428169492486</v>
      </c>
    </row>
    <row r="868" spans="1:26" x14ac:dyDescent="0.25">
      <c r="A868" t="s">
        <v>51</v>
      </c>
      <c r="D868">
        <f t="shared" ref="D868:W868" si="646">D142*D208</f>
        <v>868.4389502900367</v>
      </c>
      <c r="E868">
        <f t="shared" si="646"/>
        <v>547.96609390329502</v>
      </c>
      <c r="F868">
        <f t="shared" si="646"/>
        <v>653.71113886461217</v>
      </c>
      <c r="G868">
        <f t="shared" si="646"/>
        <v>824.52104239107689</v>
      </c>
      <c r="H868">
        <f t="shared" si="646"/>
        <v>744.68340385224712</v>
      </c>
      <c r="I868">
        <f t="shared" si="646"/>
        <v>658.25066854242277</v>
      </c>
      <c r="J868">
        <f t="shared" si="646"/>
        <v>768.15126078538071</v>
      </c>
      <c r="K868">
        <f t="shared" si="646"/>
        <v>607.08444069709526</v>
      </c>
      <c r="L868">
        <f t="shared" si="646"/>
        <v>529.74078998148912</v>
      </c>
      <c r="M868">
        <f t="shared" si="646"/>
        <v>319.51923979088775</v>
      </c>
      <c r="N868">
        <f t="shared" si="646"/>
        <v>506.65050823612972</v>
      </c>
      <c r="O868">
        <f t="shared" si="646"/>
        <v>321.29387361486602</v>
      </c>
      <c r="P868">
        <f t="shared" si="646"/>
        <v>528.63610424704416</v>
      </c>
      <c r="Q868">
        <f t="shared" si="646"/>
        <v>737.68754473516719</v>
      </c>
      <c r="R868">
        <f t="shared" si="646"/>
        <v>702.2922875083857</v>
      </c>
      <c r="S868">
        <f t="shared" si="646"/>
        <v>801.5034312644558</v>
      </c>
      <c r="T868">
        <f t="shared" si="646"/>
        <v>858.86931301434265</v>
      </c>
      <c r="U868">
        <f t="shared" si="646"/>
        <v>318.9614796229929</v>
      </c>
      <c r="V868">
        <f t="shared" si="646"/>
        <v>344.05163805043389</v>
      </c>
      <c r="W868">
        <f t="shared" si="646"/>
        <v>787.98197859056552</v>
      </c>
      <c r="Y868" s="14">
        <f t="shared" si="637"/>
        <v>12429.995187982928</v>
      </c>
      <c r="Z868">
        <f t="shared" si="638"/>
        <v>1045.850969261302</v>
      </c>
    </row>
    <row r="869" spans="1:26" x14ac:dyDescent="0.25">
      <c r="A869" t="s">
        <v>52</v>
      </c>
      <c r="D869">
        <f t="shared" ref="D869:W869" si="647">D143*D209</f>
        <v>978.74743024270776</v>
      </c>
      <c r="E869">
        <f t="shared" si="647"/>
        <v>599.22184916533047</v>
      </c>
      <c r="F869">
        <f t="shared" si="647"/>
        <v>594.22430401005477</v>
      </c>
      <c r="G869">
        <f t="shared" si="647"/>
        <v>769.00617465633877</v>
      </c>
      <c r="H869">
        <f t="shared" si="647"/>
        <v>851.40186234964369</v>
      </c>
      <c r="I869">
        <f t="shared" si="647"/>
        <v>1168.0932581689276</v>
      </c>
      <c r="J869">
        <f t="shared" si="647"/>
        <v>739.76679203324454</v>
      </c>
      <c r="K869">
        <f t="shared" si="647"/>
        <v>945.52208270150493</v>
      </c>
      <c r="L869">
        <f t="shared" si="647"/>
        <v>976.77128827299498</v>
      </c>
      <c r="M869">
        <f t="shared" si="647"/>
        <v>809.97344926652192</v>
      </c>
      <c r="N869">
        <f t="shared" si="647"/>
        <v>801.16349735824554</v>
      </c>
      <c r="O869">
        <f t="shared" si="647"/>
        <v>1115.409660515583</v>
      </c>
      <c r="P869">
        <f t="shared" si="647"/>
        <v>741.64492730017025</v>
      </c>
      <c r="Q869">
        <f t="shared" si="647"/>
        <v>670.15722263153953</v>
      </c>
      <c r="R869">
        <f t="shared" si="647"/>
        <v>618.75888768225366</v>
      </c>
      <c r="S869">
        <f t="shared" si="647"/>
        <v>784.91928009680589</v>
      </c>
      <c r="T869">
        <f t="shared" si="647"/>
        <v>1072.084658664498</v>
      </c>
      <c r="U869">
        <f t="shared" si="647"/>
        <v>1326.7332361947695</v>
      </c>
      <c r="V869">
        <f t="shared" si="647"/>
        <v>1486.3524951695304</v>
      </c>
      <c r="W869">
        <f t="shared" si="647"/>
        <v>1637.1129097549951</v>
      </c>
      <c r="Y869" s="14">
        <f t="shared" si="637"/>
        <v>18687.065266235662</v>
      </c>
      <c r="Z869">
        <f t="shared" si="638"/>
        <v>1655.816619094714</v>
      </c>
    </row>
    <row r="870" spans="1:26" x14ac:dyDescent="0.25">
      <c r="A870" t="s">
        <v>53</v>
      </c>
      <c r="D870">
        <f t="shared" ref="D870:W870" si="648">D144*D210</f>
        <v>1074.6727120092953</v>
      </c>
      <c r="E870">
        <f t="shared" si="648"/>
        <v>659.39060959613926</v>
      </c>
      <c r="F870">
        <f t="shared" si="648"/>
        <v>647.75324061392757</v>
      </c>
      <c r="G870">
        <f t="shared" si="648"/>
        <v>512.14701301418052</v>
      </c>
      <c r="H870">
        <f t="shared" si="648"/>
        <v>306.81340574498802</v>
      </c>
      <c r="I870">
        <f t="shared" si="648"/>
        <v>300.92439944856358</v>
      </c>
      <c r="J870">
        <f t="shared" si="648"/>
        <v>466.64750872069487</v>
      </c>
      <c r="K870">
        <f t="shared" si="648"/>
        <v>540.61307513383827</v>
      </c>
      <c r="L870">
        <f t="shared" si="648"/>
        <v>462.25122495757091</v>
      </c>
      <c r="M870">
        <f t="shared" si="648"/>
        <v>444.14701840388017</v>
      </c>
      <c r="N870">
        <f t="shared" si="648"/>
        <v>362.66650338892003</v>
      </c>
      <c r="O870">
        <f t="shared" si="648"/>
        <v>503.54546564116481</v>
      </c>
      <c r="P870">
        <f t="shared" si="648"/>
        <v>404.35792334863783</v>
      </c>
      <c r="Q870">
        <f t="shared" si="648"/>
        <v>347.32442551584262</v>
      </c>
      <c r="R870">
        <f t="shared" si="648"/>
        <v>552.88397068388599</v>
      </c>
      <c r="S870">
        <f t="shared" si="648"/>
        <v>622.72587824102141</v>
      </c>
      <c r="T870">
        <f t="shared" si="648"/>
        <v>517.2336290157815</v>
      </c>
      <c r="U870">
        <f t="shared" si="648"/>
        <v>398.70794400373785</v>
      </c>
      <c r="V870">
        <f t="shared" si="648"/>
        <v>188.54720382371968</v>
      </c>
      <c r="W870">
        <f t="shared" si="648"/>
        <v>215.85764450360776</v>
      </c>
      <c r="Y870" s="14">
        <f t="shared" si="637"/>
        <v>9529.2107958093984</v>
      </c>
      <c r="Z870">
        <f t="shared" si="638"/>
        <v>936.05075771232407</v>
      </c>
    </row>
    <row r="871" spans="1:26" x14ac:dyDescent="0.25">
      <c r="A871" t="s">
        <v>54</v>
      </c>
      <c r="D871">
        <f t="shared" ref="D871:W871" si="649">D145*D211</f>
        <v>207.21263343224498</v>
      </c>
      <c r="E871">
        <f t="shared" si="649"/>
        <v>393.97329344567305</v>
      </c>
      <c r="F871">
        <f t="shared" si="649"/>
        <v>415.70953050959611</v>
      </c>
      <c r="G871">
        <f t="shared" si="649"/>
        <v>277.11921854805172</v>
      </c>
      <c r="H871">
        <f t="shared" si="649"/>
        <v>213.12372190129085</v>
      </c>
      <c r="I871">
        <f t="shared" si="649"/>
        <v>171.61687503012723</v>
      </c>
      <c r="J871">
        <f t="shared" si="649"/>
        <v>243.83693699633926</v>
      </c>
      <c r="K871">
        <f t="shared" si="649"/>
        <v>215.20035662869327</v>
      </c>
      <c r="L871">
        <f t="shared" si="649"/>
        <v>195.62344697447946</v>
      </c>
      <c r="M871">
        <f t="shared" si="649"/>
        <v>181.90554102768039</v>
      </c>
      <c r="N871">
        <f t="shared" si="649"/>
        <v>225.68834987405367</v>
      </c>
      <c r="O871">
        <f t="shared" si="649"/>
        <v>230.2943424936305</v>
      </c>
      <c r="P871">
        <f t="shared" si="649"/>
        <v>269.21498278934575</v>
      </c>
      <c r="Q871">
        <f t="shared" si="649"/>
        <v>238.44920574881513</v>
      </c>
      <c r="R871">
        <f t="shared" si="649"/>
        <v>197.21364370775748</v>
      </c>
      <c r="S871">
        <f t="shared" si="649"/>
        <v>200.75992233593598</v>
      </c>
      <c r="T871">
        <f t="shared" si="649"/>
        <v>232.13665968216878</v>
      </c>
      <c r="U871">
        <f t="shared" si="649"/>
        <v>360.97944819328205</v>
      </c>
      <c r="V871">
        <f t="shared" si="649"/>
        <v>219.2076791232646</v>
      </c>
      <c r="W871">
        <f t="shared" si="649"/>
        <v>278.76427320012613</v>
      </c>
      <c r="Y871" s="14">
        <f t="shared" si="637"/>
        <v>4968.0300616425575</v>
      </c>
      <c r="Z871">
        <f t="shared" si="638"/>
        <v>306.35985857467119</v>
      </c>
    </row>
    <row r="872" spans="1:26" x14ac:dyDescent="0.25">
      <c r="A872" t="s">
        <v>55</v>
      </c>
      <c r="D872">
        <f t="shared" ref="D872:W872" si="650">D146*D212</f>
        <v>424.51825397985505</v>
      </c>
      <c r="E872">
        <f t="shared" si="650"/>
        <v>287.14324269635802</v>
      </c>
      <c r="F872">
        <f t="shared" si="650"/>
        <v>174.00744975599159</v>
      </c>
      <c r="G872">
        <f t="shared" si="650"/>
        <v>228.60167655105573</v>
      </c>
      <c r="H872">
        <f t="shared" si="650"/>
        <v>134.66909900323287</v>
      </c>
      <c r="I872">
        <f t="shared" si="650"/>
        <v>144.23338743600144</v>
      </c>
      <c r="J872">
        <f t="shared" si="650"/>
        <v>121.05611693973376</v>
      </c>
      <c r="K872">
        <f t="shared" si="650"/>
        <v>124.79550045605569</v>
      </c>
      <c r="L872">
        <f t="shared" si="650"/>
        <v>127.71823783130083</v>
      </c>
      <c r="M872">
        <f t="shared" si="650"/>
        <v>304.67178696412299</v>
      </c>
      <c r="N872">
        <f t="shared" si="650"/>
        <v>361.64484046275999</v>
      </c>
      <c r="O872">
        <f t="shared" si="650"/>
        <v>525.52228520410733</v>
      </c>
      <c r="P872">
        <f t="shared" si="650"/>
        <v>177.03651496218001</v>
      </c>
      <c r="Q872">
        <f t="shared" si="650"/>
        <v>219.45217248328225</v>
      </c>
      <c r="R872">
        <f t="shared" si="650"/>
        <v>183.45187255953314</v>
      </c>
      <c r="S872">
        <f t="shared" si="650"/>
        <v>157.88367880162133</v>
      </c>
      <c r="T872">
        <f t="shared" si="650"/>
        <v>138.76962289422482</v>
      </c>
      <c r="U872">
        <f t="shared" si="650"/>
        <v>164.66625514765434</v>
      </c>
      <c r="V872">
        <f t="shared" si="650"/>
        <v>186.0038085630022</v>
      </c>
      <c r="W872">
        <f t="shared" si="650"/>
        <v>620.50356338692177</v>
      </c>
      <c r="Y872" s="14">
        <f t="shared" si="637"/>
        <v>4806.3493660789954</v>
      </c>
      <c r="Z872">
        <f t="shared" si="638"/>
        <v>456.06416001228524</v>
      </c>
    </row>
    <row r="873" spans="1:26" x14ac:dyDescent="0.25">
      <c r="A873" t="s">
        <v>56</v>
      </c>
      <c r="D873">
        <f t="shared" ref="D873:W873" si="651">D147*D213</f>
        <v>807.16453056743762</v>
      </c>
      <c r="E873">
        <f t="shared" si="651"/>
        <v>421.44142252525984</v>
      </c>
      <c r="F873">
        <f t="shared" si="651"/>
        <v>267.88712395097264</v>
      </c>
      <c r="G873">
        <f t="shared" si="651"/>
        <v>330.70377029453158</v>
      </c>
      <c r="H873">
        <f t="shared" si="651"/>
        <v>210.46480360312603</v>
      </c>
      <c r="I873">
        <f t="shared" si="651"/>
        <v>315.60795824173601</v>
      </c>
      <c r="J873">
        <f t="shared" si="651"/>
        <v>485.76605835380616</v>
      </c>
      <c r="K873">
        <f t="shared" si="651"/>
        <v>439.94211939946393</v>
      </c>
      <c r="L873">
        <f t="shared" si="651"/>
        <v>362.11674395552518</v>
      </c>
      <c r="M873">
        <f t="shared" si="651"/>
        <v>341.90308644202241</v>
      </c>
      <c r="N873">
        <f t="shared" si="651"/>
        <v>849.90290781880469</v>
      </c>
      <c r="O873">
        <f t="shared" si="651"/>
        <v>610.46304450991522</v>
      </c>
      <c r="P873">
        <f t="shared" si="651"/>
        <v>746.05163483793342</v>
      </c>
      <c r="Q873">
        <f t="shared" si="651"/>
        <v>798.67353353565181</v>
      </c>
      <c r="R873">
        <f t="shared" si="651"/>
        <v>200.13556696562529</v>
      </c>
      <c r="S873">
        <f t="shared" si="651"/>
        <v>398.35100586423096</v>
      </c>
      <c r="T873">
        <f t="shared" si="651"/>
        <v>518.27485549251867</v>
      </c>
      <c r="U873">
        <f t="shared" si="651"/>
        <v>214.46704947062744</v>
      </c>
      <c r="V873">
        <f t="shared" si="651"/>
        <v>206.66561160404797</v>
      </c>
      <c r="W873">
        <f t="shared" si="651"/>
        <v>398.35100586423096</v>
      </c>
      <c r="Y873" s="14">
        <f t="shared" si="637"/>
        <v>8924.333833297469</v>
      </c>
      <c r="Z873">
        <f t="shared" si="638"/>
        <v>739.03169253319334</v>
      </c>
    </row>
    <row r="874" spans="1:26" x14ac:dyDescent="0.25">
      <c r="A874" t="s">
        <v>57</v>
      </c>
      <c r="D874">
        <f t="shared" ref="D874:W874" si="652">D148*D214</f>
        <v>499.01808521390456</v>
      </c>
      <c r="E874">
        <f t="shared" si="652"/>
        <v>534.47584096795197</v>
      </c>
      <c r="F874">
        <f t="shared" si="652"/>
        <v>732.14316496157437</v>
      </c>
      <c r="G874">
        <f t="shared" si="652"/>
        <v>616.27823212910539</v>
      </c>
      <c r="H874">
        <f t="shared" si="652"/>
        <v>526.68792036270588</v>
      </c>
      <c r="I874">
        <f t="shared" si="652"/>
        <v>261.19661794971614</v>
      </c>
      <c r="J874">
        <f t="shared" si="652"/>
        <v>236.45127764310027</v>
      </c>
      <c r="K874">
        <f t="shared" si="652"/>
        <v>380.80374432893018</v>
      </c>
      <c r="L874">
        <f t="shared" si="652"/>
        <v>171.54655035935662</v>
      </c>
      <c r="M874">
        <f t="shared" si="652"/>
        <v>346.98479774011815</v>
      </c>
      <c r="N874">
        <f t="shared" si="652"/>
        <v>262.78396084366477</v>
      </c>
      <c r="O874">
        <f t="shared" si="652"/>
        <v>305.60555879166452</v>
      </c>
      <c r="P874">
        <f t="shared" si="652"/>
        <v>365.34264456950962</v>
      </c>
      <c r="Q874">
        <f t="shared" si="652"/>
        <v>356.64923730666641</v>
      </c>
      <c r="R874">
        <f t="shared" si="652"/>
        <v>614.81767879050278</v>
      </c>
      <c r="S874">
        <f t="shared" si="652"/>
        <v>432.8073583655717</v>
      </c>
      <c r="T874">
        <f t="shared" si="652"/>
        <v>483.19998827975922</v>
      </c>
      <c r="U874">
        <f t="shared" si="652"/>
        <v>373.29149771981298</v>
      </c>
      <c r="V874">
        <f t="shared" si="652"/>
        <v>746.57151343251451</v>
      </c>
      <c r="W874">
        <f t="shared" si="652"/>
        <v>827.08727825046753</v>
      </c>
      <c r="Y874" s="14">
        <f t="shared" si="637"/>
        <v>9073.7429480065985</v>
      </c>
      <c r="Z874">
        <f t="shared" si="638"/>
        <v>627.11153757512295</v>
      </c>
    </row>
    <row r="875" spans="1:26" x14ac:dyDescent="0.25">
      <c r="A875" t="s">
        <v>58</v>
      </c>
      <c r="D875">
        <f t="shared" ref="D875:W875" si="653">D149*D215</f>
        <v>329.93847042017228</v>
      </c>
      <c r="E875">
        <f t="shared" si="653"/>
        <v>412.73670677630247</v>
      </c>
      <c r="F875">
        <f t="shared" si="653"/>
        <v>227.79243249913756</v>
      </c>
      <c r="G875">
        <f t="shared" si="653"/>
        <v>288.3871443649486</v>
      </c>
      <c r="H875">
        <f t="shared" si="653"/>
        <v>348.25590232762863</v>
      </c>
      <c r="I875">
        <f t="shared" si="653"/>
        <v>122.87908424187202</v>
      </c>
      <c r="J875">
        <f t="shared" si="653"/>
        <v>318.35838473869825</v>
      </c>
      <c r="K875">
        <f t="shared" si="653"/>
        <v>339.14382730729659</v>
      </c>
      <c r="L875">
        <f t="shared" si="653"/>
        <v>257.62236859431499</v>
      </c>
      <c r="M875">
        <f t="shared" si="653"/>
        <v>122.88836638068891</v>
      </c>
      <c r="N875">
        <f t="shared" si="653"/>
        <v>313.69668069976757</v>
      </c>
      <c r="O875">
        <f t="shared" si="653"/>
        <v>210.74892575759912</v>
      </c>
      <c r="P875">
        <f t="shared" si="653"/>
        <v>309.63943065040178</v>
      </c>
      <c r="Q875">
        <f t="shared" si="653"/>
        <v>179.83340524866875</v>
      </c>
      <c r="R875">
        <f t="shared" si="653"/>
        <v>76.930199326300396</v>
      </c>
      <c r="S875">
        <f t="shared" si="653"/>
        <v>128.44297817224231</v>
      </c>
      <c r="T875">
        <f t="shared" si="653"/>
        <v>146.93838762081756</v>
      </c>
      <c r="U875">
        <f t="shared" si="653"/>
        <v>96.282147624633438</v>
      </c>
      <c r="V875">
        <f t="shared" si="653"/>
        <v>68.90192069515281</v>
      </c>
      <c r="W875">
        <f t="shared" si="653"/>
        <v>91.19108246636786</v>
      </c>
      <c r="Y875" s="14">
        <f t="shared" si="637"/>
        <v>4390.6078459130113</v>
      </c>
      <c r="Z875">
        <f t="shared" si="638"/>
        <v>410.48131307804567</v>
      </c>
    </row>
    <row r="876" spans="1:26" x14ac:dyDescent="0.25">
      <c r="A876" t="s">
        <v>59</v>
      </c>
      <c r="D876">
        <f t="shared" ref="D876:W876" si="654">D150*D216</f>
        <v>246.4721734556621</v>
      </c>
      <c r="E876">
        <f t="shared" si="654"/>
        <v>338.15193810065307</v>
      </c>
      <c r="F876">
        <f t="shared" si="654"/>
        <v>194.57761561345984</v>
      </c>
      <c r="G876">
        <f t="shared" si="654"/>
        <v>315.61588630991866</v>
      </c>
      <c r="H876">
        <f t="shared" si="654"/>
        <v>265.37546079936232</v>
      </c>
      <c r="I876">
        <f t="shared" si="654"/>
        <v>190.48693313747214</v>
      </c>
      <c r="J876">
        <f t="shared" si="654"/>
        <v>219.23015583646432</v>
      </c>
      <c r="K876">
        <f t="shared" si="654"/>
        <v>288.29983787461265</v>
      </c>
      <c r="L876">
        <f t="shared" si="654"/>
        <v>200.00939287762873</v>
      </c>
      <c r="M876">
        <f t="shared" si="654"/>
        <v>266.91954450275904</v>
      </c>
      <c r="N876">
        <f t="shared" si="654"/>
        <v>175.72348790435686</v>
      </c>
      <c r="O876">
        <f t="shared" si="654"/>
        <v>137.52777259082498</v>
      </c>
      <c r="P876">
        <f t="shared" si="654"/>
        <v>124.68541278011639</v>
      </c>
      <c r="Q876">
        <f t="shared" si="654"/>
        <v>155.05324587260509</v>
      </c>
      <c r="R876">
        <f t="shared" si="654"/>
        <v>253.76099063095182</v>
      </c>
      <c r="S876">
        <f t="shared" si="654"/>
        <v>258.5755542707173</v>
      </c>
      <c r="T876">
        <f t="shared" si="654"/>
        <v>89.815966357607451</v>
      </c>
      <c r="U876">
        <f t="shared" si="654"/>
        <v>121.79652033330679</v>
      </c>
      <c r="V876">
        <f t="shared" si="654"/>
        <v>282.55171682056772</v>
      </c>
      <c r="W876">
        <f t="shared" si="654"/>
        <v>116.12014902629328</v>
      </c>
      <c r="Y876" s="14">
        <f t="shared" si="637"/>
        <v>4240.7497550953403</v>
      </c>
      <c r="Z876">
        <f t="shared" si="638"/>
        <v>321.64533179456009</v>
      </c>
    </row>
    <row r="877" spans="1:26" x14ac:dyDescent="0.25">
      <c r="A877" t="s">
        <v>60</v>
      </c>
      <c r="D877">
        <f t="shared" ref="D877:W877" si="655">D151*D217</f>
        <v>256.91117776270352</v>
      </c>
      <c r="E877">
        <f t="shared" si="655"/>
        <v>230.36951298635319</v>
      </c>
      <c r="F877">
        <f t="shared" si="655"/>
        <v>202.09314492588561</v>
      </c>
      <c r="G877">
        <f t="shared" si="655"/>
        <v>83.249245034006194</v>
      </c>
      <c r="H877">
        <f t="shared" si="655"/>
        <v>117.06483912476075</v>
      </c>
      <c r="I877">
        <f t="shared" si="655"/>
        <v>156.71203757360945</v>
      </c>
      <c r="J877">
        <f t="shared" si="655"/>
        <v>101.09403382525559</v>
      </c>
      <c r="K877">
        <f t="shared" si="655"/>
        <v>252.95073071878051</v>
      </c>
      <c r="L877">
        <f t="shared" si="655"/>
        <v>109.45504701594606</v>
      </c>
      <c r="M877">
        <f t="shared" si="655"/>
        <v>308.81009979454115</v>
      </c>
      <c r="N877">
        <f t="shared" si="655"/>
        <v>207.41298905462381</v>
      </c>
      <c r="O877">
        <f t="shared" si="655"/>
        <v>241.41217433541178</v>
      </c>
      <c r="P877">
        <f t="shared" si="655"/>
        <v>136.19913143512682</v>
      </c>
      <c r="Q877">
        <f t="shared" si="655"/>
        <v>122.97088607469804</v>
      </c>
      <c r="R877">
        <f t="shared" si="655"/>
        <v>71.623382722490248</v>
      </c>
      <c r="S877">
        <f t="shared" si="655"/>
        <v>111.84299085321702</v>
      </c>
      <c r="T877">
        <f t="shared" si="655"/>
        <v>73.458954728246951</v>
      </c>
      <c r="U877">
        <f t="shared" si="655"/>
        <v>110.06715006497019</v>
      </c>
      <c r="V877">
        <f t="shared" si="655"/>
        <v>334.69406469502701</v>
      </c>
      <c r="W877">
        <f t="shared" si="655"/>
        <v>220.41707996768997</v>
      </c>
      <c r="Y877" s="14">
        <f t="shared" si="637"/>
        <v>3448.8086726933439</v>
      </c>
      <c r="Z877">
        <f t="shared" si="638"/>
        <v>286.71174462508816</v>
      </c>
    </row>
    <row r="878" spans="1:26" x14ac:dyDescent="0.25">
      <c r="A878" t="s">
        <v>61</v>
      </c>
      <c r="D878">
        <f t="shared" ref="D878:W878" si="656">D152*D218</f>
        <v>261.5312319448837</v>
      </c>
      <c r="E878">
        <f t="shared" si="656"/>
        <v>463.72171147157241</v>
      </c>
      <c r="F878">
        <f t="shared" si="656"/>
        <v>382.95587547497729</v>
      </c>
      <c r="G878">
        <f t="shared" si="656"/>
        <v>456.69108679992303</v>
      </c>
      <c r="H878">
        <f t="shared" si="656"/>
        <v>424.0071247386955</v>
      </c>
      <c r="I878">
        <f t="shared" si="656"/>
        <v>598.37329334676167</v>
      </c>
      <c r="J878">
        <f t="shared" si="656"/>
        <v>506.74619819290223</v>
      </c>
      <c r="K878">
        <f t="shared" si="656"/>
        <v>275.15338142131856</v>
      </c>
      <c r="L878">
        <f t="shared" si="656"/>
        <v>403.42379941593362</v>
      </c>
      <c r="M878">
        <f t="shared" si="656"/>
        <v>360.22537061072791</v>
      </c>
      <c r="N878">
        <f t="shared" si="656"/>
        <v>257.47163909082917</v>
      </c>
      <c r="O878">
        <f t="shared" si="656"/>
        <v>341.87449751049854</v>
      </c>
      <c r="P878">
        <f t="shared" si="656"/>
        <v>579.19953527660402</v>
      </c>
      <c r="Q878">
        <f t="shared" si="656"/>
        <v>527.91034705598122</v>
      </c>
      <c r="R878">
        <f t="shared" si="656"/>
        <v>466.95960463934568</v>
      </c>
      <c r="S878">
        <f t="shared" si="656"/>
        <v>460.97669669002175</v>
      </c>
      <c r="T878">
        <f t="shared" si="656"/>
        <v>341.76872359834073</v>
      </c>
      <c r="U878">
        <f t="shared" si="656"/>
        <v>414.31064221067379</v>
      </c>
      <c r="V878">
        <f t="shared" si="656"/>
        <v>356.8685204870564</v>
      </c>
      <c r="W878">
        <f t="shared" si="656"/>
        <v>361.58242213439786</v>
      </c>
      <c r="Y878" s="14">
        <f t="shared" si="637"/>
        <v>8241.7517021114436</v>
      </c>
      <c r="Z878">
        <f t="shared" si="638"/>
        <v>508.91175412928703</v>
      </c>
    </row>
    <row r="879" spans="1:26" x14ac:dyDescent="0.25">
      <c r="A879" t="s">
        <v>62</v>
      </c>
      <c r="D879">
        <f t="shared" ref="D879:W879" si="657">D153*D219</f>
        <v>876.40088536853489</v>
      </c>
      <c r="E879">
        <f t="shared" si="657"/>
        <v>233.03037268108315</v>
      </c>
      <c r="F879">
        <f t="shared" si="657"/>
        <v>294.41875277177189</v>
      </c>
      <c r="G879">
        <f t="shared" si="657"/>
        <v>326.71378371215957</v>
      </c>
      <c r="H879">
        <f t="shared" si="657"/>
        <v>602.34372367001049</v>
      </c>
      <c r="I879">
        <f t="shared" si="657"/>
        <v>723.38888024287326</v>
      </c>
      <c r="J879">
        <f t="shared" si="657"/>
        <v>837.82433688376375</v>
      </c>
      <c r="K879">
        <f t="shared" si="657"/>
        <v>564.01070436017085</v>
      </c>
      <c r="L879">
        <f t="shared" si="657"/>
        <v>718.94052201679597</v>
      </c>
      <c r="M879">
        <f t="shared" si="657"/>
        <v>639.13085118724371</v>
      </c>
      <c r="N879">
        <f t="shared" si="657"/>
        <v>456.26723187944435</v>
      </c>
      <c r="O879">
        <f t="shared" si="657"/>
        <v>487.26431308033693</v>
      </c>
      <c r="P879">
        <f t="shared" si="657"/>
        <v>293.6855179329396</v>
      </c>
      <c r="Q879">
        <f t="shared" si="657"/>
        <v>231.08705631737044</v>
      </c>
      <c r="R879">
        <f t="shared" si="657"/>
        <v>190.73564552548626</v>
      </c>
      <c r="S879">
        <f t="shared" si="657"/>
        <v>398.75539597798956</v>
      </c>
      <c r="T879">
        <f t="shared" si="657"/>
        <v>468.67600500693078</v>
      </c>
      <c r="U879">
        <f t="shared" si="657"/>
        <v>306.79415645908335</v>
      </c>
      <c r="V879">
        <f t="shared" si="657"/>
        <v>237.78840240048336</v>
      </c>
      <c r="W879">
        <f t="shared" si="657"/>
        <v>344.37150841448511</v>
      </c>
      <c r="Y879" s="14">
        <f t="shared" si="637"/>
        <v>9231.6280458889596</v>
      </c>
      <c r="Z879">
        <f t="shared" si="638"/>
        <v>1078.8470333312132</v>
      </c>
    </row>
    <row r="880" spans="1:26" x14ac:dyDescent="0.25">
      <c r="A880" t="s">
        <v>63</v>
      </c>
      <c r="D880">
        <f t="shared" ref="D880:W880" si="658">D154*D220</f>
        <v>220.72072342271565</v>
      </c>
      <c r="E880">
        <f t="shared" si="658"/>
        <v>339.26234741062001</v>
      </c>
      <c r="F880">
        <f t="shared" si="658"/>
        <v>332.26641848406939</v>
      </c>
      <c r="G880">
        <f t="shared" si="658"/>
        <v>332.66183104553483</v>
      </c>
      <c r="H880">
        <f t="shared" si="658"/>
        <v>253.11324341554402</v>
      </c>
      <c r="I880">
        <f t="shared" si="658"/>
        <v>347.38912761965992</v>
      </c>
      <c r="J880">
        <f t="shared" si="658"/>
        <v>548.82957247417721</v>
      </c>
      <c r="K880">
        <f t="shared" si="658"/>
        <v>435.10204735009796</v>
      </c>
      <c r="L880">
        <f t="shared" si="658"/>
        <v>288.3562931075212</v>
      </c>
      <c r="M880">
        <f t="shared" si="658"/>
        <v>362.59373576844951</v>
      </c>
      <c r="N880">
        <f t="shared" si="658"/>
        <v>545.34784615877322</v>
      </c>
      <c r="O880">
        <f t="shared" si="658"/>
        <v>568.69110144743001</v>
      </c>
      <c r="P880">
        <f t="shared" si="658"/>
        <v>354.45179323132697</v>
      </c>
      <c r="Q880">
        <f t="shared" si="658"/>
        <v>473.93808937007731</v>
      </c>
      <c r="R880">
        <f t="shared" si="658"/>
        <v>704.84527872305023</v>
      </c>
      <c r="S880">
        <f t="shared" si="658"/>
        <v>743.13395040733872</v>
      </c>
      <c r="T880">
        <f t="shared" si="658"/>
        <v>313.55383723664772</v>
      </c>
      <c r="U880">
        <f t="shared" si="658"/>
        <v>147.28067309980582</v>
      </c>
      <c r="V880">
        <f t="shared" si="658"/>
        <v>240.52176607584803</v>
      </c>
      <c r="W880">
        <f t="shared" si="658"/>
        <v>272.76300758387572</v>
      </c>
      <c r="Y880" s="14">
        <f t="shared" si="637"/>
        <v>7824.8226834325642</v>
      </c>
      <c r="Z880">
        <f t="shared" si="638"/>
        <v>392.37736198910386</v>
      </c>
    </row>
    <row r="881" spans="1:26" x14ac:dyDescent="0.25">
      <c r="A881" t="s">
        <v>64</v>
      </c>
      <c r="D881">
        <f t="shared" ref="D881:W881" si="659">D155*D221</f>
        <v>209.44402572122209</v>
      </c>
      <c r="E881">
        <f t="shared" si="659"/>
        <v>528.18710887824</v>
      </c>
      <c r="F881">
        <f t="shared" si="659"/>
        <v>1289.6029381362575</v>
      </c>
      <c r="G881">
        <f t="shared" si="659"/>
        <v>388.22869196699537</v>
      </c>
      <c r="H881">
        <f t="shared" si="659"/>
        <v>350.0452171514367</v>
      </c>
      <c r="I881">
        <f t="shared" si="659"/>
        <v>384.17493780304596</v>
      </c>
      <c r="J881">
        <f t="shared" si="659"/>
        <v>432.76226528305847</v>
      </c>
      <c r="K881">
        <f t="shared" si="659"/>
        <v>450.10778209408397</v>
      </c>
      <c r="L881">
        <f t="shared" si="659"/>
        <v>387.94115206633751</v>
      </c>
      <c r="M881">
        <f t="shared" si="659"/>
        <v>273.91600682374553</v>
      </c>
      <c r="N881">
        <f t="shared" si="659"/>
        <v>295.41505447035871</v>
      </c>
      <c r="O881">
        <f t="shared" si="659"/>
        <v>339.42906943986549</v>
      </c>
      <c r="P881">
        <f t="shared" si="659"/>
        <v>314.72892822265896</v>
      </c>
      <c r="Q881">
        <f t="shared" si="659"/>
        <v>496.74510375363764</v>
      </c>
      <c r="R881">
        <f t="shared" si="659"/>
        <v>444.37393250243798</v>
      </c>
      <c r="S881">
        <f t="shared" si="659"/>
        <v>155.73104296016638</v>
      </c>
      <c r="T881">
        <f t="shared" si="659"/>
        <v>271.83998360765702</v>
      </c>
      <c r="U881">
        <f t="shared" si="659"/>
        <v>303.2930931413066</v>
      </c>
      <c r="V881">
        <f t="shared" si="659"/>
        <v>658.73896819120671</v>
      </c>
      <c r="W881">
        <f t="shared" si="659"/>
        <v>360.71371121941195</v>
      </c>
      <c r="Y881" s="14">
        <f t="shared" si="637"/>
        <v>8335.4190134331293</v>
      </c>
      <c r="Z881">
        <f t="shared" si="638"/>
        <v>422.9748623957708</v>
      </c>
    </row>
    <row r="882" spans="1:26" x14ac:dyDescent="0.25">
      <c r="A882" t="s">
        <v>65</v>
      </c>
      <c r="D882">
        <f t="shared" ref="D882:W882" si="660">D156*D222</f>
        <v>562.76722441790253</v>
      </c>
      <c r="E882">
        <f t="shared" si="660"/>
        <v>678.86188423212684</v>
      </c>
      <c r="F882">
        <f t="shared" si="660"/>
        <v>740.56775357921094</v>
      </c>
      <c r="G882">
        <f t="shared" si="660"/>
        <v>1028.3428413730578</v>
      </c>
      <c r="H882">
        <f t="shared" si="660"/>
        <v>758.00937323904191</v>
      </c>
      <c r="I882">
        <f t="shared" si="660"/>
        <v>606.81648993330475</v>
      </c>
      <c r="J882">
        <f t="shared" si="660"/>
        <v>383.90589447132652</v>
      </c>
      <c r="K882">
        <f t="shared" si="660"/>
        <v>618.7617408024621</v>
      </c>
      <c r="L882">
        <f t="shared" si="660"/>
        <v>474.00980464652162</v>
      </c>
      <c r="M882">
        <f t="shared" si="660"/>
        <v>239.18766987277291</v>
      </c>
      <c r="N882">
        <f t="shared" si="660"/>
        <v>397.39192913240504</v>
      </c>
      <c r="O882">
        <f t="shared" si="660"/>
        <v>416.61941873421063</v>
      </c>
      <c r="P882">
        <f t="shared" si="660"/>
        <v>303.44803880922791</v>
      </c>
      <c r="Q882">
        <f t="shared" si="660"/>
        <v>220.97959133300475</v>
      </c>
      <c r="R882">
        <f t="shared" si="660"/>
        <v>209.68987650107556</v>
      </c>
      <c r="S882">
        <f t="shared" si="660"/>
        <v>286.38402683755538</v>
      </c>
      <c r="T882">
        <f t="shared" si="660"/>
        <v>233.03555067305561</v>
      </c>
      <c r="U882">
        <f t="shared" si="660"/>
        <v>326.27532017834284</v>
      </c>
      <c r="V882">
        <f t="shared" si="660"/>
        <v>555.64597015527193</v>
      </c>
      <c r="W882">
        <f t="shared" si="660"/>
        <v>778.43011569401699</v>
      </c>
      <c r="Y882" s="14">
        <f t="shared" si="637"/>
        <v>9819.1305146158938</v>
      </c>
      <c r="Z882">
        <f t="shared" si="638"/>
        <v>987.18083453189706</v>
      </c>
    </row>
    <row r="883" spans="1:26" x14ac:dyDescent="0.25">
      <c r="A883" t="s">
        <v>66</v>
      </c>
      <c r="D883">
        <f t="shared" ref="D883:W883" si="661">D157*D223</f>
        <v>1103.5871104314888</v>
      </c>
      <c r="E883">
        <f t="shared" si="661"/>
        <v>775.18808177680376</v>
      </c>
      <c r="F883">
        <f t="shared" si="661"/>
        <v>828.73859180427132</v>
      </c>
      <c r="G883">
        <f t="shared" si="661"/>
        <v>645.60322189540739</v>
      </c>
      <c r="H883">
        <f t="shared" si="661"/>
        <v>438.95531515978712</v>
      </c>
      <c r="I883">
        <f t="shared" si="661"/>
        <v>620.07483778523647</v>
      </c>
      <c r="J883">
        <f t="shared" si="661"/>
        <v>381.20509353103262</v>
      </c>
      <c r="K883">
        <f t="shared" si="661"/>
        <v>355.60464599259473</v>
      </c>
      <c r="L883">
        <f t="shared" si="661"/>
        <v>342.2390558052137</v>
      </c>
      <c r="M883">
        <f t="shared" si="661"/>
        <v>410.4617046998066</v>
      </c>
      <c r="N883">
        <f t="shared" si="661"/>
        <v>797.9305496457556</v>
      </c>
      <c r="O883">
        <f t="shared" si="661"/>
        <v>709.44125822583567</v>
      </c>
      <c r="P883">
        <f t="shared" si="661"/>
        <v>621.76740914731124</v>
      </c>
      <c r="Q883">
        <f t="shared" si="661"/>
        <v>604.34275260247466</v>
      </c>
      <c r="R883">
        <f t="shared" si="661"/>
        <v>575.54159697542832</v>
      </c>
      <c r="S883">
        <f t="shared" si="661"/>
        <v>552.75823570956368</v>
      </c>
      <c r="T883">
        <f t="shared" si="661"/>
        <v>606.50855175614333</v>
      </c>
      <c r="U883">
        <f t="shared" si="661"/>
        <v>624.12198962223465</v>
      </c>
      <c r="V883">
        <f t="shared" si="661"/>
        <v>605.06015343547654</v>
      </c>
      <c r="W883">
        <f t="shared" si="661"/>
        <v>913.59858924845025</v>
      </c>
      <c r="Y883" s="14">
        <f t="shared" si="637"/>
        <v>12512.728745250317</v>
      </c>
      <c r="Z883">
        <f t="shared" si="638"/>
        <v>1094.0391218728505</v>
      </c>
    </row>
    <row r="884" spans="1:26" x14ac:dyDescent="0.25">
      <c r="Y884" s="14"/>
    </row>
    <row r="885" spans="1:26" x14ac:dyDescent="0.25">
      <c r="A885" t="s">
        <v>67</v>
      </c>
      <c r="D885">
        <f t="shared" ref="D885:W885" si="662">D159*D225</f>
        <v>985.06178738432459</v>
      </c>
      <c r="E885">
        <f t="shared" si="662"/>
        <v>680.69920370477132</v>
      </c>
      <c r="F885">
        <f t="shared" si="662"/>
        <v>706.36248242716511</v>
      </c>
      <c r="G885">
        <f t="shared" si="662"/>
        <v>820.84715063352257</v>
      </c>
      <c r="H885">
        <f t="shared" si="662"/>
        <v>763.67236028942648</v>
      </c>
      <c r="I885">
        <f t="shared" si="662"/>
        <v>876.49661934768517</v>
      </c>
      <c r="J885">
        <f t="shared" si="662"/>
        <v>787.51287834151526</v>
      </c>
      <c r="K885">
        <f t="shared" si="662"/>
        <v>762.43384216035759</v>
      </c>
      <c r="L885">
        <f t="shared" si="662"/>
        <v>503.8725423676517</v>
      </c>
      <c r="M885">
        <f t="shared" si="662"/>
        <v>297.6895739673933</v>
      </c>
      <c r="N885">
        <f t="shared" si="662"/>
        <v>295.08725904089169</v>
      </c>
      <c r="O885">
        <f t="shared" si="662"/>
        <v>314.11543066814926</v>
      </c>
      <c r="P885">
        <f t="shared" si="662"/>
        <v>296.96039265408814</v>
      </c>
      <c r="Q885">
        <f t="shared" si="662"/>
        <v>290.17615221381641</v>
      </c>
      <c r="R885">
        <f t="shared" si="662"/>
        <v>299.91808095915167</v>
      </c>
      <c r="S885">
        <f t="shared" si="662"/>
        <v>304.3402836841052</v>
      </c>
      <c r="T885">
        <f t="shared" si="662"/>
        <v>248.99967512134862</v>
      </c>
      <c r="U885">
        <f t="shared" si="662"/>
        <v>229.3020211787404</v>
      </c>
      <c r="V885">
        <f t="shared" si="662"/>
        <v>357.507813549947</v>
      </c>
      <c r="W885">
        <f t="shared" si="662"/>
        <v>336.67609072230368</v>
      </c>
      <c r="Y885" s="14">
        <f t="shared" si="637"/>
        <v>10157.731640416356</v>
      </c>
      <c r="Z885">
        <f>SUMPRODUCT($D$889:$W$889,D885:W885)</f>
        <v>1192.8298722871989</v>
      </c>
    </row>
    <row r="886" spans="1:26" x14ac:dyDescent="0.25">
      <c r="A886" t="s">
        <v>311</v>
      </c>
      <c r="D886">
        <f t="shared" ref="D886:W886" si="663">D160*D226</f>
        <v>764.03469387755092</v>
      </c>
      <c r="E886">
        <f t="shared" si="663"/>
        <v>665.2714285714286</v>
      </c>
      <c r="F886">
        <f t="shared" si="663"/>
        <v>540.25306122448978</v>
      </c>
      <c r="G886">
        <f t="shared" si="663"/>
        <v>450.23265306122448</v>
      </c>
      <c r="H886">
        <f t="shared" si="663"/>
        <v>589.58775510204077</v>
      </c>
      <c r="I886">
        <f t="shared" si="663"/>
        <v>496.90408163265295</v>
      </c>
      <c r="J886">
        <f t="shared" si="663"/>
        <v>418.62857142857143</v>
      </c>
      <c r="K886">
        <f t="shared" si="663"/>
        <v>422.28367346938779</v>
      </c>
      <c r="L886">
        <f t="shared" si="663"/>
        <v>637.84531249999998</v>
      </c>
      <c r="M886">
        <f t="shared" si="663"/>
        <v>697.30000000000007</v>
      </c>
      <c r="N886">
        <f t="shared" si="663"/>
        <v>605.86122448979586</v>
      </c>
      <c r="O886">
        <f t="shared" si="663"/>
        <v>394.20000000000005</v>
      </c>
      <c r="P886">
        <f t="shared" si="663"/>
        <v>491.15778789835366</v>
      </c>
      <c r="Q886">
        <f t="shared" si="663"/>
        <v>632.2381684758418</v>
      </c>
      <c r="R886">
        <f t="shared" si="663"/>
        <v>565.94216444813992</v>
      </c>
      <c r="S886">
        <f t="shared" si="663"/>
        <v>636.60739893571781</v>
      </c>
      <c r="T886">
        <f t="shared" si="663"/>
        <v>265.58000000000004</v>
      </c>
      <c r="U886">
        <f t="shared" si="663"/>
        <v>228.41</v>
      </c>
      <c r="V886">
        <f t="shared" si="663"/>
        <v>353.1</v>
      </c>
      <c r="W886">
        <f t="shared" si="663"/>
        <v>349.20000000000005</v>
      </c>
      <c r="Y886" s="14">
        <f t="shared" si="637"/>
        <v>10204.637975115194</v>
      </c>
      <c r="Z886">
        <f>SUMPRODUCT($D$889:$W$889,D886:W886)</f>
        <v>807.11181426823305</v>
      </c>
    </row>
    <row r="887" spans="1:26" x14ac:dyDescent="0.25">
      <c r="A887" t="s">
        <v>312</v>
      </c>
      <c r="D887">
        <f t="shared" ref="D887:W887" si="664">D161*D227</f>
        <v>355.82620672801022</v>
      </c>
      <c r="E887">
        <f t="shared" si="664"/>
        <v>397.28408272154309</v>
      </c>
      <c r="F887">
        <f t="shared" si="664"/>
        <v>421.72920283136619</v>
      </c>
      <c r="G887">
        <f t="shared" si="664"/>
        <v>376.77755281254576</v>
      </c>
      <c r="H887">
        <f t="shared" si="664"/>
        <v>372.21794210594231</v>
      </c>
      <c r="I887">
        <f t="shared" si="664"/>
        <v>353.36063939959695</v>
      </c>
      <c r="J887">
        <f t="shared" si="664"/>
        <v>382.82176409780891</v>
      </c>
      <c r="K887">
        <f t="shared" si="664"/>
        <v>390.00774952577859</v>
      </c>
      <c r="L887">
        <f t="shared" si="664"/>
        <v>323.33418669629305</v>
      </c>
      <c r="M887">
        <f t="shared" si="664"/>
        <v>312.51023437645057</v>
      </c>
      <c r="N887">
        <f t="shared" si="664"/>
        <v>320.55893577364435</v>
      </c>
      <c r="O887">
        <f t="shared" si="664"/>
        <v>328.40739860985548</v>
      </c>
      <c r="P887">
        <f t="shared" si="664"/>
        <v>305.22701978650372</v>
      </c>
      <c r="Q887">
        <f t="shared" si="664"/>
        <v>342.8948679336583</v>
      </c>
      <c r="R887">
        <f t="shared" si="664"/>
        <v>352.99676725729171</v>
      </c>
      <c r="S887">
        <f t="shared" si="664"/>
        <v>352.03302027377663</v>
      </c>
      <c r="T887">
        <f t="shared" si="664"/>
        <v>297.11502881065894</v>
      </c>
      <c r="U887">
        <f t="shared" si="664"/>
        <v>237.97297925891459</v>
      </c>
      <c r="V887">
        <f t="shared" si="664"/>
        <v>359.5472164360358</v>
      </c>
      <c r="W887">
        <f t="shared" si="664"/>
        <v>318.99349728399551</v>
      </c>
      <c r="Y887" s="14">
        <f t="shared" si="637"/>
        <v>6901.6162927196719</v>
      </c>
      <c r="Z887">
        <f>SUMPRODUCT($D$889:$W$889,D887:W887)</f>
        <v>506.80357894842007</v>
      </c>
    </row>
    <row r="888" spans="1:26" x14ac:dyDescent="0.25">
      <c r="A888" t="s">
        <v>674</v>
      </c>
      <c r="D888">
        <f t="shared" ref="D888:W888" si="665">D162*D228</f>
        <v>568.75399149595728</v>
      </c>
      <c r="E888">
        <f t="shared" si="665"/>
        <v>603.0074857309769</v>
      </c>
      <c r="F888">
        <f t="shared" si="665"/>
        <v>298.99818307536231</v>
      </c>
      <c r="G888">
        <f t="shared" si="665"/>
        <v>504.11454620773981</v>
      </c>
      <c r="H888">
        <f t="shared" si="665"/>
        <v>459.76223724140971</v>
      </c>
      <c r="I888">
        <f t="shared" si="665"/>
        <v>304.09634313791645</v>
      </c>
      <c r="J888">
        <f t="shared" si="665"/>
        <v>333.27584086417903</v>
      </c>
      <c r="K888">
        <f t="shared" si="665"/>
        <v>340.86887337472007</v>
      </c>
      <c r="L888">
        <f t="shared" si="665"/>
        <v>288.0427999570739</v>
      </c>
      <c r="M888">
        <f t="shared" si="665"/>
        <v>344.19108126820424</v>
      </c>
      <c r="N888">
        <f t="shared" si="665"/>
        <v>356.1083326434528</v>
      </c>
      <c r="O888">
        <f t="shared" si="665"/>
        <v>369.87756018479649</v>
      </c>
      <c r="P888">
        <f t="shared" si="665"/>
        <v>283.73060925842577</v>
      </c>
      <c r="Q888">
        <f t="shared" si="665"/>
        <v>246.87146093547793</v>
      </c>
      <c r="R888">
        <f t="shared" si="665"/>
        <v>312.27495371890274</v>
      </c>
      <c r="S888">
        <f t="shared" si="665"/>
        <v>306.61478911228522</v>
      </c>
      <c r="T888">
        <f t="shared" si="665"/>
        <v>266.98016383284715</v>
      </c>
      <c r="U888">
        <f t="shared" si="665"/>
        <v>231.8080101445816</v>
      </c>
      <c r="V888">
        <f t="shared" si="665"/>
        <v>292.57399884281494</v>
      </c>
      <c r="W888">
        <f t="shared" si="665"/>
        <v>321.99012824027989</v>
      </c>
      <c r="Y888" s="14">
        <f t="shared" ref="Y888" si="666">SUM(D888:W888)</f>
        <v>7033.9413892674038</v>
      </c>
      <c r="Z888">
        <f>SUMPRODUCT($D$889:$W$889,D888:W888)</f>
        <v>630.55469827768695</v>
      </c>
    </row>
    <row r="889" spans="1:26" x14ac:dyDescent="0.25">
      <c r="A889" s="2" t="s">
        <v>68</v>
      </c>
      <c r="D889" s="3">
        <f>CORREL($B$2:$B$25,D860:D883)</f>
        <v>0.57772069616934296</v>
      </c>
      <c r="E889" s="3">
        <f t="shared" ref="E889:W889" si="667">CORREL($B$2:$B$25,E860:E883)</f>
        <v>-3.6902554941677421E-2</v>
      </c>
      <c r="F889" s="3">
        <f t="shared" si="667"/>
        <v>-2.5183801158268161E-2</v>
      </c>
      <c r="G889" s="3">
        <f t="shared" si="667"/>
        <v>9.3704047684338362E-2</v>
      </c>
      <c r="H889" s="3">
        <f t="shared" si="667"/>
        <v>0.10902647100477515</v>
      </c>
      <c r="I889" s="3">
        <f t="shared" si="667"/>
        <v>0.18481022211369591</v>
      </c>
      <c r="J889" s="3">
        <f t="shared" si="667"/>
        <v>7.5024820777793808E-2</v>
      </c>
      <c r="K889" s="3">
        <f t="shared" si="667"/>
        <v>0.1542192539045224</v>
      </c>
      <c r="L889" s="3">
        <f t="shared" si="667"/>
        <v>0.29964290044769964</v>
      </c>
      <c r="M889" s="3">
        <f t="shared" si="667"/>
        <v>-0.12840657569513425</v>
      </c>
      <c r="N889" s="3">
        <f t="shared" si="667"/>
        <v>-1.3609302353846048E-2</v>
      </c>
      <c r="O889" s="3">
        <f t="shared" si="667"/>
        <v>9.8504375219542972E-2</v>
      </c>
      <c r="P889" s="3">
        <f t="shared" si="667"/>
        <v>5.0785312890533153E-2</v>
      </c>
      <c r="Q889" s="3">
        <f t="shared" si="667"/>
        <v>-0.16677511202689677</v>
      </c>
      <c r="R889" s="3">
        <f t="shared" si="667"/>
        <v>-7.423807833450019E-2</v>
      </c>
      <c r="S889" s="3">
        <f t="shared" si="667"/>
        <v>4.3652361482412853E-2</v>
      </c>
      <c r="T889" s="3">
        <f t="shared" si="667"/>
        <v>-6.3043480752340467E-2</v>
      </c>
      <c r="U889" s="3">
        <f t="shared" si="667"/>
        <v>1.9020185520642482E-2</v>
      </c>
      <c r="V889" s="3">
        <f t="shared" si="667"/>
        <v>4.660126233372449E-2</v>
      </c>
      <c r="W889" s="3">
        <f t="shared" si="667"/>
        <v>0.19338135275907725</v>
      </c>
      <c r="X889" s="3"/>
    </row>
    <row r="892" spans="1:26" x14ac:dyDescent="0.25">
      <c r="D892" t="s">
        <v>297</v>
      </c>
      <c r="E892" t="s">
        <v>298</v>
      </c>
      <c r="F892" t="s">
        <v>299</v>
      </c>
      <c r="G892" t="s">
        <v>300</v>
      </c>
      <c r="H892" t="s">
        <v>301</v>
      </c>
      <c r="I892" t="s">
        <v>302</v>
      </c>
      <c r="J892" t="s">
        <v>303</v>
      </c>
      <c r="K892" t="s">
        <v>304</v>
      </c>
      <c r="L892" t="s">
        <v>364</v>
      </c>
      <c r="M892" t="s">
        <v>446</v>
      </c>
      <c r="N892" t="s">
        <v>447</v>
      </c>
      <c r="O892" t="s">
        <v>448</v>
      </c>
      <c r="P892" t="s">
        <v>558</v>
      </c>
      <c r="Q892" t="s">
        <v>559</v>
      </c>
      <c r="R892" t="s">
        <v>560</v>
      </c>
      <c r="S892" t="s">
        <v>561</v>
      </c>
      <c r="T892" t="s">
        <v>670</v>
      </c>
      <c r="U892" t="s">
        <v>671</v>
      </c>
      <c r="V892" t="s">
        <v>672</v>
      </c>
      <c r="W892" t="s">
        <v>673</v>
      </c>
      <c r="Y892" t="s">
        <v>305</v>
      </c>
      <c r="Z892" t="s">
        <v>306</v>
      </c>
    </row>
    <row r="893" spans="1:26" x14ac:dyDescent="0.25">
      <c r="A893" t="s">
        <v>43</v>
      </c>
      <c r="D893">
        <f t="shared" ref="D893:W893" si="668">D167*D200</f>
        <v>237.88371008012408</v>
      </c>
      <c r="E893">
        <f t="shared" si="668"/>
        <v>121.3702416393007</v>
      </c>
      <c r="F893">
        <f t="shared" si="668"/>
        <v>180.32929445715703</v>
      </c>
      <c r="G893">
        <f t="shared" si="668"/>
        <v>143.21953642500822</v>
      </c>
      <c r="H893">
        <f t="shared" si="668"/>
        <v>102.62111648945006</v>
      </c>
      <c r="I893">
        <f t="shared" si="668"/>
        <v>103.4279873886867</v>
      </c>
      <c r="J893">
        <f t="shared" si="668"/>
        <v>149.94172636343254</v>
      </c>
      <c r="K893">
        <f t="shared" si="668"/>
        <v>125.33493438049993</v>
      </c>
      <c r="L893">
        <f t="shared" si="668"/>
        <v>91.842651117184502</v>
      </c>
      <c r="M893">
        <f t="shared" si="668"/>
        <v>61.093193915618016</v>
      </c>
      <c r="N893">
        <f t="shared" si="668"/>
        <v>34.611157279195027</v>
      </c>
      <c r="O893">
        <f t="shared" si="668"/>
        <v>49.054415525747117</v>
      </c>
      <c r="P893">
        <f t="shared" si="668"/>
        <v>58.23642743839887</v>
      </c>
      <c r="Q893">
        <f t="shared" si="668"/>
        <v>102.41820723910666</v>
      </c>
      <c r="R893">
        <f t="shared" si="668"/>
        <v>109.26929331063855</v>
      </c>
      <c r="S893">
        <f t="shared" si="668"/>
        <v>198.0248689133563</v>
      </c>
      <c r="T893">
        <f t="shared" si="668"/>
        <v>68.52319882110011</v>
      </c>
      <c r="U893">
        <f t="shared" si="668"/>
        <v>42.887021518897178</v>
      </c>
      <c r="V893">
        <f t="shared" si="668"/>
        <v>51.567844259229851</v>
      </c>
      <c r="W893">
        <f t="shared" si="668"/>
        <v>93.08277930803429</v>
      </c>
      <c r="Y893" s="14">
        <f t="shared" ref="Y893:Y920" si="669">SUM(D893:W893)</f>
        <v>2124.7396058701652</v>
      </c>
      <c r="Z893">
        <f t="shared" ref="Z893:Z916" si="670">SUMPRODUCT($D$922:$W$922,D893:W893)</f>
        <v>-79.189796849468166</v>
      </c>
    </row>
    <row r="894" spans="1:26" x14ac:dyDescent="0.25">
      <c r="A894" t="s">
        <v>44</v>
      </c>
      <c r="D894">
        <f t="shared" ref="D894:W894" si="671">D168*D201</f>
        <v>175.90476352908641</v>
      </c>
      <c r="E894">
        <f t="shared" si="671"/>
        <v>317.27398460057083</v>
      </c>
      <c r="F894">
        <f t="shared" si="671"/>
        <v>309.51899449701125</v>
      </c>
      <c r="G894">
        <f t="shared" si="671"/>
        <v>267.42686954199888</v>
      </c>
      <c r="H894">
        <f t="shared" si="671"/>
        <v>172.16825990053931</v>
      </c>
      <c r="I894">
        <f t="shared" si="671"/>
        <v>111.56615996523134</v>
      </c>
      <c r="J894">
        <f t="shared" si="671"/>
        <v>98.407075686169136</v>
      </c>
      <c r="K894">
        <f t="shared" si="671"/>
        <v>105.47345759610414</v>
      </c>
      <c r="L894">
        <f t="shared" si="671"/>
        <v>60.048774884857131</v>
      </c>
      <c r="M894">
        <f t="shared" si="671"/>
        <v>96.85956473866058</v>
      </c>
      <c r="N894">
        <f t="shared" si="671"/>
        <v>111.73323238601404</v>
      </c>
      <c r="O894">
        <f t="shared" si="671"/>
        <v>71.437622440823517</v>
      </c>
      <c r="P894">
        <f t="shared" si="671"/>
        <v>121.49592337858564</v>
      </c>
      <c r="Q894">
        <f t="shared" si="671"/>
        <v>149.25959300252819</v>
      </c>
      <c r="R894">
        <f t="shared" si="671"/>
        <v>180.57893735442394</v>
      </c>
      <c r="S894">
        <f t="shared" si="671"/>
        <v>252.68105738050329</v>
      </c>
      <c r="T894">
        <f t="shared" si="671"/>
        <v>182.41201351800032</v>
      </c>
      <c r="U894">
        <f t="shared" si="671"/>
        <v>150.52431790910967</v>
      </c>
      <c r="V894">
        <f t="shared" si="671"/>
        <v>140.65058649516979</v>
      </c>
      <c r="W894">
        <f t="shared" si="671"/>
        <v>223.69804750845344</v>
      </c>
      <c r="Y894" s="14">
        <f t="shared" si="669"/>
        <v>3299.1192363138407</v>
      </c>
      <c r="Z894">
        <f t="shared" si="670"/>
        <v>-189.49611728617538</v>
      </c>
    </row>
    <row r="895" spans="1:26" x14ac:dyDescent="0.25">
      <c r="A895" t="s">
        <v>45</v>
      </c>
      <c r="D895">
        <f t="shared" ref="D895:W895" si="672">D169*D202</f>
        <v>380.46226936370135</v>
      </c>
      <c r="E895">
        <f t="shared" si="672"/>
        <v>272.10176951152187</v>
      </c>
      <c r="F895">
        <f t="shared" si="672"/>
        <v>211.04215314273523</v>
      </c>
      <c r="G895">
        <f t="shared" si="672"/>
        <v>268.62874329062709</v>
      </c>
      <c r="H895">
        <f t="shared" si="672"/>
        <v>322.61975215907097</v>
      </c>
      <c r="I895">
        <f t="shared" si="672"/>
        <v>205.02682567134497</v>
      </c>
      <c r="J895">
        <f t="shared" si="672"/>
        <v>129.28771154792153</v>
      </c>
      <c r="K895">
        <f t="shared" si="672"/>
        <v>85.948816844029494</v>
      </c>
      <c r="L895">
        <f t="shared" si="672"/>
        <v>70.699927257670112</v>
      </c>
      <c r="M895">
        <f t="shared" si="672"/>
        <v>108.15089684840238</v>
      </c>
      <c r="N895">
        <f t="shared" si="672"/>
        <v>126.8287074951899</v>
      </c>
      <c r="O895">
        <f t="shared" si="672"/>
        <v>97.318523093291986</v>
      </c>
      <c r="P895">
        <f t="shared" si="672"/>
        <v>105.1949785532543</v>
      </c>
      <c r="Q895">
        <f t="shared" si="672"/>
        <v>121.16881692577664</v>
      </c>
      <c r="R895">
        <f t="shared" si="672"/>
        <v>123.50758396848154</v>
      </c>
      <c r="S895">
        <f t="shared" si="672"/>
        <v>130.64525547174281</v>
      </c>
      <c r="T895">
        <f t="shared" si="672"/>
        <v>151.46162995205063</v>
      </c>
      <c r="U895">
        <f t="shared" si="672"/>
        <v>164.09546247697767</v>
      </c>
      <c r="V895">
        <f t="shared" si="672"/>
        <v>169.52702271658404</v>
      </c>
      <c r="W895">
        <f t="shared" si="672"/>
        <v>248.24625018508891</v>
      </c>
      <c r="Y895" s="14">
        <f t="shared" si="669"/>
        <v>3491.9630964754633</v>
      </c>
      <c r="Z895">
        <f t="shared" si="670"/>
        <v>-68.867208162694538</v>
      </c>
    </row>
    <row r="896" spans="1:26" x14ac:dyDescent="0.25">
      <c r="A896" t="s">
        <v>46</v>
      </c>
      <c r="D896">
        <f t="shared" ref="D896:W896" si="673">D170*D203</f>
        <v>267.0977967153795</v>
      </c>
      <c r="E896">
        <f t="shared" si="673"/>
        <v>200.61579893152566</v>
      </c>
      <c r="F896">
        <f t="shared" si="673"/>
        <v>188.69936676441682</v>
      </c>
      <c r="G896">
        <f t="shared" si="673"/>
        <v>190.89251153138997</v>
      </c>
      <c r="H896">
        <f t="shared" si="673"/>
        <v>158.24967287337381</v>
      </c>
      <c r="I896">
        <f t="shared" si="673"/>
        <v>174.98798802120501</v>
      </c>
      <c r="J896">
        <f t="shared" si="673"/>
        <v>142.83251326047028</v>
      </c>
      <c r="K896">
        <f t="shared" si="673"/>
        <v>131.46136048840455</v>
      </c>
      <c r="L896">
        <f t="shared" si="673"/>
        <v>92.267970052937045</v>
      </c>
      <c r="M896">
        <f t="shared" si="673"/>
        <v>59.555319624118482</v>
      </c>
      <c r="N896">
        <f t="shared" si="673"/>
        <v>111.02840280707663</v>
      </c>
      <c r="O896">
        <f t="shared" si="673"/>
        <v>89.791490695673829</v>
      </c>
      <c r="P896">
        <f t="shared" si="673"/>
        <v>89.963155665932149</v>
      </c>
      <c r="Q896">
        <f t="shared" si="673"/>
        <v>116.56971742346572</v>
      </c>
      <c r="R896">
        <f t="shared" si="673"/>
        <v>147.73837666639736</v>
      </c>
      <c r="S896">
        <f t="shared" si="673"/>
        <v>125.87297506916438</v>
      </c>
      <c r="T896">
        <f t="shared" si="673"/>
        <v>190.39500935833269</v>
      </c>
      <c r="U896">
        <f t="shared" si="673"/>
        <v>240.30157064050178</v>
      </c>
      <c r="V896">
        <f t="shared" si="673"/>
        <v>122.87284354192992</v>
      </c>
      <c r="W896">
        <f t="shared" si="673"/>
        <v>172.87472932211392</v>
      </c>
      <c r="Y896" s="14">
        <f t="shared" si="669"/>
        <v>3014.0685694538097</v>
      </c>
      <c r="Z896">
        <f t="shared" si="670"/>
        <v>-148.64176910120528</v>
      </c>
    </row>
    <row r="897" spans="1:26" x14ac:dyDescent="0.25">
      <c r="A897" t="s">
        <v>47</v>
      </c>
      <c r="D897">
        <f t="shared" ref="D897:W897" si="674">D171*D204</f>
        <v>346.19764977943549</v>
      </c>
      <c r="E897">
        <f t="shared" si="674"/>
        <v>178.58325228893955</v>
      </c>
      <c r="F897">
        <f t="shared" si="674"/>
        <v>150.30549819805614</v>
      </c>
      <c r="G897">
        <f t="shared" si="674"/>
        <v>232.93010532697656</v>
      </c>
      <c r="H897">
        <f t="shared" si="674"/>
        <v>167.89407130838157</v>
      </c>
      <c r="I897">
        <f t="shared" si="674"/>
        <v>176.57467649218805</v>
      </c>
      <c r="J897">
        <f t="shared" si="674"/>
        <v>167.80380541393026</v>
      </c>
      <c r="K897">
        <f t="shared" si="674"/>
        <v>121.04712885607552</v>
      </c>
      <c r="L897">
        <f t="shared" si="674"/>
        <v>68.073278306153696</v>
      </c>
      <c r="M897">
        <f t="shared" si="674"/>
        <v>92.599007590708482</v>
      </c>
      <c r="N897">
        <f t="shared" si="674"/>
        <v>80.86807293680053</v>
      </c>
      <c r="O897">
        <f t="shared" si="674"/>
        <v>103.23463090222069</v>
      </c>
      <c r="P897">
        <f t="shared" si="674"/>
        <v>122.62993566980678</v>
      </c>
      <c r="Q897">
        <f t="shared" si="674"/>
        <v>93.134313839200928</v>
      </c>
      <c r="R897">
        <f t="shared" si="674"/>
        <v>75.733931268271945</v>
      </c>
      <c r="S897">
        <f t="shared" si="674"/>
        <v>85.378694668922194</v>
      </c>
      <c r="T897">
        <f t="shared" si="674"/>
        <v>102.62811927518223</v>
      </c>
      <c r="U897">
        <f t="shared" si="674"/>
        <v>163.59671996764078</v>
      </c>
      <c r="V897">
        <f t="shared" si="674"/>
        <v>260.13606520602752</v>
      </c>
      <c r="W897">
        <f t="shared" si="674"/>
        <v>316.16693636252796</v>
      </c>
      <c r="Y897" s="14">
        <f t="shared" si="669"/>
        <v>3105.5158936574462</v>
      </c>
      <c r="Z897">
        <f t="shared" si="670"/>
        <v>-67.687364612905782</v>
      </c>
    </row>
    <row r="898" spans="1:26" x14ac:dyDescent="0.25">
      <c r="A898" t="s">
        <v>48</v>
      </c>
      <c r="D898">
        <f t="shared" ref="D898:W898" si="675">D172*D205</f>
        <v>145.35425043077655</v>
      </c>
      <c r="E898">
        <f t="shared" si="675"/>
        <v>172.03029103439297</v>
      </c>
      <c r="F898">
        <f t="shared" si="675"/>
        <v>147.21072613831447</v>
      </c>
      <c r="G898">
        <f t="shared" si="675"/>
        <v>150.76816448578552</v>
      </c>
      <c r="H898">
        <f t="shared" si="675"/>
        <v>116.35751172289069</v>
      </c>
      <c r="I898">
        <f t="shared" si="675"/>
        <v>207.92331602411454</v>
      </c>
      <c r="J898">
        <f t="shared" si="675"/>
        <v>212.36799540016995</v>
      </c>
      <c r="K898">
        <f t="shared" si="675"/>
        <v>137.91461408094079</v>
      </c>
      <c r="L898">
        <f t="shared" si="675"/>
        <v>94.650317866980672</v>
      </c>
      <c r="M898">
        <f t="shared" si="675"/>
        <v>132.78645510878195</v>
      </c>
      <c r="N898">
        <f t="shared" si="675"/>
        <v>164.29080093462392</v>
      </c>
      <c r="O898">
        <f t="shared" si="675"/>
        <v>82.528394723130205</v>
      </c>
      <c r="P898">
        <f t="shared" si="675"/>
        <v>91.806192362977328</v>
      </c>
      <c r="Q898">
        <f t="shared" si="675"/>
        <v>87.187207675084565</v>
      </c>
      <c r="R898">
        <f t="shared" si="675"/>
        <v>84.481440392780968</v>
      </c>
      <c r="S898">
        <f t="shared" si="675"/>
        <v>82.34001733395823</v>
      </c>
      <c r="T898">
        <f t="shared" si="675"/>
        <v>92.531013889925106</v>
      </c>
      <c r="U898">
        <f t="shared" si="675"/>
        <v>105.8635031869092</v>
      </c>
      <c r="V898">
        <f t="shared" si="675"/>
        <v>104.7549356457115</v>
      </c>
      <c r="W898">
        <f t="shared" si="675"/>
        <v>127.46833451541876</v>
      </c>
      <c r="Y898" s="14">
        <f t="shared" si="669"/>
        <v>2540.6154829536681</v>
      </c>
      <c r="Z898">
        <f t="shared" si="670"/>
        <v>-168.94398085614131</v>
      </c>
    </row>
    <row r="899" spans="1:26" x14ac:dyDescent="0.25">
      <c r="A899" t="s">
        <v>49</v>
      </c>
      <c r="D899">
        <f t="shared" ref="D899:W899" si="676">D173*D206</f>
        <v>185.974099739108</v>
      </c>
      <c r="E899">
        <f t="shared" si="676"/>
        <v>236.10302762875338</v>
      </c>
      <c r="F899">
        <f t="shared" si="676"/>
        <v>245.76200517855077</v>
      </c>
      <c r="G899">
        <f t="shared" si="676"/>
        <v>152.54761917175881</v>
      </c>
      <c r="H899">
        <f t="shared" si="676"/>
        <v>114.3105049533883</v>
      </c>
      <c r="I899">
        <f t="shared" si="676"/>
        <v>160.52239253423315</v>
      </c>
      <c r="J899">
        <f t="shared" si="676"/>
        <v>73.08413678916142</v>
      </c>
      <c r="K899">
        <f t="shared" si="676"/>
        <v>73.901195988346075</v>
      </c>
      <c r="L899">
        <f t="shared" si="676"/>
        <v>65.798011015527379</v>
      </c>
      <c r="M899">
        <f t="shared" si="676"/>
        <v>73.467521326815202</v>
      </c>
      <c r="N899">
        <f t="shared" si="676"/>
        <v>94.215726018483153</v>
      </c>
      <c r="O899">
        <f t="shared" si="676"/>
        <v>95.448083849988322</v>
      </c>
      <c r="P899">
        <f t="shared" si="676"/>
        <v>81.225910207361693</v>
      </c>
      <c r="Q899">
        <f t="shared" si="676"/>
        <v>90.848823776060073</v>
      </c>
      <c r="R899">
        <f t="shared" si="676"/>
        <v>106.68310630747332</v>
      </c>
      <c r="S899">
        <f t="shared" si="676"/>
        <v>88.534836637330272</v>
      </c>
      <c r="T899">
        <f t="shared" si="676"/>
        <v>84.729988692379735</v>
      </c>
      <c r="U899">
        <f t="shared" si="676"/>
        <v>141.27654207717873</v>
      </c>
      <c r="V899">
        <f t="shared" si="676"/>
        <v>167.91901349099689</v>
      </c>
      <c r="W899">
        <f t="shared" si="676"/>
        <v>329.75236066032568</v>
      </c>
      <c r="Y899" s="14">
        <f t="shared" si="669"/>
        <v>2662.1049060432201</v>
      </c>
      <c r="Z899">
        <f t="shared" si="670"/>
        <v>-91.243426601222467</v>
      </c>
    </row>
    <row r="900" spans="1:26" x14ac:dyDescent="0.25">
      <c r="A900" t="s">
        <v>50</v>
      </c>
      <c r="D900">
        <f t="shared" ref="D900:W900" si="677">D174*D207</f>
        <v>256.99386904055916</v>
      </c>
      <c r="E900">
        <f t="shared" si="677"/>
        <v>194.6164858107893</v>
      </c>
      <c r="F900">
        <f t="shared" si="677"/>
        <v>207.08008389147363</v>
      </c>
      <c r="G900">
        <f t="shared" si="677"/>
        <v>202.31384150579652</v>
      </c>
      <c r="H900">
        <f t="shared" si="677"/>
        <v>247.89514681963811</v>
      </c>
      <c r="I900">
        <f t="shared" si="677"/>
        <v>241.17559713535894</v>
      </c>
      <c r="J900">
        <f t="shared" si="677"/>
        <v>205.23604414108536</v>
      </c>
      <c r="K900">
        <f t="shared" si="677"/>
        <v>158.55655258636551</v>
      </c>
      <c r="L900">
        <f t="shared" si="677"/>
        <v>96.311961905171486</v>
      </c>
      <c r="M900">
        <f t="shared" si="677"/>
        <v>190.81777437617399</v>
      </c>
      <c r="N900">
        <f t="shared" si="677"/>
        <v>167.62619192071654</v>
      </c>
      <c r="O900">
        <f t="shared" si="677"/>
        <v>103.10229892277721</v>
      </c>
      <c r="P900">
        <f t="shared" si="677"/>
        <v>168.55722622163296</v>
      </c>
      <c r="Q900">
        <f t="shared" si="677"/>
        <v>180.57853369137888</v>
      </c>
      <c r="R900">
        <f t="shared" si="677"/>
        <v>222.43868683805275</v>
      </c>
      <c r="S900">
        <f t="shared" si="677"/>
        <v>251.87716783154124</v>
      </c>
      <c r="T900">
        <f t="shared" si="677"/>
        <v>308.93697648328703</v>
      </c>
      <c r="U900">
        <f t="shared" si="677"/>
        <v>212.90649102634396</v>
      </c>
      <c r="V900">
        <f t="shared" si="677"/>
        <v>175.48818620976775</v>
      </c>
      <c r="W900">
        <f t="shared" si="677"/>
        <v>272.74672383105036</v>
      </c>
      <c r="Y900" s="14">
        <f t="shared" si="669"/>
        <v>4065.255840188961</v>
      </c>
      <c r="Z900">
        <f t="shared" si="670"/>
        <v>-273.13195358620629</v>
      </c>
    </row>
    <row r="901" spans="1:26" x14ac:dyDescent="0.25">
      <c r="A901" t="s">
        <v>51</v>
      </c>
      <c r="D901">
        <f t="shared" ref="D901:W901" si="678">D175*D208</f>
        <v>230.10514360631711</v>
      </c>
      <c r="E901">
        <f t="shared" si="678"/>
        <v>168.2798358566306</v>
      </c>
      <c r="F901">
        <f t="shared" si="678"/>
        <v>214.67229630230909</v>
      </c>
      <c r="G901">
        <f t="shared" si="678"/>
        <v>234.68032658296866</v>
      </c>
      <c r="H901">
        <f t="shared" si="678"/>
        <v>193.93176682663844</v>
      </c>
      <c r="I901">
        <f t="shared" si="678"/>
        <v>116.39391432942087</v>
      </c>
      <c r="J901">
        <f t="shared" si="678"/>
        <v>124.44220111698588</v>
      </c>
      <c r="K901">
        <f t="shared" si="678"/>
        <v>150.22461543704395</v>
      </c>
      <c r="L901">
        <f t="shared" si="678"/>
        <v>100.55904889011569</v>
      </c>
      <c r="M901">
        <f t="shared" si="678"/>
        <v>81.159131856093126</v>
      </c>
      <c r="N901">
        <f t="shared" si="678"/>
        <v>114.41991888806359</v>
      </c>
      <c r="O901">
        <f t="shared" si="678"/>
        <v>69.012491887207531</v>
      </c>
      <c r="P901">
        <f t="shared" si="678"/>
        <v>86.324018671179928</v>
      </c>
      <c r="Q901">
        <f t="shared" si="678"/>
        <v>143.31203132159879</v>
      </c>
      <c r="R901">
        <f t="shared" si="678"/>
        <v>125.40719254155877</v>
      </c>
      <c r="S901">
        <f t="shared" si="678"/>
        <v>129.47896173833715</v>
      </c>
      <c r="T901">
        <f t="shared" si="678"/>
        <v>147.04675086110936</v>
      </c>
      <c r="U901">
        <f t="shared" si="678"/>
        <v>106.65759791209031</v>
      </c>
      <c r="V901">
        <f t="shared" si="678"/>
        <v>122.41592781118169</v>
      </c>
      <c r="W901">
        <f t="shared" si="678"/>
        <v>261.11669235359909</v>
      </c>
      <c r="Y901" s="14">
        <f t="shared" si="669"/>
        <v>2919.6398647904498</v>
      </c>
      <c r="Z901">
        <f t="shared" si="670"/>
        <v>-108.58851214737948</v>
      </c>
    </row>
    <row r="902" spans="1:26" x14ac:dyDescent="0.25">
      <c r="A902" t="s">
        <v>52</v>
      </c>
      <c r="D902">
        <f t="shared" ref="D902:W902" si="679">D176*D209</f>
        <v>352.182348357504</v>
      </c>
      <c r="E902">
        <f t="shared" si="679"/>
        <v>245.15332703493661</v>
      </c>
      <c r="F902">
        <f t="shared" si="679"/>
        <v>191.71005876460342</v>
      </c>
      <c r="G902">
        <f t="shared" si="679"/>
        <v>236.33414950789987</v>
      </c>
      <c r="H902">
        <f t="shared" si="679"/>
        <v>212.67372277302829</v>
      </c>
      <c r="I902">
        <f t="shared" si="679"/>
        <v>270.66723732843053</v>
      </c>
      <c r="J902">
        <f t="shared" si="679"/>
        <v>145.94947749498633</v>
      </c>
      <c r="K902">
        <f t="shared" si="679"/>
        <v>163.29719272447917</v>
      </c>
      <c r="L902">
        <f t="shared" si="679"/>
        <v>133.9715699056035</v>
      </c>
      <c r="M902">
        <f t="shared" si="679"/>
        <v>149.3422765824489</v>
      </c>
      <c r="N902">
        <f t="shared" si="679"/>
        <v>158.00538907462771</v>
      </c>
      <c r="O902">
        <f t="shared" si="679"/>
        <v>137.69704170118655</v>
      </c>
      <c r="P902">
        <f t="shared" si="679"/>
        <v>103.8756990292774</v>
      </c>
      <c r="Q902">
        <f t="shared" si="679"/>
        <v>141.16173304497678</v>
      </c>
      <c r="R902">
        <f t="shared" si="679"/>
        <v>119.97387423693947</v>
      </c>
      <c r="S902">
        <f t="shared" si="679"/>
        <v>151.50337087836004</v>
      </c>
      <c r="T902">
        <f t="shared" si="679"/>
        <v>158.27744266525431</v>
      </c>
      <c r="U902">
        <f t="shared" si="679"/>
        <v>168.39568876604389</v>
      </c>
      <c r="V902">
        <f t="shared" si="679"/>
        <v>252.0138821724652</v>
      </c>
      <c r="W902">
        <f t="shared" si="679"/>
        <v>282.03231275510717</v>
      </c>
      <c r="Y902" s="14">
        <f t="shared" si="669"/>
        <v>3774.217794798159</v>
      </c>
      <c r="Z902">
        <f t="shared" si="670"/>
        <v>-135.98603432776869</v>
      </c>
    </row>
    <row r="903" spans="1:26" x14ac:dyDescent="0.25">
      <c r="A903" t="s">
        <v>53</v>
      </c>
      <c r="D903">
        <f t="shared" ref="D903:W903" si="680">D177*D210</f>
        <v>345.58330470262052</v>
      </c>
      <c r="E903">
        <f t="shared" si="680"/>
        <v>207.58465557459709</v>
      </c>
      <c r="F903">
        <f t="shared" si="680"/>
        <v>165.67693327142814</v>
      </c>
      <c r="G903">
        <f t="shared" si="680"/>
        <v>137.1873315919421</v>
      </c>
      <c r="H903">
        <f t="shared" si="680"/>
        <v>81.160114395935238</v>
      </c>
      <c r="I903">
        <f t="shared" si="680"/>
        <v>85.878563233896045</v>
      </c>
      <c r="J903">
        <f t="shared" si="680"/>
        <v>91.958397941683444</v>
      </c>
      <c r="K903">
        <f t="shared" si="680"/>
        <v>107.96061891418294</v>
      </c>
      <c r="L903">
        <f t="shared" si="680"/>
        <v>91.595649021627494</v>
      </c>
      <c r="M903">
        <f t="shared" si="680"/>
        <v>94.451668876618299</v>
      </c>
      <c r="N903">
        <f t="shared" si="680"/>
        <v>74.20304426949707</v>
      </c>
      <c r="O903">
        <f t="shared" si="680"/>
        <v>113.62766510361044</v>
      </c>
      <c r="P903">
        <f t="shared" si="680"/>
        <v>95.733505665566042</v>
      </c>
      <c r="Q903">
        <f t="shared" si="680"/>
        <v>81.572009264891463</v>
      </c>
      <c r="R903">
        <f t="shared" si="680"/>
        <v>143.44714195591109</v>
      </c>
      <c r="S903">
        <f t="shared" si="680"/>
        <v>175.82290795006921</v>
      </c>
      <c r="T903">
        <f t="shared" si="680"/>
        <v>181.49573578600024</v>
      </c>
      <c r="U903">
        <f t="shared" si="680"/>
        <v>158.23512847833717</v>
      </c>
      <c r="V903">
        <f t="shared" si="680"/>
        <v>112.60085122184175</v>
      </c>
      <c r="W903">
        <f t="shared" si="680"/>
        <v>120.06826684881261</v>
      </c>
      <c r="Y903" s="14">
        <f t="shared" si="669"/>
        <v>2665.8434940690686</v>
      </c>
      <c r="Z903">
        <f t="shared" si="670"/>
        <v>-107.2141628809772</v>
      </c>
    </row>
    <row r="904" spans="1:26" x14ac:dyDescent="0.25">
      <c r="A904" t="s">
        <v>54</v>
      </c>
      <c r="D904">
        <f t="shared" ref="D904:W904" si="681">D178*D211</f>
        <v>121.46089478246843</v>
      </c>
      <c r="E904">
        <f t="shared" si="681"/>
        <v>147.44150099690162</v>
      </c>
      <c r="F904">
        <f t="shared" si="681"/>
        <v>123.65508249773951</v>
      </c>
      <c r="G904">
        <f t="shared" si="681"/>
        <v>98.468023893768574</v>
      </c>
      <c r="H904">
        <f t="shared" si="681"/>
        <v>74.620123260859543</v>
      </c>
      <c r="I904">
        <f t="shared" si="681"/>
        <v>58.610236960944015</v>
      </c>
      <c r="J904">
        <f t="shared" si="681"/>
        <v>61.292641090732367</v>
      </c>
      <c r="K904">
        <f t="shared" si="681"/>
        <v>61.929527858429211</v>
      </c>
      <c r="L904">
        <f t="shared" si="681"/>
        <v>54.199166343118904</v>
      </c>
      <c r="M904">
        <f t="shared" si="681"/>
        <v>64.719946317158886</v>
      </c>
      <c r="N904">
        <f t="shared" si="681"/>
        <v>70.83709190811409</v>
      </c>
      <c r="O904">
        <f t="shared" si="681"/>
        <v>62.234675947745572</v>
      </c>
      <c r="P904">
        <f t="shared" si="681"/>
        <v>73.169447960966011</v>
      </c>
      <c r="Q904">
        <f t="shared" si="681"/>
        <v>75.492579728165978</v>
      </c>
      <c r="R904">
        <f t="shared" si="681"/>
        <v>55.397540534402253</v>
      </c>
      <c r="S904">
        <f t="shared" si="681"/>
        <v>46.437823232319801</v>
      </c>
      <c r="T904">
        <f t="shared" si="681"/>
        <v>73.892576215661109</v>
      </c>
      <c r="U904">
        <f t="shared" si="681"/>
        <v>98.86494924144958</v>
      </c>
      <c r="V904">
        <f t="shared" si="681"/>
        <v>83.802326818117635</v>
      </c>
      <c r="W904">
        <f t="shared" si="681"/>
        <v>142.80173395191972</v>
      </c>
      <c r="Y904" s="14">
        <f t="shared" si="669"/>
        <v>1649.3278895409826</v>
      </c>
      <c r="Z904">
        <f t="shared" si="670"/>
        <v>-81.759056629642032</v>
      </c>
    </row>
    <row r="905" spans="1:26" x14ac:dyDescent="0.25">
      <c r="A905" t="s">
        <v>55</v>
      </c>
      <c r="D905">
        <f t="shared" ref="D905:W905" si="682">D179*D212</f>
        <v>152.41236894302435</v>
      </c>
      <c r="E905">
        <f t="shared" si="682"/>
        <v>119.2199219325492</v>
      </c>
      <c r="F905">
        <f t="shared" si="682"/>
        <v>91.991952744763509</v>
      </c>
      <c r="G905">
        <f t="shared" si="682"/>
        <v>83.787764151787485</v>
      </c>
      <c r="H905">
        <f t="shared" si="682"/>
        <v>56.034188591424964</v>
      </c>
      <c r="I905">
        <f t="shared" si="682"/>
        <v>40.49823463907741</v>
      </c>
      <c r="J905">
        <f t="shared" si="682"/>
        <v>52.269779310411508</v>
      </c>
      <c r="K905">
        <f t="shared" si="682"/>
        <v>51.816422285537925</v>
      </c>
      <c r="L905">
        <f t="shared" si="682"/>
        <v>40.591245079885255</v>
      </c>
      <c r="M905">
        <f t="shared" si="682"/>
        <v>72.354474949419156</v>
      </c>
      <c r="N905">
        <f t="shared" si="682"/>
        <v>68.571931834497718</v>
      </c>
      <c r="O905">
        <f t="shared" si="682"/>
        <v>112.68821399604374</v>
      </c>
      <c r="P905">
        <f t="shared" si="682"/>
        <v>51.812860841613364</v>
      </c>
      <c r="Q905">
        <f t="shared" si="682"/>
        <v>51.974529435094951</v>
      </c>
      <c r="R905">
        <f t="shared" si="682"/>
        <v>49.09263633412678</v>
      </c>
      <c r="S905">
        <f t="shared" si="682"/>
        <v>55.727540347325629</v>
      </c>
      <c r="T905">
        <f t="shared" si="682"/>
        <v>58.17007737955953</v>
      </c>
      <c r="U905">
        <f t="shared" si="682"/>
        <v>63.055289498255902</v>
      </c>
      <c r="V905">
        <f t="shared" si="682"/>
        <v>55.257386010975829</v>
      </c>
      <c r="W905">
        <f t="shared" si="682"/>
        <v>236.62685224736131</v>
      </c>
      <c r="Y905" s="14">
        <f t="shared" si="669"/>
        <v>1563.953670552735</v>
      </c>
      <c r="Z905">
        <f t="shared" si="670"/>
        <v>-44.383515439888619</v>
      </c>
    </row>
    <row r="906" spans="1:26" x14ac:dyDescent="0.25">
      <c r="A906" t="s">
        <v>56</v>
      </c>
      <c r="D906">
        <f t="shared" ref="D906:W906" si="683">D180*D213</f>
        <v>260.17863784350732</v>
      </c>
      <c r="E906">
        <f t="shared" si="683"/>
        <v>129.00431377688156</v>
      </c>
      <c r="F906">
        <f t="shared" si="683"/>
        <v>92.381913386670092</v>
      </c>
      <c r="G906">
        <f t="shared" si="683"/>
        <v>116.64376400751875</v>
      </c>
      <c r="H906">
        <f t="shared" si="683"/>
        <v>58.602386455429723</v>
      </c>
      <c r="I906">
        <f t="shared" si="683"/>
        <v>93.27367822632587</v>
      </c>
      <c r="J906">
        <f t="shared" si="683"/>
        <v>114.2502030603009</v>
      </c>
      <c r="K906">
        <f t="shared" si="683"/>
        <v>102.57416970838518</v>
      </c>
      <c r="L906">
        <f t="shared" si="683"/>
        <v>70.439000723614342</v>
      </c>
      <c r="M906">
        <f t="shared" si="683"/>
        <v>75.668128033763693</v>
      </c>
      <c r="N906">
        <f t="shared" si="683"/>
        <v>127.74762556198624</v>
      </c>
      <c r="O906">
        <f t="shared" si="683"/>
        <v>108.83128110276333</v>
      </c>
      <c r="P906">
        <f t="shared" si="683"/>
        <v>114.21451567092376</v>
      </c>
      <c r="Q906">
        <f t="shared" si="683"/>
        <v>108.36117220045352</v>
      </c>
      <c r="R906">
        <f t="shared" si="683"/>
        <v>91.19542006942865</v>
      </c>
      <c r="S906">
        <f t="shared" si="683"/>
        <v>170.72642276344641</v>
      </c>
      <c r="T906">
        <f t="shared" si="683"/>
        <v>215.09067153126043</v>
      </c>
      <c r="U906">
        <f t="shared" si="683"/>
        <v>120.21773402353701</v>
      </c>
      <c r="V906">
        <f t="shared" si="683"/>
        <v>92.670074539725221</v>
      </c>
      <c r="W906">
        <f t="shared" si="683"/>
        <v>170.72642276344641</v>
      </c>
      <c r="Y906" s="14">
        <f t="shared" si="669"/>
        <v>2432.7975354493683</v>
      </c>
      <c r="Z906">
        <f t="shared" si="670"/>
        <v>-134.79419352412594</v>
      </c>
    </row>
    <row r="907" spans="1:26" x14ac:dyDescent="0.25">
      <c r="A907" t="s">
        <v>57</v>
      </c>
      <c r="D907">
        <f t="shared" ref="D907:W907" si="684">D181*D214</f>
        <v>178.66719427512118</v>
      </c>
      <c r="E907">
        <f t="shared" si="684"/>
        <v>188.48749801555121</v>
      </c>
      <c r="F907">
        <f t="shared" si="684"/>
        <v>171.72194901665867</v>
      </c>
      <c r="G907">
        <f t="shared" si="684"/>
        <v>167.2088547247956</v>
      </c>
      <c r="H907">
        <f t="shared" si="684"/>
        <v>125.6251868958538</v>
      </c>
      <c r="I907">
        <f t="shared" si="684"/>
        <v>87.310524043233031</v>
      </c>
      <c r="J907">
        <f t="shared" si="684"/>
        <v>80.908395578581207</v>
      </c>
      <c r="K907">
        <f t="shared" si="684"/>
        <v>113.28789558835095</v>
      </c>
      <c r="L907">
        <f t="shared" si="684"/>
        <v>50.455396027789313</v>
      </c>
      <c r="M907">
        <f t="shared" si="684"/>
        <v>73.297281629765095</v>
      </c>
      <c r="N907">
        <f t="shared" si="684"/>
        <v>57.877224468491178</v>
      </c>
      <c r="O907">
        <f t="shared" si="684"/>
        <v>58.280333725931435</v>
      </c>
      <c r="P907">
        <f t="shared" si="684"/>
        <v>80.288458865978598</v>
      </c>
      <c r="Q907">
        <f t="shared" si="684"/>
        <v>102.54754485572607</v>
      </c>
      <c r="R907">
        <f t="shared" si="684"/>
        <v>199.40594561722972</v>
      </c>
      <c r="S907">
        <f t="shared" si="684"/>
        <v>158.62303831234826</v>
      </c>
      <c r="T907">
        <f t="shared" si="684"/>
        <v>153.99331869091424</v>
      </c>
      <c r="U907">
        <f t="shared" si="684"/>
        <v>158.20432126031432</v>
      </c>
      <c r="V907">
        <f t="shared" si="684"/>
        <v>195.77809110296556</v>
      </c>
      <c r="W907">
        <f t="shared" si="684"/>
        <v>214.66396285352585</v>
      </c>
      <c r="Y907" s="14">
        <f t="shared" si="669"/>
        <v>2616.6324155491252</v>
      </c>
      <c r="Z907">
        <f t="shared" si="670"/>
        <v>-148.2579930086691</v>
      </c>
    </row>
    <row r="908" spans="1:26" x14ac:dyDescent="0.25">
      <c r="A908" t="s">
        <v>58</v>
      </c>
      <c r="D908">
        <f t="shared" ref="D908:W908" si="685">D182*D215</f>
        <v>179.82890880119339</v>
      </c>
      <c r="E908">
        <f t="shared" si="685"/>
        <v>209.8282574331661</v>
      </c>
      <c r="F908">
        <f t="shared" si="685"/>
        <v>108.17672449762496</v>
      </c>
      <c r="G908">
        <f t="shared" si="685"/>
        <v>124.49832370814332</v>
      </c>
      <c r="H908">
        <f t="shared" si="685"/>
        <v>139.16856047266336</v>
      </c>
      <c r="I908">
        <f t="shared" si="685"/>
        <v>64.546799549093564</v>
      </c>
      <c r="J908">
        <f t="shared" si="685"/>
        <v>98.106131608835128</v>
      </c>
      <c r="K908">
        <f t="shared" si="685"/>
        <v>76.299682431351016</v>
      </c>
      <c r="L908">
        <f t="shared" si="685"/>
        <v>53.069431160066415</v>
      </c>
      <c r="M908">
        <f t="shared" si="685"/>
        <v>47.814066549975642</v>
      </c>
      <c r="N908">
        <f t="shared" si="685"/>
        <v>73.58538163113397</v>
      </c>
      <c r="O908">
        <f t="shared" si="685"/>
        <v>71.317165003862371</v>
      </c>
      <c r="P908">
        <f t="shared" si="685"/>
        <v>73.471694032159988</v>
      </c>
      <c r="Q908">
        <f t="shared" si="685"/>
        <v>53.825445636771398</v>
      </c>
      <c r="R908">
        <f t="shared" si="685"/>
        <v>28.499274484731746</v>
      </c>
      <c r="S908">
        <f t="shared" si="685"/>
        <v>53.88918762332581</v>
      </c>
      <c r="T908">
        <f t="shared" si="685"/>
        <v>68.431096103930102</v>
      </c>
      <c r="U908">
        <f t="shared" si="685"/>
        <v>55.820787785765802</v>
      </c>
      <c r="V908">
        <f t="shared" si="685"/>
        <v>54.36965585128528</v>
      </c>
      <c r="W908">
        <f t="shared" si="685"/>
        <v>76.013497472287796</v>
      </c>
      <c r="Y908" s="14">
        <f t="shared" si="669"/>
        <v>1710.5600718373666</v>
      </c>
      <c r="Z908">
        <f t="shared" si="670"/>
        <v>-50.914897139353755</v>
      </c>
    </row>
    <row r="909" spans="1:26" x14ac:dyDescent="0.25">
      <c r="A909" t="s">
        <v>59</v>
      </c>
      <c r="D909">
        <f t="shared" ref="D909:W909" si="686">D183*D216</f>
        <v>140.36240860405672</v>
      </c>
      <c r="E909">
        <f t="shared" si="686"/>
        <v>102.22831286662188</v>
      </c>
      <c r="F909">
        <f t="shared" si="686"/>
        <v>110.57715719983209</v>
      </c>
      <c r="G909">
        <f t="shared" si="686"/>
        <v>136.60834142113026</v>
      </c>
      <c r="H909">
        <f t="shared" si="686"/>
        <v>109.43875586981495</v>
      </c>
      <c r="I909">
        <f t="shared" si="686"/>
        <v>72.975933033763738</v>
      </c>
      <c r="J909">
        <f t="shared" si="686"/>
        <v>70.887966848992647</v>
      </c>
      <c r="K909">
        <f t="shared" si="686"/>
        <v>89.654980617367016</v>
      </c>
      <c r="L909">
        <f t="shared" si="686"/>
        <v>63.360644540366408</v>
      </c>
      <c r="M909">
        <f t="shared" si="686"/>
        <v>64.769127121874092</v>
      </c>
      <c r="N909">
        <f t="shared" si="686"/>
        <v>45.990890318546953</v>
      </c>
      <c r="O909">
        <f t="shared" si="686"/>
        <v>36.973900419712862</v>
      </c>
      <c r="P909">
        <f t="shared" si="686"/>
        <v>42.905089993116853</v>
      </c>
      <c r="Q909">
        <f t="shared" si="686"/>
        <v>53.637293894566945</v>
      </c>
      <c r="R909">
        <f t="shared" si="686"/>
        <v>97.665989946316401</v>
      </c>
      <c r="S909">
        <f t="shared" si="686"/>
        <v>94.837775837000947</v>
      </c>
      <c r="T909">
        <f t="shared" si="686"/>
        <v>18.162735351034083</v>
      </c>
      <c r="U909">
        <f t="shared" si="686"/>
        <v>70.308616284060449</v>
      </c>
      <c r="V909">
        <f t="shared" si="686"/>
        <v>101.84861552544187</v>
      </c>
      <c r="W909">
        <f t="shared" si="686"/>
        <v>81.667579106912868</v>
      </c>
      <c r="Y909" s="14">
        <f t="shared" si="669"/>
        <v>1604.86211480053</v>
      </c>
      <c r="Z909">
        <f t="shared" si="670"/>
        <v>-65.170728213016716</v>
      </c>
    </row>
    <row r="910" spans="1:26" x14ac:dyDescent="0.25">
      <c r="A910" t="s">
        <v>60</v>
      </c>
      <c r="D910">
        <f t="shared" ref="D910:W910" si="687">D184*D217</f>
        <v>121.25183126997437</v>
      </c>
      <c r="E910">
        <f t="shared" si="687"/>
        <v>100.83971415845858</v>
      </c>
      <c r="F910">
        <f t="shared" si="687"/>
        <v>95.669628954107992</v>
      </c>
      <c r="G910">
        <f t="shared" si="687"/>
        <v>63.328494561080632</v>
      </c>
      <c r="H910">
        <f t="shared" si="687"/>
        <v>58.57461156644883</v>
      </c>
      <c r="I910">
        <f t="shared" si="687"/>
        <v>63.011032319710807</v>
      </c>
      <c r="J910">
        <f t="shared" si="687"/>
        <v>44.296669659786708</v>
      </c>
      <c r="K910">
        <f t="shared" si="687"/>
        <v>67.719172030374054</v>
      </c>
      <c r="L910">
        <f t="shared" si="687"/>
        <v>33.787214755950231</v>
      </c>
      <c r="M910">
        <f t="shared" si="687"/>
        <v>58.183674806646657</v>
      </c>
      <c r="N910">
        <f t="shared" si="687"/>
        <v>61.902771998448628</v>
      </c>
      <c r="O910">
        <f t="shared" si="687"/>
        <v>84.084223910893428</v>
      </c>
      <c r="P910">
        <f t="shared" si="687"/>
        <v>32.390691361991998</v>
      </c>
      <c r="Q910">
        <f t="shared" si="687"/>
        <v>48.760628944301153</v>
      </c>
      <c r="R910">
        <f t="shared" si="687"/>
        <v>37.894790844833892</v>
      </c>
      <c r="S910">
        <f t="shared" si="687"/>
        <v>59.226986450411047</v>
      </c>
      <c r="T910">
        <f t="shared" si="687"/>
        <v>67.087506934110436</v>
      </c>
      <c r="U910">
        <f t="shared" si="687"/>
        <v>65.804709466024903</v>
      </c>
      <c r="V910">
        <f t="shared" si="687"/>
        <v>106.10073147861523</v>
      </c>
      <c r="W910">
        <f t="shared" si="687"/>
        <v>98.919396999495689</v>
      </c>
      <c r="Y910" s="14">
        <f t="shared" si="669"/>
        <v>1368.8344824716655</v>
      </c>
      <c r="Z910">
        <f t="shared" si="670"/>
        <v>-63.316259805279543</v>
      </c>
    </row>
    <row r="911" spans="1:26" x14ac:dyDescent="0.25">
      <c r="A911" t="s">
        <v>61</v>
      </c>
      <c r="D911">
        <f t="shared" ref="D911:W911" si="688">D185*D218</f>
        <v>144.99682573923312</v>
      </c>
      <c r="E911">
        <f t="shared" si="688"/>
        <v>183.62720762861019</v>
      </c>
      <c r="F911">
        <f t="shared" si="688"/>
        <v>153.32110234530188</v>
      </c>
      <c r="G911">
        <f t="shared" si="688"/>
        <v>168.0543594763725</v>
      </c>
      <c r="H911">
        <f t="shared" si="688"/>
        <v>140.87417020530899</v>
      </c>
      <c r="I911">
        <f t="shared" si="688"/>
        <v>187.09600620367772</v>
      </c>
      <c r="J911">
        <f t="shared" si="688"/>
        <v>118.58032225607589</v>
      </c>
      <c r="K911">
        <f t="shared" si="688"/>
        <v>86.902492783553171</v>
      </c>
      <c r="L911">
        <f t="shared" si="688"/>
        <v>119.55861050894147</v>
      </c>
      <c r="M911">
        <f t="shared" si="688"/>
        <v>93.917464619820407</v>
      </c>
      <c r="N911">
        <f t="shared" si="688"/>
        <v>71.751197223678986</v>
      </c>
      <c r="O911">
        <f t="shared" si="688"/>
        <v>86.987861910347902</v>
      </c>
      <c r="P911">
        <f t="shared" si="688"/>
        <v>129.28743872453222</v>
      </c>
      <c r="Q911">
        <f t="shared" si="688"/>
        <v>141.18359816988766</v>
      </c>
      <c r="R911">
        <f t="shared" si="688"/>
        <v>141.4442031197276</v>
      </c>
      <c r="S911">
        <f t="shared" si="688"/>
        <v>134.73307329970191</v>
      </c>
      <c r="T911">
        <f t="shared" si="688"/>
        <v>141.10800664824706</v>
      </c>
      <c r="U911">
        <f t="shared" si="688"/>
        <v>150.98643810228077</v>
      </c>
      <c r="V911">
        <f t="shared" si="688"/>
        <v>125.8348585371639</v>
      </c>
      <c r="W911">
        <f t="shared" si="688"/>
        <v>151.42646122254612</v>
      </c>
      <c r="Y911" s="14">
        <f t="shared" si="669"/>
        <v>2671.6716987250102</v>
      </c>
      <c r="Z911">
        <f t="shared" si="670"/>
        <v>-188.46077697822867</v>
      </c>
    </row>
    <row r="912" spans="1:26" x14ac:dyDescent="0.25">
      <c r="A912" t="s">
        <v>62</v>
      </c>
      <c r="D912">
        <f t="shared" ref="D912:W912" si="689">D186*D219</f>
        <v>307.31583153254815</v>
      </c>
      <c r="E912">
        <f t="shared" si="689"/>
        <v>153.74705682585443</v>
      </c>
      <c r="F912">
        <f t="shared" si="689"/>
        <v>141.45816199964446</v>
      </c>
      <c r="G912">
        <f t="shared" si="689"/>
        <v>104.4470803977453</v>
      </c>
      <c r="H912">
        <f t="shared" si="689"/>
        <v>164.84129949507866</v>
      </c>
      <c r="I912">
        <f t="shared" si="689"/>
        <v>177.35955832907601</v>
      </c>
      <c r="J912">
        <f t="shared" si="689"/>
        <v>168.6972299734293</v>
      </c>
      <c r="K912">
        <f t="shared" si="689"/>
        <v>140.54389092600942</v>
      </c>
      <c r="L912">
        <f t="shared" si="689"/>
        <v>158.87331307526725</v>
      </c>
      <c r="M912">
        <f t="shared" si="689"/>
        <v>135.18659358963538</v>
      </c>
      <c r="N912">
        <f t="shared" si="689"/>
        <v>118.01651150267277</v>
      </c>
      <c r="O912">
        <f t="shared" si="689"/>
        <v>102.75824257013866</v>
      </c>
      <c r="P912">
        <f t="shared" si="689"/>
        <v>54.728143114489932</v>
      </c>
      <c r="Q912">
        <f t="shared" si="689"/>
        <v>51.939235079976392</v>
      </c>
      <c r="R912">
        <f t="shared" si="689"/>
        <v>41.043375802653223</v>
      </c>
      <c r="S912">
        <f t="shared" si="689"/>
        <v>101.07553409686058</v>
      </c>
      <c r="T912">
        <f t="shared" si="689"/>
        <v>122.9141631018674</v>
      </c>
      <c r="U912">
        <f t="shared" si="689"/>
        <v>106.2538446620087</v>
      </c>
      <c r="V912">
        <f t="shared" si="689"/>
        <v>134.87907404851006</v>
      </c>
      <c r="W912">
        <f t="shared" si="689"/>
        <v>164.83999993762353</v>
      </c>
      <c r="Y912" s="14">
        <f t="shared" si="669"/>
        <v>2650.9181400610896</v>
      </c>
      <c r="Z912">
        <f t="shared" si="670"/>
        <v>-67.797500352058705</v>
      </c>
    </row>
    <row r="913" spans="1:26" x14ac:dyDescent="0.25">
      <c r="A913" t="s">
        <v>63</v>
      </c>
      <c r="D913">
        <f t="shared" ref="D913:W913" si="690">D187*D220</f>
        <v>132.23306027931051</v>
      </c>
      <c r="E913">
        <f t="shared" si="690"/>
        <v>141.08277514893749</v>
      </c>
      <c r="F913">
        <f t="shared" si="690"/>
        <v>141.09327029710286</v>
      </c>
      <c r="G913">
        <f t="shared" si="690"/>
        <v>120.95928961007641</v>
      </c>
      <c r="H913">
        <f t="shared" si="690"/>
        <v>82.513603607354923</v>
      </c>
      <c r="I913">
        <f t="shared" si="690"/>
        <v>139.22366878460554</v>
      </c>
      <c r="J913">
        <f t="shared" si="690"/>
        <v>180.16754153319332</v>
      </c>
      <c r="K913">
        <f t="shared" si="690"/>
        <v>150.1569263317416</v>
      </c>
      <c r="L913">
        <f t="shared" si="690"/>
        <v>94.106690465796788</v>
      </c>
      <c r="M913">
        <f t="shared" si="690"/>
        <v>87.466608589915566</v>
      </c>
      <c r="N913">
        <f t="shared" si="690"/>
        <v>140.21152771693929</v>
      </c>
      <c r="O913">
        <f t="shared" si="690"/>
        <v>189.516976287771</v>
      </c>
      <c r="P913">
        <f t="shared" si="690"/>
        <v>106.99136592210552</v>
      </c>
      <c r="Q913">
        <f t="shared" si="690"/>
        <v>121.33065324955194</v>
      </c>
      <c r="R913">
        <f t="shared" si="690"/>
        <v>150.14075687399259</v>
      </c>
      <c r="S913">
        <f t="shared" si="690"/>
        <v>166.23345674151633</v>
      </c>
      <c r="T913">
        <f t="shared" si="690"/>
        <v>140.53709319970608</v>
      </c>
      <c r="U913">
        <f t="shared" si="690"/>
        <v>117.21091639430404</v>
      </c>
      <c r="V913">
        <f t="shared" si="690"/>
        <v>134.88895669759052</v>
      </c>
      <c r="W913">
        <f t="shared" si="690"/>
        <v>147.12813941010165</v>
      </c>
      <c r="Y913" s="14">
        <f t="shared" si="669"/>
        <v>2683.1932771416141</v>
      </c>
      <c r="Z913">
        <f t="shared" si="670"/>
        <v>-243.26182350469503</v>
      </c>
    </row>
    <row r="914" spans="1:26" x14ac:dyDescent="0.25">
      <c r="A914" t="s">
        <v>64</v>
      </c>
      <c r="D914">
        <f t="shared" ref="D914:W914" si="691">D188*D221</f>
        <v>112.33082507389803</v>
      </c>
      <c r="E914">
        <f t="shared" si="691"/>
        <v>191.49057702706364</v>
      </c>
      <c r="F914">
        <f t="shared" si="691"/>
        <v>330.88183407336754</v>
      </c>
      <c r="G914">
        <f t="shared" si="691"/>
        <v>130.49271429106909</v>
      </c>
      <c r="H914">
        <f t="shared" si="691"/>
        <v>124.13100855955412</v>
      </c>
      <c r="I914">
        <f t="shared" si="691"/>
        <v>142.75375971462469</v>
      </c>
      <c r="J914">
        <f t="shared" si="691"/>
        <v>158.41691999091154</v>
      </c>
      <c r="K914">
        <f t="shared" si="691"/>
        <v>160.07287540865644</v>
      </c>
      <c r="L914">
        <f t="shared" si="691"/>
        <v>123.94595499751178</v>
      </c>
      <c r="M914">
        <f t="shared" si="691"/>
        <v>80.794047503823805</v>
      </c>
      <c r="N914">
        <f t="shared" si="691"/>
        <v>84.184943906499242</v>
      </c>
      <c r="O914">
        <f t="shared" si="691"/>
        <v>95.538599846430856</v>
      </c>
      <c r="P914">
        <f t="shared" si="691"/>
        <v>102.07327371340993</v>
      </c>
      <c r="Q914">
        <f t="shared" si="691"/>
        <v>131.34215250068968</v>
      </c>
      <c r="R914">
        <f t="shared" si="691"/>
        <v>154.03986448806538</v>
      </c>
      <c r="S914">
        <f t="shared" si="691"/>
        <v>68.023876222909479</v>
      </c>
      <c r="T914">
        <f t="shared" si="691"/>
        <v>102.08955954440265</v>
      </c>
      <c r="U914">
        <f t="shared" si="691"/>
        <v>153.48326624819848</v>
      </c>
      <c r="V914">
        <f t="shared" si="691"/>
        <v>230.25065516413821</v>
      </c>
      <c r="W914">
        <f t="shared" si="691"/>
        <v>208.10457608167434</v>
      </c>
      <c r="Y914" s="14">
        <f t="shared" si="669"/>
        <v>2884.4412843568989</v>
      </c>
      <c r="Z914">
        <f t="shared" si="670"/>
        <v>-200.94801965224897</v>
      </c>
    </row>
    <row r="915" spans="1:26" x14ac:dyDescent="0.25">
      <c r="A915" t="s">
        <v>65</v>
      </c>
      <c r="D915">
        <f t="shared" ref="D915:W915" si="692">D189*D222</f>
        <v>267.0977967153795</v>
      </c>
      <c r="E915">
        <f t="shared" si="692"/>
        <v>200.61579893152566</v>
      </c>
      <c r="F915">
        <f t="shared" si="692"/>
        <v>188.69936676441682</v>
      </c>
      <c r="G915">
        <f t="shared" si="692"/>
        <v>190.89251153138997</v>
      </c>
      <c r="H915">
        <f t="shared" si="692"/>
        <v>158.24967287337381</v>
      </c>
      <c r="I915">
        <f t="shared" si="692"/>
        <v>174.98798802120501</v>
      </c>
      <c r="J915">
        <f t="shared" si="692"/>
        <v>142.83251326047028</v>
      </c>
      <c r="K915">
        <f t="shared" si="692"/>
        <v>131.46136048840455</v>
      </c>
      <c r="L915">
        <f t="shared" si="692"/>
        <v>92.267970052937045</v>
      </c>
      <c r="M915">
        <f t="shared" si="692"/>
        <v>59.555319624118482</v>
      </c>
      <c r="N915">
        <f t="shared" si="692"/>
        <v>111.02840280707663</v>
      </c>
      <c r="O915">
        <f t="shared" si="692"/>
        <v>89.791490695673829</v>
      </c>
      <c r="P915">
        <f t="shared" si="692"/>
        <v>70.640833848885052</v>
      </c>
      <c r="Q915">
        <f t="shared" si="692"/>
        <v>81.013174903545917</v>
      </c>
      <c r="R915">
        <f t="shared" si="692"/>
        <v>97.121299547995207</v>
      </c>
      <c r="S915">
        <f t="shared" si="692"/>
        <v>100.5078577057368</v>
      </c>
      <c r="T915">
        <f t="shared" si="692"/>
        <v>99.844223177730129</v>
      </c>
      <c r="U915">
        <f t="shared" si="692"/>
        <v>141.44231816039945</v>
      </c>
      <c r="V915">
        <f t="shared" si="692"/>
        <v>145.70393459091972</v>
      </c>
      <c r="W915">
        <f t="shared" si="692"/>
        <v>218.90501818911235</v>
      </c>
      <c r="Y915" s="14">
        <f t="shared" si="669"/>
        <v>2762.6588518902963</v>
      </c>
      <c r="Z915">
        <f t="shared" si="670"/>
        <v>-82.248073761918278</v>
      </c>
    </row>
    <row r="916" spans="1:26" x14ac:dyDescent="0.25">
      <c r="A916" t="s">
        <v>66</v>
      </c>
      <c r="D916">
        <f t="shared" ref="D916:W916" si="693">D190*D223</f>
        <v>185.974099739108</v>
      </c>
      <c r="E916">
        <f t="shared" si="693"/>
        <v>236.10302762875338</v>
      </c>
      <c r="F916">
        <f t="shared" si="693"/>
        <v>245.76200517855077</v>
      </c>
      <c r="G916">
        <f t="shared" si="693"/>
        <v>152.54761917175881</v>
      </c>
      <c r="H916">
        <f t="shared" si="693"/>
        <v>114.3105049533883</v>
      </c>
      <c r="I916">
        <f t="shared" si="693"/>
        <v>160.52239253423315</v>
      </c>
      <c r="J916">
        <f t="shared" si="693"/>
        <v>73.08413678916142</v>
      </c>
      <c r="K916">
        <f t="shared" si="693"/>
        <v>73.901195988346075</v>
      </c>
      <c r="L916">
        <f t="shared" si="693"/>
        <v>65.798011015527379</v>
      </c>
      <c r="M916">
        <f t="shared" si="693"/>
        <v>73.467521326815202</v>
      </c>
      <c r="N916">
        <f t="shared" si="693"/>
        <v>94.215726018483153</v>
      </c>
      <c r="O916">
        <f t="shared" si="693"/>
        <v>95.448083849988322</v>
      </c>
      <c r="P916">
        <f t="shared" si="693"/>
        <v>103.04004855329619</v>
      </c>
      <c r="Q916">
        <f t="shared" si="693"/>
        <v>117.98501864619061</v>
      </c>
      <c r="R916">
        <f t="shared" si="693"/>
        <v>123.97951180965012</v>
      </c>
      <c r="S916">
        <f t="shared" si="693"/>
        <v>126.73227363152694</v>
      </c>
      <c r="T916">
        <f t="shared" si="693"/>
        <v>149.31723845167991</v>
      </c>
      <c r="U916">
        <f t="shared" si="693"/>
        <v>160.42585923443548</v>
      </c>
      <c r="V916">
        <f t="shared" si="693"/>
        <v>156.23427496265134</v>
      </c>
      <c r="W916">
        <f t="shared" si="693"/>
        <v>242.1144168756361</v>
      </c>
      <c r="Y916" s="14">
        <f t="shared" si="669"/>
        <v>2750.96296635918</v>
      </c>
      <c r="Z916">
        <f t="shared" si="670"/>
        <v>-138.59847674345272</v>
      </c>
    </row>
    <row r="917" spans="1:26" x14ac:dyDescent="0.25">
      <c r="Y917" s="14"/>
    </row>
    <row r="918" spans="1:26" x14ac:dyDescent="0.25">
      <c r="A918" t="s">
        <v>67</v>
      </c>
      <c r="D918">
        <f t="shared" ref="D918:W918" si="694">D192*D225</f>
        <v>254.88458745390173</v>
      </c>
      <c r="E918">
        <f t="shared" si="694"/>
        <v>199.4609507232496</v>
      </c>
      <c r="F918">
        <f t="shared" si="694"/>
        <v>192.63086499455204</v>
      </c>
      <c r="G918">
        <f t="shared" si="694"/>
        <v>200.68104015295043</v>
      </c>
      <c r="H918">
        <f t="shared" si="694"/>
        <v>173.55756867395618</v>
      </c>
      <c r="I918">
        <f t="shared" si="694"/>
        <v>192.75894900056218</v>
      </c>
      <c r="J918">
        <f t="shared" si="694"/>
        <v>152.27884058197591</v>
      </c>
      <c r="K918">
        <f t="shared" si="694"/>
        <v>135.57207692779284</v>
      </c>
      <c r="L918">
        <f t="shared" si="694"/>
        <v>92.37624854438981</v>
      </c>
      <c r="M918">
        <f t="shared" si="694"/>
        <v>73.798240998905626</v>
      </c>
      <c r="N918">
        <f t="shared" si="694"/>
        <v>77.781404003505003</v>
      </c>
      <c r="O918">
        <f t="shared" si="694"/>
        <v>85.742431604721673</v>
      </c>
      <c r="P918">
        <f t="shared" si="694"/>
        <v>77.126607913871439</v>
      </c>
      <c r="Q918">
        <f t="shared" si="694"/>
        <v>84.224811235713844</v>
      </c>
      <c r="R918">
        <f t="shared" si="694"/>
        <v>97.427677067149347</v>
      </c>
      <c r="S918">
        <f t="shared" si="694"/>
        <v>101.92609929924436</v>
      </c>
      <c r="T918">
        <f t="shared" si="694"/>
        <v>97.345581481303697</v>
      </c>
      <c r="U918">
        <f t="shared" si="694"/>
        <v>110.65491876609347</v>
      </c>
      <c r="V918">
        <f t="shared" si="694"/>
        <v>134.79730776548456</v>
      </c>
      <c r="W918">
        <f t="shared" si="694"/>
        <v>149.57089313781628</v>
      </c>
      <c r="Y918" s="14">
        <f t="shared" si="669"/>
        <v>2684.5971003271402</v>
      </c>
      <c r="Z918">
        <f>SUMPRODUCT($D$922:$W$922,D918:W918)</f>
        <v>-90.373853186004652</v>
      </c>
    </row>
    <row r="919" spans="1:26" x14ac:dyDescent="0.25">
      <c r="A919" t="s">
        <v>311</v>
      </c>
      <c r="D919">
        <f t="shared" ref="D919:W919" si="695">D193*D226</f>
        <v>292.35775510204076</v>
      </c>
      <c r="E919">
        <f t="shared" si="695"/>
        <v>260.80408163265309</v>
      </c>
      <c r="F919">
        <f t="shared" si="695"/>
        <v>161.88897959183674</v>
      </c>
      <c r="G919">
        <f t="shared" si="695"/>
        <v>154.05551020408166</v>
      </c>
      <c r="H919">
        <f t="shared" si="695"/>
        <v>179.89469387755099</v>
      </c>
      <c r="I919">
        <f t="shared" si="695"/>
        <v>158.39938775510203</v>
      </c>
      <c r="J919">
        <f t="shared" si="695"/>
        <v>119.87999999999998</v>
      </c>
      <c r="K919">
        <f t="shared" si="695"/>
        <v>111.28775510204083</v>
      </c>
      <c r="L919">
        <f t="shared" si="695"/>
        <v>127.09890625000001</v>
      </c>
      <c r="M919">
        <f t="shared" si="695"/>
        <v>164.35000000000002</v>
      </c>
      <c r="N919">
        <f t="shared" si="695"/>
        <v>124.694693877551</v>
      </c>
      <c r="O919">
        <f t="shared" si="695"/>
        <v>101.6338775510204</v>
      </c>
      <c r="P919">
        <f t="shared" si="695"/>
        <v>90.938930856496583</v>
      </c>
      <c r="Q919">
        <f t="shared" si="695"/>
        <v>115.68764722619211</v>
      </c>
      <c r="R919">
        <f t="shared" si="695"/>
        <v>84.335165729085617</v>
      </c>
      <c r="S919">
        <f t="shared" si="695"/>
        <v>130.17045431067081</v>
      </c>
      <c r="T919">
        <f t="shared" si="695"/>
        <v>108.78</v>
      </c>
      <c r="U919">
        <f t="shared" si="695"/>
        <v>94.64</v>
      </c>
      <c r="V919">
        <f t="shared" si="695"/>
        <v>123.19999999999999</v>
      </c>
      <c r="W919">
        <f t="shared" si="695"/>
        <v>156</v>
      </c>
      <c r="Y919" s="14">
        <f t="shared" si="669"/>
        <v>2860.0978390663222</v>
      </c>
      <c r="Z919">
        <f>SUMPRODUCT($D$922:$W$922,D919:W919)</f>
        <v>-101.34525678376387</v>
      </c>
    </row>
    <row r="920" spans="1:26" x14ac:dyDescent="0.25">
      <c r="A920" t="s">
        <v>312</v>
      </c>
      <c r="D920">
        <f t="shared" ref="D920:W920" si="696">D194*D227</f>
        <v>172.24456615539864</v>
      </c>
      <c r="E920">
        <f t="shared" si="696"/>
        <v>159.12541325227664</v>
      </c>
      <c r="F920">
        <f t="shared" si="696"/>
        <v>153.77411863455723</v>
      </c>
      <c r="G920">
        <f t="shared" si="696"/>
        <v>128.91938763026289</v>
      </c>
      <c r="H920">
        <f t="shared" si="696"/>
        <v>120.71437056872666</v>
      </c>
      <c r="I920">
        <f t="shared" si="696"/>
        <v>123.60265661521407</v>
      </c>
      <c r="J920">
        <f t="shared" si="696"/>
        <v>118.97623536609036</v>
      </c>
      <c r="K920">
        <f t="shared" si="696"/>
        <v>111.19673492490688</v>
      </c>
      <c r="L920">
        <f t="shared" si="696"/>
        <v>88.744122348486499</v>
      </c>
      <c r="M920">
        <f t="shared" si="696"/>
        <v>77.606284543619282</v>
      </c>
      <c r="N920">
        <f t="shared" si="696"/>
        <v>86.660822761737592</v>
      </c>
      <c r="O920">
        <f t="shared" si="696"/>
        <v>91.73079001731179</v>
      </c>
      <c r="P920">
        <f t="shared" si="696"/>
        <v>79.72982772432799</v>
      </c>
      <c r="Q920">
        <f t="shared" si="696"/>
        <v>97.401900672055618</v>
      </c>
      <c r="R920">
        <f t="shared" si="696"/>
        <v>110.55789476766574</v>
      </c>
      <c r="S920">
        <f t="shared" si="696"/>
        <v>115.63908034782631</v>
      </c>
      <c r="T920">
        <f t="shared" si="696"/>
        <v>113.21931307578639</v>
      </c>
      <c r="U920">
        <f t="shared" si="696"/>
        <v>117.87792220212494</v>
      </c>
      <c r="V920">
        <f t="shared" si="696"/>
        <v>147.78793791286813</v>
      </c>
      <c r="W920">
        <f t="shared" si="696"/>
        <v>157.96900368692837</v>
      </c>
      <c r="Y920" s="14">
        <f t="shared" si="669"/>
        <v>2373.4783832081725</v>
      </c>
      <c r="Z920">
        <f>SUMPRODUCT($D$922:$W$922,D920:W920)</f>
        <v>-134.70998514496944</v>
      </c>
    </row>
    <row r="921" spans="1:26" x14ac:dyDescent="0.25">
      <c r="A921" t="s">
        <v>674</v>
      </c>
      <c r="D921">
        <f t="shared" ref="D921:W921" si="697">D195*D228</f>
        <v>207.93576836580533</v>
      </c>
      <c r="E921">
        <f t="shared" si="697"/>
        <v>243.01205967912327</v>
      </c>
      <c r="F921">
        <f t="shared" si="697"/>
        <v>147.43048679785164</v>
      </c>
      <c r="G921">
        <f t="shared" si="697"/>
        <v>135.92469099054253</v>
      </c>
      <c r="H921">
        <f t="shared" si="697"/>
        <v>147.15567954590699</v>
      </c>
      <c r="I921">
        <f t="shared" si="697"/>
        <v>99.769329920752995</v>
      </c>
      <c r="J921">
        <f t="shared" si="697"/>
        <v>97.060099318999647</v>
      </c>
      <c r="K921">
        <f t="shared" si="697"/>
        <v>97.153723651939345</v>
      </c>
      <c r="L921">
        <f t="shared" si="697"/>
        <v>76.41399346288992</v>
      </c>
      <c r="M921">
        <f t="shared" si="697"/>
        <v>82.316909406248044</v>
      </c>
      <c r="N921">
        <f t="shared" si="697"/>
        <v>85.738957576065118</v>
      </c>
      <c r="O921">
        <f t="shared" si="697"/>
        <v>95.017657729594092</v>
      </c>
      <c r="P921">
        <f t="shared" si="697"/>
        <v>66.539811327354755</v>
      </c>
      <c r="Q921">
        <f t="shared" si="697"/>
        <v>72.087055524565159</v>
      </c>
      <c r="R921">
        <f t="shared" si="697"/>
        <v>97.203996006369195</v>
      </c>
      <c r="S921">
        <f t="shared" si="697"/>
        <v>102.10288260445522</v>
      </c>
      <c r="T921">
        <f t="shared" si="697"/>
        <v>104.39576687701697</v>
      </c>
      <c r="U921">
        <f t="shared" si="697"/>
        <v>105.29366541101821</v>
      </c>
      <c r="V921">
        <f t="shared" si="697"/>
        <v>116.09091187565207</v>
      </c>
      <c r="W921">
        <f t="shared" si="697"/>
        <v>148.60363269048446</v>
      </c>
      <c r="Y921" s="14">
        <f t="shared" ref="Y921" si="698">SUM(D921:W921)</f>
        <v>2327.2470787626353</v>
      </c>
      <c r="Z921">
        <f>SUMPRODUCT($D$922:$W$922,D921:W921)</f>
        <v>-93.509811108507591</v>
      </c>
    </row>
    <row r="922" spans="1:26" x14ac:dyDescent="0.25">
      <c r="A922" s="2" t="s">
        <v>68</v>
      </c>
      <c r="D922" s="3">
        <f>CORREL($B$2:$B$25,D893:D916)</f>
        <v>0.39292018915044763</v>
      </c>
      <c r="E922" s="3">
        <f t="shared" ref="E922:W922" si="699">CORREL($B$2:$B$25,E893:E916)</f>
        <v>-2.1486697129946792E-2</v>
      </c>
      <c r="F922" s="3">
        <f t="shared" si="699"/>
        <v>4.3569162006042535E-4</v>
      </c>
      <c r="G922" s="3">
        <f t="shared" si="699"/>
        <v>5.247689009204265E-2</v>
      </c>
      <c r="H922" s="3">
        <f t="shared" si="699"/>
        <v>7.0702427934180412E-2</v>
      </c>
      <c r="I922" s="3">
        <f t="shared" si="699"/>
        <v>-3.5118709869017342E-2</v>
      </c>
      <c r="J922" s="3">
        <f t="shared" si="699"/>
        <v>-0.19982865066392072</v>
      </c>
      <c r="K922" s="3">
        <f t="shared" si="699"/>
        <v>-8.7120090430807984E-2</v>
      </c>
      <c r="L922" s="3">
        <f t="shared" si="699"/>
        <v>-4.3111122308839678E-2</v>
      </c>
      <c r="M922" s="3">
        <f t="shared" si="699"/>
        <v>-0.11748596595749909</v>
      </c>
      <c r="N922" s="3">
        <f t="shared" si="699"/>
        <v>-0.14821225338425373</v>
      </c>
      <c r="O922" s="3">
        <f t="shared" si="699"/>
        <v>-0.28301588312232839</v>
      </c>
      <c r="P922" s="3">
        <f t="shared" si="699"/>
        <v>-0.33300578053317115</v>
      </c>
      <c r="Q922" s="3">
        <f t="shared" si="699"/>
        <v>-0.22727930298813462</v>
      </c>
      <c r="R922" s="3">
        <f t="shared" si="699"/>
        <v>-0.29192265283846586</v>
      </c>
      <c r="S922" s="3">
        <f t="shared" si="699"/>
        <v>-0.13611367549319547</v>
      </c>
      <c r="T922" s="3">
        <f t="shared" si="699"/>
        <v>-0.14019888901729155</v>
      </c>
      <c r="U922" s="3">
        <f t="shared" si="699"/>
        <v>-0.16858510114584294</v>
      </c>
      <c r="V922" s="3">
        <f t="shared" si="699"/>
        <v>-0.10155585107679471</v>
      </c>
      <c r="W922" s="3">
        <f t="shared" si="699"/>
        <v>0.14352479290679457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7"/>
  <sheetViews>
    <sheetView topLeftCell="A3" workbookViewId="0">
      <selection activeCell="K33" sqref="K33"/>
    </sheetView>
  </sheetViews>
  <sheetFormatPr defaultRowHeight="15" x14ac:dyDescent="0.25"/>
  <sheetData>
    <row r="3" spans="1:15" x14ac:dyDescent="0.25">
      <c r="A3" s="28" t="s">
        <v>449</v>
      </c>
      <c r="B3" s="28" t="s">
        <v>307</v>
      </c>
      <c r="C3" s="28" t="s">
        <v>32</v>
      </c>
      <c r="D3" s="28" t="s">
        <v>309</v>
      </c>
      <c r="E3" s="28" t="s">
        <v>308</v>
      </c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x14ac:dyDescent="0.25">
      <c r="A4" s="28" t="s">
        <v>43</v>
      </c>
      <c r="B4" s="29">
        <v>2315</v>
      </c>
      <c r="C4" s="28">
        <v>1</v>
      </c>
      <c r="D4" s="28">
        <v>1960.618581971554</v>
      </c>
      <c r="E4" s="28">
        <v>354.38141802844598</v>
      </c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x14ac:dyDescent="0.25">
      <c r="A5" s="28" t="s">
        <v>44</v>
      </c>
      <c r="B5" s="29">
        <v>1474</v>
      </c>
      <c r="C5" s="28">
        <v>2</v>
      </c>
      <c r="D5" s="28">
        <v>1957.6288230955993</v>
      </c>
      <c r="E5" s="28">
        <v>-483.62882309559927</v>
      </c>
      <c r="F5" s="28"/>
      <c r="G5" s="28" t="s">
        <v>313</v>
      </c>
      <c r="H5" s="28"/>
      <c r="I5" s="28"/>
      <c r="J5" s="28"/>
      <c r="K5" s="28"/>
      <c r="L5" s="28"/>
      <c r="M5" s="28"/>
      <c r="N5" s="28"/>
      <c r="O5" s="28"/>
    </row>
    <row r="6" spans="1:15" ht="15.75" thickBot="1" x14ac:dyDescent="0.3">
      <c r="A6" s="28" t="s">
        <v>45</v>
      </c>
      <c r="B6" s="29">
        <v>1951</v>
      </c>
      <c r="C6" s="28">
        <v>3</v>
      </c>
      <c r="D6" s="28">
        <v>1954.6390642196448</v>
      </c>
      <c r="E6" s="28">
        <v>-3.6390642196447516</v>
      </c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x14ac:dyDescent="0.25">
      <c r="A7" s="28" t="s">
        <v>46</v>
      </c>
      <c r="B7" s="29">
        <v>1850</v>
      </c>
      <c r="C7" s="28">
        <v>4</v>
      </c>
      <c r="D7" s="28">
        <v>1951.64930534369</v>
      </c>
      <c r="E7" s="28">
        <v>-101.64930534369</v>
      </c>
      <c r="F7" s="28"/>
      <c r="G7" s="30" t="s">
        <v>314</v>
      </c>
      <c r="H7" s="30"/>
      <c r="I7" s="28"/>
      <c r="J7" s="28"/>
      <c r="K7" s="28"/>
      <c r="L7" s="28"/>
      <c r="M7" s="28"/>
      <c r="N7" s="28"/>
      <c r="O7" s="28"/>
    </row>
    <row r="8" spans="1:15" x14ac:dyDescent="0.25">
      <c r="A8" s="28" t="s">
        <v>47</v>
      </c>
      <c r="B8" s="29">
        <v>2014</v>
      </c>
      <c r="C8" s="28">
        <v>5</v>
      </c>
      <c r="D8" s="28">
        <v>1948.6595464677353</v>
      </c>
      <c r="E8" s="28">
        <v>65.340453532264746</v>
      </c>
      <c r="F8" s="28"/>
      <c r="G8" s="31" t="s">
        <v>315</v>
      </c>
      <c r="H8" s="31">
        <v>6.3297692228847818E-2</v>
      </c>
      <c r="I8" s="28"/>
      <c r="J8" s="28"/>
      <c r="K8" s="28"/>
      <c r="L8" s="28"/>
      <c r="M8" s="28"/>
      <c r="N8" s="28"/>
      <c r="O8" s="28"/>
    </row>
    <row r="9" spans="1:15" x14ac:dyDescent="0.25">
      <c r="A9" s="28" t="s">
        <v>48</v>
      </c>
      <c r="B9" s="29">
        <v>1867</v>
      </c>
      <c r="C9" s="28">
        <v>6</v>
      </c>
      <c r="D9" s="28">
        <v>1945.6697875917805</v>
      </c>
      <c r="E9" s="28">
        <v>-78.669787591780505</v>
      </c>
      <c r="F9" s="28"/>
      <c r="G9" s="31" t="s">
        <v>316</v>
      </c>
      <c r="H9" s="31">
        <v>4.0065978414979414E-3</v>
      </c>
      <c r="I9" s="28"/>
      <c r="J9" s="28"/>
      <c r="K9" s="28"/>
      <c r="L9" s="28"/>
      <c r="M9" s="28"/>
      <c r="N9" s="28"/>
      <c r="O9" s="28"/>
    </row>
    <row r="10" spans="1:15" x14ac:dyDescent="0.25">
      <c r="A10" s="28" t="s">
        <v>49</v>
      </c>
      <c r="B10" s="29">
        <v>2259</v>
      </c>
      <c r="C10" s="28">
        <v>7</v>
      </c>
      <c r="D10" s="28">
        <v>1942.6800287158258</v>
      </c>
      <c r="E10" s="28">
        <v>316.31997128417424</v>
      </c>
      <c r="F10" s="28"/>
      <c r="G10" s="31" t="s">
        <v>317</v>
      </c>
      <c r="H10" s="31">
        <v>-4.342165940414501E-2</v>
      </c>
      <c r="I10" s="28"/>
      <c r="J10" s="28"/>
      <c r="K10" s="28"/>
      <c r="L10" s="28"/>
      <c r="M10" s="28"/>
      <c r="N10" s="28"/>
      <c r="O10" s="28"/>
    </row>
    <row r="11" spans="1:15" x14ac:dyDescent="0.25">
      <c r="A11" s="28" t="s">
        <v>50</v>
      </c>
      <c r="B11" s="29">
        <v>1845</v>
      </c>
      <c r="C11" s="28">
        <v>8</v>
      </c>
      <c r="D11" s="28">
        <v>1939.690269839871</v>
      </c>
      <c r="E11" s="28">
        <v>-94.690269839871007</v>
      </c>
      <c r="F11" s="28"/>
      <c r="G11" s="31" t="s">
        <v>318</v>
      </c>
      <c r="H11" s="31">
        <v>327.23302507525739</v>
      </c>
      <c r="I11" s="28"/>
      <c r="J11" s="28"/>
      <c r="K11" s="28"/>
      <c r="L11" s="28"/>
      <c r="M11" s="28"/>
      <c r="N11" s="28"/>
      <c r="O11" s="28"/>
    </row>
    <row r="12" spans="1:15" ht="15.75" thickBot="1" x14ac:dyDescent="0.3">
      <c r="A12" s="28" t="s">
        <v>51</v>
      </c>
      <c r="B12" s="29">
        <v>2603</v>
      </c>
      <c r="C12" s="28">
        <v>9</v>
      </c>
      <c r="D12" s="28">
        <v>1936.7005109639165</v>
      </c>
      <c r="E12" s="28">
        <v>666.29948903608351</v>
      </c>
      <c r="F12" s="28"/>
      <c r="G12" s="32" t="s">
        <v>319</v>
      </c>
      <c r="H12" s="32">
        <v>23</v>
      </c>
      <c r="I12" s="28"/>
      <c r="J12" s="28"/>
      <c r="K12" s="28"/>
      <c r="L12" s="28"/>
      <c r="M12" s="28"/>
      <c r="N12" s="28"/>
      <c r="O12" s="28"/>
    </row>
    <row r="13" spans="1:15" x14ac:dyDescent="0.25">
      <c r="A13" s="28" t="s">
        <v>52</v>
      </c>
      <c r="B13" s="29">
        <v>2048</v>
      </c>
      <c r="C13" s="28">
        <v>10</v>
      </c>
      <c r="D13" s="28">
        <v>1933.7107520879617</v>
      </c>
      <c r="E13" s="28">
        <v>114.28924791203826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15.75" thickBot="1" x14ac:dyDescent="0.3">
      <c r="A14" s="28" t="s">
        <v>53</v>
      </c>
      <c r="B14" s="29">
        <v>2323</v>
      </c>
      <c r="C14" s="28">
        <v>11</v>
      </c>
      <c r="D14" s="28">
        <v>1930.720993212007</v>
      </c>
      <c r="E14" s="28">
        <v>392.27900678799301</v>
      </c>
      <c r="F14" s="28"/>
      <c r="G14" s="28" t="s">
        <v>320</v>
      </c>
      <c r="H14" s="28"/>
      <c r="I14" s="28"/>
      <c r="J14" s="28"/>
      <c r="K14" s="28"/>
      <c r="L14" s="28"/>
      <c r="M14" s="28"/>
      <c r="N14" s="28"/>
      <c r="O14" s="28"/>
    </row>
    <row r="15" spans="1:15" x14ac:dyDescent="0.25">
      <c r="A15" s="28" t="s">
        <v>54</v>
      </c>
      <c r="B15" s="29">
        <v>1736</v>
      </c>
      <c r="C15" s="28">
        <v>12</v>
      </c>
      <c r="D15" s="28">
        <v>1927.7312343360522</v>
      </c>
      <c r="E15" s="28">
        <v>-191.73123433605224</v>
      </c>
      <c r="F15" s="28"/>
      <c r="G15" s="33"/>
      <c r="H15" s="33" t="s">
        <v>325</v>
      </c>
      <c r="I15" s="33" t="s">
        <v>326</v>
      </c>
      <c r="J15" s="33" t="s">
        <v>327</v>
      </c>
      <c r="K15" s="33" t="s">
        <v>328</v>
      </c>
      <c r="L15" s="33" t="s">
        <v>329</v>
      </c>
      <c r="M15" s="28"/>
      <c r="N15" s="28"/>
      <c r="O15" s="28"/>
    </row>
    <row r="16" spans="1:15" x14ac:dyDescent="0.25">
      <c r="A16" s="28" t="s">
        <v>55</v>
      </c>
      <c r="B16" s="29">
        <v>1877</v>
      </c>
      <c r="C16" s="28">
        <v>13</v>
      </c>
      <c r="D16" s="28">
        <v>1924.7414754600975</v>
      </c>
      <c r="E16" s="28">
        <v>-47.74147546009749</v>
      </c>
      <c r="F16" s="28"/>
      <c r="G16" s="31" t="s">
        <v>321</v>
      </c>
      <c r="H16" s="31">
        <v>1</v>
      </c>
      <c r="I16" s="31">
        <v>9045.9220339856111</v>
      </c>
      <c r="J16" s="31">
        <v>9045.9220339856111</v>
      </c>
      <c r="K16" s="31">
        <v>8.4477020117917384E-2</v>
      </c>
      <c r="L16" s="31">
        <v>0.77417054802637564</v>
      </c>
      <c r="M16" s="28"/>
      <c r="N16" s="28"/>
      <c r="O16" s="28"/>
    </row>
    <row r="17" spans="1:15" x14ac:dyDescent="0.25">
      <c r="A17" s="28" t="s">
        <v>56</v>
      </c>
      <c r="B17" s="29">
        <v>1833</v>
      </c>
      <c r="C17" s="28">
        <v>14</v>
      </c>
      <c r="D17" s="28">
        <v>1921.7517165841427</v>
      </c>
      <c r="E17" s="28">
        <v>-88.751716584142741</v>
      </c>
      <c r="F17" s="28"/>
      <c r="G17" s="31" t="s">
        <v>322</v>
      </c>
      <c r="H17" s="31">
        <v>21</v>
      </c>
      <c r="I17" s="31">
        <v>2248710.5066979844</v>
      </c>
      <c r="J17" s="31">
        <v>107081.45269990402</v>
      </c>
      <c r="K17" s="31"/>
      <c r="L17" s="31"/>
      <c r="M17" s="28"/>
      <c r="N17" s="28"/>
      <c r="O17" s="28"/>
    </row>
    <row r="18" spans="1:15" ht="15.75" thickBot="1" x14ac:dyDescent="0.3">
      <c r="A18" s="28" t="s">
        <v>57</v>
      </c>
      <c r="B18" s="29">
        <v>1704</v>
      </c>
      <c r="C18" s="28">
        <v>15</v>
      </c>
      <c r="D18" s="28">
        <v>1918.7619577081882</v>
      </c>
      <c r="E18" s="28">
        <v>-214.76195770818822</v>
      </c>
      <c r="F18" s="28"/>
      <c r="G18" s="32" t="s">
        <v>323</v>
      </c>
      <c r="H18" s="32">
        <v>22</v>
      </c>
      <c r="I18" s="32">
        <v>2257756.42873197</v>
      </c>
      <c r="J18" s="32"/>
      <c r="K18" s="32"/>
      <c r="L18" s="32"/>
      <c r="M18" s="28"/>
      <c r="N18" s="28"/>
      <c r="O18" s="28"/>
    </row>
    <row r="19" spans="1:15" ht="15.75" thickBot="1" x14ac:dyDescent="0.3">
      <c r="A19" s="28" t="s">
        <v>58</v>
      </c>
      <c r="B19" s="29">
        <v>2025</v>
      </c>
      <c r="C19" s="28">
        <v>16</v>
      </c>
      <c r="D19" s="28">
        <v>1915.7721988322335</v>
      </c>
      <c r="E19" s="28">
        <v>109.22780116776653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5" x14ac:dyDescent="0.25">
      <c r="A20" s="28" t="s">
        <v>59</v>
      </c>
      <c r="B20" s="34">
        <v>1965</v>
      </c>
      <c r="C20" s="28">
        <v>17</v>
      </c>
      <c r="D20" s="28">
        <v>1912.7824399562787</v>
      </c>
      <c r="E20" s="28">
        <v>52.217560043721278</v>
      </c>
      <c r="F20" s="28"/>
      <c r="G20" s="33"/>
      <c r="H20" s="33" t="s">
        <v>330</v>
      </c>
      <c r="I20" s="33" t="s">
        <v>318</v>
      </c>
      <c r="J20" s="33" t="s">
        <v>331</v>
      </c>
      <c r="K20" s="33" t="s">
        <v>332</v>
      </c>
      <c r="L20" s="33" t="s">
        <v>333</v>
      </c>
      <c r="M20" s="33" t="s">
        <v>334</v>
      </c>
      <c r="N20" s="33" t="s">
        <v>335</v>
      </c>
      <c r="O20" s="33" t="s">
        <v>336</v>
      </c>
    </row>
    <row r="21" spans="1:15" x14ac:dyDescent="0.25">
      <c r="A21" s="28" t="s">
        <v>60</v>
      </c>
      <c r="B21" s="29">
        <v>2095.9595959595958</v>
      </c>
      <c r="C21" s="28">
        <v>18</v>
      </c>
      <c r="D21" s="28">
        <v>1909.792681080324</v>
      </c>
      <c r="E21" s="28">
        <v>186.16691487927187</v>
      </c>
      <c r="F21" s="28"/>
      <c r="G21" s="31" t="s">
        <v>324</v>
      </c>
      <c r="H21" s="31">
        <v>1963.6083408475088</v>
      </c>
      <c r="I21" s="31">
        <v>150.12626248865917</v>
      </c>
      <c r="J21" s="31">
        <v>13.079712425371568</v>
      </c>
      <c r="K21" s="31">
        <v>1.4631203386263922E-11</v>
      </c>
      <c r="L21" s="31">
        <v>1651.4036869188715</v>
      </c>
      <c r="M21" s="31">
        <v>2275.8129947761463</v>
      </c>
      <c r="N21" s="31">
        <v>1651.4036869188715</v>
      </c>
      <c r="O21" s="31">
        <v>2275.8129947761463</v>
      </c>
    </row>
    <row r="22" spans="1:15" ht="15.75" thickBot="1" x14ac:dyDescent="0.3">
      <c r="A22" s="28" t="s">
        <v>61</v>
      </c>
      <c r="B22" s="29">
        <v>1415.0943396226414</v>
      </c>
      <c r="C22" s="28">
        <v>19</v>
      </c>
      <c r="D22" s="28">
        <v>1906.8029222043692</v>
      </c>
      <c r="E22" s="28">
        <v>-491.7085825817278</v>
      </c>
      <c r="F22" s="28"/>
      <c r="G22" s="32">
        <v>1</v>
      </c>
      <c r="H22" s="32">
        <v>-2.9897588759547098</v>
      </c>
      <c r="I22" s="32">
        <v>10.286482010583372</v>
      </c>
      <c r="J22" s="32">
        <v>-0.29064930778848008</v>
      </c>
      <c r="K22" s="32">
        <v>0.77417054802636875</v>
      </c>
      <c r="L22" s="32">
        <v>-24.381669278706113</v>
      </c>
      <c r="M22" s="32">
        <v>18.402151526796693</v>
      </c>
      <c r="N22" s="32">
        <v>-24.381669278706113</v>
      </c>
      <c r="O22" s="32">
        <v>18.402151526796693</v>
      </c>
    </row>
    <row r="23" spans="1:15" x14ac:dyDescent="0.25">
      <c r="A23" s="28" t="s">
        <v>62</v>
      </c>
      <c r="B23" s="29">
        <v>2038</v>
      </c>
      <c r="C23" s="28">
        <v>20</v>
      </c>
      <c r="D23" s="28">
        <v>1903.8131633284145</v>
      </c>
      <c r="E23" s="28">
        <v>134.18683667158552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x14ac:dyDescent="0.25">
      <c r="A24" s="28" t="s">
        <v>63</v>
      </c>
      <c r="B24" s="29">
        <v>1241</v>
      </c>
      <c r="C24" s="28">
        <v>21</v>
      </c>
      <c r="D24" s="28">
        <v>1900.82340445246</v>
      </c>
      <c r="E24" s="28">
        <v>-659.82340445245995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x14ac:dyDescent="0.25">
      <c r="A25" s="28" t="s">
        <v>64</v>
      </c>
      <c r="B25" s="35">
        <v>1575</v>
      </c>
      <c r="C25" s="28">
        <v>22</v>
      </c>
      <c r="D25" s="28">
        <v>1897.8336455765052</v>
      </c>
      <c r="E25" s="28">
        <v>-322.83364557650521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x14ac:dyDescent="0.25">
      <c r="A26" s="28" t="s">
        <v>65</v>
      </c>
      <c r="B26" s="35">
        <v>2099</v>
      </c>
      <c r="C26" s="28">
        <v>23</v>
      </c>
      <c r="D26" s="28">
        <v>1894.8438867005505</v>
      </c>
      <c r="E26" s="28">
        <v>204.15611329944954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x14ac:dyDescent="0.25">
      <c r="A27" s="28" t="s">
        <v>66</v>
      </c>
      <c r="B27" s="36">
        <v>2431</v>
      </c>
      <c r="C27" s="28">
        <v>24</v>
      </c>
      <c r="D27" s="28">
        <v>1891.8541278245957</v>
      </c>
      <c r="E27" s="28">
        <v>539.14587217540429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5"/>
  <sheetViews>
    <sheetView tabSelected="1" topLeftCell="A64" zoomScale="70" zoomScaleNormal="70" workbookViewId="0">
      <selection activeCell="C30" sqref="C30"/>
    </sheetView>
  </sheetViews>
  <sheetFormatPr defaultRowHeight="15" x14ac:dyDescent="0.25"/>
  <cols>
    <col min="1" max="1" width="9.140625" style="21"/>
    <col min="2" max="3" width="9.28515625" style="21" bestFit="1" customWidth="1"/>
    <col min="4" max="4" width="11.42578125" style="21" bestFit="1" customWidth="1"/>
    <col min="5" max="5" width="13" style="21" bestFit="1" customWidth="1"/>
    <col min="6" max="6" width="11.7109375" style="21" bestFit="1" customWidth="1"/>
    <col min="7" max="16384" width="9.140625" style="21"/>
  </cols>
  <sheetData>
    <row r="1" spans="1:61" x14ac:dyDescent="0.25">
      <c r="B1" s="21" t="s">
        <v>307</v>
      </c>
      <c r="C1" s="21" t="s">
        <v>309</v>
      </c>
      <c r="D1" s="21" t="s">
        <v>310</v>
      </c>
      <c r="E1" s="21" t="s">
        <v>32</v>
      </c>
      <c r="F1" s="21" t="s">
        <v>41</v>
      </c>
      <c r="G1" s="21" t="s">
        <v>42</v>
      </c>
      <c r="H1" s="21" t="s">
        <v>77</v>
      </c>
      <c r="I1" s="21" t="s">
        <v>78</v>
      </c>
      <c r="J1" s="21" t="s">
        <v>87</v>
      </c>
      <c r="K1" s="21" t="s">
        <v>88</v>
      </c>
      <c r="L1" s="21" t="s">
        <v>89</v>
      </c>
      <c r="M1" s="21" t="s">
        <v>90</v>
      </c>
      <c r="N1" s="21" t="s">
        <v>91</v>
      </c>
      <c r="O1" s="21" t="s">
        <v>92</v>
      </c>
      <c r="P1" s="21" t="s">
        <v>93</v>
      </c>
      <c r="Q1" s="21" t="s">
        <v>94</v>
      </c>
      <c r="R1" s="21" t="s">
        <v>95</v>
      </c>
      <c r="S1" s="21" t="s">
        <v>96</v>
      </c>
      <c r="T1" s="21" t="s">
        <v>105</v>
      </c>
      <c r="U1" s="21" t="s">
        <v>106</v>
      </c>
      <c r="V1" s="21" t="s">
        <v>115</v>
      </c>
      <c r="W1" s="21" t="s">
        <v>116</v>
      </c>
      <c r="X1" s="21" t="s">
        <v>125</v>
      </c>
      <c r="Y1" s="21" t="s">
        <v>126</v>
      </c>
      <c r="Z1" s="21" t="s">
        <v>135</v>
      </c>
      <c r="AA1" s="21" t="s">
        <v>136</v>
      </c>
      <c r="AB1" s="21" t="s">
        <v>145</v>
      </c>
      <c r="AC1" s="21" t="s">
        <v>146</v>
      </c>
      <c r="AD1" s="21" t="s">
        <v>155</v>
      </c>
      <c r="AE1" s="21" t="s">
        <v>156</v>
      </c>
      <c r="AF1" s="21" t="s">
        <v>165</v>
      </c>
      <c r="AG1" s="21" t="s">
        <v>166</v>
      </c>
      <c r="AH1" s="21" t="s">
        <v>175</v>
      </c>
      <c r="AI1" s="21" t="s">
        <v>176</v>
      </c>
      <c r="AJ1" s="21" t="s">
        <v>185</v>
      </c>
      <c r="AK1" s="21" t="s">
        <v>186</v>
      </c>
      <c r="AL1" s="21" t="s">
        <v>195</v>
      </c>
      <c r="AM1" s="21" t="s">
        <v>196</v>
      </c>
      <c r="AN1" s="21" t="s">
        <v>205</v>
      </c>
      <c r="AO1" s="21" t="s">
        <v>206</v>
      </c>
      <c r="AP1" s="21" t="s">
        <v>215</v>
      </c>
      <c r="AQ1" s="21" t="s">
        <v>216</v>
      </c>
      <c r="AR1" s="21" t="s">
        <v>225</v>
      </c>
      <c r="AS1" s="21" t="s">
        <v>226</v>
      </c>
      <c r="AT1" s="21" t="s">
        <v>235</v>
      </c>
      <c r="AU1" s="21" t="s">
        <v>236</v>
      </c>
      <c r="AV1" s="21" t="s">
        <v>245</v>
      </c>
      <c r="AW1" s="21" t="s">
        <v>246</v>
      </c>
      <c r="AX1" s="21" t="s">
        <v>255</v>
      </c>
      <c r="AY1" s="21" t="s">
        <v>256</v>
      </c>
      <c r="AZ1" s="21" t="s">
        <v>265</v>
      </c>
      <c r="BA1" s="21" t="s">
        <v>266</v>
      </c>
      <c r="BB1" s="21" t="s">
        <v>275</v>
      </c>
      <c r="BC1" s="21" t="s">
        <v>276</v>
      </c>
      <c r="BD1" s="21" t="s">
        <v>285</v>
      </c>
      <c r="BE1" s="21" t="s">
        <v>286</v>
      </c>
      <c r="BF1" s="21" t="s">
        <v>295</v>
      </c>
      <c r="BG1" s="21" t="s">
        <v>296</v>
      </c>
      <c r="BH1" s="21" t="s">
        <v>305</v>
      </c>
      <c r="BI1" s="21" t="s">
        <v>306</v>
      </c>
    </row>
    <row r="2" spans="1:61" x14ac:dyDescent="0.25">
      <c r="A2" s="21" t="s">
        <v>43</v>
      </c>
      <c r="B2" s="22">
        <v>2315</v>
      </c>
      <c r="C2" s="93">
        <f t="shared" ref="C2:C29" si="0">$D$97+($D$98*AS2)+($D$99*U2)+($D$100*Y2)+($D$101*AB2)+($D$102*AH2)+($D$103*Z2)+($D$104*AA2)</f>
        <v>2362.4941566093758</v>
      </c>
      <c r="D2" s="4">
        <f t="shared" ref="D2:D24" si="1">(B2-C2)/B2*100</f>
        <v>-2.0515834388499243</v>
      </c>
      <c r="E2" s="21">
        <v>1</v>
      </c>
      <c r="F2" s="23">
        <v>181.73904761904765</v>
      </c>
      <c r="G2" s="21">
        <v>4.8689146378666859</v>
      </c>
      <c r="H2" s="23">
        <v>617.02222222222213</v>
      </c>
      <c r="I2" s="21">
        <v>-87.925677126592589</v>
      </c>
      <c r="J2" s="23">
        <v>200.3031746031746</v>
      </c>
      <c r="K2" s="21">
        <v>-48.235732335002773</v>
      </c>
      <c r="L2" s="23">
        <v>1468.2188406256914</v>
      </c>
      <c r="M2" s="21">
        <v>250.69778584384042</v>
      </c>
      <c r="N2" s="23">
        <v>768.46132435713196</v>
      </c>
      <c r="O2" s="21">
        <v>97.337591082653958</v>
      </c>
      <c r="P2" s="23">
        <v>173.13012517729459</v>
      </c>
      <c r="Q2" s="21">
        <v>-35.255991534690182</v>
      </c>
      <c r="R2" s="23">
        <v>239.05955148733793</v>
      </c>
      <c r="S2" s="21">
        <v>13.42699015399276</v>
      </c>
      <c r="T2" s="23">
        <v>5625.030845049132</v>
      </c>
      <c r="U2" s="21">
        <v>-514.14862509114494</v>
      </c>
      <c r="V2" s="23">
        <v>1825.9058427815569</v>
      </c>
      <c r="W2" s="21">
        <v>-465.21927102099534</v>
      </c>
      <c r="X2" s="23">
        <v>13292.975764606275</v>
      </c>
      <c r="Y2" s="21">
        <v>2154.5340403593618</v>
      </c>
      <c r="Z2" s="23">
        <v>6823.4038573199623</v>
      </c>
      <c r="AA2" s="21">
        <v>892.25101467522165</v>
      </c>
      <c r="AB2" s="23">
        <v>1573.3798402136151</v>
      </c>
      <c r="AC2" s="21">
        <v>-280.06080967324749</v>
      </c>
      <c r="AD2" s="23">
        <v>2140.5616674665184</v>
      </c>
      <c r="AE2" s="21">
        <v>117.70509078414923</v>
      </c>
      <c r="AF2" s="23">
        <v>6284.3604106827906</v>
      </c>
      <c r="AG2" s="21">
        <v>-1586.365404797946</v>
      </c>
      <c r="AH2" s="23">
        <v>45417.60296496447</v>
      </c>
      <c r="AI2" s="21">
        <v>2762.9288089980655</v>
      </c>
      <c r="AJ2" s="23">
        <v>23623.031568775885</v>
      </c>
      <c r="AK2" s="21">
        <v>1949.0953088385611</v>
      </c>
      <c r="AL2" s="23">
        <v>5420.8809855481086</v>
      </c>
      <c r="AM2" s="21">
        <v>-1136.0250929525566</v>
      </c>
      <c r="AN2" s="23">
        <v>7409.9359372942936</v>
      </c>
      <c r="AO2" s="21">
        <v>113.87174908720584</v>
      </c>
      <c r="AP2" s="23">
        <v>14931.931076855462</v>
      </c>
      <c r="AQ2" s="21">
        <v>-1844.3053076375354</v>
      </c>
      <c r="AR2" s="23">
        <v>7734.7212914412603</v>
      </c>
      <c r="AS2" s="21">
        <v>6.7971068616015913</v>
      </c>
      <c r="AT2" s="23">
        <v>1828.14996696768</v>
      </c>
      <c r="AU2" s="21">
        <v>-404.02543197970931</v>
      </c>
      <c r="AV2" s="23">
        <v>2445.7472965877369</v>
      </c>
      <c r="AW2" s="21">
        <v>-116.04504392652291</v>
      </c>
      <c r="AX2" s="23">
        <v>57281.041389502047</v>
      </c>
      <c r="AY2" s="21">
        <v>9231.6459484339139</v>
      </c>
      <c r="AZ2" s="23">
        <v>13014.406282670945</v>
      </c>
      <c r="BA2" s="21">
        <v>-714.74424752547429</v>
      </c>
      <c r="BB2" s="23">
        <v>17816.531287990721</v>
      </c>
      <c r="BC2" s="21">
        <v>1778.5903160608284</v>
      </c>
      <c r="BD2" s="23">
        <v>6744.3418699490239</v>
      </c>
      <c r="BE2" s="21">
        <v>80.84989167737433</v>
      </c>
      <c r="BF2" s="23">
        <v>10352.370441186718</v>
      </c>
      <c r="BG2" s="21">
        <v>953.71006416146736</v>
      </c>
      <c r="BH2" s="23">
        <v>2124.7396058701652</v>
      </c>
      <c r="BI2" s="21">
        <v>-79.189796849468166</v>
      </c>
    </row>
    <row r="3" spans="1:61" x14ac:dyDescent="0.25">
      <c r="A3" s="21" t="s">
        <v>44</v>
      </c>
      <c r="B3" s="22">
        <v>1474</v>
      </c>
      <c r="C3" s="93">
        <f t="shared" si="0"/>
        <v>1447.6198750631199</v>
      </c>
      <c r="D3" s="4">
        <f t="shared" si="1"/>
        <v>1.7896964000597058</v>
      </c>
      <c r="E3" s="21">
        <v>2</v>
      </c>
      <c r="F3" s="23">
        <v>194.89047619047622</v>
      </c>
      <c r="G3" s="21">
        <v>3.5986568276928144</v>
      </c>
      <c r="H3" s="23">
        <v>610.54667962423059</v>
      </c>
      <c r="I3" s="21">
        <v>-104.56357820852546</v>
      </c>
      <c r="J3" s="23">
        <v>208.20825396825393</v>
      </c>
      <c r="K3" s="21">
        <v>-52.413923032077491</v>
      </c>
      <c r="L3" s="23">
        <v>1542.9916556490873</v>
      </c>
      <c r="M3" s="21">
        <v>245.42564562792927</v>
      </c>
      <c r="N3" s="23">
        <v>978.30837711790241</v>
      </c>
      <c r="O3" s="21">
        <v>78.378460888789604</v>
      </c>
      <c r="P3" s="23">
        <v>199.96720988652507</v>
      </c>
      <c r="Q3" s="21">
        <v>-42.16405513257579</v>
      </c>
      <c r="R3" s="23">
        <v>320.46546204853678</v>
      </c>
      <c r="S3" s="21">
        <v>7.6887648839286609</v>
      </c>
      <c r="T3" s="23">
        <v>6012.916921807272</v>
      </c>
      <c r="U3" s="21">
        <v>-605.60168110463064</v>
      </c>
      <c r="V3" s="23">
        <v>2040.6146832955405</v>
      </c>
      <c r="W3" s="21">
        <v>-547.18240250687211</v>
      </c>
      <c r="X3" s="23">
        <v>15040.194000525633</v>
      </c>
      <c r="Y3" s="21">
        <v>2247.0800294936894</v>
      </c>
      <c r="Z3" s="23">
        <v>9571.4457039369991</v>
      </c>
      <c r="AA3" s="21">
        <v>778.79776956383148</v>
      </c>
      <c r="AB3" s="23">
        <v>1949.816611594274</v>
      </c>
      <c r="AC3" s="21">
        <v>-371.43430155551255</v>
      </c>
      <c r="AD3" s="23">
        <v>3137.8351529860747</v>
      </c>
      <c r="AE3" s="21">
        <v>64.83455970532053</v>
      </c>
      <c r="AF3" s="23">
        <v>6518.1742458132157</v>
      </c>
      <c r="AG3" s="21">
        <v>-1899.7412804939872</v>
      </c>
      <c r="AH3" s="23">
        <v>47129.170483688315</v>
      </c>
      <c r="AI3" s="21">
        <v>1965.8748619405915</v>
      </c>
      <c r="AJ3" s="23">
        <v>30865.414376118541</v>
      </c>
      <c r="AK3" s="21">
        <v>494.65254552843692</v>
      </c>
      <c r="AL3" s="23">
        <v>6118.6479331452911</v>
      </c>
      <c r="AM3" s="21">
        <v>-1453.415665766154</v>
      </c>
      <c r="AN3" s="23">
        <v>10195.992541090822</v>
      </c>
      <c r="AO3" s="21">
        <v>-412.7166779659342</v>
      </c>
      <c r="AP3" s="23">
        <v>16169.125451930282</v>
      </c>
      <c r="AQ3" s="21">
        <v>-2238.7404754712461</v>
      </c>
      <c r="AR3" s="23">
        <v>10365.599076939117</v>
      </c>
      <c r="AS3" s="21">
        <v>-544.65871874619404</v>
      </c>
      <c r="AT3" s="23">
        <v>2140.4498161467973</v>
      </c>
      <c r="AU3" s="21">
        <v>-496.7933378545016</v>
      </c>
      <c r="AV3" s="23">
        <v>3479.2901384157558</v>
      </c>
      <c r="AW3" s="21">
        <v>-296.52962619750917</v>
      </c>
      <c r="AX3" s="23">
        <v>75241.532964691418</v>
      </c>
      <c r="AY3" s="21">
        <v>8867.5467692751827</v>
      </c>
      <c r="AZ3" s="23">
        <v>15543.397313322725</v>
      </c>
      <c r="BA3" s="21">
        <v>-1056.1381300341645</v>
      </c>
      <c r="BB3" s="23">
        <v>24844.345361840464</v>
      </c>
      <c r="BC3" s="21">
        <v>1628.1725089870667</v>
      </c>
      <c r="BD3" s="23">
        <v>9808.862792561471</v>
      </c>
      <c r="BE3" s="21">
        <v>-176.59107686977828</v>
      </c>
      <c r="BF3" s="23">
        <v>16676.155970558739</v>
      </c>
      <c r="BG3" s="21">
        <v>443.69160290568152</v>
      </c>
      <c r="BH3" s="23">
        <v>3299.1192363138407</v>
      </c>
      <c r="BI3" s="21">
        <v>-189.49611728617538</v>
      </c>
    </row>
    <row r="4" spans="1:61" x14ac:dyDescent="0.25">
      <c r="A4" s="21" t="s">
        <v>45</v>
      </c>
      <c r="B4" s="22">
        <v>1951</v>
      </c>
      <c r="C4" s="93">
        <f t="shared" si="0"/>
        <v>1917.5336527869072</v>
      </c>
      <c r="D4" s="4">
        <f t="shared" si="1"/>
        <v>1.7153432707889715</v>
      </c>
      <c r="E4" s="21">
        <v>3</v>
      </c>
      <c r="F4" s="23">
        <v>178.98208616780045</v>
      </c>
      <c r="G4" s="21">
        <v>2.7802958434121203</v>
      </c>
      <c r="H4" s="23">
        <v>645.81632653061206</v>
      </c>
      <c r="I4" s="21">
        <v>-91.399446080936954</v>
      </c>
      <c r="J4" s="23">
        <v>217.44240362811789</v>
      </c>
      <c r="K4" s="21">
        <v>-51.846907963159694</v>
      </c>
      <c r="L4" s="23">
        <v>1564.7162223428188</v>
      </c>
      <c r="M4" s="21">
        <v>267.77409842203133</v>
      </c>
      <c r="N4" s="23">
        <v>1058.1482644487264</v>
      </c>
      <c r="O4" s="21">
        <v>121.98997078346717</v>
      </c>
      <c r="P4" s="23">
        <v>215.2501957705077</v>
      </c>
      <c r="Q4" s="21">
        <v>-42.815235107062016</v>
      </c>
      <c r="R4" s="23">
        <v>309.09091419974322</v>
      </c>
      <c r="S4" s="21">
        <v>15.304485388195763</v>
      </c>
      <c r="T4" s="23">
        <v>5788.0799324355594</v>
      </c>
      <c r="U4" s="21">
        <v>-560.56555479709027</v>
      </c>
      <c r="V4" s="23">
        <v>1958.3627727130156</v>
      </c>
      <c r="W4" s="21">
        <v>-530.49103481410941</v>
      </c>
      <c r="X4" s="23">
        <v>13995.783949868412</v>
      </c>
      <c r="Y4" s="21">
        <v>2146.5703244322344</v>
      </c>
      <c r="Z4" s="23">
        <v>9353.8037290790289</v>
      </c>
      <c r="AA4" s="21">
        <v>1048.7035902737339</v>
      </c>
      <c r="AB4" s="23">
        <v>1927.1488733988199</v>
      </c>
      <c r="AC4" s="21">
        <v>-358.6983337358069</v>
      </c>
      <c r="AD4" s="23">
        <v>2757.0306441608445</v>
      </c>
      <c r="AE4" s="21">
        <v>113.95295822068938</v>
      </c>
      <c r="AF4" s="23">
        <v>7102.2415252903875</v>
      </c>
      <c r="AG4" s="21">
        <v>-1805.8117710827983</v>
      </c>
      <c r="AH4" s="23">
        <v>50512.875344881206</v>
      </c>
      <c r="AI4" s="21">
        <v>2896.3847201174276</v>
      </c>
      <c r="AJ4" s="23">
        <v>34273.297980376483</v>
      </c>
      <c r="AK4" s="21">
        <v>2541.0326738045978</v>
      </c>
      <c r="AL4" s="23">
        <v>7038.4020437009713</v>
      </c>
      <c r="AM4" s="21">
        <v>-1459.8148375161961</v>
      </c>
      <c r="AN4" s="23">
        <v>10094.785436632916</v>
      </c>
      <c r="AO4" s="21">
        <v>114.4710019777348</v>
      </c>
      <c r="AP4" s="23">
        <v>17063.203960066112</v>
      </c>
      <c r="AQ4" s="21">
        <v>-2156.3131508413567</v>
      </c>
      <c r="AR4" s="23">
        <v>11573.762265265445</v>
      </c>
      <c r="AS4" s="21">
        <v>-60.130679746091758</v>
      </c>
      <c r="AT4" s="23">
        <v>2464.5010851585835</v>
      </c>
      <c r="AU4" s="21">
        <v>-511.2896478747308</v>
      </c>
      <c r="AV4" s="23">
        <v>3488.5802608143085</v>
      </c>
      <c r="AW4" s="21">
        <v>-158.59664026816375</v>
      </c>
      <c r="AX4" s="23">
        <v>83036.778539642037</v>
      </c>
      <c r="AY4" s="21">
        <v>12364.01377907954</v>
      </c>
      <c r="AZ4" s="23">
        <v>16929.219028312171</v>
      </c>
      <c r="BA4" s="21">
        <v>-808.81254932360082</v>
      </c>
      <c r="BB4" s="23">
        <v>24309.594801312462</v>
      </c>
      <c r="BC4" s="21">
        <v>2245.9507678654236</v>
      </c>
      <c r="BD4" s="23">
        <v>11623.471079656034</v>
      </c>
      <c r="BE4" s="21">
        <v>247.78214600057325</v>
      </c>
      <c r="BF4" s="23">
        <v>16806.536800449758</v>
      </c>
      <c r="BG4" s="21">
        <v>1455.3428503631378</v>
      </c>
      <c r="BH4" s="23">
        <v>3491.9630964754633</v>
      </c>
      <c r="BI4" s="21">
        <v>-68.867208162694538</v>
      </c>
    </row>
    <row r="5" spans="1:61" x14ac:dyDescent="0.25">
      <c r="A5" s="21" t="s">
        <v>46</v>
      </c>
      <c r="B5" s="22">
        <v>1850</v>
      </c>
      <c r="C5" s="93">
        <f t="shared" si="0"/>
        <v>1819.3356417613654</v>
      </c>
      <c r="D5" s="4">
        <f t="shared" si="1"/>
        <v>1.6575328777640315</v>
      </c>
      <c r="E5" s="21">
        <v>4</v>
      </c>
      <c r="F5" s="23">
        <v>179.24707482993199</v>
      </c>
      <c r="G5" s="21">
        <v>3.417498345657318</v>
      </c>
      <c r="H5" s="23">
        <v>629.79750566893415</v>
      </c>
      <c r="I5" s="21">
        <v>-92.765450024757641</v>
      </c>
      <c r="J5" s="23">
        <v>207.71360544217683</v>
      </c>
      <c r="K5" s="21">
        <v>-47.149146066356096</v>
      </c>
      <c r="L5" s="23">
        <v>1495.1136007270613</v>
      </c>
      <c r="M5" s="21">
        <v>254.33980549554579</v>
      </c>
      <c r="N5" s="23">
        <v>1010.9960815780333</v>
      </c>
      <c r="O5" s="21">
        <v>104.42215604079873</v>
      </c>
      <c r="P5" s="23">
        <v>201.12869387644577</v>
      </c>
      <c r="Q5" s="21">
        <v>-42.501995891960341</v>
      </c>
      <c r="R5" s="23">
        <v>292.56296220112614</v>
      </c>
      <c r="S5" s="21">
        <v>12.780905805124121</v>
      </c>
      <c r="T5" s="23">
        <v>5659.7961952272972</v>
      </c>
      <c r="U5" s="21">
        <v>-560.76881616768287</v>
      </c>
      <c r="V5" s="23">
        <v>1859.4952668795408</v>
      </c>
      <c r="W5" s="21">
        <v>-460.36005575428464</v>
      </c>
      <c r="X5" s="23">
        <v>13406.566054348814</v>
      </c>
      <c r="Y5" s="21">
        <v>2134.5409421432464</v>
      </c>
      <c r="Z5" s="23">
        <v>9044.1216044768189</v>
      </c>
      <c r="AA5" s="21">
        <v>886.11184017645405</v>
      </c>
      <c r="AB5" s="23">
        <v>1807.6733517299031</v>
      </c>
      <c r="AC5" s="21">
        <v>-343.98947381121292</v>
      </c>
      <c r="AD5" s="23">
        <v>2631.8405397840629</v>
      </c>
      <c r="AE5" s="21">
        <v>86.824502275478636</v>
      </c>
      <c r="AF5" s="23">
        <v>6590.0075823345214</v>
      </c>
      <c r="AG5" s="21">
        <v>-1621.7883782731769</v>
      </c>
      <c r="AH5" s="23">
        <v>47053.070296058249</v>
      </c>
      <c r="AI5" s="21">
        <v>2446.8952378422923</v>
      </c>
      <c r="AJ5" s="23">
        <v>31657.776000613445</v>
      </c>
      <c r="AK5" s="21">
        <v>1812.4984958078091</v>
      </c>
      <c r="AL5" s="23">
        <v>6384.1566027571025</v>
      </c>
      <c r="AM5" s="21">
        <v>-1428.6856643724261</v>
      </c>
      <c r="AN5" s="23">
        <v>9271.461697938088</v>
      </c>
      <c r="AO5" s="21">
        <v>-16.711335311417791</v>
      </c>
      <c r="AP5" s="23">
        <v>15597.905094180313</v>
      </c>
      <c r="AQ5" s="21">
        <v>-1904.487951957881</v>
      </c>
      <c r="AR5" s="23">
        <v>10364.103035073236</v>
      </c>
      <c r="AS5" s="21">
        <v>-56.996592654996221</v>
      </c>
      <c r="AT5" s="23">
        <v>2206.8905982751849</v>
      </c>
      <c r="AU5" s="21">
        <v>-469.50855061444031</v>
      </c>
      <c r="AV5" s="23">
        <v>3091.4204945364531</v>
      </c>
      <c r="AW5" s="21">
        <v>-159.91830315521662</v>
      </c>
      <c r="AX5" s="23">
        <v>75976.888340985271</v>
      </c>
      <c r="AY5" s="21">
        <v>10670.616152610583</v>
      </c>
      <c r="AZ5" s="23">
        <v>15161.407615371656</v>
      </c>
      <c r="BA5" s="21">
        <v>-1032.7264803461692</v>
      </c>
      <c r="BB5" s="23">
        <v>21986.414019489195</v>
      </c>
      <c r="BC5" s="21">
        <v>1845.1963312953421</v>
      </c>
      <c r="BD5" s="23">
        <v>10092.41132389105</v>
      </c>
      <c r="BE5" s="21">
        <v>5.6484349860611047</v>
      </c>
      <c r="BF5" s="23">
        <v>14809.43524540468</v>
      </c>
      <c r="BG5" s="21">
        <v>1114.9608695621932</v>
      </c>
      <c r="BH5" s="23">
        <v>3014.0685694538097</v>
      </c>
      <c r="BI5" s="21">
        <v>-148.64176910120528</v>
      </c>
    </row>
    <row r="6" spans="1:61" x14ac:dyDescent="0.25">
      <c r="A6" s="21" t="s">
        <v>47</v>
      </c>
      <c r="B6" s="22">
        <v>2014</v>
      </c>
      <c r="C6" s="93">
        <f t="shared" si="0"/>
        <v>2009.2679163268149</v>
      </c>
      <c r="D6" s="4">
        <f t="shared" si="1"/>
        <v>0.23495946738754298</v>
      </c>
      <c r="E6" s="21">
        <v>5</v>
      </c>
      <c r="F6" s="23">
        <v>190.08380952380952</v>
      </c>
      <c r="G6" s="21">
        <v>3.7516316195730495</v>
      </c>
      <c r="H6" s="23">
        <v>654.56349206349205</v>
      </c>
      <c r="I6" s="21">
        <v>-95.778233256187477</v>
      </c>
      <c r="J6" s="23">
        <v>208.36507936507937</v>
      </c>
      <c r="K6" s="21">
        <v>-51.691401017068841</v>
      </c>
      <c r="L6" s="23">
        <v>1479.6331114805373</v>
      </c>
      <c r="M6" s="21">
        <v>246.08751767239875</v>
      </c>
      <c r="N6" s="23">
        <v>924.29264088169873</v>
      </c>
      <c r="O6" s="21">
        <v>125.05911956027855</v>
      </c>
      <c r="P6" s="23">
        <v>216.81613164329849</v>
      </c>
      <c r="Q6" s="21">
        <v>-44.696144422565915</v>
      </c>
      <c r="R6" s="23">
        <v>273.8588038649749</v>
      </c>
      <c r="S6" s="21">
        <v>15.299824736856296</v>
      </c>
      <c r="T6" s="23">
        <v>6223.683325774753</v>
      </c>
      <c r="U6" s="21">
        <v>-574.52818336409598</v>
      </c>
      <c r="V6" s="23">
        <v>1984.3400755857901</v>
      </c>
      <c r="W6" s="21">
        <v>-536.51631519695434</v>
      </c>
      <c r="X6" s="23">
        <v>14061.149919585352</v>
      </c>
      <c r="Y6" s="21">
        <v>2187.8848701362131</v>
      </c>
      <c r="Z6" s="23">
        <v>8809.8773332247092</v>
      </c>
      <c r="AA6" s="21">
        <v>1182.588891075779</v>
      </c>
      <c r="AB6" s="23">
        <v>2067.0597720046849</v>
      </c>
      <c r="AC6" s="21">
        <v>-399.2274430436326</v>
      </c>
      <c r="AD6" s="23">
        <v>2615.3710164385452</v>
      </c>
      <c r="AE6" s="21">
        <v>133.01911852435228</v>
      </c>
      <c r="AF6" s="23">
        <v>6844.2244268077602</v>
      </c>
      <c r="AG6" s="21">
        <v>-1810.3432896467318</v>
      </c>
      <c r="AH6" s="23">
        <v>48434.527077877305</v>
      </c>
      <c r="AI6" s="21">
        <v>2453.8107617097508</v>
      </c>
      <c r="AJ6" s="23">
        <v>30145.22098855631</v>
      </c>
      <c r="AK6" s="21">
        <v>2649.1513937900068</v>
      </c>
      <c r="AL6" s="23">
        <v>7136.6681758879668</v>
      </c>
      <c r="AM6" s="21">
        <v>-1568.539257531429</v>
      </c>
      <c r="AN6" s="23">
        <v>8960.1417307241081</v>
      </c>
      <c r="AO6" s="21">
        <v>88.310989068243885</v>
      </c>
      <c r="AP6" s="23">
        <v>15426.540225494058</v>
      </c>
      <c r="AQ6" s="21">
        <v>-2323.8879230662887</v>
      </c>
      <c r="AR6" s="23">
        <v>9768.1884415185195</v>
      </c>
      <c r="AS6" s="21">
        <v>158.81809956057327</v>
      </c>
      <c r="AT6" s="23">
        <v>2357.7355343075797</v>
      </c>
      <c r="AU6" s="21">
        <v>-554.36092129487872</v>
      </c>
      <c r="AV6" s="23">
        <v>2910.7151839467651</v>
      </c>
      <c r="AW6" s="21">
        <v>-153.38059572312014</v>
      </c>
      <c r="AX6" s="23">
        <v>68707.460481563496</v>
      </c>
      <c r="AY6" s="21">
        <v>11146.963102085865</v>
      </c>
      <c r="AZ6" s="23">
        <v>16141.616845172022</v>
      </c>
      <c r="BA6" s="21">
        <v>-1079.6614008244426</v>
      </c>
      <c r="BB6" s="23">
        <v>20376.259515641999</v>
      </c>
      <c r="BC6" s="21">
        <v>1957.8269831427494</v>
      </c>
      <c r="BD6" s="23">
        <v>10302.834014848486</v>
      </c>
      <c r="BE6" s="21">
        <v>394.08419283756768</v>
      </c>
      <c r="BF6" s="23">
        <v>13303.966125789591</v>
      </c>
      <c r="BG6" s="21">
        <v>1588.9162696272247</v>
      </c>
      <c r="BH6" s="23">
        <v>3105.5158936574462</v>
      </c>
      <c r="BI6" s="21">
        <v>-67.687364612905782</v>
      </c>
    </row>
    <row r="7" spans="1:61" x14ac:dyDescent="0.25">
      <c r="A7" s="21" t="s">
        <v>48</v>
      </c>
      <c r="B7" s="22">
        <v>1867</v>
      </c>
      <c r="C7" s="93">
        <f t="shared" si="0"/>
        <v>1943.817020396848</v>
      </c>
      <c r="D7" s="4">
        <f t="shared" si="1"/>
        <v>-4.1144627957604696</v>
      </c>
      <c r="E7" s="21">
        <v>6</v>
      </c>
      <c r="F7" s="23">
        <v>176.99365079365077</v>
      </c>
      <c r="G7" s="21">
        <v>2.9673467203619772</v>
      </c>
      <c r="H7" s="23">
        <v>634.38412698412696</v>
      </c>
      <c r="I7" s="21">
        <v>-91.59864158454117</v>
      </c>
      <c r="J7" s="23">
        <v>218.72857142857146</v>
      </c>
      <c r="K7" s="21">
        <v>-54.127168301820667</v>
      </c>
      <c r="L7" s="23">
        <v>1572.5017594805045</v>
      </c>
      <c r="M7" s="21">
        <v>260.05256959106168</v>
      </c>
      <c r="N7" s="23">
        <v>865.31816825563897</v>
      </c>
      <c r="O7" s="21">
        <v>95.045706970757863</v>
      </c>
      <c r="P7" s="23">
        <v>200.15956382077155</v>
      </c>
      <c r="Q7" s="21">
        <v>-43.28054784239837</v>
      </c>
      <c r="R7" s="23">
        <v>254.20846214869118</v>
      </c>
      <c r="S7" s="21">
        <v>9.7149936953029155</v>
      </c>
      <c r="T7" s="23">
        <v>5646.129624590576</v>
      </c>
      <c r="U7" s="21">
        <v>-563.76259673802338</v>
      </c>
      <c r="V7" s="23">
        <v>1944.9354195011338</v>
      </c>
      <c r="W7" s="21">
        <v>-532.27965017228905</v>
      </c>
      <c r="X7" s="23">
        <v>13909.666548296136</v>
      </c>
      <c r="Y7" s="21">
        <v>2130.6146747553166</v>
      </c>
      <c r="Z7" s="23">
        <v>7587.6463195652686</v>
      </c>
      <c r="AA7" s="21">
        <v>825.38209536248019</v>
      </c>
      <c r="AB7" s="23">
        <v>1773.5660805945563</v>
      </c>
      <c r="AC7" s="21">
        <v>-353.28759920048969</v>
      </c>
      <c r="AD7" s="23">
        <v>2228.0329797795694</v>
      </c>
      <c r="AE7" s="21">
        <v>71.830709213585749</v>
      </c>
      <c r="AF7" s="23">
        <v>7006.0936507936512</v>
      </c>
      <c r="AG7" s="21">
        <v>-1852.0771809830792</v>
      </c>
      <c r="AH7" s="23">
        <v>49662.72062318457</v>
      </c>
      <c r="AI7" s="21">
        <v>2359.4128574104293</v>
      </c>
      <c r="AJ7" s="23">
        <v>27257.235424987863</v>
      </c>
      <c r="AK7" s="21">
        <v>1619.415518908575</v>
      </c>
      <c r="AL7" s="23">
        <v>6380.5481964362943</v>
      </c>
      <c r="AM7" s="21">
        <v>-1454.8855249698302</v>
      </c>
      <c r="AN7" s="23">
        <v>8050.9304251869335</v>
      </c>
      <c r="AO7" s="21">
        <v>-63.718284515128687</v>
      </c>
      <c r="AP7" s="23">
        <v>17088.073343291726</v>
      </c>
      <c r="AQ7" s="21">
        <v>-2499.3615125855363</v>
      </c>
      <c r="AR7" s="23">
        <v>9299.1936544305754</v>
      </c>
      <c r="AS7" s="21">
        <v>-393.76383613245491</v>
      </c>
      <c r="AT7" s="23">
        <v>2230.4621155207706</v>
      </c>
      <c r="AU7" s="21">
        <v>-538.85877242024776</v>
      </c>
      <c r="AV7" s="23">
        <v>2762.8650056081665</v>
      </c>
      <c r="AW7" s="21">
        <v>-272.99778545741935</v>
      </c>
      <c r="AX7" s="23">
        <v>68080.286138465031</v>
      </c>
      <c r="AY7" s="21">
        <v>9651.7080959041887</v>
      </c>
      <c r="AZ7" s="23">
        <v>15821.024518439084</v>
      </c>
      <c r="BA7" s="21">
        <v>-1172.4406310546367</v>
      </c>
      <c r="BB7" s="23">
        <v>19824.714520664045</v>
      </c>
      <c r="BC7" s="21">
        <v>1664.3353657613413</v>
      </c>
      <c r="BD7" s="23">
        <v>8609.1307780880488</v>
      </c>
      <c r="BE7" s="21">
        <v>-101.44614212247714</v>
      </c>
      <c r="BF7" s="23">
        <v>11547.663639713119</v>
      </c>
      <c r="BG7" s="21">
        <v>842.48660520855242</v>
      </c>
      <c r="BH7" s="23">
        <v>2540.6154829536681</v>
      </c>
      <c r="BI7" s="21">
        <v>-168.94398085614131</v>
      </c>
    </row>
    <row r="8" spans="1:61" x14ac:dyDescent="0.25">
      <c r="A8" s="21" t="s">
        <v>49</v>
      </c>
      <c r="B8" s="22">
        <v>2259</v>
      </c>
      <c r="C8" s="93">
        <f t="shared" si="0"/>
        <v>2357.5174534094494</v>
      </c>
      <c r="D8" s="4">
        <f t="shared" si="1"/>
        <v>-4.361109048669741</v>
      </c>
      <c r="E8" s="21">
        <v>7</v>
      </c>
      <c r="F8" s="23">
        <v>184.50952380952384</v>
      </c>
      <c r="G8" s="21">
        <v>5.4712291139538163</v>
      </c>
      <c r="H8" s="23">
        <v>596.23492063492063</v>
      </c>
      <c r="I8" s="21">
        <v>-84.862425899821943</v>
      </c>
      <c r="J8" s="23">
        <v>234.48412698412699</v>
      </c>
      <c r="K8" s="21">
        <v>-51.221969281255312</v>
      </c>
      <c r="L8" s="23">
        <v>1476.6461150316582</v>
      </c>
      <c r="M8" s="21">
        <v>271.99578601591651</v>
      </c>
      <c r="N8" s="23">
        <v>961.68246468950224</v>
      </c>
      <c r="O8" s="21">
        <v>111.63705709046539</v>
      </c>
      <c r="P8" s="23">
        <v>190.26242198323644</v>
      </c>
      <c r="Q8" s="21">
        <v>-39.760281699895231</v>
      </c>
      <c r="R8" s="23">
        <v>270.12406263367291</v>
      </c>
      <c r="S8" s="21">
        <v>17.999662698318684</v>
      </c>
      <c r="T8" s="23">
        <v>5482.6225547996983</v>
      </c>
      <c r="U8" s="21">
        <v>-504.11024420868296</v>
      </c>
      <c r="V8" s="23">
        <v>2120.8466742252449</v>
      </c>
      <c r="W8" s="21">
        <v>-533.57581507557006</v>
      </c>
      <c r="X8" s="23">
        <v>13805.425644873058</v>
      </c>
      <c r="Y8" s="21">
        <v>2471.2793836706919</v>
      </c>
      <c r="Z8" s="23">
        <v>8802.4109235713004</v>
      </c>
      <c r="AA8" s="21">
        <v>892.23532775857734</v>
      </c>
      <c r="AB8" s="23">
        <v>1756.5718825669824</v>
      </c>
      <c r="AC8" s="21">
        <v>-322.77990889543634</v>
      </c>
      <c r="AD8" s="23">
        <v>2446.6155623174232</v>
      </c>
      <c r="AE8" s="21">
        <v>94.582502408331152</v>
      </c>
      <c r="AF8" s="23">
        <v>7162.6684933232555</v>
      </c>
      <c r="AG8" s="21">
        <v>-1664.9933971323019</v>
      </c>
      <c r="AH8" s="23">
        <v>43811.940134512894</v>
      </c>
      <c r="AI8" s="21">
        <v>2685.7931805937728</v>
      </c>
      <c r="AJ8" s="23">
        <v>28827.954363388017</v>
      </c>
      <c r="AK8" s="21">
        <v>2209.8474314249738</v>
      </c>
      <c r="AL8" s="23">
        <v>5758.6838765028851</v>
      </c>
      <c r="AM8" s="21">
        <v>-1260.3981797357765</v>
      </c>
      <c r="AN8" s="23">
        <v>8226.3619003374206</v>
      </c>
      <c r="AO8" s="21">
        <v>247.63939686076046</v>
      </c>
      <c r="AP8" s="23">
        <v>16801.500022833716</v>
      </c>
      <c r="AQ8" s="21">
        <v>-2168.9369542065115</v>
      </c>
      <c r="AR8" s="23">
        <v>11698.896024367414</v>
      </c>
      <c r="AS8" s="21">
        <v>199.98294170196161</v>
      </c>
      <c r="AT8" s="23">
        <v>2320.3568372271052</v>
      </c>
      <c r="AU8" s="21">
        <v>-512.68637274791388</v>
      </c>
      <c r="AV8" s="23">
        <v>3438.8457802610083</v>
      </c>
      <c r="AW8" s="21">
        <v>-10.880439240529135</v>
      </c>
      <c r="AX8" s="23">
        <v>69205.481892163036</v>
      </c>
      <c r="AY8" s="21">
        <v>9226.9399868048149</v>
      </c>
      <c r="AZ8" s="23">
        <v>14037.470406104687</v>
      </c>
      <c r="BA8" s="21">
        <v>-831.02525788147852</v>
      </c>
      <c r="BB8" s="23">
        <v>19212.719077541573</v>
      </c>
      <c r="BC8" s="21">
        <v>1590.3961333744783</v>
      </c>
      <c r="BD8" s="23">
        <v>9209.9045361523968</v>
      </c>
      <c r="BE8" s="21">
        <v>12.038465057187636</v>
      </c>
      <c r="BF8" s="23">
        <v>14107.990619945835</v>
      </c>
      <c r="BG8" s="21">
        <v>1602.4796586473458</v>
      </c>
      <c r="BH8" s="23">
        <v>2662.1049060432201</v>
      </c>
      <c r="BI8" s="21">
        <v>-91.243426601222467</v>
      </c>
    </row>
    <row r="9" spans="1:61" x14ac:dyDescent="0.25">
      <c r="A9" s="21" t="s">
        <v>50</v>
      </c>
      <c r="B9" s="22">
        <v>1845</v>
      </c>
      <c r="C9" s="93">
        <f t="shared" si="0"/>
        <v>1794.3812027674626</v>
      </c>
      <c r="D9" s="4">
        <f t="shared" si="1"/>
        <v>2.7435662456659848</v>
      </c>
      <c r="E9" s="21">
        <v>8</v>
      </c>
      <c r="F9" s="23">
        <v>173.16031746031746</v>
      </c>
      <c r="G9" s="21">
        <v>3.2453635418666211</v>
      </c>
      <c r="H9" s="23">
        <v>627.22698412698401</v>
      </c>
      <c r="I9" s="21">
        <v>-87.546548267222107</v>
      </c>
      <c r="J9" s="23">
        <v>259.11111111111109</v>
      </c>
      <c r="K9" s="21">
        <v>-61.998778402718614</v>
      </c>
      <c r="L9" s="23">
        <v>1595.5875361922265</v>
      </c>
      <c r="M9" s="21">
        <v>270.62103640472429</v>
      </c>
      <c r="N9" s="23">
        <v>1125.7086710219564</v>
      </c>
      <c r="O9" s="21">
        <v>118.84619487865868</v>
      </c>
      <c r="P9" s="23">
        <v>234.25843142008998</v>
      </c>
      <c r="Q9" s="21">
        <v>-50.278078256049326</v>
      </c>
      <c r="R9" s="23">
        <v>344.89342487992684</v>
      </c>
      <c r="S9" s="21">
        <v>10.820494026559652</v>
      </c>
      <c r="T9" s="23">
        <v>5462.0139858906523</v>
      </c>
      <c r="U9" s="21">
        <v>-513.53178666483632</v>
      </c>
      <c r="V9" s="23">
        <v>2262.6064751826657</v>
      </c>
      <c r="W9" s="21">
        <v>-571.94369764508428</v>
      </c>
      <c r="X9" s="23">
        <v>13779.787628052871</v>
      </c>
      <c r="Y9" s="21">
        <v>2131.7127606501176</v>
      </c>
      <c r="Z9" s="23">
        <v>9762.4958555011108</v>
      </c>
      <c r="AA9" s="21">
        <v>1028.1603102145284</v>
      </c>
      <c r="AB9" s="23">
        <v>2040.9867817166933</v>
      </c>
      <c r="AC9" s="21">
        <v>-393.73560698253743</v>
      </c>
      <c r="AD9" s="23">
        <v>3003.2600898842957</v>
      </c>
      <c r="AE9" s="21">
        <v>74.242474612108651</v>
      </c>
      <c r="AF9" s="23">
        <v>8263.4710254472175</v>
      </c>
      <c r="AG9" s="21">
        <v>-2065.8979199901291</v>
      </c>
      <c r="AH9" s="23">
        <v>49808.714537989872</v>
      </c>
      <c r="AI9" s="21">
        <v>2500.97102143958</v>
      </c>
      <c r="AJ9" s="23">
        <v>35139.09881338886</v>
      </c>
      <c r="AK9" s="21">
        <v>2168.911699038526</v>
      </c>
      <c r="AL9" s="23">
        <v>7434.2126144844078</v>
      </c>
      <c r="AM9" s="21">
        <v>-1661.7477322102111</v>
      </c>
      <c r="AN9" s="23">
        <v>10892.102046976896</v>
      </c>
      <c r="AO9" s="21">
        <v>-91.240882157494326</v>
      </c>
      <c r="AP9" s="23">
        <v>20272.911982739068</v>
      </c>
      <c r="AQ9" s="21">
        <v>-3051.6254537528894</v>
      </c>
      <c r="AR9" s="23">
        <v>14455.980217880073</v>
      </c>
      <c r="AS9" s="21">
        <v>-420.93523008849536</v>
      </c>
      <c r="AT9" s="23">
        <v>3135.9989351212057</v>
      </c>
      <c r="AU9" s="21">
        <v>-741.84827821731005</v>
      </c>
      <c r="AV9" s="23">
        <v>4477.5778658688396</v>
      </c>
      <c r="AW9" s="21">
        <v>-390.05672859198114</v>
      </c>
      <c r="AX9" s="23">
        <v>90082.7426023593</v>
      </c>
      <c r="AY9" s="21">
        <v>12252.133756595573</v>
      </c>
      <c r="AZ9" s="23">
        <v>18507.772689919133</v>
      </c>
      <c r="BA9" s="21">
        <v>-1365.6032676573259</v>
      </c>
      <c r="BB9" s="23">
        <v>27700.018043720509</v>
      </c>
      <c r="BC9" s="21">
        <v>1900.5339988208889</v>
      </c>
      <c r="BD9" s="23">
        <v>13130.59561003644</v>
      </c>
      <c r="BE9" s="21">
        <v>-127.69913825035101</v>
      </c>
      <c r="BF9" s="23">
        <v>19724.637414161472</v>
      </c>
      <c r="BG9" s="21">
        <v>1260.5428169492486</v>
      </c>
      <c r="BH9" s="23">
        <v>4065.255840188961</v>
      </c>
      <c r="BI9" s="21">
        <v>-273.13195358620629</v>
      </c>
    </row>
    <row r="10" spans="1:61" x14ac:dyDescent="0.25">
      <c r="A10" s="21" t="s">
        <v>51</v>
      </c>
      <c r="B10" s="22">
        <v>2603</v>
      </c>
      <c r="C10" s="93">
        <f t="shared" si="0"/>
        <v>2485.8091879454232</v>
      </c>
      <c r="D10" s="4">
        <f t="shared" si="1"/>
        <v>4.502144143472024</v>
      </c>
      <c r="E10" s="21">
        <v>9</v>
      </c>
      <c r="F10" s="23">
        <v>182.54888888888888</v>
      </c>
      <c r="G10" s="21">
        <v>3.5025988427748875</v>
      </c>
      <c r="H10" s="23">
        <v>613.27301587301588</v>
      </c>
      <c r="I10" s="21">
        <v>-85.06881257396256</v>
      </c>
      <c r="J10" s="23">
        <v>230.55238095238096</v>
      </c>
      <c r="K10" s="21">
        <v>-52.600663152536242</v>
      </c>
      <c r="L10" s="23">
        <v>1682.7800804277158</v>
      </c>
      <c r="M10" s="21">
        <v>286.02462630761357</v>
      </c>
      <c r="N10" s="23">
        <v>901.43322243422108</v>
      </c>
      <c r="O10" s="21">
        <v>106.02360617523703</v>
      </c>
      <c r="P10" s="23">
        <v>211.15095993677414</v>
      </c>
      <c r="Q10" s="21">
        <v>-41.97321175566691</v>
      </c>
      <c r="R10" s="23">
        <v>270.47212325938654</v>
      </c>
      <c r="S10" s="21">
        <v>12.152838781126398</v>
      </c>
      <c r="T10" s="23">
        <v>5622.6643134290753</v>
      </c>
      <c r="U10" s="21">
        <v>-494.4135796028566</v>
      </c>
      <c r="V10" s="23">
        <v>2111.2262071050641</v>
      </c>
      <c r="W10" s="21">
        <v>-487.26592729829827</v>
      </c>
      <c r="X10" s="23">
        <v>15356.626742396798</v>
      </c>
      <c r="Y10" s="21">
        <v>2408.027710408458</v>
      </c>
      <c r="Z10" s="23">
        <v>8221.542977939831</v>
      </c>
      <c r="AA10" s="21">
        <v>928.32295049455217</v>
      </c>
      <c r="AB10" s="23">
        <v>1930.6477114354057</v>
      </c>
      <c r="AC10" s="21">
        <v>-321.77774102335718</v>
      </c>
      <c r="AD10" s="23">
        <v>2484.1502166557184</v>
      </c>
      <c r="AE10" s="21">
        <v>83.166751337629009</v>
      </c>
      <c r="AF10" s="23">
        <v>7168.394232804234</v>
      </c>
      <c r="AG10" s="21">
        <v>-1747.5236084424282</v>
      </c>
      <c r="AH10" s="23">
        <v>51566.884116507645</v>
      </c>
      <c r="AI10" s="21">
        <v>2909.9109296667766</v>
      </c>
      <c r="AJ10" s="23">
        <v>27473.568901032526</v>
      </c>
      <c r="AK10" s="21">
        <v>1989.957551285871</v>
      </c>
      <c r="AL10" s="23">
        <v>6537.4395297525507</v>
      </c>
      <c r="AM10" s="21">
        <v>-1365.541480272386</v>
      </c>
      <c r="AN10" s="23">
        <v>8337.8039224405784</v>
      </c>
      <c r="AO10" s="21">
        <v>39.312673509600323</v>
      </c>
      <c r="AP10" s="23">
        <v>19528.591879712738</v>
      </c>
      <c r="AQ10" s="21">
        <v>-2064.6723523824053</v>
      </c>
      <c r="AR10" s="23">
        <v>10440.154468224322</v>
      </c>
      <c r="AS10" s="21">
        <v>39.56104087521831</v>
      </c>
      <c r="AT10" s="23">
        <v>2592.2975002397993</v>
      </c>
      <c r="AU10" s="21">
        <v>-520.50228982043791</v>
      </c>
      <c r="AV10" s="23">
        <v>3203.5119309101765</v>
      </c>
      <c r="AW10" s="21">
        <v>-156.1964772992844</v>
      </c>
      <c r="AX10" s="23">
        <v>76288.803412703695</v>
      </c>
      <c r="AY10" s="21">
        <v>11278.404020991069</v>
      </c>
      <c r="AZ10" s="23">
        <v>17878.910846001167</v>
      </c>
      <c r="BA10" s="21">
        <v>-819.2852459822758</v>
      </c>
      <c r="BB10" s="23">
        <v>22879.432183562581</v>
      </c>
      <c r="BC10" s="21">
        <v>1962.2904582887363</v>
      </c>
      <c r="BD10" s="23">
        <v>9573.9208117166054</v>
      </c>
      <c r="BE10" s="21">
        <v>140.60387659690096</v>
      </c>
      <c r="BF10" s="23">
        <v>12429.995187982928</v>
      </c>
      <c r="BG10" s="21">
        <v>1045.850969261302</v>
      </c>
      <c r="BH10" s="23">
        <v>2919.6398647904498</v>
      </c>
      <c r="BI10" s="21">
        <v>-108.58851214737948</v>
      </c>
    </row>
    <row r="11" spans="1:61" x14ac:dyDescent="0.25">
      <c r="A11" s="21" t="s">
        <v>52</v>
      </c>
      <c r="B11" s="22">
        <v>2048</v>
      </c>
      <c r="C11" s="93">
        <f t="shared" si="0"/>
        <v>2088.1397434254432</v>
      </c>
      <c r="D11" s="4">
        <f t="shared" si="1"/>
        <v>-1.9599484094454667</v>
      </c>
      <c r="E11" s="21">
        <v>10</v>
      </c>
      <c r="F11" s="23">
        <v>164.215873015873</v>
      </c>
      <c r="G11" s="21">
        <v>2.9318905586908186</v>
      </c>
      <c r="H11" s="23">
        <v>618.23333333333323</v>
      </c>
      <c r="I11" s="21">
        <v>-90.015971246968391</v>
      </c>
      <c r="J11" s="23">
        <v>244.91111111111113</v>
      </c>
      <c r="K11" s="21">
        <v>-56.876839850255628</v>
      </c>
      <c r="L11" s="23">
        <v>1649.2187878394118</v>
      </c>
      <c r="M11" s="21">
        <v>284.53353711356829</v>
      </c>
      <c r="N11" s="23">
        <v>1110.9887335120636</v>
      </c>
      <c r="O11" s="21">
        <v>129.99065048476524</v>
      </c>
      <c r="P11" s="23">
        <v>226.3541234150189</v>
      </c>
      <c r="Q11" s="21">
        <v>-45.285328528484435</v>
      </c>
      <c r="R11" s="23">
        <v>331.40173164394031</v>
      </c>
      <c r="S11" s="21">
        <v>14.747154418017754</v>
      </c>
      <c r="T11" s="23">
        <v>5115.0691912320472</v>
      </c>
      <c r="U11" s="21">
        <v>-507.55855916320519</v>
      </c>
      <c r="V11" s="23">
        <v>2015.9769110607199</v>
      </c>
      <c r="W11" s="21">
        <v>-503.14087817480709</v>
      </c>
      <c r="X11" s="23">
        <v>13521.558369256432</v>
      </c>
      <c r="Y11" s="21">
        <v>2165.1419092925071</v>
      </c>
      <c r="Z11" s="23">
        <v>9118.9865975605753</v>
      </c>
      <c r="AA11" s="21">
        <v>992.54307107087811</v>
      </c>
      <c r="AB11" s="23">
        <v>1860.8387268158381</v>
      </c>
      <c r="AC11" s="21">
        <v>-324.84611082703373</v>
      </c>
      <c r="AD11" s="23">
        <v>2742.5488028111754</v>
      </c>
      <c r="AE11" s="21">
        <v>85.240535075842985</v>
      </c>
      <c r="AF11" s="23">
        <v>7633.8608692365824</v>
      </c>
      <c r="AG11" s="21">
        <v>-1889.170651027639</v>
      </c>
      <c r="AH11" s="23">
        <v>50961.998236663705</v>
      </c>
      <c r="AI11" s="21">
        <v>2742.9948643825828</v>
      </c>
      <c r="AJ11" s="23">
        <v>34228.914335944704</v>
      </c>
      <c r="AK11" s="21">
        <v>2333.7441567065753</v>
      </c>
      <c r="AL11" s="23">
        <v>7052.8820245011175</v>
      </c>
      <c r="AM11" s="21">
        <v>-1476.7886673292462</v>
      </c>
      <c r="AN11" s="23">
        <v>10337.771380531627</v>
      </c>
      <c r="AO11" s="21">
        <v>16.228198158707428</v>
      </c>
      <c r="AP11" s="23">
        <v>20376.257353529647</v>
      </c>
      <c r="AQ11" s="21">
        <v>-2401.7164764795907</v>
      </c>
      <c r="AR11" s="23">
        <v>13456.647207383197</v>
      </c>
      <c r="AS11" s="21">
        <v>-207.01079453719737</v>
      </c>
      <c r="AT11" s="23">
        <v>2923.5991702515216</v>
      </c>
      <c r="AU11" s="21">
        <v>-604.29316449823182</v>
      </c>
      <c r="AV11" s="23">
        <v>4090.4231781310818</v>
      </c>
      <c r="AW11" s="21">
        <v>-258.96745998160441</v>
      </c>
      <c r="AX11" s="23">
        <v>91348.48665878769</v>
      </c>
      <c r="AY11" s="21">
        <v>13786.716974656074</v>
      </c>
      <c r="AZ11" s="23">
        <v>18915.702358446579</v>
      </c>
      <c r="BA11" s="21">
        <v>-912.87795362034763</v>
      </c>
      <c r="BB11" s="23">
        <v>27229.546203244619</v>
      </c>
      <c r="BC11" s="21">
        <v>2413.3162256382207</v>
      </c>
      <c r="BD11" s="23">
        <v>12432.313695105966</v>
      </c>
      <c r="BE11" s="21">
        <v>181.71768457636901</v>
      </c>
      <c r="BF11" s="23">
        <v>18687.065266235662</v>
      </c>
      <c r="BG11" s="21">
        <v>1655.816619094714</v>
      </c>
      <c r="BH11" s="23">
        <v>3774.217794798159</v>
      </c>
      <c r="BI11" s="21">
        <v>-135.98603432776869</v>
      </c>
    </row>
    <row r="12" spans="1:61" x14ac:dyDescent="0.25">
      <c r="A12" s="21" t="s">
        <v>53</v>
      </c>
      <c r="B12" s="22">
        <v>2323</v>
      </c>
      <c r="C12" s="93">
        <f t="shared" si="0"/>
        <v>2337.3346359943775</v>
      </c>
      <c r="D12" s="4">
        <f t="shared" si="1"/>
        <v>-0.61707430023149157</v>
      </c>
      <c r="E12" s="21">
        <v>11</v>
      </c>
      <c r="F12" s="23">
        <v>177.64603174603175</v>
      </c>
      <c r="G12" s="21">
        <v>4.3012360619263008</v>
      </c>
      <c r="H12" s="23">
        <v>615.15238095238101</v>
      </c>
      <c r="I12" s="21">
        <v>-87.954828640478382</v>
      </c>
      <c r="J12" s="23">
        <v>258.88571428571424</v>
      </c>
      <c r="K12" s="21">
        <v>-63.894123105737691</v>
      </c>
      <c r="L12" s="23">
        <v>1631.6295218824898</v>
      </c>
      <c r="M12" s="21">
        <v>275.19607346676725</v>
      </c>
      <c r="N12" s="23">
        <v>772.05073209810621</v>
      </c>
      <c r="O12" s="21">
        <v>90.244505360844855</v>
      </c>
      <c r="P12" s="23">
        <v>214.84984844106401</v>
      </c>
      <c r="Q12" s="21">
        <v>-46.308078646069816</v>
      </c>
      <c r="R12" s="23">
        <v>239.57362362814172</v>
      </c>
      <c r="S12" s="21">
        <v>13.611449425638863</v>
      </c>
      <c r="T12" s="23">
        <v>5468.5269690098257</v>
      </c>
      <c r="U12" s="21">
        <v>-508.08856857077103</v>
      </c>
      <c r="V12" s="23">
        <v>2303.3111791383226</v>
      </c>
      <c r="W12" s="21">
        <v>-622.20613513201886</v>
      </c>
      <c r="X12" s="23">
        <v>14502.43435554704</v>
      </c>
      <c r="Y12" s="21">
        <v>2326.7824513650044</v>
      </c>
      <c r="Z12" s="23">
        <v>6811.6968222174719</v>
      </c>
      <c r="AA12" s="21">
        <v>727.00264920709162</v>
      </c>
      <c r="AB12" s="23">
        <v>1908.3979528473772</v>
      </c>
      <c r="AC12" s="21">
        <v>-381.50057533324878</v>
      </c>
      <c r="AD12" s="23">
        <v>2118.4137467906098</v>
      </c>
      <c r="AE12" s="21">
        <v>85.267997995626132</v>
      </c>
      <c r="AF12" s="23">
        <v>8107.0308843537423</v>
      </c>
      <c r="AG12" s="21">
        <v>-2125.4802373663597</v>
      </c>
      <c r="AH12" s="23">
        <v>50105.407300053914</v>
      </c>
      <c r="AI12" s="21">
        <v>2677.8953606523328</v>
      </c>
      <c r="AJ12" s="23">
        <v>23545.754615933656</v>
      </c>
      <c r="AK12" s="21">
        <v>1718.6202602345124</v>
      </c>
      <c r="AL12" s="23">
        <v>6703.2375463509461</v>
      </c>
      <c r="AM12" s="21">
        <v>-1503.4458163490071</v>
      </c>
      <c r="AN12" s="23">
        <v>7403.3314391567837</v>
      </c>
      <c r="AO12" s="21">
        <v>109.7470488118631</v>
      </c>
      <c r="AP12" s="23">
        <v>21114.11224536414</v>
      </c>
      <c r="AQ12" s="21">
        <v>-3127.2469392899693</v>
      </c>
      <c r="AR12" s="23">
        <v>10011.361140066072</v>
      </c>
      <c r="AS12" s="21">
        <v>-183.57587968830262</v>
      </c>
      <c r="AT12" s="23">
        <v>2934.6670839212943</v>
      </c>
      <c r="AU12" s="21">
        <v>-699.98581326046815</v>
      </c>
      <c r="AV12" s="23">
        <v>3202.7355765747548</v>
      </c>
      <c r="AW12" s="21">
        <v>-189.10761256100844</v>
      </c>
      <c r="AX12" s="23">
        <v>63328.728981528824</v>
      </c>
      <c r="AY12" s="21">
        <v>9012.0508294765114</v>
      </c>
      <c r="AZ12" s="23">
        <v>17535.235245120788</v>
      </c>
      <c r="BA12" s="21">
        <v>-1309.0403795063935</v>
      </c>
      <c r="BB12" s="23">
        <v>19605.117021641898</v>
      </c>
      <c r="BC12" s="21">
        <v>1734.6528518485752</v>
      </c>
      <c r="BD12" s="23">
        <v>8367.3815731989798</v>
      </c>
      <c r="BE12" s="21">
        <v>21.860292679801859</v>
      </c>
      <c r="BF12" s="23">
        <v>9529.2107958093984</v>
      </c>
      <c r="BG12" s="21">
        <v>936.05075771232407</v>
      </c>
      <c r="BH12" s="23">
        <v>2665.8434940690686</v>
      </c>
      <c r="BI12" s="21">
        <v>-107.2141628809772</v>
      </c>
    </row>
    <row r="13" spans="1:61" x14ac:dyDescent="0.25">
      <c r="A13" s="21" t="s">
        <v>54</v>
      </c>
      <c r="B13" s="22">
        <v>1736</v>
      </c>
      <c r="C13" s="93">
        <f t="shared" si="0"/>
        <v>1836.2941092079836</v>
      </c>
      <c r="D13" s="4">
        <f t="shared" si="1"/>
        <v>-5.7773104382479055</v>
      </c>
      <c r="E13" s="21">
        <v>12</v>
      </c>
      <c r="F13" s="23">
        <v>186.15396825396823</v>
      </c>
      <c r="G13" s="21">
        <v>3.2872754733698812</v>
      </c>
      <c r="H13" s="23">
        <v>598.22380952380956</v>
      </c>
      <c r="I13" s="21">
        <v>-86.8723024156034</v>
      </c>
      <c r="J13" s="23">
        <v>259.1952380952381</v>
      </c>
      <c r="K13" s="21">
        <v>-65.150079618754575</v>
      </c>
      <c r="L13" s="23">
        <v>1371.9741602189172</v>
      </c>
      <c r="M13" s="21">
        <v>225.07635173590043</v>
      </c>
      <c r="N13" s="23">
        <v>562.66927438162497</v>
      </c>
      <c r="O13" s="21">
        <v>57.442671527336095</v>
      </c>
      <c r="P13" s="23">
        <v>184.99156106140964</v>
      </c>
      <c r="Q13" s="21">
        <v>-37.991211281533069</v>
      </c>
      <c r="R13" s="23">
        <v>174.33046542943376</v>
      </c>
      <c r="S13" s="21">
        <v>6.8702620967294576</v>
      </c>
      <c r="T13" s="23">
        <v>5574.7994935752095</v>
      </c>
      <c r="U13" s="21">
        <v>-525.93783524807509</v>
      </c>
      <c r="V13" s="23">
        <v>2416.2429629629628</v>
      </c>
      <c r="W13" s="21">
        <v>-638.52475614600996</v>
      </c>
      <c r="X13" s="23">
        <v>12786.475982955413</v>
      </c>
      <c r="Y13" s="21">
        <v>1938.4643131507073</v>
      </c>
      <c r="Z13" s="23">
        <v>5246.3629885148257</v>
      </c>
      <c r="AA13" s="21">
        <v>533.97817820532669</v>
      </c>
      <c r="AB13" s="23">
        <v>1727.1133784053955</v>
      </c>
      <c r="AC13" s="21">
        <v>-314.82854108644983</v>
      </c>
      <c r="AD13" s="23">
        <v>1627.489264057612</v>
      </c>
      <c r="AE13" s="21">
        <v>59.654978880626317</v>
      </c>
      <c r="AF13" s="23">
        <v>7834.9247845804985</v>
      </c>
      <c r="AG13" s="21">
        <v>-2057.6575540307604</v>
      </c>
      <c r="AH13" s="23">
        <v>41189.98780584005</v>
      </c>
      <c r="AI13" s="21">
        <v>2014.2248886368795</v>
      </c>
      <c r="AJ13" s="23">
        <v>16813.526525846741</v>
      </c>
      <c r="AK13" s="21">
        <v>986.38576683954227</v>
      </c>
      <c r="AL13" s="23">
        <v>5605.0729209365381</v>
      </c>
      <c r="AM13" s="21">
        <v>-1207.1367263562913</v>
      </c>
      <c r="AN13" s="23">
        <v>5249.1181498888309</v>
      </c>
      <c r="AO13" s="21">
        <v>2.4963778773424714</v>
      </c>
      <c r="AP13" s="23">
        <v>17973.13963407341</v>
      </c>
      <c r="AQ13" s="21">
        <v>-2568.2782215088205</v>
      </c>
      <c r="AR13" s="23">
        <v>7324.865126946087</v>
      </c>
      <c r="AS13" s="21">
        <v>-291.03556661055518</v>
      </c>
      <c r="AT13" s="23">
        <v>2493.8563272956435</v>
      </c>
      <c r="AU13" s="21">
        <v>-586.96145865761855</v>
      </c>
      <c r="AV13" s="23">
        <v>2304.609122817445</v>
      </c>
      <c r="AW13" s="21">
        <v>-190.59475910564797</v>
      </c>
      <c r="AX13" s="23">
        <v>38677.212642308412</v>
      </c>
      <c r="AY13" s="21">
        <v>5136.3963707863577</v>
      </c>
      <c r="AZ13" s="23">
        <v>12886.365597256048</v>
      </c>
      <c r="BA13" s="21">
        <v>-732.70101893465244</v>
      </c>
      <c r="BB13" s="23">
        <v>12029.709396514767</v>
      </c>
      <c r="BC13" s="21">
        <v>968.99592124489084</v>
      </c>
      <c r="BD13" s="23">
        <v>5227.9098579714309</v>
      </c>
      <c r="BE13" s="21">
        <v>-27.48116392466514</v>
      </c>
      <c r="BF13" s="23">
        <v>4968.0300616425575</v>
      </c>
      <c r="BG13" s="21">
        <v>306.35985857467119</v>
      </c>
      <c r="BH13" s="23">
        <v>1649.3278895409826</v>
      </c>
      <c r="BI13" s="21">
        <v>-81.759056629642032</v>
      </c>
    </row>
    <row r="14" spans="1:61" x14ac:dyDescent="0.25">
      <c r="A14" s="21" t="s">
        <v>55</v>
      </c>
      <c r="B14" s="22">
        <v>1877</v>
      </c>
      <c r="C14" s="93">
        <f t="shared" si="0"/>
        <v>1876.5523298118533</v>
      </c>
      <c r="D14" s="4">
        <f t="shared" si="1"/>
        <v>2.3850303044578084E-2</v>
      </c>
      <c r="E14" s="21">
        <v>13</v>
      </c>
      <c r="F14" s="23">
        <v>186.46349206349208</v>
      </c>
      <c r="G14" s="21">
        <v>2.9040717801117633</v>
      </c>
      <c r="H14" s="23">
        <v>654.26031746031742</v>
      </c>
      <c r="I14" s="21">
        <v>-93.288960815438713</v>
      </c>
      <c r="J14" s="23">
        <v>251.41746031746032</v>
      </c>
      <c r="K14" s="21">
        <v>-60.851154408924238</v>
      </c>
      <c r="L14" s="23">
        <v>1295.398895487323</v>
      </c>
      <c r="M14" s="21">
        <v>222.57643371351276</v>
      </c>
      <c r="N14" s="23">
        <v>502.19064739795471</v>
      </c>
      <c r="O14" s="21">
        <v>53.905668318797233</v>
      </c>
      <c r="P14" s="23">
        <v>164.69602550787653</v>
      </c>
      <c r="Q14" s="21">
        <v>-33.591108812442791</v>
      </c>
      <c r="R14" s="23">
        <v>179.89851767937023</v>
      </c>
      <c r="S14" s="21">
        <v>9.3830396520283657</v>
      </c>
      <c r="T14" s="23">
        <v>6099.350110859159</v>
      </c>
      <c r="U14" s="21">
        <v>-583.03190796425883</v>
      </c>
      <c r="V14" s="23">
        <v>2338.0375031494077</v>
      </c>
      <c r="W14" s="21">
        <v>-602.9881684893254</v>
      </c>
      <c r="X14" s="23">
        <v>12085.874558191996</v>
      </c>
      <c r="Y14" s="21">
        <v>1913.3995149589364</v>
      </c>
      <c r="Z14" s="23">
        <v>4675.0359939472855</v>
      </c>
      <c r="AA14" s="21">
        <v>488.48489699968917</v>
      </c>
      <c r="AB14" s="23">
        <v>1532.9981298408579</v>
      </c>
      <c r="AC14" s="21">
        <v>-278.38584573677042</v>
      </c>
      <c r="AD14" s="23">
        <v>1674.678771150421</v>
      </c>
      <c r="AE14" s="21">
        <v>72.74715496853328</v>
      </c>
      <c r="AF14" s="23">
        <v>8337.1005542957955</v>
      </c>
      <c r="AG14" s="21">
        <v>-2107.722392226241</v>
      </c>
      <c r="AH14" s="23">
        <v>42414.930154982583</v>
      </c>
      <c r="AI14" s="21">
        <v>2060.8742327972541</v>
      </c>
      <c r="AJ14" s="23">
        <v>16339.980523211476</v>
      </c>
      <c r="AK14" s="21">
        <v>1103.5791958350794</v>
      </c>
      <c r="AL14" s="23">
        <v>5449.8271708658522</v>
      </c>
      <c r="AM14" s="21">
        <v>-1177.0838020271337</v>
      </c>
      <c r="AN14" s="23">
        <v>5928.0446144546904</v>
      </c>
      <c r="AO14" s="21">
        <v>70.764750691021192</v>
      </c>
      <c r="AP14" s="23">
        <v>16431.839859933429</v>
      </c>
      <c r="AQ14" s="21">
        <v>-2082.7512251323956</v>
      </c>
      <c r="AR14" s="23">
        <v>6393.714919808287</v>
      </c>
      <c r="AS14" s="21">
        <v>-101.29612290020154</v>
      </c>
      <c r="AT14" s="23">
        <v>2175.3585142591392</v>
      </c>
      <c r="AU14" s="21">
        <v>-479.75432250674231</v>
      </c>
      <c r="AV14" s="23">
        <v>2354.1284426337179</v>
      </c>
      <c r="AW14" s="21">
        <v>-125.15533587512964</v>
      </c>
      <c r="AX14" s="23">
        <v>32826.930106686923</v>
      </c>
      <c r="AY14" s="21">
        <v>4771.3257591081519</v>
      </c>
      <c r="AZ14" s="23">
        <v>10896.334085033865</v>
      </c>
      <c r="BA14" s="21">
        <v>-573.92769801588327</v>
      </c>
      <c r="BB14" s="23">
        <v>11797.953704215823</v>
      </c>
      <c r="BC14" s="21">
        <v>1110.9296774391864</v>
      </c>
      <c r="BD14" s="23">
        <v>4258.1189299528596</v>
      </c>
      <c r="BE14" s="21">
        <v>58.880337981155073</v>
      </c>
      <c r="BF14" s="23">
        <v>4806.3493660789954</v>
      </c>
      <c r="BG14" s="21">
        <v>456.06416001228524</v>
      </c>
      <c r="BH14" s="23">
        <v>1563.953670552735</v>
      </c>
      <c r="BI14" s="21">
        <v>-44.383515439888619</v>
      </c>
    </row>
    <row r="15" spans="1:61" x14ac:dyDescent="0.25">
      <c r="A15" s="21" t="s">
        <v>56</v>
      </c>
      <c r="B15" s="22">
        <v>1833</v>
      </c>
      <c r="C15" s="93">
        <f t="shared" si="0"/>
        <v>1819.3570595064098</v>
      </c>
      <c r="D15" s="4">
        <f t="shared" si="1"/>
        <v>0.74429571705347686</v>
      </c>
      <c r="E15" s="21">
        <v>14</v>
      </c>
      <c r="F15" s="23">
        <v>176.4</v>
      </c>
      <c r="G15" s="21">
        <v>3.7308074764197245</v>
      </c>
      <c r="H15" s="23">
        <v>650.86825396825395</v>
      </c>
      <c r="I15" s="21">
        <v>-93.347287608006866</v>
      </c>
      <c r="J15" s="23">
        <v>291.65079365079362</v>
      </c>
      <c r="K15" s="21">
        <v>-72.701065004807489</v>
      </c>
      <c r="L15" s="23">
        <v>1367.4309840898791</v>
      </c>
      <c r="M15" s="21">
        <v>226.45621997432153</v>
      </c>
      <c r="N15" s="23">
        <v>700.88431739588714</v>
      </c>
      <c r="O15" s="21">
        <v>79.39850652113347</v>
      </c>
      <c r="P15" s="23">
        <v>196.22310345968856</v>
      </c>
      <c r="Q15" s="21">
        <v>-43.181485527694953</v>
      </c>
      <c r="R15" s="23">
        <v>243.77854722188363</v>
      </c>
      <c r="S15" s="21">
        <v>11.404547514078944</v>
      </c>
      <c r="T15" s="23">
        <v>5745.9170521541946</v>
      </c>
      <c r="U15" s="21">
        <v>-545.1843607181346</v>
      </c>
      <c r="V15" s="23">
        <v>2546.321859410431</v>
      </c>
      <c r="W15" s="21">
        <v>-685.05212491577095</v>
      </c>
      <c r="X15" s="23">
        <v>12086.024359056792</v>
      </c>
      <c r="Y15" s="21">
        <v>1948.2396517306763</v>
      </c>
      <c r="Z15" s="23">
        <v>6163.2672752858953</v>
      </c>
      <c r="AA15" s="21">
        <v>692.18914825050115</v>
      </c>
      <c r="AB15" s="23">
        <v>1716.2009422174551</v>
      </c>
      <c r="AC15" s="21">
        <v>-356.88312737223339</v>
      </c>
      <c r="AD15" s="23">
        <v>2139.2679961239705</v>
      </c>
      <c r="AE15" s="21">
        <v>81.447009640156637</v>
      </c>
      <c r="AF15" s="23">
        <v>9699.6881153943068</v>
      </c>
      <c r="AG15" s="21">
        <v>-2524.0061285629117</v>
      </c>
      <c r="AH15" s="23">
        <v>44515.045076200724</v>
      </c>
      <c r="AI15" s="21">
        <v>2072.0584382398024</v>
      </c>
      <c r="AJ15" s="23">
        <v>22386.168017926357</v>
      </c>
      <c r="AK15" s="21">
        <v>1443.8399456797567</v>
      </c>
      <c r="AL15" s="23">
        <v>6514.9341791694433</v>
      </c>
      <c r="AM15" s="21">
        <v>-1510.6762055646907</v>
      </c>
      <c r="AN15" s="23">
        <v>7937.7437655282765</v>
      </c>
      <c r="AO15" s="21">
        <v>26.452141798409926</v>
      </c>
      <c r="AP15" s="23">
        <v>19764.868463548435</v>
      </c>
      <c r="AQ15" s="21">
        <v>-2822.694873744023</v>
      </c>
      <c r="AR15" s="23">
        <v>9850.9047086751561</v>
      </c>
      <c r="AS15" s="21">
        <v>-420.42849776032114</v>
      </c>
      <c r="AT15" s="23">
        <v>3007.1634620377558</v>
      </c>
      <c r="AU15" s="21">
        <v>-747.57122119600695</v>
      </c>
      <c r="AV15" s="23">
        <v>3570.5653131387894</v>
      </c>
      <c r="AW15" s="21">
        <v>-308.05595946134179</v>
      </c>
      <c r="AX15" s="23">
        <v>48487.557005966621</v>
      </c>
      <c r="AY15" s="21">
        <v>7250.0689395316986</v>
      </c>
      <c r="AZ15" s="23">
        <v>13465.294872933038</v>
      </c>
      <c r="BA15" s="21">
        <v>-1059.5292714408463</v>
      </c>
      <c r="BB15" s="23">
        <v>16865.53621082793</v>
      </c>
      <c r="BC15" s="21">
        <v>1516.668730319218</v>
      </c>
      <c r="BD15" s="23">
        <v>6738.9945166351081</v>
      </c>
      <c r="BE15" s="21">
        <v>-25.550765089486134</v>
      </c>
      <c r="BF15" s="23">
        <v>8924.333833297469</v>
      </c>
      <c r="BG15" s="21">
        <v>739.03169253319334</v>
      </c>
      <c r="BH15" s="23">
        <v>2432.7975354493683</v>
      </c>
      <c r="BI15" s="21">
        <v>-134.79419352412594</v>
      </c>
    </row>
    <row r="16" spans="1:61" x14ac:dyDescent="0.25">
      <c r="A16" s="21" t="s">
        <v>57</v>
      </c>
      <c r="B16" s="22">
        <v>1704</v>
      </c>
      <c r="C16" s="93">
        <f t="shared" si="0"/>
        <v>1637.9119032926139</v>
      </c>
      <c r="D16" s="4">
        <f t="shared" si="1"/>
        <v>3.8784094311846276</v>
      </c>
      <c r="E16" s="21">
        <v>15</v>
      </c>
      <c r="F16" s="23">
        <v>184.95238095238096</v>
      </c>
      <c r="G16" s="21">
        <v>3.7414216754174081</v>
      </c>
      <c r="H16" s="23">
        <v>643.83333333333326</v>
      </c>
      <c r="I16" s="21">
        <v>-93.438804543748191</v>
      </c>
      <c r="J16" s="23">
        <v>304.33968253968249</v>
      </c>
      <c r="K16" s="21">
        <v>-80.001708018805402</v>
      </c>
      <c r="L16" s="23">
        <v>1416.2327294222393</v>
      </c>
      <c r="M16" s="21">
        <v>228.00904954462425</v>
      </c>
      <c r="N16" s="23">
        <v>710.58380919625733</v>
      </c>
      <c r="O16" s="21">
        <v>72.37747562202351</v>
      </c>
      <c r="P16" s="23">
        <v>205.10935254630908</v>
      </c>
      <c r="Q16" s="21">
        <v>-44.416906679237336</v>
      </c>
      <c r="R16" s="23">
        <v>246.36873133623021</v>
      </c>
      <c r="S16" s="21">
        <v>9.8011312581279739</v>
      </c>
      <c r="T16" s="23">
        <v>5962.8329705215438</v>
      </c>
      <c r="U16" s="21">
        <v>-576.65720347153592</v>
      </c>
      <c r="V16" s="23">
        <v>2807.5821012849583</v>
      </c>
      <c r="W16" s="21">
        <v>-763.04942056404298</v>
      </c>
      <c r="X16" s="23">
        <v>13104.402614609529</v>
      </c>
      <c r="Y16" s="21">
        <v>1988.5709287535581</v>
      </c>
      <c r="Z16" s="23">
        <v>6590.2576198384086</v>
      </c>
      <c r="AA16" s="21">
        <v>694.32048645970372</v>
      </c>
      <c r="AB16" s="23">
        <v>1892.0073844582232</v>
      </c>
      <c r="AC16" s="21">
        <v>-368.30519860459583</v>
      </c>
      <c r="AD16" s="23">
        <v>2290.1547238686967</v>
      </c>
      <c r="AE16" s="21">
        <v>79.480363281329602</v>
      </c>
      <c r="AF16" s="23">
        <v>9871.3126379440655</v>
      </c>
      <c r="AG16" s="21">
        <v>-2736.43889229259</v>
      </c>
      <c r="AH16" s="23">
        <v>45775.701505247831</v>
      </c>
      <c r="AI16" s="21">
        <v>2495.6419105340174</v>
      </c>
      <c r="AJ16" s="23">
        <v>23022.267215255768</v>
      </c>
      <c r="AK16" s="21">
        <v>1441.7791182617943</v>
      </c>
      <c r="AL16" s="23">
        <v>6677.7778171268683</v>
      </c>
      <c r="AM16" s="21">
        <v>-1517.7948835636726</v>
      </c>
      <c r="AN16" s="23">
        <v>8048.6682009612423</v>
      </c>
      <c r="AO16" s="21">
        <v>5.3133710995340877</v>
      </c>
      <c r="AP16" s="23">
        <v>21657.232008255309</v>
      </c>
      <c r="AQ16" s="21">
        <v>-3008.5697947756794</v>
      </c>
      <c r="AR16" s="23">
        <v>10949.229238703267</v>
      </c>
      <c r="AS16" s="21">
        <v>-476.97108146301423</v>
      </c>
      <c r="AT16" s="23">
        <v>3210.0863242197074</v>
      </c>
      <c r="AU16" s="21">
        <v>-826.64694008501283</v>
      </c>
      <c r="AV16" s="23">
        <v>3823.7690839484885</v>
      </c>
      <c r="AW16" s="21">
        <v>-345.49711968936867</v>
      </c>
      <c r="AX16" s="23">
        <v>50637.361762448803</v>
      </c>
      <c r="AY16" s="21">
        <v>6915.9287792648047</v>
      </c>
      <c r="AZ16" s="23">
        <v>14920.336906783094</v>
      </c>
      <c r="BA16" s="21">
        <v>-1112.2450459053364</v>
      </c>
      <c r="BB16" s="23">
        <v>17656.779028272518</v>
      </c>
      <c r="BC16" s="21">
        <v>1473.0336047534613</v>
      </c>
      <c r="BD16" s="23">
        <v>7443.3099066751147</v>
      </c>
      <c r="BE16" s="21">
        <v>-65.036767928429967</v>
      </c>
      <c r="BF16" s="23">
        <v>9073.7429480065985</v>
      </c>
      <c r="BG16" s="21">
        <v>627.11153757512295</v>
      </c>
      <c r="BH16" s="23">
        <v>2616.6324155491252</v>
      </c>
      <c r="BI16" s="21">
        <v>-148.2579930086691</v>
      </c>
    </row>
    <row r="17" spans="1:61" x14ac:dyDescent="0.25">
      <c r="A17" s="21" t="s">
        <v>58</v>
      </c>
      <c r="B17" s="22">
        <v>2025</v>
      </c>
      <c r="C17" s="93">
        <f t="shared" si="0"/>
        <v>2042.2583867786741</v>
      </c>
      <c r="D17" s="4">
        <f t="shared" si="1"/>
        <v>-0.85226601376168354</v>
      </c>
      <c r="E17" s="21">
        <v>16</v>
      </c>
      <c r="F17" s="23">
        <v>181.99841269841272</v>
      </c>
      <c r="G17" s="21">
        <v>2.9835948065443061</v>
      </c>
      <c r="H17" s="23">
        <v>563.42222222222222</v>
      </c>
      <c r="I17" s="21">
        <v>-80.308466574801997</v>
      </c>
      <c r="J17" s="23">
        <v>250.81614512471654</v>
      </c>
      <c r="K17" s="21">
        <v>-59.068375784311122</v>
      </c>
      <c r="L17" s="23">
        <v>1403.0882541516555</v>
      </c>
      <c r="M17" s="21">
        <v>244.11716316666789</v>
      </c>
      <c r="N17" s="23">
        <v>496.9787771131605</v>
      </c>
      <c r="O17" s="21">
        <v>61.568362167408218</v>
      </c>
      <c r="P17" s="23">
        <v>195.6398987319792</v>
      </c>
      <c r="Q17" s="21">
        <v>-38.933335288735094</v>
      </c>
      <c r="R17" s="23">
        <v>166.8473804907955</v>
      </c>
      <c r="S17" s="21">
        <v>9.0095570572401833</v>
      </c>
      <c r="T17" s="23">
        <v>5166.8722776518016</v>
      </c>
      <c r="U17" s="21">
        <v>-520.15583425611362</v>
      </c>
      <c r="V17" s="23">
        <v>2299.4689889500778</v>
      </c>
      <c r="W17" s="21">
        <v>-582.8070164541133</v>
      </c>
      <c r="X17" s="23">
        <v>12758.93662772288</v>
      </c>
      <c r="Y17" s="21">
        <v>2016.5830032246809</v>
      </c>
      <c r="Z17" s="23">
        <v>4468.1527171414082</v>
      </c>
      <c r="AA17" s="21">
        <v>542.85009015932269</v>
      </c>
      <c r="AB17" s="23">
        <v>1782.1130574060044</v>
      </c>
      <c r="AC17" s="21">
        <v>-316.70242979367492</v>
      </c>
      <c r="AD17" s="23">
        <v>1508.1934267366707</v>
      </c>
      <c r="AE17" s="21">
        <v>70.939912208349526</v>
      </c>
      <c r="AF17" s="23">
        <v>7262.2687734225974</v>
      </c>
      <c r="AG17" s="21">
        <v>-1845.5803174516691</v>
      </c>
      <c r="AH17" s="23">
        <v>39501.271169171974</v>
      </c>
      <c r="AI17" s="21">
        <v>1944.5756510003143</v>
      </c>
      <c r="AJ17" s="23">
        <v>13547.166601998242</v>
      </c>
      <c r="AK17" s="21">
        <v>992.94440219417959</v>
      </c>
      <c r="AL17" s="23">
        <v>5602.858226405473</v>
      </c>
      <c r="AM17" s="21">
        <v>-1176.6802124812571</v>
      </c>
      <c r="AN17" s="23">
        <v>4652.9963378107013</v>
      </c>
      <c r="AO17" s="21">
        <v>37.703504546182359</v>
      </c>
      <c r="AP17" s="23">
        <v>17586.693376145926</v>
      </c>
      <c r="AQ17" s="21">
        <v>-2201.9042346974252</v>
      </c>
      <c r="AR17" s="23">
        <v>6142.7190474561585</v>
      </c>
      <c r="AS17" s="21">
        <v>-20.207685635371394</v>
      </c>
      <c r="AT17" s="23">
        <v>2597.5858131022264</v>
      </c>
      <c r="AU17" s="21">
        <v>-531.1288939712922</v>
      </c>
      <c r="AV17" s="23">
        <v>2150.0442381775101</v>
      </c>
      <c r="AW17" s="21">
        <v>-101.21454092924537</v>
      </c>
      <c r="AX17" s="23">
        <v>35149.732155908219</v>
      </c>
      <c r="AY17" s="21">
        <v>5396.719418056824</v>
      </c>
      <c r="AZ17" s="23">
        <v>13859.88184984192</v>
      </c>
      <c r="BA17" s="21">
        <v>-713.95024968223299</v>
      </c>
      <c r="BB17" s="23">
        <v>11829.096951408483</v>
      </c>
      <c r="BC17" s="21">
        <v>1090.3043740859116</v>
      </c>
      <c r="BD17" s="23">
        <v>4924.9721457959349</v>
      </c>
      <c r="BE17" s="21">
        <v>75.277910674722364</v>
      </c>
      <c r="BF17" s="23">
        <v>4390.6078459130113</v>
      </c>
      <c r="BG17" s="21">
        <v>410.48131307804567</v>
      </c>
      <c r="BH17" s="23">
        <v>1710.5600718373666</v>
      </c>
      <c r="BI17" s="21">
        <v>-50.914897139353755</v>
      </c>
    </row>
    <row r="18" spans="1:61" x14ac:dyDescent="0.25">
      <c r="A18" s="21" t="s">
        <v>59</v>
      </c>
      <c r="B18" s="19">
        <v>1965</v>
      </c>
      <c r="C18" s="93">
        <f t="shared" si="0"/>
        <v>1937.5836109142974</v>
      </c>
      <c r="D18" s="4">
        <f t="shared" si="1"/>
        <v>1.3952360857863908</v>
      </c>
      <c r="E18" s="21">
        <v>17</v>
      </c>
      <c r="F18" s="23">
        <v>173.42063492063494</v>
      </c>
      <c r="G18" s="21">
        <v>3.2926597088072258</v>
      </c>
      <c r="H18" s="23">
        <v>533.54726190476185</v>
      </c>
      <c r="I18" s="21">
        <v>-80.836208303627288</v>
      </c>
      <c r="J18" s="23">
        <v>232.27619047619049</v>
      </c>
      <c r="K18" s="21">
        <v>-54.241290532414148</v>
      </c>
      <c r="L18" s="23">
        <v>1406.9816813334091</v>
      </c>
      <c r="M18" s="21">
        <v>239.44439446878241</v>
      </c>
      <c r="N18" s="23">
        <v>510.15853744642567</v>
      </c>
      <c r="O18" s="21">
        <v>54.57105885254802</v>
      </c>
      <c r="P18" s="23">
        <v>190.58154390323978</v>
      </c>
      <c r="Q18" s="21">
        <v>-39.889299393607111</v>
      </c>
      <c r="R18" s="23">
        <v>162.46910438141572</v>
      </c>
      <c r="S18" s="21">
        <v>7.9185613266172208</v>
      </c>
      <c r="T18" s="23">
        <v>4691.5899662226002</v>
      </c>
      <c r="U18" s="21">
        <v>-505.38506640570802</v>
      </c>
      <c r="V18" s="23">
        <v>2022.2959939531372</v>
      </c>
      <c r="W18" s="21">
        <v>-491.35503358724708</v>
      </c>
      <c r="X18" s="23">
        <v>12153.385007054874</v>
      </c>
      <c r="Y18" s="21">
        <v>1950.7447735350415</v>
      </c>
      <c r="Z18" s="23">
        <v>4399.9105489435533</v>
      </c>
      <c r="AA18" s="21">
        <v>437.37142565895346</v>
      </c>
      <c r="AB18" s="23">
        <v>1660.018350197058</v>
      </c>
      <c r="AC18" s="21">
        <v>-299.45125219463677</v>
      </c>
      <c r="AD18" s="23">
        <v>1408.5442177120046</v>
      </c>
      <c r="AE18" s="21">
        <v>52.745079720009279</v>
      </c>
      <c r="AF18" s="23">
        <v>6304.9619628684814</v>
      </c>
      <c r="AG18" s="21">
        <v>-1489.5658860874419</v>
      </c>
      <c r="AH18" s="23">
        <v>36920.062871045528</v>
      </c>
      <c r="AI18" s="21">
        <v>1689.9261195504469</v>
      </c>
      <c r="AJ18" s="23">
        <v>13422.268281200126</v>
      </c>
      <c r="AK18" s="21">
        <v>700.7155560430989</v>
      </c>
      <c r="AL18" s="23">
        <v>5120.5149002279231</v>
      </c>
      <c r="AM18" s="21">
        <v>-1088.0880311615308</v>
      </c>
      <c r="AN18" s="23">
        <v>4304.7420666519265</v>
      </c>
      <c r="AO18" s="21">
        <v>29.80940735257591</v>
      </c>
      <c r="AP18" s="23">
        <v>16417.909659499895</v>
      </c>
      <c r="AQ18" s="21">
        <v>-2020.9185685908856</v>
      </c>
      <c r="AR18" s="23">
        <v>5937.1919722725015</v>
      </c>
      <c r="AS18" s="21">
        <v>-108.40038485501879</v>
      </c>
      <c r="AT18" s="23">
        <v>2333.4002523565509</v>
      </c>
      <c r="AU18" s="21">
        <v>-512.77281309324871</v>
      </c>
      <c r="AV18" s="23">
        <v>1959.173196812503</v>
      </c>
      <c r="AW18" s="21">
        <v>-102.64407908294672</v>
      </c>
      <c r="AX18" s="23">
        <v>36319.84170364165</v>
      </c>
      <c r="AY18" s="21">
        <v>5255.0630052365295</v>
      </c>
      <c r="AZ18" s="23">
        <v>13774.156547042805</v>
      </c>
      <c r="BA18" s="21">
        <v>-889.70340545655449</v>
      </c>
      <c r="BB18" s="23">
        <v>11563.196962767483</v>
      </c>
      <c r="BC18" s="21">
        <v>1034.6970302822999</v>
      </c>
      <c r="BD18" s="23">
        <v>4889.2126938188012</v>
      </c>
      <c r="BE18" s="21">
        <v>2.3094980905678213</v>
      </c>
      <c r="BF18" s="23">
        <v>4240.7497550953403</v>
      </c>
      <c r="BG18" s="21">
        <v>321.64533179456009</v>
      </c>
      <c r="BH18" s="23">
        <v>1604.86211480053</v>
      </c>
      <c r="BI18" s="21">
        <v>-65.170728213016716</v>
      </c>
    </row>
    <row r="19" spans="1:61" x14ac:dyDescent="0.25">
      <c r="A19" s="21" t="s">
        <v>60</v>
      </c>
      <c r="B19" s="22">
        <v>2095.9595959595958</v>
      </c>
      <c r="C19" s="93">
        <f t="shared" si="0"/>
        <v>1984.1753082268681</v>
      </c>
      <c r="D19" s="4">
        <f t="shared" si="1"/>
        <v>5.3333226436337586</v>
      </c>
      <c r="E19" s="21">
        <v>18</v>
      </c>
      <c r="F19" s="23">
        <v>169.56417233560092</v>
      </c>
      <c r="G19" s="21">
        <v>4.3963704622209612</v>
      </c>
      <c r="H19" s="23">
        <v>523.83920634920639</v>
      </c>
      <c r="I19" s="21">
        <v>-80.14462952202021</v>
      </c>
      <c r="J19" s="23">
        <v>224.61904761904762</v>
      </c>
      <c r="K19" s="21">
        <v>-56.396772628872782</v>
      </c>
      <c r="L19" s="23">
        <v>1330.6674515095197</v>
      </c>
      <c r="M19" s="21">
        <v>229.08725211867704</v>
      </c>
      <c r="N19" s="23">
        <v>453.49505900184539</v>
      </c>
      <c r="O19" s="21">
        <v>49.954286052059487</v>
      </c>
      <c r="P19" s="23">
        <v>184.95767387727892</v>
      </c>
      <c r="Q19" s="21">
        <v>-37.86431134152074</v>
      </c>
      <c r="R19" s="23">
        <v>145.3153481322127</v>
      </c>
      <c r="S19" s="21">
        <v>6.9751586267712256</v>
      </c>
      <c r="T19" s="23">
        <v>4583.1207459597599</v>
      </c>
      <c r="U19" s="21">
        <v>-490.378778579308</v>
      </c>
      <c r="V19" s="23">
        <v>1955.3200788251809</v>
      </c>
      <c r="W19" s="21">
        <v>-516.21280558902833</v>
      </c>
      <c r="X19" s="23">
        <v>11320.45277296381</v>
      </c>
      <c r="Y19" s="21">
        <v>1931.1079103792706</v>
      </c>
      <c r="Z19" s="23">
        <v>3810.7320571922846</v>
      </c>
      <c r="AA19" s="21">
        <v>415.9594316777011</v>
      </c>
      <c r="AB19" s="23">
        <v>1604.4119154094424</v>
      </c>
      <c r="AC19" s="21">
        <v>-292.19100898967218</v>
      </c>
      <c r="AD19" s="23">
        <v>1245.3001484357515</v>
      </c>
      <c r="AE19" s="21">
        <v>50.84637641941687</v>
      </c>
      <c r="AF19" s="23">
        <v>6026.8320483749058</v>
      </c>
      <c r="AG19" s="21">
        <v>-1693.0367499605941</v>
      </c>
      <c r="AH19" s="23">
        <v>34790.153112561202</v>
      </c>
      <c r="AI19" s="21">
        <v>1984.1024118678586</v>
      </c>
      <c r="AJ19" s="23">
        <v>11500.086410352538</v>
      </c>
      <c r="AK19" s="21">
        <v>696.77271992656733</v>
      </c>
      <c r="AL19" s="23">
        <v>4927.2172376193621</v>
      </c>
      <c r="AM19" s="21">
        <v>-1130.9593097682141</v>
      </c>
      <c r="AN19" s="23">
        <v>3742.8375299948398</v>
      </c>
      <c r="AO19" s="21">
        <v>-29.793561421127208</v>
      </c>
      <c r="AP19" s="23">
        <v>15026.951891346711</v>
      </c>
      <c r="AQ19" s="21">
        <v>-1994.5827918944935</v>
      </c>
      <c r="AR19" s="23">
        <v>5062.1844485957872</v>
      </c>
      <c r="AS19" s="21">
        <v>-163.55056569246091</v>
      </c>
      <c r="AT19" s="23">
        <v>2160.8603767377858</v>
      </c>
      <c r="AU19" s="21">
        <v>-508.92428964348824</v>
      </c>
      <c r="AV19" s="23">
        <v>1659.5994513155304</v>
      </c>
      <c r="AW19" s="21">
        <v>-131.6108740973026</v>
      </c>
      <c r="AX19" s="23">
        <v>30551.040677923884</v>
      </c>
      <c r="AY19" s="21">
        <v>4478.636010251008</v>
      </c>
      <c r="AZ19" s="23">
        <v>12468.978017748557</v>
      </c>
      <c r="BA19" s="21">
        <v>-680.95790655394217</v>
      </c>
      <c r="BB19" s="23">
        <v>9779.6560034454778</v>
      </c>
      <c r="BC19" s="21">
        <v>885.96779315215247</v>
      </c>
      <c r="BD19" s="23">
        <v>4190.4014737109983</v>
      </c>
      <c r="BE19" s="21">
        <v>25.388872592579112</v>
      </c>
      <c r="BF19" s="23">
        <v>3448.8086726933439</v>
      </c>
      <c r="BG19" s="21">
        <v>286.71174462508816</v>
      </c>
      <c r="BH19" s="23">
        <v>1368.8344824716655</v>
      </c>
      <c r="BI19" s="21">
        <v>-63.316259805279543</v>
      </c>
    </row>
    <row r="20" spans="1:61" x14ac:dyDescent="0.25">
      <c r="A20" s="21" t="s">
        <v>61</v>
      </c>
      <c r="B20" s="22">
        <v>1415.0943396226414</v>
      </c>
      <c r="C20" s="93">
        <f t="shared" si="0"/>
        <v>1556.4769782005869</v>
      </c>
      <c r="D20" s="4">
        <f t="shared" si="1"/>
        <v>-9.9910397928414838</v>
      </c>
      <c r="E20" s="21">
        <v>19</v>
      </c>
      <c r="F20" s="23">
        <v>183.2428571428571</v>
      </c>
      <c r="G20" s="21">
        <v>3.2793325041666326</v>
      </c>
      <c r="H20" s="23">
        <v>608.19999999999993</v>
      </c>
      <c r="I20" s="21">
        <v>-88.422824655255766</v>
      </c>
      <c r="J20" s="23">
        <v>264.11428571428576</v>
      </c>
      <c r="K20" s="21">
        <v>-67.161279528124055</v>
      </c>
      <c r="L20" s="23">
        <v>1450.1355041784154</v>
      </c>
      <c r="M20" s="21">
        <v>237.76010713495407</v>
      </c>
      <c r="N20" s="23">
        <v>721.63167516112742</v>
      </c>
      <c r="O20" s="21">
        <v>74.728086268686056</v>
      </c>
      <c r="P20" s="23">
        <v>234.36852544675469</v>
      </c>
      <c r="Q20" s="21">
        <v>-50.571733380207391</v>
      </c>
      <c r="R20" s="23">
        <v>226.13812018808184</v>
      </c>
      <c r="S20" s="21">
        <v>7.1355757997805505</v>
      </c>
      <c r="T20" s="23">
        <v>5580.4765306122445</v>
      </c>
      <c r="U20" s="21">
        <v>-542.93490917782458</v>
      </c>
      <c r="V20" s="23">
        <v>2422.0485714285714</v>
      </c>
      <c r="W20" s="21">
        <v>-646.66215594859773</v>
      </c>
      <c r="X20" s="23">
        <v>13270.587711479011</v>
      </c>
      <c r="Y20" s="21">
        <v>1985.4470304821593</v>
      </c>
      <c r="Z20" s="23">
        <v>6587.0382244189987</v>
      </c>
      <c r="AA20" s="21">
        <v>677.80453800147347</v>
      </c>
      <c r="AB20" s="23">
        <v>2148.2785538548815</v>
      </c>
      <c r="AC20" s="21">
        <v>-419.12921725895609</v>
      </c>
      <c r="AD20" s="23">
        <v>2070.4675506757881</v>
      </c>
      <c r="AE20" s="21">
        <v>56.224454152018424</v>
      </c>
      <c r="AF20" s="23">
        <v>8102.1102040816331</v>
      </c>
      <c r="AG20" s="21">
        <v>-2165.7155675074246</v>
      </c>
      <c r="AH20" s="23">
        <v>44036.631223285702</v>
      </c>
      <c r="AI20" s="21">
        <v>2227.0316647858363</v>
      </c>
      <c r="AJ20" s="23">
        <v>21862.109118461685</v>
      </c>
      <c r="AK20" s="21">
        <v>1292.6038349231362</v>
      </c>
      <c r="AL20" s="23">
        <v>7180.4211258797504</v>
      </c>
      <c r="AM20" s="21">
        <v>-1607.6545815398586</v>
      </c>
      <c r="AN20" s="23">
        <v>6902.2933868017617</v>
      </c>
      <c r="AO20" s="21">
        <v>-77.723445336835994</v>
      </c>
      <c r="AP20" s="23">
        <v>19157.453634521644</v>
      </c>
      <c r="AQ20" s="21">
        <v>-2726.4789230980418</v>
      </c>
      <c r="AR20" s="23">
        <v>9514.1100845555629</v>
      </c>
      <c r="AS20" s="21">
        <v>-455.68736743344476</v>
      </c>
      <c r="AT20" s="23">
        <v>3161.8948827013296</v>
      </c>
      <c r="AU20" s="21">
        <v>-785.70022847639257</v>
      </c>
      <c r="AV20" s="23">
        <v>3020.6987573368424</v>
      </c>
      <c r="AW20" s="21">
        <v>-319.67890507025504</v>
      </c>
      <c r="AX20" s="23">
        <v>52442.194568969797</v>
      </c>
      <c r="AY20" s="21">
        <v>7065.2354863716837</v>
      </c>
      <c r="AZ20" s="23">
        <v>17028.195010168118</v>
      </c>
      <c r="BA20" s="21">
        <v>-1231.288919790097</v>
      </c>
      <c r="BB20" s="23">
        <v>16382.403341862748</v>
      </c>
      <c r="BC20" s="21">
        <v>1221.1456065664852</v>
      </c>
      <c r="BD20" s="23">
        <v>8434.9026816535061</v>
      </c>
      <c r="BE20" s="21">
        <v>-134.03438268357996</v>
      </c>
      <c r="BF20" s="23">
        <v>8241.7517021114436</v>
      </c>
      <c r="BG20" s="21">
        <v>508.91175412928703</v>
      </c>
      <c r="BH20" s="23">
        <v>2671.6716987250102</v>
      </c>
      <c r="BI20" s="21">
        <v>-188.46077697822867</v>
      </c>
    </row>
    <row r="21" spans="1:61" x14ac:dyDescent="0.25">
      <c r="A21" s="21" t="s">
        <v>62</v>
      </c>
      <c r="B21" s="22">
        <v>2038</v>
      </c>
      <c r="C21" s="93">
        <f t="shared" si="0"/>
        <v>2037.287078855871</v>
      </c>
      <c r="D21" s="4">
        <f t="shared" si="1"/>
        <v>3.4981410408686985E-2</v>
      </c>
      <c r="E21" s="21">
        <v>20</v>
      </c>
      <c r="F21" s="23">
        <v>179.20892857142857</v>
      </c>
      <c r="G21" s="21">
        <v>3.0291760274298922</v>
      </c>
      <c r="H21" s="23">
        <v>606.39821428571429</v>
      </c>
      <c r="I21" s="21">
        <v>-84.678448722408987</v>
      </c>
      <c r="J21" s="23">
        <v>235.88749999999999</v>
      </c>
      <c r="K21" s="21">
        <v>-55.892833291875768</v>
      </c>
      <c r="L21" s="23">
        <v>1486.6306153982196</v>
      </c>
      <c r="M21" s="21">
        <v>257.50510881960247</v>
      </c>
      <c r="N21" s="23">
        <v>754.73796081833757</v>
      </c>
      <c r="O21" s="21">
        <v>95.064286579664639</v>
      </c>
      <c r="P21" s="23">
        <v>219.09811472897445</v>
      </c>
      <c r="Q21" s="21">
        <v>-44.857365564724702</v>
      </c>
      <c r="R21" s="23">
        <v>234.61236223673282</v>
      </c>
      <c r="S21" s="21">
        <v>15.55141669544831</v>
      </c>
      <c r="T21" s="23">
        <v>5432.1859151785702</v>
      </c>
      <c r="U21" s="21">
        <v>-509.31680430753562</v>
      </c>
      <c r="V21" s="23">
        <v>2092.6155165816326</v>
      </c>
      <c r="W21" s="21">
        <v>-549.0533651215394</v>
      </c>
      <c r="X21" s="23">
        <v>13261.3806325244</v>
      </c>
      <c r="Y21" s="21">
        <v>2074.3943671235602</v>
      </c>
      <c r="Z21" s="23">
        <v>6705.6414139584094</v>
      </c>
      <c r="AA21" s="21">
        <v>757.57684563306259</v>
      </c>
      <c r="AB21" s="23">
        <v>1947.8440166147759</v>
      </c>
      <c r="AC21" s="21">
        <v>-371.80351532020615</v>
      </c>
      <c r="AD21" s="23">
        <v>2087.9465630329018</v>
      </c>
      <c r="AE21" s="21">
        <v>97.496254587760717</v>
      </c>
      <c r="AF21" s="23">
        <v>7365.4979528061231</v>
      </c>
      <c r="AG21" s="21">
        <v>-1805.2916123690547</v>
      </c>
      <c r="AH21" s="23">
        <v>45151.759746300129</v>
      </c>
      <c r="AI21" s="21">
        <v>2790.5822171687773</v>
      </c>
      <c r="AJ21" s="23">
        <v>22690.512450323826</v>
      </c>
      <c r="AK21" s="21">
        <v>1940.922551712986</v>
      </c>
      <c r="AL21" s="23">
        <v>6796.0065017563829</v>
      </c>
      <c r="AM21" s="21">
        <v>-1396.6566257147185</v>
      </c>
      <c r="AN21" s="23">
        <v>7186.0668880437433</v>
      </c>
      <c r="AO21" s="21">
        <v>214.92376631459098</v>
      </c>
      <c r="AP21" s="23">
        <v>17718.415631886914</v>
      </c>
      <c r="AQ21" s="21">
        <v>-2237.1429018684962</v>
      </c>
      <c r="AR21" s="23">
        <v>8850.2189167336892</v>
      </c>
      <c r="AS21" s="21">
        <v>6.1423036620555251</v>
      </c>
      <c r="AT21" s="23">
        <v>2775.5116152567994</v>
      </c>
      <c r="AU21" s="21">
        <v>-613.04719506064146</v>
      </c>
      <c r="AV21" s="23">
        <v>2870.9391807416441</v>
      </c>
      <c r="AW21" s="21">
        <v>-109.11287047183009</v>
      </c>
      <c r="AX21" s="23">
        <v>56631.977942668665</v>
      </c>
      <c r="AY21" s="21">
        <v>9138.6377000129651</v>
      </c>
      <c r="AZ21" s="23">
        <v>16482.835772307182</v>
      </c>
      <c r="BA21" s="21">
        <v>-942.99152456454829</v>
      </c>
      <c r="BB21" s="23">
        <v>17588.904222834281</v>
      </c>
      <c r="BC21" s="21">
        <v>1938.9533823814854</v>
      </c>
      <c r="BD21" s="23">
        <v>8259.5248976619769</v>
      </c>
      <c r="BE21" s="21">
        <v>133.27804019112892</v>
      </c>
      <c r="BF21" s="23">
        <v>9231.6280458889596</v>
      </c>
      <c r="BG21" s="21">
        <v>1078.8470333312132</v>
      </c>
      <c r="BH21" s="23">
        <v>2650.9181400610896</v>
      </c>
      <c r="BI21" s="21">
        <v>-67.797500352058705</v>
      </c>
    </row>
    <row r="22" spans="1:61" x14ac:dyDescent="0.25">
      <c r="A22" s="21" t="s">
        <v>63</v>
      </c>
      <c r="B22" s="22">
        <v>1241</v>
      </c>
      <c r="C22" s="93">
        <f t="shared" si="0"/>
        <v>1327.9166010881886</v>
      </c>
      <c r="D22" s="4">
        <f t="shared" si="1"/>
        <v>-7.00375512394751</v>
      </c>
      <c r="E22" s="21">
        <v>21</v>
      </c>
      <c r="F22" s="23">
        <v>171.49821428571428</v>
      </c>
      <c r="G22" s="21">
        <v>0.88491348331297326</v>
      </c>
      <c r="H22" s="23">
        <v>639.69107142857138</v>
      </c>
      <c r="I22" s="21">
        <v>-92.547359088870721</v>
      </c>
      <c r="J22" s="23">
        <v>289.22142857142865</v>
      </c>
      <c r="K22" s="21">
        <v>-78.511287960084374</v>
      </c>
      <c r="L22" s="23">
        <v>1488.8416768371678</v>
      </c>
      <c r="M22" s="21">
        <v>237.4461160005248</v>
      </c>
      <c r="N22" s="23">
        <v>671.63642730668471</v>
      </c>
      <c r="O22" s="21">
        <v>66.066404079629379</v>
      </c>
      <c r="P22" s="23">
        <v>238.73011635045543</v>
      </c>
      <c r="Q22" s="21">
        <v>-54.884164822919452</v>
      </c>
      <c r="R22" s="23">
        <v>225.26064248096256</v>
      </c>
      <c r="S22" s="21">
        <v>5.7650299114288206</v>
      </c>
      <c r="T22" s="23">
        <v>5510.8996332908173</v>
      </c>
      <c r="U22" s="21">
        <v>-555.36803635076342</v>
      </c>
      <c r="V22" s="23">
        <v>2483.6651147959187</v>
      </c>
      <c r="W22" s="21">
        <v>-721.45100475929655</v>
      </c>
      <c r="X22" s="23">
        <v>12801.518506048726</v>
      </c>
      <c r="Y22" s="21">
        <v>1669.7757059206631</v>
      </c>
      <c r="Z22" s="23">
        <v>5715.8632057428431</v>
      </c>
      <c r="AA22" s="21">
        <v>493.02589181833957</v>
      </c>
      <c r="AB22" s="23">
        <v>2052.6436888299245</v>
      </c>
      <c r="AC22" s="21">
        <v>-444.47801781390967</v>
      </c>
      <c r="AD22" s="23">
        <v>1930.7043561959815</v>
      </c>
      <c r="AE22" s="21">
        <v>29.739202812107003</v>
      </c>
      <c r="AF22" s="23">
        <v>9355.5558801020416</v>
      </c>
      <c r="AG22" s="21">
        <v>-2648.2233498856667</v>
      </c>
      <c r="AH22" s="23">
        <v>47558.238488693802</v>
      </c>
      <c r="AI22" s="21">
        <v>2055.0010542478162</v>
      </c>
      <c r="AJ22" s="23">
        <v>21179.292006152245</v>
      </c>
      <c r="AK22" s="21">
        <v>1110.2868232253018</v>
      </c>
      <c r="AL22" s="23">
        <v>7698.5715227164465</v>
      </c>
      <c r="AM22" s="21">
        <v>-1854.4047512461357</v>
      </c>
      <c r="AN22" s="23">
        <v>7176.5294283617832</v>
      </c>
      <c r="AO22" s="21">
        <v>-133.46396468858057</v>
      </c>
      <c r="AP22" s="23">
        <v>21477.712989016414</v>
      </c>
      <c r="AQ22" s="21">
        <v>-3681.0000792776464</v>
      </c>
      <c r="AR22" s="23">
        <v>9474.1784239645276</v>
      </c>
      <c r="AS22" s="21">
        <v>-561.81862278958727</v>
      </c>
      <c r="AT22" s="23">
        <v>3527.2265567576774</v>
      </c>
      <c r="AU22" s="21">
        <v>-1000.3594195435846</v>
      </c>
      <c r="AV22" s="23">
        <v>3238.4339204883991</v>
      </c>
      <c r="AW22" s="21">
        <v>-401.03421275687128</v>
      </c>
      <c r="AX22" s="23">
        <v>50399.913358689264</v>
      </c>
      <c r="AY22" s="21">
        <v>6489.9987384566512</v>
      </c>
      <c r="AZ22" s="23">
        <v>17809.614157515651</v>
      </c>
      <c r="BA22" s="21">
        <v>-1669.4504755492567</v>
      </c>
      <c r="BB22" s="23">
        <v>16860.950326674687</v>
      </c>
      <c r="BC22" s="21">
        <v>1087.4507766421925</v>
      </c>
      <c r="BD22" s="23">
        <v>7895.9133200304568</v>
      </c>
      <c r="BE22" s="21">
        <v>-214.33692629393727</v>
      </c>
      <c r="BF22" s="23">
        <v>7824.8226834325642</v>
      </c>
      <c r="BG22" s="21">
        <v>392.37736198910386</v>
      </c>
      <c r="BH22" s="23">
        <v>2683.1932771416141</v>
      </c>
      <c r="BI22" s="21">
        <v>-243.26182350469503</v>
      </c>
    </row>
    <row r="23" spans="1:61" x14ac:dyDescent="0.25">
      <c r="A23" s="21" t="s">
        <v>64</v>
      </c>
      <c r="B23" s="24">
        <v>1575</v>
      </c>
      <c r="C23" s="93">
        <f t="shared" si="0"/>
        <v>1430.4690647635221</v>
      </c>
      <c r="D23" s="4">
        <f t="shared" si="1"/>
        <v>9.1765673166017745</v>
      </c>
      <c r="E23" s="21">
        <v>22</v>
      </c>
      <c r="F23" s="23">
        <v>171.57142857142861</v>
      </c>
      <c r="G23" s="21">
        <v>1.7025998863255754</v>
      </c>
      <c r="H23" s="23">
        <v>632.07142857142844</v>
      </c>
      <c r="I23" s="21">
        <v>-91.547069056959756</v>
      </c>
      <c r="J23" s="23">
        <v>275</v>
      </c>
      <c r="K23" s="21">
        <v>-71.785801557466911</v>
      </c>
      <c r="L23" s="23">
        <v>1458.8017465974474</v>
      </c>
      <c r="M23" s="21">
        <v>243.29140937813773</v>
      </c>
      <c r="N23" s="23">
        <v>695.96482506911229</v>
      </c>
      <c r="O23" s="21">
        <v>67.789689299699617</v>
      </c>
      <c r="P23" s="23">
        <v>244.70581761357542</v>
      </c>
      <c r="Q23" s="21">
        <v>-53.854062536629748</v>
      </c>
      <c r="R23" s="23">
        <v>228.09221986380928</v>
      </c>
      <c r="S23" s="21">
        <v>7.2551180927401422</v>
      </c>
      <c r="T23" s="23">
        <v>5448.1187074829922</v>
      </c>
      <c r="U23" s="21">
        <v>-569.12943262924978</v>
      </c>
      <c r="V23" s="23">
        <v>2339.0228571428574</v>
      </c>
      <c r="W23" s="21">
        <v>-668.51663720970032</v>
      </c>
      <c r="X23" s="23">
        <v>12394.04436686591</v>
      </c>
      <c r="Y23" s="21">
        <v>1785.4014556184554</v>
      </c>
      <c r="Z23" s="23">
        <v>5764.1034087388452</v>
      </c>
      <c r="AA23" s="21">
        <v>597.4611673442505</v>
      </c>
      <c r="AB23" s="23">
        <v>2073.918282138025</v>
      </c>
      <c r="AC23" s="21">
        <v>-437.62508346890689</v>
      </c>
      <c r="AD23" s="23">
        <v>1916.4688564299488</v>
      </c>
      <c r="AE23" s="21">
        <v>50.244140198920817</v>
      </c>
      <c r="AF23" s="23">
        <v>8764.0791836734679</v>
      </c>
      <c r="AG23" s="21">
        <v>-2391.7219759690142</v>
      </c>
      <c r="AH23" s="23">
        <v>46005.645479811479</v>
      </c>
      <c r="AI23" s="21">
        <v>2306.6895984575694</v>
      </c>
      <c r="AJ23" s="23">
        <v>21840.041691068633</v>
      </c>
      <c r="AK23" s="21">
        <v>1215.7841401763901</v>
      </c>
      <c r="AL23" s="23">
        <v>7783.7203426873957</v>
      </c>
      <c r="AM23" s="21">
        <v>-1785.1480882749242</v>
      </c>
      <c r="AN23" s="23">
        <v>7234.7227746890449</v>
      </c>
      <c r="AO23" s="21">
        <v>-61.910729105492045</v>
      </c>
      <c r="AP23" s="23">
        <v>20174.624703378755</v>
      </c>
      <c r="AQ23" s="21">
        <v>-3086.5135523599774</v>
      </c>
      <c r="AR23" s="23">
        <v>9772.1235264041625</v>
      </c>
      <c r="AS23" s="21">
        <v>-473.82629042984706</v>
      </c>
      <c r="AT23" s="23">
        <v>3463.5012682002134</v>
      </c>
      <c r="AU23" s="21">
        <v>-913.05007004305639</v>
      </c>
      <c r="AV23" s="23">
        <v>3233.8099531789499</v>
      </c>
      <c r="AW23" s="21">
        <v>-338.70224448766083</v>
      </c>
      <c r="AX23" s="23">
        <v>51677.158778209065</v>
      </c>
      <c r="AY23" s="21">
        <v>6741.4950568785116</v>
      </c>
      <c r="AZ23" s="23">
        <v>18055.715257922413</v>
      </c>
      <c r="BA23" s="21">
        <v>-1416.3321404704473</v>
      </c>
      <c r="BB23" s="23">
        <v>16832.293069358373</v>
      </c>
      <c r="BC23" s="21">
        <v>1271.4547609686722</v>
      </c>
      <c r="BD23" s="23">
        <v>8747.4326857982815</v>
      </c>
      <c r="BE23" s="21">
        <v>-158.15812003477743</v>
      </c>
      <c r="BF23" s="23">
        <v>8335.4190134331293</v>
      </c>
      <c r="BG23" s="21">
        <v>422.9748623957708</v>
      </c>
      <c r="BH23" s="23">
        <v>2884.4412843568989</v>
      </c>
      <c r="BI23" s="21">
        <v>-200.94801965224897</v>
      </c>
    </row>
    <row r="24" spans="1:61" x14ac:dyDescent="0.25">
      <c r="A24" s="21" t="s">
        <v>65</v>
      </c>
      <c r="B24" s="24">
        <v>2099</v>
      </c>
      <c r="C24" s="93">
        <f t="shared" si="0"/>
        <v>2137.551088418682</v>
      </c>
      <c r="D24" s="4">
        <f t="shared" si="1"/>
        <v>-1.8366407059877063</v>
      </c>
      <c r="E24" s="21">
        <v>23</v>
      </c>
      <c r="F24" s="23">
        <v>178.38517006802718</v>
      </c>
      <c r="G24" s="21">
        <v>3.9992206514700581</v>
      </c>
      <c r="H24" s="23">
        <v>609.47142857142865</v>
      </c>
      <c r="I24" s="21">
        <v>-87.243416276925103</v>
      </c>
      <c r="J24" s="23">
        <v>247.55360544217683</v>
      </c>
      <c r="K24" s="21">
        <v>-59.882569599025395</v>
      </c>
      <c r="L24" s="23">
        <v>1493.0720400985026</v>
      </c>
      <c r="M24" s="21">
        <v>256.0213787395935</v>
      </c>
      <c r="N24" s="23">
        <v>738.14601605214614</v>
      </c>
      <c r="O24" s="21">
        <v>89.296231301841459</v>
      </c>
      <c r="P24" s="23">
        <v>210.81103543564942</v>
      </c>
      <c r="Q24" s="21">
        <v>-44.432382148131822</v>
      </c>
      <c r="R24" s="23">
        <v>255.94031670322445</v>
      </c>
      <c r="S24" s="21">
        <v>15.742672097885269</v>
      </c>
      <c r="T24" s="23">
        <v>5491.2958313896988</v>
      </c>
      <c r="U24" s="21">
        <v>-536.64892803209932</v>
      </c>
      <c r="V24" s="23">
        <v>2218.1375934101529</v>
      </c>
      <c r="W24" s="21">
        <v>-580.21792282153444</v>
      </c>
      <c r="X24" s="23">
        <v>13304.261293812031</v>
      </c>
      <c r="Y24" s="21">
        <v>2165.9243787690984</v>
      </c>
      <c r="Z24" s="23">
        <v>6570.8849312339962</v>
      </c>
      <c r="AA24" s="21">
        <v>809.32154672263073</v>
      </c>
      <c r="AB24" s="23">
        <v>1885.11180980584</v>
      </c>
      <c r="AC24" s="21">
        <v>-358.2432709648823</v>
      </c>
      <c r="AD24" s="23">
        <v>2275.348856468891</v>
      </c>
      <c r="AE24" s="21">
        <v>115.13747591944494</v>
      </c>
      <c r="AF24" s="23">
        <v>7685.5103894557815</v>
      </c>
      <c r="AG24" s="21">
        <v>-1966.1926997888945</v>
      </c>
      <c r="AH24" s="23">
        <v>45434.983436114926</v>
      </c>
      <c r="AI24" s="21">
        <v>2355.6243235668981</v>
      </c>
      <c r="AJ24" s="23">
        <v>22554.947315432441</v>
      </c>
      <c r="AK24" s="21">
        <v>1786.0842481588543</v>
      </c>
      <c r="AL24" s="23">
        <v>6511.7586647499566</v>
      </c>
      <c r="AM24" s="21">
        <v>-1435.4320414750366</v>
      </c>
      <c r="AN24" s="23">
        <v>7826.5909245578305</v>
      </c>
      <c r="AO24" s="21">
        <v>166.64438503115468</v>
      </c>
      <c r="AP24" s="23">
        <v>18463.268718733543</v>
      </c>
      <c r="AQ24" s="21">
        <v>-2573.5799551527207</v>
      </c>
      <c r="AR24" s="23">
        <v>9270.1921945875274</v>
      </c>
      <c r="AS24" s="21">
        <v>24.811928665169233</v>
      </c>
      <c r="AT24" s="23">
        <v>2734.9594153052412</v>
      </c>
      <c r="AU24" s="21">
        <v>-638.4741493987492</v>
      </c>
      <c r="AV24" s="23">
        <v>3199.4235350475769</v>
      </c>
      <c r="AW24" s="21">
        <v>-156.38596848339157</v>
      </c>
      <c r="AX24" s="23">
        <v>55508.18896248033</v>
      </c>
      <c r="AY24" s="21">
        <v>8529.6360901451881</v>
      </c>
      <c r="AZ24" s="23">
        <v>15807.118140989664</v>
      </c>
      <c r="BA24" s="21">
        <v>-1046.9927413799214</v>
      </c>
      <c r="BB24" s="23">
        <v>19253.713398278156</v>
      </c>
      <c r="BC24" s="21">
        <v>1954.0656045709459</v>
      </c>
      <c r="BD24" s="23">
        <v>7974.5470839291711</v>
      </c>
      <c r="BE24" s="21">
        <v>151.24475769296811</v>
      </c>
      <c r="BF24" s="23">
        <v>9819.1305146158938</v>
      </c>
      <c r="BG24" s="21">
        <v>987.18083453189706</v>
      </c>
      <c r="BH24" s="23">
        <v>2762.6588518902963</v>
      </c>
      <c r="BI24" s="21">
        <v>-82.248073761918278</v>
      </c>
    </row>
    <row r="25" spans="1:61" x14ac:dyDescent="0.25">
      <c r="A25" s="21" t="s">
        <v>66</v>
      </c>
      <c r="B25" s="24">
        <v>2431</v>
      </c>
      <c r="C25" s="93">
        <f t="shared" si="0"/>
        <v>2396.9699300300827</v>
      </c>
      <c r="D25" s="4">
        <f>(B25-C25)/B25*100</f>
        <v>1.3998383368949958</v>
      </c>
      <c r="E25" s="21">
        <v>24</v>
      </c>
      <c r="F25" s="23">
        <v>179.66666666666669</v>
      </c>
      <c r="G25" s="21">
        <v>5.6189676699521129</v>
      </c>
      <c r="H25" s="23">
        <v>620.59305555555557</v>
      </c>
      <c r="I25" s="21">
        <v>-86.637960762111163</v>
      </c>
      <c r="J25" s="23">
        <v>225.21984126984123</v>
      </c>
      <c r="K25" s="21">
        <v>-48.58300973115994</v>
      </c>
      <c r="L25" s="23">
        <v>1495.154549883883</v>
      </c>
      <c r="M25" s="21">
        <v>271.996180591376</v>
      </c>
      <c r="N25" s="23">
        <v>894.72388281025246</v>
      </c>
      <c r="O25" s="21">
        <v>95.692546807733109</v>
      </c>
      <c r="P25" s="23">
        <v>193.0944157935389</v>
      </c>
      <c r="Q25" s="21">
        <v>-40.966588899314793</v>
      </c>
      <c r="R25" s="23">
        <v>277.92379443379207</v>
      </c>
      <c r="S25" s="21">
        <v>15.872332718236038</v>
      </c>
      <c r="T25" s="23">
        <v>5561.5959769463343</v>
      </c>
      <c r="U25" s="21">
        <v>-493.83267505755191</v>
      </c>
      <c r="V25" s="23">
        <v>1976.0645993953135</v>
      </c>
      <c r="W25" s="21">
        <v>-484.16008324311179</v>
      </c>
      <c r="X25" s="23">
        <v>13612.032298638642</v>
      </c>
      <c r="Y25" s="21">
        <v>2454.2885694506699</v>
      </c>
      <c r="Z25" s="23">
        <v>8054.5453741208803</v>
      </c>
      <c r="AA25" s="21">
        <v>780.92324118096371</v>
      </c>
      <c r="AB25" s="23">
        <v>1734.1340707078139</v>
      </c>
      <c r="AC25" s="21">
        <v>-321.78304608452299</v>
      </c>
      <c r="AD25" s="23">
        <v>2458.3319110491429</v>
      </c>
      <c r="AE25" s="21">
        <v>76.460184971026891</v>
      </c>
      <c r="AF25" s="23">
        <v>7102.4810796170332</v>
      </c>
      <c r="AG25" s="21">
        <v>-1652.3087373453786</v>
      </c>
      <c r="AH25" s="23">
        <v>46186.464104394996</v>
      </c>
      <c r="AI25" s="21">
        <v>2784.9788307353811</v>
      </c>
      <c r="AJ25" s="23">
        <v>27725.303324616474</v>
      </c>
      <c r="AK25" s="21">
        <v>1757.3798196219338</v>
      </c>
      <c r="AL25" s="23">
        <v>6050.9207074449032</v>
      </c>
      <c r="AM25" s="21">
        <v>-1353.2892451557325</v>
      </c>
      <c r="AN25" s="23">
        <v>8741.08329188465</v>
      </c>
      <c r="AO25" s="21">
        <v>160.94977709670937</v>
      </c>
      <c r="AP25" s="23">
        <v>16330.652081989576</v>
      </c>
      <c r="AQ25" s="21">
        <v>-2110.4959997669011</v>
      </c>
      <c r="AR25" s="23">
        <v>10047.846878299031</v>
      </c>
      <c r="AS25" s="21">
        <v>-56.402348945810061</v>
      </c>
      <c r="AT25" s="23">
        <v>2251.0521630438952</v>
      </c>
      <c r="AU25" s="21">
        <v>-503.14354921082577</v>
      </c>
      <c r="AV25" s="23">
        <v>3350.788340027264</v>
      </c>
      <c r="AW25" s="21">
        <v>-37.237885391195761</v>
      </c>
      <c r="AX25" s="23">
        <v>66759.087585378846</v>
      </c>
      <c r="AY25" s="21">
        <v>8804.0930034314661</v>
      </c>
      <c r="AZ25" s="23">
        <v>14449.208611026976</v>
      </c>
      <c r="BA25" s="21">
        <v>-933.82050716742822</v>
      </c>
      <c r="BB25" s="23">
        <v>20224.365607875192</v>
      </c>
      <c r="BC25" s="21">
        <v>1498.549828672273</v>
      </c>
      <c r="BD25" s="23">
        <v>8577.5534682168618</v>
      </c>
      <c r="BE25" s="21">
        <v>-111.11425366187044</v>
      </c>
      <c r="BF25" s="23">
        <v>12512.728745250317</v>
      </c>
      <c r="BG25" s="21">
        <v>1094.0391218728505</v>
      </c>
      <c r="BH25" s="23">
        <v>2750.96296635918</v>
      </c>
      <c r="BI25" s="21">
        <v>-138.59847674345272</v>
      </c>
    </row>
    <row r="26" spans="1:61" x14ac:dyDescent="0.25">
      <c r="B26" s="24"/>
      <c r="C26" s="93">
        <f t="shared" si="0"/>
        <v>1806.4171563580571</v>
      </c>
      <c r="D26" s="4"/>
      <c r="F26" s="23"/>
      <c r="H26" s="23"/>
      <c r="J26" s="23"/>
      <c r="L26" s="23"/>
      <c r="N26" s="23"/>
      <c r="P26" s="23"/>
      <c r="R26" s="23"/>
      <c r="T26" s="23"/>
      <c r="V26" s="23"/>
      <c r="X26" s="23"/>
      <c r="Z26" s="23"/>
      <c r="AB26" s="23"/>
      <c r="AD26" s="23"/>
      <c r="AF26" s="23"/>
      <c r="AH26" s="23"/>
      <c r="AJ26" s="23"/>
      <c r="AL26" s="23"/>
      <c r="AN26" s="23"/>
      <c r="AP26" s="23"/>
      <c r="AR26" s="23"/>
      <c r="AT26" s="23"/>
      <c r="AV26" s="23"/>
      <c r="AX26" s="23"/>
      <c r="AZ26" s="23"/>
      <c r="BB26" s="23"/>
      <c r="BD26" s="23"/>
      <c r="BF26" s="23"/>
      <c r="BH26" s="23"/>
    </row>
    <row r="27" spans="1:61" x14ac:dyDescent="0.25">
      <c r="A27" s="21" t="s">
        <v>67</v>
      </c>
      <c r="B27" s="25">
        <v>2153</v>
      </c>
      <c r="C27" s="93">
        <f t="shared" si="0"/>
        <v>2080.383842162998</v>
      </c>
      <c r="D27" s="4">
        <f>(B27-C27)/B27*100</f>
        <v>3.3727894954483042</v>
      </c>
      <c r="E27" s="21">
        <v>25</v>
      </c>
      <c r="F27" s="23">
        <v>184.38895502645505</v>
      </c>
      <c r="G27" s="21">
        <v>3.3623322467991983</v>
      </c>
      <c r="H27" s="23">
        <v>618.84761904761899</v>
      </c>
      <c r="I27" s="21">
        <v>-87.868501865681239</v>
      </c>
      <c r="J27" s="23">
        <v>246.10553287981858</v>
      </c>
      <c r="K27" s="21">
        <v>-59.539115987198883</v>
      </c>
      <c r="L27" s="23">
        <v>1465.2192861751812</v>
      </c>
      <c r="M27" s="21">
        <v>250.34678177316638</v>
      </c>
      <c r="N27" s="23">
        <v>790.9141832467684</v>
      </c>
      <c r="O27" s="21">
        <v>105.16069922910725</v>
      </c>
      <c r="P27" s="23">
        <v>215.03384367529011</v>
      </c>
      <c r="Q27" s="21">
        <v>-45.369968929745042</v>
      </c>
      <c r="R27" s="23">
        <v>242.67302665532731</v>
      </c>
      <c r="S27" s="21">
        <v>15.225449042033835</v>
      </c>
      <c r="T27" s="23">
        <v>5721.1041628348867</v>
      </c>
      <c r="U27" s="21">
        <v>-539.75605110448555</v>
      </c>
      <c r="V27" s="23">
        <v>2285.4801233308144</v>
      </c>
      <c r="W27" s="21">
        <v>-584.38429406927264</v>
      </c>
      <c r="X27" s="23">
        <v>13514.547903915894</v>
      </c>
      <c r="Y27" s="21">
        <v>2149.2718234238901</v>
      </c>
      <c r="Z27" s="23">
        <v>7312.9787377008015</v>
      </c>
      <c r="AA27" s="21">
        <v>965.49287469696696</v>
      </c>
      <c r="AB27" s="23">
        <v>1995.755963255124</v>
      </c>
      <c r="AC27" s="21">
        <v>-372.360177716934</v>
      </c>
      <c r="AD27" s="23">
        <v>2249.7420823753059</v>
      </c>
      <c r="AE27" s="21">
        <v>126.57138434748497</v>
      </c>
      <c r="AF27" s="23">
        <v>7699.7066688802506</v>
      </c>
      <c r="AG27" s="21">
        <v>-1975.991618626834</v>
      </c>
      <c r="AH27" s="23">
        <v>45350.795565950233</v>
      </c>
      <c r="AI27" s="21">
        <v>2477.536796396329</v>
      </c>
      <c r="AJ27" s="23">
        <v>24466.254354986126</v>
      </c>
      <c r="AK27" s="21">
        <v>2209.957197231191</v>
      </c>
      <c r="AL27" s="23">
        <v>6729.9098829073355</v>
      </c>
      <c r="AM27" s="21">
        <v>-1485.0200139758419</v>
      </c>
      <c r="AN27" s="23">
        <v>7557.4943207571077</v>
      </c>
      <c r="AO27" s="21">
        <v>165.64432936502465</v>
      </c>
      <c r="AP27" s="23">
        <v>17998.6206422184</v>
      </c>
      <c r="AQ27" s="21">
        <v>-2396.21389425706</v>
      </c>
      <c r="AR27" s="23">
        <v>9774.8939930245342</v>
      </c>
      <c r="AS27" s="21">
        <v>114.4788124923916</v>
      </c>
      <c r="AT27" s="23">
        <v>2718.3210337091623</v>
      </c>
      <c r="AU27" s="21">
        <v>-629.94970212077317</v>
      </c>
      <c r="AV27" s="23">
        <v>3039.9988408413342</v>
      </c>
      <c r="AW27" s="21">
        <v>-134.6519488502</v>
      </c>
      <c r="AX27" s="23">
        <v>58804.344940043571</v>
      </c>
      <c r="AY27" s="21">
        <v>9648.5751861003046</v>
      </c>
      <c r="AZ27" s="23">
        <v>15802.521124977453</v>
      </c>
      <c r="BA27" s="21">
        <v>-1016.4686167183611</v>
      </c>
      <c r="BB27" s="23">
        <v>17986.568938473451</v>
      </c>
      <c r="BC27" s="21">
        <v>1830.2084101134774</v>
      </c>
      <c r="BD27" s="23">
        <v>8656.0674956500588</v>
      </c>
      <c r="BE27" s="21">
        <v>178.44370628645447</v>
      </c>
      <c r="BF27" s="23">
        <v>10157.731640416356</v>
      </c>
      <c r="BG27" s="21">
        <v>1192.8298722871989</v>
      </c>
      <c r="BH27" s="23">
        <v>2684.5971003271402</v>
      </c>
      <c r="BI27" s="21">
        <v>-90.373853186004652</v>
      </c>
    </row>
    <row r="28" spans="1:61" x14ac:dyDescent="0.25">
      <c r="A28" s="21" t="s">
        <v>311</v>
      </c>
      <c r="B28" s="21">
        <v>1808</v>
      </c>
      <c r="C28" s="93">
        <f>$D$97+($D$98*AS28)+($D$99*U28)+($D$100*Y28)+($D$101*AB28)+($D$102*AH28)+($D$103*Z28)+($D$104*AA28)</f>
        <v>1936.0934822942279</v>
      </c>
      <c r="D28" s="4">
        <f>(B28-C28)/B28*100</f>
        <v>-7.0848164985745514</v>
      </c>
      <c r="E28" s="21">
        <v>26</v>
      </c>
      <c r="F28" s="23">
        <v>165.10714285714283</v>
      </c>
      <c r="G28" s="21">
        <v>3.6348845772666376</v>
      </c>
      <c r="H28" s="23">
        <v>608.97678571428582</v>
      </c>
      <c r="I28" s="21">
        <v>-88.034438003593976</v>
      </c>
      <c r="J28" s="23">
        <v>269.28392857142859</v>
      </c>
      <c r="K28" s="21">
        <v>-65.290138156845231</v>
      </c>
      <c r="L28" s="23">
        <v>1600.571557901246</v>
      </c>
      <c r="M28" s="21">
        <v>282.65163775370883</v>
      </c>
      <c r="N28" s="23">
        <v>798.04773646843785</v>
      </c>
      <c r="O28" s="21">
        <v>88.776129981856471</v>
      </c>
      <c r="P28" s="23">
        <v>224.54088467551955</v>
      </c>
      <c r="Q28" s="21">
        <v>-46.109836392887132</v>
      </c>
      <c r="R28" s="23">
        <v>251.96931564814446</v>
      </c>
      <c r="S28" s="21">
        <v>11.596217161921391</v>
      </c>
      <c r="T28" s="23">
        <v>5084.1480765306133</v>
      </c>
      <c r="U28" s="21">
        <v>-538.92642515949501</v>
      </c>
      <c r="V28" s="23">
        <v>2227.5672806122452</v>
      </c>
      <c r="W28" s="21">
        <v>-562.01954800183228</v>
      </c>
      <c r="X28" s="23">
        <v>13110.346319261091</v>
      </c>
      <c r="Y28" s="21">
        <v>2183.3865465704221</v>
      </c>
      <c r="Z28" s="23">
        <v>6443.9097543683083</v>
      </c>
      <c r="AA28" s="21">
        <v>611.13936697522604</v>
      </c>
      <c r="AB28" s="23">
        <v>1945.0664281664699</v>
      </c>
      <c r="AC28" s="21">
        <v>-335.52609662838722</v>
      </c>
      <c r="AD28" s="23">
        <v>2074.989498097983</v>
      </c>
      <c r="AE28" s="21">
        <v>64.154886109987444</v>
      </c>
      <c r="AF28" s="23">
        <v>8286.8613424744908</v>
      </c>
      <c r="AG28" s="21">
        <v>-2107.9223761387316</v>
      </c>
      <c r="AH28" s="23">
        <v>45541.821995225197</v>
      </c>
      <c r="AI28" s="21">
        <v>2661.6666960665784</v>
      </c>
      <c r="AJ28" s="23">
        <v>24042.499713200952</v>
      </c>
      <c r="AK28" s="21">
        <v>1647.2220143661898</v>
      </c>
      <c r="AL28" s="23">
        <v>6903.8318666996056</v>
      </c>
      <c r="AM28" s="21">
        <v>-1463.1269000640232</v>
      </c>
      <c r="AN28" s="23">
        <v>7704.9602146861671</v>
      </c>
      <c r="AO28" s="21">
        <v>50.889073838808955</v>
      </c>
      <c r="AP28" s="23">
        <v>21579.019931177907</v>
      </c>
      <c r="AQ28" s="21">
        <v>-2731.5329397420073</v>
      </c>
      <c r="AR28" s="23">
        <v>10721.149693169022</v>
      </c>
      <c r="AS28" s="21">
        <v>-243.54500998467927</v>
      </c>
      <c r="AT28" s="23">
        <v>3131.3638723553104</v>
      </c>
      <c r="AU28" s="21">
        <v>-701.09882828617265</v>
      </c>
      <c r="AV28" s="23">
        <v>3440.6344299676416</v>
      </c>
      <c r="AW28" s="21">
        <v>-214.46907295677903</v>
      </c>
      <c r="AX28" s="23">
        <v>64640.317466777713</v>
      </c>
      <c r="AY28" s="21">
        <v>9768.7425087103638</v>
      </c>
      <c r="AZ28" s="23">
        <v>18284.052302738542</v>
      </c>
      <c r="BA28" s="21">
        <v>-1006.1393784709732</v>
      </c>
      <c r="BB28" s="23">
        <v>20157.785463462136</v>
      </c>
      <c r="BC28" s="21">
        <v>1923.5760488575768</v>
      </c>
      <c r="BD28" s="23">
        <v>8975.4099588202571</v>
      </c>
      <c r="BE28" s="21">
        <v>47.156264864252542</v>
      </c>
      <c r="BF28" s="23">
        <v>10204.637975115194</v>
      </c>
      <c r="BG28" s="21">
        <v>807.11181426823305</v>
      </c>
      <c r="BH28" s="23">
        <v>2860.0978390663222</v>
      </c>
      <c r="BI28" s="21">
        <v>-101.34525678376387</v>
      </c>
    </row>
    <row r="29" spans="1:61" x14ac:dyDescent="0.25">
      <c r="A29" s="21" t="s">
        <v>312</v>
      </c>
      <c r="B29" s="26"/>
      <c r="C29" s="93">
        <f t="shared" si="0"/>
        <v>1821.7787000608778</v>
      </c>
      <c r="D29" s="26"/>
      <c r="E29" s="26"/>
      <c r="F29" s="23">
        <v>178.354785430839</v>
      </c>
      <c r="G29" s="21">
        <v>2.9507154524091019</v>
      </c>
      <c r="H29" s="23">
        <v>588.29894494047608</v>
      </c>
      <c r="I29" s="21">
        <v>-85.933040949082056</v>
      </c>
      <c r="J29" s="23">
        <v>256.3649725274725</v>
      </c>
      <c r="K29" s="21">
        <v>-63.910454530323108</v>
      </c>
      <c r="L29" s="23">
        <v>1459.1471374392222</v>
      </c>
      <c r="M29" s="21">
        <v>244.32613905580359</v>
      </c>
      <c r="N29" s="23">
        <v>637.0267863488358</v>
      </c>
      <c r="O29" s="21">
        <v>69.655328964750382</v>
      </c>
      <c r="P29" s="23">
        <v>216.72284855428555</v>
      </c>
      <c r="Q29" s="21">
        <v>-46.127280564261504</v>
      </c>
      <c r="R29" s="23">
        <v>216.88208662976831</v>
      </c>
      <c r="S29" s="21">
        <v>8.6925384429550938</v>
      </c>
      <c r="T29" s="23">
        <v>5273.1294637916226</v>
      </c>
      <c r="U29" s="21">
        <v>-529.70296751315198</v>
      </c>
      <c r="V29" s="23">
        <v>2298.6256694232079</v>
      </c>
      <c r="W29" s="21">
        <v>-615.5946145754391</v>
      </c>
      <c r="X29" s="23">
        <v>13001.032983006395</v>
      </c>
      <c r="Y29" s="21">
        <v>1995.7214337063203</v>
      </c>
      <c r="Z29" s="23">
        <v>5658.099040680012</v>
      </c>
      <c r="AA29" s="21">
        <v>602.61494113371657</v>
      </c>
      <c r="AB29" s="23">
        <v>1939.7155096993499</v>
      </c>
      <c r="AC29" s="21">
        <v>-376.86092053994952</v>
      </c>
      <c r="AD29" s="23">
        <v>1938.0835030180735</v>
      </c>
      <c r="AE29" s="21">
        <v>58.260388507803931</v>
      </c>
      <c r="AF29" s="23">
        <v>7647.473816824704</v>
      </c>
      <c r="AG29" s="21">
        <v>-2011.7235401538012</v>
      </c>
      <c r="AH29" s="23">
        <v>42842.56747125215</v>
      </c>
      <c r="AI29" s="21">
        <v>2175.1495173450535</v>
      </c>
      <c r="AJ29" s="23">
        <v>18603.421560379738</v>
      </c>
      <c r="AK29" s="21">
        <v>1179.9022361944037</v>
      </c>
      <c r="AL29" s="23">
        <v>6439.0684704855266</v>
      </c>
      <c r="AM29" s="21">
        <v>-1432.4186411761007</v>
      </c>
      <c r="AN29" s="23">
        <v>6407.4415447336869</v>
      </c>
      <c r="AO29" s="21">
        <v>-22.611682796064322</v>
      </c>
      <c r="AP29" s="23">
        <v>18668.005145586721</v>
      </c>
      <c r="AQ29" s="21">
        <v>-2646.7009554436395</v>
      </c>
      <c r="AR29" s="23">
        <v>8109.0267547367275</v>
      </c>
      <c r="AS29" s="21">
        <v>-225.71664413547268</v>
      </c>
      <c r="AT29" s="23">
        <v>2855.9092057861317</v>
      </c>
      <c r="AU29" s="21">
        <v>-685.79333752197442</v>
      </c>
      <c r="AV29" s="23">
        <v>2809.1394428637905</v>
      </c>
      <c r="AW29" s="21">
        <v>-236.97327493298576</v>
      </c>
      <c r="AX29" s="23">
        <v>46554.80478406843</v>
      </c>
      <c r="AY29" s="21">
        <v>6603.7972717849379</v>
      </c>
      <c r="AZ29" s="23">
        <v>15806.379526456347</v>
      </c>
      <c r="BA29" s="21">
        <v>-1100.4318215131657</v>
      </c>
      <c r="BB29" s="23">
        <v>15820.396773920545</v>
      </c>
      <c r="BC29" s="21">
        <v>1280.258419286424</v>
      </c>
      <c r="BD29" s="23">
        <v>6885.0750168265085</v>
      </c>
      <c r="BE29" s="21">
        <v>-16.682063996934744</v>
      </c>
      <c r="BF29" s="23">
        <v>6901.6162927196719</v>
      </c>
      <c r="BG29" s="21">
        <v>506.80357894842007</v>
      </c>
      <c r="BH29" s="23">
        <v>2373.4783832081725</v>
      </c>
      <c r="BI29" s="21">
        <v>-134.70998514496944</v>
      </c>
    </row>
    <row r="30" spans="1:61" ht="15.75" x14ac:dyDescent="0.25">
      <c r="A30" s="37" t="s">
        <v>674</v>
      </c>
      <c r="B30" s="27"/>
      <c r="C30" s="114">
        <f>$D$97+($D$98*AS30)+($D$99*U30)+($D$100*Y30)+($D$101*AB30)+($D$102*AH30)+($D$103*Z30)+($D$104*AA30)</f>
        <v>1610.2903451857787</v>
      </c>
      <c r="D30" s="27"/>
      <c r="E30" s="27"/>
      <c r="F30" s="23">
        <v>171.05589120006974</v>
      </c>
      <c r="G30" s="21">
        <v>2.2631810496137539</v>
      </c>
      <c r="H30" s="23">
        <v>615.42324806740874</v>
      </c>
      <c r="I30" s="21">
        <v>-88.627971360009326</v>
      </c>
      <c r="J30" s="23">
        <v>273.84011904761911</v>
      </c>
      <c r="K30" s="21">
        <v>-63.818520451407863</v>
      </c>
      <c r="L30" s="23">
        <v>1361.1005462171795</v>
      </c>
      <c r="M30" s="21">
        <v>218.63107012242838</v>
      </c>
      <c r="N30" s="23">
        <v>638.92143205086904</v>
      </c>
      <c r="O30" s="21">
        <v>73.823627027584422</v>
      </c>
      <c r="P30" s="23">
        <v>208.9180925512147</v>
      </c>
      <c r="Q30" s="21">
        <v>-43.247043304710949</v>
      </c>
      <c r="R30" s="23">
        <v>217.08311965779799</v>
      </c>
      <c r="S30" s="21">
        <v>11.038347888062489</v>
      </c>
      <c r="T30" s="23">
        <v>5265.428286524203</v>
      </c>
      <c r="U30" s="21">
        <v>-537.3939887194133</v>
      </c>
      <c r="V30" s="23">
        <v>2321.2299169818448</v>
      </c>
      <c r="W30" s="21">
        <v>-612.67016790856076</v>
      </c>
      <c r="X30" s="23">
        <v>11752.928231492388</v>
      </c>
      <c r="Y30" s="21">
        <v>1661.3829791569615</v>
      </c>
      <c r="Z30" s="23">
        <v>5424.1645742143228</v>
      </c>
      <c r="AA30" s="21">
        <v>573.60864418590813</v>
      </c>
      <c r="AB30" s="23">
        <v>1786.5191402132068</v>
      </c>
      <c r="AC30" s="21">
        <v>-351.12166221026212</v>
      </c>
      <c r="AD30" s="23">
        <v>1842.9002155999196</v>
      </c>
      <c r="AE30" s="21">
        <v>70.534315677549884</v>
      </c>
      <c r="AF30" s="23">
        <v>8598.8493153588715</v>
      </c>
      <c r="AG30" s="21">
        <v>-2095.7936540878563</v>
      </c>
      <c r="AH30" s="23">
        <v>41697.514066677351</v>
      </c>
      <c r="AI30" s="21">
        <v>1807.0780684307279</v>
      </c>
      <c r="AJ30" s="23">
        <v>19630.886731105289</v>
      </c>
      <c r="AK30" s="21">
        <v>1400.950895788523</v>
      </c>
      <c r="AL30" s="23">
        <v>6544.1457119769566</v>
      </c>
      <c r="AM30" s="21">
        <v>-1401.1395826502308</v>
      </c>
      <c r="AN30" s="23">
        <v>6743.7472619793043</v>
      </c>
      <c r="AO30" s="21">
        <v>60.820352873690133</v>
      </c>
      <c r="AP30" s="23">
        <v>18358.052839683907</v>
      </c>
      <c r="AQ30" s="21">
        <v>-2626.3042163488685</v>
      </c>
      <c r="AR30" s="23">
        <v>8817.0913238915</v>
      </c>
      <c r="AS30" s="21">
        <v>1.237138344477799</v>
      </c>
      <c r="AT30" s="23">
        <v>2975.8492517115046</v>
      </c>
      <c r="AU30" s="21">
        <v>-642.31729592892759</v>
      </c>
      <c r="AV30" s="23">
        <v>3061.0692691920344</v>
      </c>
      <c r="AW30" s="21">
        <v>-144.33554506118472</v>
      </c>
      <c r="AX30" s="23">
        <v>43295.430498191556</v>
      </c>
      <c r="AY30" s="21">
        <v>6171.113699907467</v>
      </c>
      <c r="AZ30" s="23">
        <v>14141.821245726398</v>
      </c>
      <c r="BA30" s="21">
        <v>-1075.9391641934405</v>
      </c>
      <c r="BB30" s="23">
        <v>14670.977477556526</v>
      </c>
      <c r="BC30" s="21">
        <v>1239.7811931449241</v>
      </c>
      <c r="BD30" s="23">
        <v>6705.8363017080546</v>
      </c>
      <c r="BE30" s="21">
        <v>49.675264954626201</v>
      </c>
      <c r="BF30" s="23">
        <v>7033.9413892674038</v>
      </c>
      <c r="BG30" s="21">
        <v>630.55469827768695</v>
      </c>
      <c r="BH30" s="23">
        <v>2327.2470787626353</v>
      </c>
      <c r="BI30" s="21">
        <v>-93.509811108507591</v>
      </c>
    </row>
    <row r="33" spans="2:8" ht="15.75" thickBot="1" x14ac:dyDescent="0.3">
      <c r="B33" s="104" t="s">
        <v>675</v>
      </c>
      <c r="C33" s="105"/>
      <c r="D33" s="105"/>
      <c r="E33" s="105"/>
      <c r="F33" s="105"/>
      <c r="G33" s="38"/>
      <c r="H33" s="38"/>
    </row>
    <row r="34" spans="2:8" ht="37.5" thickBot="1" x14ac:dyDescent="0.3">
      <c r="B34" s="55" t="s">
        <v>676</v>
      </c>
      <c r="C34" s="40" t="s">
        <v>677</v>
      </c>
      <c r="D34" s="81" t="s">
        <v>678</v>
      </c>
      <c r="E34" s="81" t="s">
        <v>679</v>
      </c>
      <c r="F34" s="82" t="s">
        <v>680</v>
      </c>
      <c r="G34" s="38"/>
      <c r="H34" s="38"/>
    </row>
    <row r="35" spans="2:8" x14ac:dyDescent="0.25">
      <c r="B35" s="43">
        <v>1</v>
      </c>
      <c r="C35" s="44" t="s">
        <v>681</v>
      </c>
      <c r="D35" s="45">
        <v>0.60138060191884712</v>
      </c>
      <c r="E35" s="45">
        <v>0.58326153836970385</v>
      </c>
      <c r="F35" s="46">
        <v>208.69359076924565</v>
      </c>
      <c r="G35" s="38"/>
      <c r="H35" s="38"/>
    </row>
    <row r="36" spans="2:8" x14ac:dyDescent="0.25">
      <c r="B36" s="47">
        <v>2</v>
      </c>
      <c r="C36" s="48" t="s">
        <v>682</v>
      </c>
      <c r="D36" s="49">
        <v>0.73854162878533913</v>
      </c>
      <c r="E36" s="49">
        <v>0.71364083152680002</v>
      </c>
      <c r="F36" s="50">
        <v>172.99472701937145</v>
      </c>
      <c r="G36" s="38"/>
      <c r="H36" s="38"/>
    </row>
    <row r="37" spans="2:8" x14ac:dyDescent="0.25">
      <c r="B37" s="47">
        <v>3</v>
      </c>
      <c r="C37" s="48" t="s">
        <v>683</v>
      </c>
      <c r="D37" s="49">
        <v>0.83654338657480531</v>
      </c>
      <c r="E37" s="49">
        <v>0.81202489456102611</v>
      </c>
      <c r="F37" s="50">
        <v>140.16109702388366</v>
      </c>
      <c r="G37" s="38"/>
      <c r="H37" s="38"/>
    </row>
    <row r="38" spans="2:8" x14ac:dyDescent="0.25">
      <c r="B38" s="47">
        <v>4</v>
      </c>
      <c r="C38" s="48" t="s">
        <v>684</v>
      </c>
      <c r="D38" s="49">
        <v>0.86858376227091671</v>
      </c>
      <c r="E38" s="49">
        <v>0.84091718590689923</v>
      </c>
      <c r="F38" s="50">
        <v>128.94038180651998</v>
      </c>
      <c r="G38" s="38"/>
      <c r="H38" s="38"/>
    </row>
    <row r="39" spans="2:8" x14ac:dyDescent="0.25">
      <c r="B39" s="47">
        <v>5</v>
      </c>
      <c r="C39" s="48" t="s">
        <v>685</v>
      </c>
      <c r="D39" s="49">
        <v>0.89865927474330642</v>
      </c>
      <c r="E39" s="49">
        <v>0.87050907328311378</v>
      </c>
      <c r="F39" s="50">
        <v>116.33140917639724</v>
      </c>
      <c r="G39" s="38"/>
      <c r="H39" s="38"/>
    </row>
    <row r="40" spans="2:8" x14ac:dyDescent="0.25">
      <c r="B40" s="47">
        <v>6</v>
      </c>
      <c r="C40" s="48" t="s">
        <v>686</v>
      </c>
      <c r="D40" s="49">
        <v>0.93589463767035341</v>
      </c>
      <c r="E40" s="49">
        <v>0.91326921567165464</v>
      </c>
      <c r="F40" s="50">
        <v>95.205920500972653</v>
      </c>
      <c r="G40" s="38"/>
      <c r="H40" s="38"/>
    </row>
    <row r="41" spans="2:8" ht="15.75" thickBot="1" x14ac:dyDescent="0.3">
      <c r="B41" s="51">
        <v>7</v>
      </c>
      <c r="C41" s="52" t="s">
        <v>687</v>
      </c>
      <c r="D41" s="53">
        <v>0.95091381616657233</v>
      </c>
      <c r="E41" s="53">
        <v>0.92943861073944778</v>
      </c>
      <c r="F41" s="54">
        <v>85.873839471488139</v>
      </c>
      <c r="G41" s="38"/>
      <c r="H41" s="38"/>
    </row>
    <row r="42" spans="2:8" x14ac:dyDescent="0.25">
      <c r="B42" s="38"/>
      <c r="C42" s="38"/>
      <c r="D42" s="38"/>
      <c r="E42" s="38"/>
      <c r="F42" s="38"/>
      <c r="G42" s="38"/>
      <c r="H42" s="38"/>
    </row>
    <row r="43" spans="2:8" ht="15.75" thickBot="1" x14ac:dyDescent="0.3">
      <c r="B43" s="106" t="s">
        <v>688</v>
      </c>
      <c r="C43" s="107"/>
      <c r="D43" s="107"/>
      <c r="E43" s="107"/>
      <c r="F43" s="107"/>
      <c r="G43" s="107"/>
      <c r="H43" s="107"/>
    </row>
    <row r="44" spans="2:8" ht="25.5" thickBot="1" x14ac:dyDescent="0.3">
      <c r="B44" s="94" t="s">
        <v>676</v>
      </c>
      <c r="C44" s="108"/>
      <c r="D44" s="40" t="s">
        <v>689</v>
      </c>
      <c r="E44" s="81" t="s">
        <v>690</v>
      </c>
      <c r="F44" s="81" t="s">
        <v>691</v>
      </c>
      <c r="G44" s="81" t="s">
        <v>692</v>
      </c>
      <c r="H44" s="82" t="s">
        <v>693</v>
      </c>
    </row>
    <row r="45" spans="2:8" ht="24" x14ac:dyDescent="0.25">
      <c r="B45" s="109">
        <v>1</v>
      </c>
      <c r="C45" s="56" t="s">
        <v>694</v>
      </c>
      <c r="D45" s="57">
        <v>1445545.9136561467</v>
      </c>
      <c r="E45" s="58">
        <v>1</v>
      </c>
      <c r="F45" s="45">
        <v>1445545.9136561467</v>
      </c>
      <c r="G45" s="45">
        <v>33.190490241824939</v>
      </c>
      <c r="H45" s="59" t="s">
        <v>695</v>
      </c>
    </row>
    <row r="46" spans="2:8" x14ac:dyDescent="0.25">
      <c r="B46" s="110"/>
      <c r="C46" s="60" t="s">
        <v>696</v>
      </c>
      <c r="D46" s="61">
        <v>958166.32621954998</v>
      </c>
      <c r="E46" s="62">
        <v>22</v>
      </c>
      <c r="F46" s="49">
        <v>43553.014828161366</v>
      </c>
      <c r="G46" s="63"/>
      <c r="H46" s="64"/>
    </row>
    <row r="47" spans="2:8" x14ac:dyDescent="0.25">
      <c r="B47" s="111"/>
      <c r="C47" s="65" t="s">
        <v>697</v>
      </c>
      <c r="D47" s="66">
        <v>2403712.2398756966</v>
      </c>
      <c r="E47" s="67">
        <v>23</v>
      </c>
      <c r="F47" s="68"/>
      <c r="G47" s="68"/>
      <c r="H47" s="69"/>
    </row>
    <row r="48" spans="2:8" ht="24" x14ac:dyDescent="0.25">
      <c r="B48" s="112">
        <v>2</v>
      </c>
      <c r="C48" s="70" t="s">
        <v>694</v>
      </c>
      <c r="D48" s="71">
        <v>1775241.5527690528</v>
      </c>
      <c r="E48" s="72">
        <v>2</v>
      </c>
      <c r="F48" s="73">
        <v>887620.7763845264</v>
      </c>
      <c r="G48" s="73">
        <v>29.659356731322088</v>
      </c>
      <c r="H48" s="74" t="s">
        <v>698</v>
      </c>
    </row>
    <row r="49" spans="2:8" x14ac:dyDescent="0.25">
      <c r="B49" s="110"/>
      <c r="C49" s="60" t="s">
        <v>696</v>
      </c>
      <c r="D49" s="61">
        <v>628470.6871066438</v>
      </c>
      <c r="E49" s="62">
        <v>21</v>
      </c>
      <c r="F49" s="49">
        <v>29927.175576506848</v>
      </c>
      <c r="G49" s="63"/>
      <c r="H49" s="64"/>
    </row>
    <row r="50" spans="2:8" x14ac:dyDescent="0.25">
      <c r="B50" s="111"/>
      <c r="C50" s="65" t="s">
        <v>697</v>
      </c>
      <c r="D50" s="66">
        <v>2403712.2398756966</v>
      </c>
      <c r="E50" s="67">
        <v>23</v>
      </c>
      <c r="F50" s="68"/>
      <c r="G50" s="68"/>
      <c r="H50" s="69"/>
    </row>
    <row r="51" spans="2:8" ht="24" x14ac:dyDescent="0.25">
      <c r="B51" s="112">
        <v>3</v>
      </c>
      <c r="C51" s="70" t="s">
        <v>694</v>
      </c>
      <c r="D51" s="71">
        <v>2010809.5774969261</v>
      </c>
      <c r="E51" s="72">
        <v>3</v>
      </c>
      <c r="F51" s="73">
        <v>670269.85916564206</v>
      </c>
      <c r="G51" s="73">
        <v>34.118875912298144</v>
      </c>
      <c r="H51" s="74" t="s">
        <v>699</v>
      </c>
    </row>
    <row r="52" spans="2:8" x14ac:dyDescent="0.25">
      <c r="B52" s="110"/>
      <c r="C52" s="60" t="s">
        <v>696</v>
      </c>
      <c r="D52" s="61">
        <v>392902.66237877059</v>
      </c>
      <c r="E52" s="62">
        <v>20</v>
      </c>
      <c r="F52" s="49">
        <v>19645.133118938531</v>
      </c>
      <c r="G52" s="63"/>
      <c r="H52" s="64"/>
    </row>
    <row r="53" spans="2:8" x14ac:dyDescent="0.25">
      <c r="B53" s="111"/>
      <c r="C53" s="65" t="s">
        <v>697</v>
      </c>
      <c r="D53" s="66">
        <v>2403712.2398756966</v>
      </c>
      <c r="E53" s="67">
        <v>23</v>
      </c>
      <c r="F53" s="68"/>
      <c r="G53" s="68"/>
      <c r="H53" s="69"/>
    </row>
    <row r="54" spans="2:8" ht="24" x14ac:dyDescent="0.25">
      <c r="B54" s="112">
        <v>4</v>
      </c>
      <c r="C54" s="70" t="s">
        <v>694</v>
      </c>
      <c r="D54" s="71">
        <v>2087825.4207278849</v>
      </c>
      <c r="E54" s="72">
        <v>4</v>
      </c>
      <c r="F54" s="73">
        <v>521956.35518197122</v>
      </c>
      <c r="G54" s="73">
        <v>31.394696287776874</v>
      </c>
      <c r="H54" s="74" t="s">
        <v>700</v>
      </c>
    </row>
    <row r="55" spans="2:8" x14ac:dyDescent="0.25">
      <c r="B55" s="110"/>
      <c r="C55" s="60" t="s">
        <v>696</v>
      </c>
      <c r="D55" s="61">
        <v>315886.8191478118</v>
      </c>
      <c r="E55" s="62">
        <v>19</v>
      </c>
      <c r="F55" s="49">
        <v>16625.622060411148</v>
      </c>
      <c r="G55" s="63"/>
      <c r="H55" s="64"/>
    </row>
    <row r="56" spans="2:8" x14ac:dyDescent="0.25">
      <c r="B56" s="111"/>
      <c r="C56" s="65" t="s">
        <v>697</v>
      </c>
      <c r="D56" s="66">
        <v>2403712.2398756966</v>
      </c>
      <c r="E56" s="67">
        <v>23</v>
      </c>
      <c r="F56" s="68"/>
      <c r="G56" s="68"/>
      <c r="H56" s="69"/>
    </row>
    <row r="57" spans="2:8" ht="24" x14ac:dyDescent="0.25">
      <c r="B57" s="112">
        <v>5</v>
      </c>
      <c r="C57" s="70" t="s">
        <v>694</v>
      </c>
      <c r="D57" s="71">
        <v>2160118.2981783021</v>
      </c>
      <c r="E57" s="72">
        <v>5</v>
      </c>
      <c r="F57" s="73">
        <v>432023.65963566041</v>
      </c>
      <c r="G57" s="73">
        <v>31.923724454125317</v>
      </c>
      <c r="H57" s="74" t="s">
        <v>701</v>
      </c>
    </row>
    <row r="58" spans="2:8" x14ac:dyDescent="0.25">
      <c r="B58" s="110"/>
      <c r="C58" s="60" t="s">
        <v>696</v>
      </c>
      <c r="D58" s="61">
        <v>243593.9416973945</v>
      </c>
      <c r="E58" s="62">
        <v>18</v>
      </c>
      <c r="F58" s="49">
        <v>13532.996760966362</v>
      </c>
      <c r="G58" s="63"/>
      <c r="H58" s="64"/>
    </row>
    <row r="59" spans="2:8" x14ac:dyDescent="0.25">
      <c r="B59" s="111"/>
      <c r="C59" s="65" t="s">
        <v>697</v>
      </c>
      <c r="D59" s="66">
        <v>2403712.2398756966</v>
      </c>
      <c r="E59" s="67">
        <v>23</v>
      </c>
      <c r="F59" s="68"/>
      <c r="G59" s="68"/>
      <c r="H59" s="69"/>
    </row>
    <row r="60" spans="2:8" ht="24" x14ac:dyDescent="0.25">
      <c r="B60" s="112">
        <v>6</v>
      </c>
      <c r="C60" s="70" t="s">
        <v>694</v>
      </c>
      <c r="D60" s="71">
        <v>2249621.3958022585</v>
      </c>
      <c r="E60" s="72">
        <v>6</v>
      </c>
      <c r="F60" s="73">
        <v>374936.89930037642</v>
      </c>
      <c r="G60" s="73">
        <v>41.364737317349373</v>
      </c>
      <c r="H60" s="74" t="s">
        <v>702</v>
      </c>
    </row>
    <row r="61" spans="2:8" x14ac:dyDescent="0.25">
      <c r="B61" s="110"/>
      <c r="C61" s="60" t="s">
        <v>696</v>
      </c>
      <c r="D61" s="61">
        <v>154090.84407343791</v>
      </c>
      <c r="E61" s="62">
        <v>17</v>
      </c>
      <c r="F61" s="49">
        <v>9064.1672984375236</v>
      </c>
      <c r="G61" s="63"/>
      <c r="H61" s="64"/>
    </row>
    <row r="62" spans="2:8" x14ac:dyDescent="0.25">
      <c r="B62" s="111"/>
      <c r="C62" s="65" t="s">
        <v>697</v>
      </c>
      <c r="D62" s="66">
        <v>2403712.2398756966</v>
      </c>
      <c r="E62" s="67">
        <v>23</v>
      </c>
      <c r="F62" s="68"/>
      <c r="G62" s="68"/>
      <c r="H62" s="69"/>
    </row>
    <row r="63" spans="2:8" ht="24.75" thickBot="1" x14ac:dyDescent="0.3">
      <c r="B63" s="113">
        <v>7</v>
      </c>
      <c r="C63" s="70" t="s">
        <v>694</v>
      </c>
      <c r="D63" s="71">
        <v>2285723.1789864982</v>
      </c>
      <c r="E63" s="72">
        <v>7</v>
      </c>
      <c r="F63" s="73">
        <v>326531.88271235686</v>
      </c>
      <c r="G63" s="73">
        <v>44.27961443225616</v>
      </c>
      <c r="H63" s="74" t="s">
        <v>703</v>
      </c>
    </row>
    <row r="64" spans="2:8" x14ac:dyDescent="0.25">
      <c r="B64" s="110"/>
      <c r="C64" s="60" t="s">
        <v>696</v>
      </c>
      <c r="D64" s="61">
        <v>117989.06088919862</v>
      </c>
      <c r="E64" s="62">
        <v>16</v>
      </c>
      <c r="F64" s="49">
        <v>7374.3163055749137</v>
      </c>
      <c r="G64" s="63"/>
      <c r="H64" s="64"/>
    </row>
    <row r="65" spans="2:8" ht="15.75" thickBot="1" x14ac:dyDescent="0.3">
      <c r="B65" s="96"/>
      <c r="C65" s="75" t="s">
        <v>697</v>
      </c>
      <c r="D65" s="76">
        <v>2403712.2398756966</v>
      </c>
      <c r="E65" s="77">
        <v>23</v>
      </c>
      <c r="F65" s="78"/>
      <c r="G65" s="78"/>
      <c r="H65" s="79"/>
    </row>
    <row r="66" spans="2:8" x14ac:dyDescent="0.25">
      <c r="B66" s="38"/>
      <c r="C66" s="38"/>
      <c r="D66" s="38"/>
      <c r="E66" s="38"/>
      <c r="F66" s="38"/>
      <c r="G66" s="38"/>
      <c r="H66" s="38"/>
    </row>
    <row r="67" spans="2:8" ht="15.75" thickBot="1" x14ac:dyDescent="0.3">
      <c r="B67" s="106" t="s">
        <v>704</v>
      </c>
      <c r="C67" s="107"/>
      <c r="D67" s="107"/>
      <c r="E67" s="107"/>
      <c r="F67" s="107"/>
      <c r="G67" s="107"/>
      <c r="H67" s="107"/>
    </row>
    <row r="68" spans="2:8" ht="25.5" thickBot="1" x14ac:dyDescent="0.3">
      <c r="B68" s="94" t="s">
        <v>676</v>
      </c>
      <c r="C68" s="95"/>
      <c r="D68" s="98" t="s">
        <v>705</v>
      </c>
      <c r="E68" s="99"/>
      <c r="F68" s="80" t="s">
        <v>706</v>
      </c>
      <c r="G68" s="100" t="s">
        <v>707</v>
      </c>
      <c r="H68" s="102" t="s">
        <v>693</v>
      </c>
    </row>
    <row r="69" spans="2:8" ht="15.75" thickBot="1" x14ac:dyDescent="0.3">
      <c r="B69" s="96"/>
      <c r="C69" s="97"/>
      <c r="D69" s="83" t="s">
        <v>708</v>
      </c>
      <c r="E69" s="84" t="s">
        <v>709</v>
      </c>
      <c r="F69" s="84" t="s">
        <v>710</v>
      </c>
      <c r="G69" s="101"/>
      <c r="H69" s="103"/>
    </row>
    <row r="70" spans="2:8" x14ac:dyDescent="0.25">
      <c r="B70" s="109">
        <v>1</v>
      </c>
      <c r="C70" s="56" t="s">
        <v>711</v>
      </c>
      <c r="D70" s="57">
        <v>2149.3658106014527</v>
      </c>
      <c r="E70" s="45">
        <v>55.881800570446174</v>
      </c>
      <c r="F70" s="85"/>
      <c r="G70" s="45">
        <v>38.462715743954988</v>
      </c>
      <c r="H70" s="86">
        <v>1.132355958007058E-21</v>
      </c>
    </row>
    <row r="71" spans="2:8" x14ac:dyDescent="0.25">
      <c r="B71" s="111"/>
      <c r="C71" s="65" t="s">
        <v>712</v>
      </c>
      <c r="D71" s="66">
        <v>1.0965101806172319</v>
      </c>
      <c r="E71" s="87">
        <v>0.19032938077526823</v>
      </c>
      <c r="F71" s="87">
        <v>0.7754873318880503</v>
      </c>
      <c r="G71" s="87">
        <v>5.7611188359401977</v>
      </c>
      <c r="H71" s="88">
        <v>8.5318959486323454E-6</v>
      </c>
    </row>
    <row r="72" spans="2:8" x14ac:dyDescent="0.25">
      <c r="B72" s="112">
        <v>2</v>
      </c>
      <c r="C72" s="70" t="s">
        <v>711</v>
      </c>
      <c r="D72" s="71">
        <v>4264.1339204598753</v>
      </c>
      <c r="E72" s="73">
        <v>638.8277746417657</v>
      </c>
      <c r="F72" s="89"/>
      <c r="G72" s="73">
        <v>6.6749350759695227</v>
      </c>
      <c r="H72" s="90">
        <v>1.3181248233090324E-6</v>
      </c>
    </row>
    <row r="73" spans="2:8" x14ac:dyDescent="0.25">
      <c r="B73" s="110"/>
      <c r="C73" s="60" t="s">
        <v>712</v>
      </c>
      <c r="D73" s="61">
        <v>0.84348068472857674</v>
      </c>
      <c r="E73" s="49">
        <v>0.17522429318327337</v>
      </c>
      <c r="F73" s="49">
        <v>0.59653671918583395</v>
      </c>
      <c r="G73" s="49">
        <v>4.8137200008354437</v>
      </c>
      <c r="H73" s="91">
        <v>9.3160117651245702E-5</v>
      </c>
    </row>
    <row r="74" spans="2:8" x14ac:dyDescent="0.25">
      <c r="B74" s="111"/>
      <c r="C74" s="65" t="s">
        <v>713</v>
      </c>
      <c r="D74" s="66">
        <v>4.0360963612008209</v>
      </c>
      <c r="E74" s="87">
        <v>1.2160118042446897</v>
      </c>
      <c r="F74" s="87">
        <v>0.41132025072076217</v>
      </c>
      <c r="G74" s="87">
        <v>3.3191259715671846</v>
      </c>
      <c r="H74" s="88">
        <v>3.2608321812829864E-3</v>
      </c>
    </row>
    <row r="75" spans="2:8" x14ac:dyDescent="0.25">
      <c r="B75" s="112">
        <v>3</v>
      </c>
      <c r="C75" s="70" t="s">
        <v>711</v>
      </c>
      <c r="D75" s="71">
        <v>2669.9623053315859</v>
      </c>
      <c r="E75" s="73">
        <v>692.69630671976029</v>
      </c>
      <c r="F75" s="89"/>
      <c r="G75" s="73">
        <v>3.8544485937496926</v>
      </c>
      <c r="H75" s="90">
        <v>9.88548731731529E-4</v>
      </c>
    </row>
    <row r="76" spans="2:8" x14ac:dyDescent="0.25">
      <c r="B76" s="110"/>
      <c r="C76" s="60" t="s">
        <v>712</v>
      </c>
      <c r="D76" s="61">
        <v>0.579023467593205</v>
      </c>
      <c r="E76" s="49">
        <v>0.1612054613322583</v>
      </c>
      <c r="F76" s="49">
        <v>0.4095040537896899</v>
      </c>
      <c r="G76" s="49">
        <v>3.5918353063720834</v>
      </c>
      <c r="H76" s="91">
        <v>1.8225773707832213E-3</v>
      </c>
    </row>
    <row r="77" spans="2:8" x14ac:dyDescent="0.25">
      <c r="B77" s="110"/>
      <c r="C77" s="60" t="s">
        <v>713</v>
      </c>
      <c r="D77" s="61">
        <v>3.5641219432446309</v>
      </c>
      <c r="E77" s="49">
        <v>0.99460134855616367</v>
      </c>
      <c r="F77" s="49">
        <v>0.36322114243540715</v>
      </c>
      <c r="G77" s="49">
        <v>3.5834678370571003</v>
      </c>
      <c r="H77" s="91">
        <v>1.8583342621638112E-3</v>
      </c>
    </row>
    <row r="78" spans="2:8" x14ac:dyDescent="0.25">
      <c r="B78" s="111"/>
      <c r="C78" s="65" t="s">
        <v>714</v>
      </c>
      <c r="D78" s="66">
        <v>0.61565877370671629</v>
      </c>
      <c r="E78" s="87">
        <v>0.17779084366808853</v>
      </c>
      <c r="F78" s="87">
        <v>0.37831767256096505</v>
      </c>
      <c r="G78" s="87">
        <v>3.462826099504134</v>
      </c>
      <c r="H78" s="88">
        <v>2.4576653410006157E-3</v>
      </c>
    </row>
    <row r="79" spans="2:8" x14ac:dyDescent="0.25">
      <c r="B79" s="112">
        <v>4</v>
      </c>
      <c r="C79" s="70" t="s">
        <v>711</v>
      </c>
      <c r="D79" s="71">
        <v>3012.7192435670231</v>
      </c>
      <c r="E79" s="73">
        <v>656.83977747114091</v>
      </c>
      <c r="F79" s="89"/>
      <c r="G79" s="73">
        <v>4.5866881801314028</v>
      </c>
      <c r="H79" s="90">
        <v>2.0144354478890113E-4</v>
      </c>
    </row>
    <row r="80" spans="2:8" x14ac:dyDescent="0.25">
      <c r="B80" s="110"/>
      <c r="C80" s="60" t="s">
        <v>712</v>
      </c>
      <c r="D80" s="61">
        <v>0.4742193047334447</v>
      </c>
      <c r="E80" s="49">
        <v>0.15608979428105108</v>
      </c>
      <c r="F80" s="49">
        <v>0.33538317277686935</v>
      </c>
      <c r="G80" s="49">
        <v>3.038118583714565</v>
      </c>
      <c r="H80" s="91">
        <v>6.7651310171658856E-3</v>
      </c>
    </row>
    <row r="81" spans="2:8" x14ac:dyDescent="0.25">
      <c r="B81" s="110"/>
      <c r="C81" s="60" t="s">
        <v>713</v>
      </c>
      <c r="D81" s="61">
        <v>3.2155185356101823</v>
      </c>
      <c r="E81" s="49">
        <v>0.9292028718725488</v>
      </c>
      <c r="F81" s="49">
        <v>0.32769482487552293</v>
      </c>
      <c r="G81" s="49">
        <v>3.4605129115993831</v>
      </c>
      <c r="H81" s="91">
        <v>2.619761483085251E-3</v>
      </c>
    </row>
    <row r="82" spans="2:8" x14ac:dyDescent="0.25">
      <c r="B82" s="110"/>
      <c r="C82" s="60" t="s">
        <v>714</v>
      </c>
      <c r="D82" s="61">
        <v>0.68738198959613928</v>
      </c>
      <c r="E82" s="49">
        <v>0.16691794641999488</v>
      </c>
      <c r="F82" s="49">
        <v>0.42239104772056302</v>
      </c>
      <c r="G82" s="49">
        <v>4.1180831920048035</v>
      </c>
      <c r="H82" s="91">
        <v>5.8508402799608888E-4</v>
      </c>
    </row>
    <row r="83" spans="2:8" x14ac:dyDescent="0.25">
      <c r="B83" s="111"/>
      <c r="C83" s="65" t="s">
        <v>715</v>
      </c>
      <c r="D83" s="66">
        <v>-0.37871533244420413</v>
      </c>
      <c r="E83" s="87">
        <v>0.17595912859379612</v>
      </c>
      <c r="F83" s="87">
        <v>-0.1958749488476659</v>
      </c>
      <c r="G83" s="87">
        <v>-2.15229147513269</v>
      </c>
      <c r="H83" s="88">
        <v>4.4440614064855513E-2</v>
      </c>
    </row>
    <row r="84" spans="2:8" x14ac:dyDescent="0.25">
      <c r="B84" s="112">
        <v>5</v>
      </c>
      <c r="C84" s="70" t="s">
        <v>711</v>
      </c>
      <c r="D84" s="71">
        <v>3390.0948034885087</v>
      </c>
      <c r="E84" s="73">
        <v>614.68962012933684</v>
      </c>
      <c r="F84" s="89"/>
      <c r="G84" s="73">
        <v>5.515132666100981</v>
      </c>
      <c r="H84" s="90">
        <v>3.0876114586073561E-5</v>
      </c>
    </row>
    <row r="85" spans="2:8" x14ac:dyDescent="0.25">
      <c r="B85" s="110"/>
      <c r="C85" s="60" t="s">
        <v>712</v>
      </c>
      <c r="D85" s="61">
        <v>0.53925107890952828</v>
      </c>
      <c r="E85" s="49">
        <v>0.14360924416010856</v>
      </c>
      <c r="F85" s="49">
        <v>0.38137573895201349</v>
      </c>
      <c r="G85" s="49">
        <v>3.7549886294807209</v>
      </c>
      <c r="H85" s="91">
        <v>1.4497403731835203E-3</v>
      </c>
    </row>
    <row r="86" spans="2:8" x14ac:dyDescent="0.25">
      <c r="B86" s="110"/>
      <c r="C86" s="60" t="s">
        <v>713</v>
      </c>
      <c r="D86" s="61">
        <v>3.7844695609322296</v>
      </c>
      <c r="E86" s="49">
        <v>0.87373070721997803</v>
      </c>
      <c r="F86" s="49">
        <v>0.38567685935640267</v>
      </c>
      <c r="G86" s="49">
        <v>4.3313912738326348</v>
      </c>
      <c r="H86" s="91">
        <v>4.021246819424113E-4</v>
      </c>
    </row>
    <row r="87" spans="2:8" x14ac:dyDescent="0.25">
      <c r="B87" s="110"/>
      <c r="C87" s="60" t="s">
        <v>714</v>
      </c>
      <c r="D87" s="61">
        <v>0.43289537404698514</v>
      </c>
      <c r="E87" s="49">
        <v>0.18655406076901437</v>
      </c>
      <c r="F87" s="49">
        <v>0.26601094204479003</v>
      </c>
      <c r="G87" s="49">
        <v>2.3204821822827175</v>
      </c>
      <c r="H87" s="91">
        <v>3.2260623666866342E-2</v>
      </c>
    </row>
    <row r="88" spans="2:8" x14ac:dyDescent="0.25">
      <c r="B88" s="110"/>
      <c r="C88" s="60" t="s">
        <v>715</v>
      </c>
      <c r="D88" s="61">
        <v>-0.60272771815128301</v>
      </c>
      <c r="E88" s="49">
        <v>0.18600026209003181</v>
      </c>
      <c r="F88" s="49">
        <v>-0.31173615337938959</v>
      </c>
      <c r="G88" s="49">
        <v>-3.2404670368665283</v>
      </c>
      <c r="H88" s="91">
        <v>4.5397393763559639E-3</v>
      </c>
    </row>
    <row r="89" spans="2:8" x14ac:dyDescent="0.25">
      <c r="B89" s="111"/>
      <c r="C89" s="65" t="s">
        <v>716</v>
      </c>
      <c r="D89" s="66">
        <v>1.9470699207755113E-2</v>
      </c>
      <c r="E89" s="87">
        <v>8.4242409685728898E-3</v>
      </c>
      <c r="F89" s="87">
        <v>0.25918164178225872</v>
      </c>
      <c r="G89" s="87">
        <v>2.3112704492181151</v>
      </c>
      <c r="H89" s="88">
        <v>3.2869143052950738E-2</v>
      </c>
    </row>
    <row r="90" spans="2:8" x14ac:dyDescent="0.25">
      <c r="B90" s="112">
        <v>6</v>
      </c>
      <c r="C90" s="70" t="s">
        <v>711</v>
      </c>
      <c r="D90" s="71">
        <v>1854.393826031976</v>
      </c>
      <c r="E90" s="73">
        <v>701.36352103814977</v>
      </c>
      <c r="F90" s="89"/>
      <c r="G90" s="73">
        <v>2.6439838548875834</v>
      </c>
      <c r="H90" s="90">
        <v>1.7052444271406425E-2</v>
      </c>
    </row>
    <row r="91" spans="2:8" x14ac:dyDescent="0.25">
      <c r="B91" s="110"/>
      <c r="C91" s="60" t="s">
        <v>712</v>
      </c>
      <c r="D91" s="61">
        <v>0.51352671065503397</v>
      </c>
      <c r="E91" s="49">
        <v>0.11781492669473846</v>
      </c>
      <c r="F91" s="49">
        <v>0.36318263682235141</v>
      </c>
      <c r="G91" s="49">
        <v>4.3587576299698849</v>
      </c>
      <c r="H91" s="91">
        <v>4.2740735181925118E-4</v>
      </c>
    </row>
    <row r="92" spans="2:8" x14ac:dyDescent="0.25">
      <c r="B92" s="110"/>
      <c r="C92" s="60" t="s">
        <v>713</v>
      </c>
      <c r="D92" s="61">
        <v>3.0102235215128483</v>
      </c>
      <c r="E92" s="49">
        <v>0.75632266445076801</v>
      </c>
      <c r="F92" s="49">
        <v>0.30677312501672305</v>
      </c>
      <c r="G92" s="49">
        <v>3.9800784281650938</v>
      </c>
      <c r="H92" s="91">
        <v>9.6811013726563777E-4</v>
      </c>
    </row>
    <row r="93" spans="2:8" x14ac:dyDescent="0.25">
      <c r="B93" s="110"/>
      <c r="C93" s="60" t="s">
        <v>714</v>
      </c>
      <c r="D93" s="61">
        <v>0.82112016398039267</v>
      </c>
      <c r="E93" s="49">
        <v>0.19640172232440864</v>
      </c>
      <c r="F93" s="49">
        <v>0.5045721470996577</v>
      </c>
      <c r="G93" s="49">
        <v>4.180819568496954</v>
      </c>
      <c r="H93" s="91">
        <v>6.2705497307337474E-4</v>
      </c>
    </row>
    <row r="94" spans="2:8" x14ac:dyDescent="0.25">
      <c r="B94" s="110"/>
      <c r="C94" s="60" t="s">
        <v>715</v>
      </c>
      <c r="D94" s="61">
        <v>-0.48121046412432755</v>
      </c>
      <c r="E94" s="49">
        <v>0.15705825949405292</v>
      </c>
      <c r="F94" s="49">
        <v>-0.24888634541671495</v>
      </c>
      <c r="G94" s="49">
        <v>-3.0638978534111976</v>
      </c>
      <c r="H94" s="91">
        <v>7.0272375468398776E-3</v>
      </c>
    </row>
    <row r="95" spans="2:8" x14ac:dyDescent="0.25">
      <c r="B95" s="110"/>
      <c r="C95" s="60" t="s">
        <v>716</v>
      </c>
      <c r="D95" s="61">
        <v>3.2757913874484949E-2</v>
      </c>
      <c r="E95" s="49">
        <v>8.0878073488413211E-3</v>
      </c>
      <c r="F95" s="49">
        <v>0.43605264550382472</v>
      </c>
      <c r="G95" s="49">
        <v>4.0502836506334345</v>
      </c>
      <c r="H95" s="91">
        <v>8.3153269537224162E-4</v>
      </c>
    </row>
    <row r="96" spans="2:8" x14ac:dyDescent="0.25">
      <c r="B96" s="111"/>
      <c r="C96" s="65" t="s">
        <v>717</v>
      </c>
      <c r="D96" s="66">
        <v>-7.5188508540873764E-2</v>
      </c>
      <c r="E96" s="87">
        <v>2.3927448681323224E-2</v>
      </c>
      <c r="F96" s="87">
        <v>-0.41798147645041195</v>
      </c>
      <c r="G96" s="87">
        <v>-3.1423537687727987</v>
      </c>
      <c r="H96" s="88">
        <v>5.9397077432074624E-3</v>
      </c>
    </row>
    <row r="97" spans="2:8" ht="15.75" thickBot="1" x14ac:dyDescent="0.3">
      <c r="B97" s="113">
        <v>7</v>
      </c>
      <c r="C97" s="70" t="s">
        <v>711</v>
      </c>
      <c r="D97" s="71">
        <v>1806.4171563580571</v>
      </c>
      <c r="E97" s="73">
        <v>632.98739034412517</v>
      </c>
      <c r="F97" s="89"/>
      <c r="G97" s="73">
        <v>2.8537964324628868</v>
      </c>
      <c r="H97" s="90">
        <v>1.1490338809504737E-2</v>
      </c>
    </row>
    <row r="98" spans="2:8" x14ac:dyDescent="0.25">
      <c r="B98" s="110"/>
      <c r="C98" s="60" t="s">
        <v>712</v>
      </c>
      <c r="D98" s="61">
        <v>0.29262083175807108</v>
      </c>
      <c r="E98" s="49">
        <v>0.14581016916418812</v>
      </c>
      <c r="F98" s="49">
        <v>0.20695088115569701</v>
      </c>
      <c r="G98" s="49">
        <v>2.0068616162742958</v>
      </c>
      <c r="H98" s="91">
        <v>6.1967849395431596E-2</v>
      </c>
    </row>
    <row r="99" spans="2:8" x14ac:dyDescent="0.25">
      <c r="B99" s="110"/>
      <c r="C99" s="60" t="s">
        <v>713</v>
      </c>
      <c r="D99" s="61">
        <v>2.9257253745163232</v>
      </c>
      <c r="E99" s="49">
        <v>0.68325604719590638</v>
      </c>
      <c r="F99" s="49">
        <v>0.2981618838823043</v>
      </c>
      <c r="G99" s="49">
        <v>4.2820336336920048</v>
      </c>
      <c r="H99" s="91">
        <v>5.7167639636651136E-4</v>
      </c>
    </row>
    <row r="100" spans="2:8" x14ac:dyDescent="0.25">
      <c r="B100" s="110"/>
      <c r="C100" s="60" t="s">
        <v>714</v>
      </c>
      <c r="D100" s="61">
        <v>0.94602221054712943</v>
      </c>
      <c r="E100" s="49">
        <v>0.18592716288394637</v>
      </c>
      <c r="F100" s="49">
        <v>0.58132351258533665</v>
      </c>
      <c r="G100" s="49">
        <v>5.0881334167274188</v>
      </c>
      <c r="H100" s="91">
        <v>1.09604256777765E-4</v>
      </c>
    </row>
    <row r="101" spans="2:8" x14ac:dyDescent="0.25">
      <c r="B101" s="110"/>
      <c r="C101" s="60" t="s">
        <v>715</v>
      </c>
      <c r="D101" s="61">
        <v>-0.50519913471493927</v>
      </c>
      <c r="E101" s="49">
        <v>0.14207768409086566</v>
      </c>
      <c r="F101" s="49">
        <v>-0.26129349987368916</v>
      </c>
      <c r="G101" s="49">
        <v>-3.5557951127063672</v>
      </c>
      <c r="H101" s="91">
        <v>2.6340653224768578E-3</v>
      </c>
    </row>
    <row r="102" spans="2:8" x14ac:dyDescent="0.25">
      <c r="B102" s="110"/>
      <c r="C102" s="60" t="s">
        <v>716</v>
      </c>
      <c r="D102" s="61">
        <v>2.5402692854892706E-2</v>
      </c>
      <c r="E102" s="49">
        <v>8.0167441403817281E-3</v>
      </c>
      <c r="F102" s="49">
        <v>0.33814459201337749</v>
      </c>
      <c r="G102" s="49">
        <v>3.1687044528382717</v>
      </c>
      <c r="H102" s="91">
        <v>5.9566921396777169E-3</v>
      </c>
    </row>
    <row r="103" spans="2:8" x14ac:dyDescent="0.25">
      <c r="B103" s="110"/>
      <c r="C103" s="60" t="s">
        <v>717</v>
      </c>
      <c r="D103" s="61">
        <v>-0.12995321125040665</v>
      </c>
      <c r="E103" s="49">
        <v>3.2839169059746307E-2</v>
      </c>
      <c r="F103" s="49">
        <v>-0.72242469177838597</v>
      </c>
      <c r="G103" s="49">
        <v>-3.9572624695215288</v>
      </c>
      <c r="H103" s="91">
        <v>1.1290943548082689E-3</v>
      </c>
    </row>
    <row r="104" spans="2:8" ht="15.75" thickBot="1" x14ac:dyDescent="0.3">
      <c r="B104" s="96"/>
      <c r="C104" s="75" t="s">
        <v>718</v>
      </c>
      <c r="D104" s="76">
        <v>0.61414624109557614</v>
      </c>
      <c r="E104" s="53">
        <v>0.27756733276960377</v>
      </c>
      <c r="F104" s="53">
        <v>0.39268640633245666</v>
      </c>
      <c r="G104" s="53">
        <v>2.2126027402704174</v>
      </c>
      <c r="H104" s="92">
        <v>4.1811005821490041E-2</v>
      </c>
    </row>
    <row r="105" spans="2:8" x14ac:dyDescent="0.25">
      <c r="B105" s="38"/>
      <c r="C105" s="38"/>
      <c r="D105" s="38"/>
      <c r="E105" s="38"/>
      <c r="F105" s="38"/>
      <c r="G105" s="38"/>
      <c r="H105" s="38"/>
    </row>
  </sheetData>
  <mergeCells count="22">
    <mergeCell ref="B97:B104"/>
    <mergeCell ref="B70:B71"/>
    <mergeCell ref="B72:B74"/>
    <mergeCell ref="B75:B78"/>
    <mergeCell ref="B79:B83"/>
    <mergeCell ref="B84:B89"/>
    <mergeCell ref="B90:B96"/>
    <mergeCell ref="B68:C69"/>
    <mergeCell ref="D68:E68"/>
    <mergeCell ref="G68:G69"/>
    <mergeCell ref="H68:H69"/>
    <mergeCell ref="B33:F33"/>
    <mergeCell ref="B43:H43"/>
    <mergeCell ref="B44:C44"/>
    <mergeCell ref="B45:B47"/>
    <mergeCell ref="B48:B50"/>
    <mergeCell ref="B51:B53"/>
    <mergeCell ref="B54:B56"/>
    <mergeCell ref="B57:B59"/>
    <mergeCell ref="B60:B62"/>
    <mergeCell ref="B63:B65"/>
    <mergeCell ref="B67:H6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5"/>
  <sheetViews>
    <sheetView topLeftCell="A90" workbookViewId="0">
      <selection activeCell="B28" sqref="B28:H115"/>
    </sheetView>
  </sheetViews>
  <sheetFormatPr defaultRowHeight="15" x14ac:dyDescent="0.25"/>
  <sheetData>
    <row r="1" spans="1:58" x14ac:dyDescent="0.25">
      <c r="A1" t="s">
        <v>307</v>
      </c>
      <c r="B1" t="s">
        <v>32</v>
      </c>
      <c r="C1" t="s">
        <v>41</v>
      </c>
      <c r="D1" t="s">
        <v>42</v>
      </c>
      <c r="E1" t="s">
        <v>77</v>
      </c>
      <c r="F1" t="s">
        <v>78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105</v>
      </c>
      <c r="R1" t="s">
        <v>106</v>
      </c>
      <c r="S1" t="s">
        <v>115</v>
      </c>
      <c r="T1" t="s">
        <v>116</v>
      </c>
      <c r="U1" t="s">
        <v>125</v>
      </c>
      <c r="V1" t="s">
        <v>126</v>
      </c>
      <c r="W1" t="s">
        <v>135</v>
      </c>
      <c r="X1" t="s">
        <v>136</v>
      </c>
      <c r="Y1" t="s">
        <v>145</v>
      </c>
      <c r="Z1" t="s">
        <v>146</v>
      </c>
      <c r="AA1" t="s">
        <v>155</v>
      </c>
      <c r="AB1" t="s">
        <v>156</v>
      </c>
      <c r="AC1" t="s">
        <v>165</v>
      </c>
      <c r="AD1" t="s">
        <v>166</v>
      </c>
      <c r="AE1" t="s">
        <v>175</v>
      </c>
      <c r="AF1" t="s">
        <v>176</v>
      </c>
      <c r="AG1" t="s">
        <v>185</v>
      </c>
      <c r="AH1" t="s">
        <v>186</v>
      </c>
      <c r="AI1" t="s">
        <v>195</v>
      </c>
      <c r="AJ1" t="s">
        <v>196</v>
      </c>
      <c r="AK1" t="s">
        <v>205</v>
      </c>
      <c r="AL1" t="s">
        <v>206</v>
      </c>
      <c r="AM1" t="s">
        <v>215</v>
      </c>
      <c r="AN1" t="s">
        <v>216</v>
      </c>
      <c r="AO1" t="s">
        <v>225</v>
      </c>
      <c r="AP1" t="s">
        <v>226</v>
      </c>
      <c r="AQ1" t="s">
        <v>235</v>
      </c>
      <c r="AR1" t="s">
        <v>236</v>
      </c>
      <c r="AS1" t="s">
        <v>245</v>
      </c>
      <c r="AT1" t="s">
        <v>246</v>
      </c>
      <c r="AU1" t="s">
        <v>255</v>
      </c>
      <c r="AV1" t="s">
        <v>256</v>
      </c>
      <c r="AW1" t="s">
        <v>265</v>
      </c>
      <c r="AX1" t="s">
        <v>266</v>
      </c>
      <c r="AY1" t="s">
        <v>275</v>
      </c>
      <c r="AZ1" t="s">
        <v>276</v>
      </c>
      <c r="BA1" t="s">
        <v>285</v>
      </c>
      <c r="BB1" t="s">
        <v>286</v>
      </c>
      <c r="BC1" t="s">
        <v>295</v>
      </c>
      <c r="BD1" t="s">
        <v>296</v>
      </c>
      <c r="BE1" t="s">
        <v>305</v>
      </c>
      <c r="BF1" t="s">
        <v>306</v>
      </c>
    </row>
    <row r="2" spans="1:58" x14ac:dyDescent="0.25">
      <c r="A2" s="15">
        <v>2315</v>
      </c>
      <c r="B2">
        <v>1</v>
      </c>
      <c r="C2" s="14">
        <v>181.73904761904765</v>
      </c>
      <c r="D2">
        <v>4.8689146378666859</v>
      </c>
      <c r="E2" s="14">
        <v>617.02222222222213</v>
      </c>
      <c r="F2">
        <v>-87.925677126592589</v>
      </c>
      <c r="G2" s="14">
        <v>200.3031746031746</v>
      </c>
      <c r="H2">
        <v>-48.235732335002773</v>
      </c>
      <c r="I2" s="14">
        <v>1468.2188406256914</v>
      </c>
      <c r="J2">
        <v>250.69778584384042</v>
      </c>
      <c r="K2" s="14">
        <v>768.46132435713196</v>
      </c>
      <c r="L2">
        <v>97.337591082653958</v>
      </c>
      <c r="M2" s="14">
        <v>173.13012517729459</v>
      </c>
      <c r="N2">
        <v>-35.255991534690182</v>
      </c>
      <c r="O2" s="14">
        <v>239.05955148733793</v>
      </c>
      <c r="P2">
        <v>13.42699015399276</v>
      </c>
      <c r="Q2" s="14">
        <v>5625.030845049132</v>
      </c>
      <c r="R2">
        <v>-514.14862509114494</v>
      </c>
      <c r="S2" s="14">
        <v>1825.9058427815569</v>
      </c>
      <c r="T2">
        <v>-465.21927102099534</v>
      </c>
      <c r="U2" s="14">
        <v>13292.975764606275</v>
      </c>
      <c r="V2">
        <v>2154.5340403593618</v>
      </c>
      <c r="W2" s="14">
        <v>6823.4038573199623</v>
      </c>
      <c r="X2">
        <v>892.25101467522165</v>
      </c>
      <c r="Y2" s="14">
        <v>1573.3798402136151</v>
      </c>
      <c r="Z2">
        <v>-280.06080967324749</v>
      </c>
      <c r="AA2" s="14">
        <v>2140.5616674665184</v>
      </c>
      <c r="AB2">
        <v>117.70509078414923</v>
      </c>
      <c r="AC2" s="14">
        <v>6284.3604106827906</v>
      </c>
      <c r="AD2">
        <v>-1586.365404797946</v>
      </c>
      <c r="AE2" s="14">
        <v>45417.60296496447</v>
      </c>
      <c r="AF2">
        <v>2762.9288089980655</v>
      </c>
      <c r="AG2" s="14">
        <v>23623.031568775885</v>
      </c>
      <c r="AH2">
        <v>1949.0953088385611</v>
      </c>
      <c r="AI2" s="14">
        <v>5420.8809855481086</v>
      </c>
      <c r="AJ2">
        <v>-1136.0250929525566</v>
      </c>
      <c r="AK2" s="14">
        <v>7409.9359372942936</v>
      </c>
      <c r="AL2">
        <v>113.87174908720584</v>
      </c>
      <c r="AM2" s="14">
        <v>14931.931076855462</v>
      </c>
      <c r="AN2">
        <v>-1844.3053076375354</v>
      </c>
      <c r="AO2" s="14">
        <v>7734.7212914412603</v>
      </c>
      <c r="AP2">
        <v>6.7971068616015913</v>
      </c>
      <c r="AQ2" s="14">
        <v>1828.14996696768</v>
      </c>
      <c r="AR2">
        <v>-404.02543197970931</v>
      </c>
      <c r="AS2" s="14">
        <v>2445.7472965877369</v>
      </c>
      <c r="AT2">
        <v>-116.04504392652291</v>
      </c>
      <c r="AU2" s="14">
        <v>57281.041389502047</v>
      </c>
      <c r="AV2">
        <v>9231.6459484339139</v>
      </c>
      <c r="AW2" s="14">
        <v>13014.406282670945</v>
      </c>
      <c r="AX2">
        <v>-714.74424752547429</v>
      </c>
      <c r="AY2" s="14">
        <v>17816.531287990721</v>
      </c>
      <c r="AZ2">
        <v>1778.5903160608284</v>
      </c>
      <c r="BA2" s="14">
        <v>6744.3418699490239</v>
      </c>
      <c r="BB2">
        <v>80.84989167737433</v>
      </c>
      <c r="BC2" s="14">
        <v>10352.370441186718</v>
      </c>
      <c r="BD2">
        <v>953.71006416146736</v>
      </c>
      <c r="BE2" s="14">
        <v>2124.7396058701652</v>
      </c>
      <c r="BF2">
        <v>-79.189796849468166</v>
      </c>
    </row>
    <row r="3" spans="1:58" x14ac:dyDescent="0.25">
      <c r="A3" s="15">
        <v>1474</v>
      </c>
      <c r="B3">
        <v>2</v>
      </c>
      <c r="C3" s="14">
        <v>194.89047619047622</v>
      </c>
      <c r="D3">
        <v>3.5986568276928144</v>
      </c>
      <c r="E3" s="14">
        <v>610.54667962423059</v>
      </c>
      <c r="F3">
        <v>-104.56357820852546</v>
      </c>
      <c r="G3" s="14">
        <v>208.20825396825393</v>
      </c>
      <c r="H3">
        <v>-52.413923032077491</v>
      </c>
      <c r="I3" s="14">
        <v>1542.9916556490873</v>
      </c>
      <c r="J3">
        <v>245.42564562792927</v>
      </c>
      <c r="K3" s="14">
        <v>978.30837711790241</v>
      </c>
      <c r="L3">
        <v>78.378460888789604</v>
      </c>
      <c r="M3" s="14">
        <v>199.96720988652507</v>
      </c>
      <c r="N3">
        <v>-42.16405513257579</v>
      </c>
      <c r="O3" s="14">
        <v>320.46546204853678</v>
      </c>
      <c r="P3">
        <v>7.6887648839286609</v>
      </c>
      <c r="Q3" s="14">
        <v>6012.916921807272</v>
      </c>
      <c r="R3">
        <v>-605.60168110463064</v>
      </c>
      <c r="S3" s="14">
        <v>2040.6146832955405</v>
      </c>
      <c r="T3">
        <v>-547.18240250687211</v>
      </c>
      <c r="U3" s="14">
        <v>15040.194000525633</v>
      </c>
      <c r="V3">
        <v>2247.0800294936894</v>
      </c>
      <c r="W3" s="14">
        <v>9571.4457039369991</v>
      </c>
      <c r="X3">
        <v>778.79776956383148</v>
      </c>
      <c r="Y3" s="14">
        <v>1949.816611594274</v>
      </c>
      <c r="Z3">
        <v>-371.43430155551255</v>
      </c>
      <c r="AA3" s="14">
        <v>3137.8351529860747</v>
      </c>
      <c r="AB3">
        <v>64.83455970532053</v>
      </c>
      <c r="AC3" s="14">
        <v>6518.1742458132157</v>
      </c>
      <c r="AD3">
        <v>-1899.7412804939872</v>
      </c>
      <c r="AE3" s="14">
        <v>47129.170483688315</v>
      </c>
      <c r="AF3">
        <v>1965.8748619405915</v>
      </c>
      <c r="AG3" s="14">
        <v>30865.414376118541</v>
      </c>
      <c r="AH3">
        <v>494.65254552843692</v>
      </c>
      <c r="AI3" s="14">
        <v>6118.6479331452911</v>
      </c>
      <c r="AJ3">
        <v>-1453.415665766154</v>
      </c>
      <c r="AK3" s="14">
        <v>10195.992541090822</v>
      </c>
      <c r="AL3">
        <v>-412.7166779659342</v>
      </c>
      <c r="AM3" s="14">
        <v>16169.125451930282</v>
      </c>
      <c r="AN3">
        <v>-2238.7404754712461</v>
      </c>
      <c r="AO3" s="14">
        <v>10365.599076939117</v>
      </c>
      <c r="AP3">
        <v>-544.65871874619404</v>
      </c>
      <c r="AQ3" s="14">
        <v>2140.4498161467973</v>
      </c>
      <c r="AR3">
        <v>-496.7933378545016</v>
      </c>
      <c r="AS3" s="14">
        <v>3479.2901384157558</v>
      </c>
      <c r="AT3">
        <v>-296.52962619750917</v>
      </c>
      <c r="AU3" s="14">
        <v>75241.532964691418</v>
      </c>
      <c r="AV3">
        <v>8867.5467692751827</v>
      </c>
      <c r="AW3" s="14">
        <v>15543.397313322725</v>
      </c>
      <c r="AX3">
        <v>-1056.1381300341645</v>
      </c>
      <c r="AY3" s="14">
        <v>24844.345361840464</v>
      </c>
      <c r="AZ3">
        <v>1628.1725089870667</v>
      </c>
      <c r="BA3" s="14">
        <v>9808.862792561471</v>
      </c>
      <c r="BB3">
        <v>-176.59107686977828</v>
      </c>
      <c r="BC3" s="14">
        <v>16676.155970558739</v>
      </c>
      <c r="BD3">
        <v>443.69160290568152</v>
      </c>
      <c r="BE3" s="14">
        <v>3299.1192363138407</v>
      </c>
      <c r="BF3">
        <v>-189.49611728617538</v>
      </c>
    </row>
    <row r="4" spans="1:58" x14ac:dyDescent="0.25">
      <c r="A4" s="15">
        <v>1951</v>
      </c>
      <c r="B4">
        <v>3</v>
      </c>
      <c r="C4" s="14">
        <v>178.98208616780045</v>
      </c>
      <c r="D4">
        <v>2.7802958434121203</v>
      </c>
      <c r="E4" s="14">
        <v>645.81632653061206</v>
      </c>
      <c r="F4">
        <v>-91.399446080936954</v>
      </c>
      <c r="G4" s="14">
        <v>217.44240362811789</v>
      </c>
      <c r="H4">
        <v>-51.846907963159694</v>
      </c>
      <c r="I4" s="14">
        <v>1564.7162223428188</v>
      </c>
      <c r="J4">
        <v>267.77409842203133</v>
      </c>
      <c r="K4" s="14">
        <v>1058.1482644487264</v>
      </c>
      <c r="L4">
        <v>121.98997078346717</v>
      </c>
      <c r="M4" s="14">
        <v>215.2501957705077</v>
      </c>
      <c r="N4">
        <v>-42.815235107062016</v>
      </c>
      <c r="O4" s="14">
        <v>309.09091419974322</v>
      </c>
      <c r="P4">
        <v>15.304485388195763</v>
      </c>
      <c r="Q4" s="14">
        <v>5788.0799324355594</v>
      </c>
      <c r="R4">
        <v>-560.56555479709027</v>
      </c>
      <c r="S4" s="14">
        <v>1958.3627727130156</v>
      </c>
      <c r="T4">
        <v>-530.49103481410941</v>
      </c>
      <c r="U4" s="14">
        <v>13995.783949868412</v>
      </c>
      <c r="V4">
        <v>2146.5703244322344</v>
      </c>
      <c r="W4" s="14">
        <v>9353.8037290790289</v>
      </c>
      <c r="X4">
        <v>1048.7035902737339</v>
      </c>
      <c r="Y4" s="14">
        <v>1927.1488733988199</v>
      </c>
      <c r="Z4">
        <v>-358.6983337358069</v>
      </c>
      <c r="AA4" s="14">
        <v>2757.0306441608445</v>
      </c>
      <c r="AB4">
        <v>113.95295822068938</v>
      </c>
      <c r="AC4" s="14">
        <v>7102.2415252903875</v>
      </c>
      <c r="AD4">
        <v>-1805.8117710827983</v>
      </c>
      <c r="AE4" s="14">
        <v>50512.875344881206</v>
      </c>
      <c r="AF4">
        <v>2896.3847201174276</v>
      </c>
      <c r="AG4" s="14">
        <v>34273.297980376483</v>
      </c>
      <c r="AH4">
        <v>2541.0326738045978</v>
      </c>
      <c r="AI4" s="14">
        <v>7038.4020437009713</v>
      </c>
      <c r="AJ4">
        <v>-1459.8148375161961</v>
      </c>
      <c r="AK4" s="14">
        <v>10094.785436632916</v>
      </c>
      <c r="AL4">
        <v>114.4710019777348</v>
      </c>
      <c r="AM4" s="14">
        <v>17063.203960066112</v>
      </c>
      <c r="AN4">
        <v>-2156.3131508413567</v>
      </c>
      <c r="AO4" s="14">
        <v>11573.762265265445</v>
      </c>
      <c r="AP4">
        <v>-60.130679746091758</v>
      </c>
      <c r="AQ4" s="14">
        <v>2464.5010851585835</v>
      </c>
      <c r="AR4">
        <v>-511.2896478747308</v>
      </c>
      <c r="AS4" s="14">
        <v>3488.5802608143085</v>
      </c>
      <c r="AT4">
        <v>-158.59664026816375</v>
      </c>
      <c r="AU4" s="14">
        <v>83036.778539642037</v>
      </c>
      <c r="AV4">
        <v>12364.01377907954</v>
      </c>
      <c r="AW4" s="14">
        <v>16929.219028312171</v>
      </c>
      <c r="AX4">
        <v>-808.81254932360082</v>
      </c>
      <c r="AY4" s="14">
        <v>24309.594801312462</v>
      </c>
      <c r="AZ4">
        <v>2245.9507678654236</v>
      </c>
      <c r="BA4" s="14">
        <v>11623.471079656034</v>
      </c>
      <c r="BB4">
        <v>247.78214600057325</v>
      </c>
      <c r="BC4" s="14">
        <v>16806.536800449758</v>
      </c>
      <c r="BD4">
        <v>1455.3428503631378</v>
      </c>
      <c r="BE4" s="14">
        <v>3491.9630964754633</v>
      </c>
      <c r="BF4">
        <v>-68.867208162694538</v>
      </c>
    </row>
    <row r="5" spans="1:58" x14ac:dyDescent="0.25">
      <c r="A5" s="15">
        <v>1850</v>
      </c>
      <c r="B5">
        <v>4</v>
      </c>
      <c r="C5" s="14">
        <v>179.24707482993199</v>
      </c>
      <c r="D5">
        <v>3.417498345657318</v>
      </c>
      <c r="E5" s="14">
        <v>629.79750566893415</v>
      </c>
      <c r="F5">
        <v>-92.765450024757641</v>
      </c>
      <c r="G5" s="14">
        <v>207.71360544217683</v>
      </c>
      <c r="H5">
        <v>-47.149146066356096</v>
      </c>
      <c r="I5" s="14">
        <v>1495.1136007270613</v>
      </c>
      <c r="J5">
        <v>254.33980549554579</v>
      </c>
      <c r="K5" s="14">
        <v>1010.9960815780333</v>
      </c>
      <c r="L5">
        <v>104.42215604079873</v>
      </c>
      <c r="M5" s="14">
        <v>201.12869387644577</v>
      </c>
      <c r="N5">
        <v>-42.501995891960341</v>
      </c>
      <c r="O5" s="14">
        <v>292.56296220112614</v>
      </c>
      <c r="P5">
        <v>12.780905805124121</v>
      </c>
      <c r="Q5" s="14">
        <v>5659.7961952272972</v>
      </c>
      <c r="R5">
        <v>-560.76881616768287</v>
      </c>
      <c r="S5" s="14">
        <v>1859.4952668795408</v>
      </c>
      <c r="T5">
        <v>-460.36005575428464</v>
      </c>
      <c r="U5" s="14">
        <v>13406.566054348814</v>
      </c>
      <c r="V5">
        <v>2134.5409421432464</v>
      </c>
      <c r="W5" s="14">
        <v>9044.1216044768189</v>
      </c>
      <c r="X5">
        <v>886.11184017645405</v>
      </c>
      <c r="Y5" s="14">
        <v>1807.6733517299031</v>
      </c>
      <c r="Z5">
        <v>-343.98947381121292</v>
      </c>
      <c r="AA5" s="14">
        <v>2631.8405397840629</v>
      </c>
      <c r="AB5">
        <v>86.824502275478636</v>
      </c>
      <c r="AC5" s="14">
        <v>6590.0075823345214</v>
      </c>
      <c r="AD5">
        <v>-1621.7883782731769</v>
      </c>
      <c r="AE5" s="14">
        <v>47053.070296058249</v>
      </c>
      <c r="AF5">
        <v>2446.8952378422923</v>
      </c>
      <c r="AG5" s="14">
        <v>31657.776000613445</v>
      </c>
      <c r="AH5">
        <v>1812.4984958078091</v>
      </c>
      <c r="AI5" s="14">
        <v>6384.1566027571025</v>
      </c>
      <c r="AJ5">
        <v>-1428.6856643724261</v>
      </c>
      <c r="AK5" s="14">
        <v>9271.461697938088</v>
      </c>
      <c r="AL5">
        <v>-16.711335311417791</v>
      </c>
      <c r="AM5" s="14">
        <v>15597.905094180313</v>
      </c>
      <c r="AN5">
        <v>-1904.487951957881</v>
      </c>
      <c r="AO5" s="14">
        <v>10364.103035073236</v>
      </c>
      <c r="AP5">
        <v>-56.996592654996221</v>
      </c>
      <c r="AQ5" s="14">
        <v>2206.8905982751849</v>
      </c>
      <c r="AR5">
        <v>-469.50855061444031</v>
      </c>
      <c r="AS5" s="14">
        <v>3091.4204945364531</v>
      </c>
      <c r="AT5">
        <v>-159.91830315521662</v>
      </c>
      <c r="AU5" s="14">
        <v>75976.888340985271</v>
      </c>
      <c r="AV5">
        <v>10670.616152610583</v>
      </c>
      <c r="AW5" s="14">
        <v>15161.407615371656</v>
      </c>
      <c r="AX5">
        <v>-1032.7264803461692</v>
      </c>
      <c r="AY5" s="14">
        <v>21986.414019489195</v>
      </c>
      <c r="AZ5">
        <v>1845.1963312953421</v>
      </c>
      <c r="BA5" s="14">
        <v>10092.41132389105</v>
      </c>
      <c r="BB5">
        <v>5.6484349860611047</v>
      </c>
      <c r="BC5" s="14">
        <v>14809.43524540468</v>
      </c>
      <c r="BD5">
        <v>1114.9608695621932</v>
      </c>
      <c r="BE5" s="14">
        <v>3014.0685694538097</v>
      </c>
      <c r="BF5">
        <v>-148.64176910120528</v>
      </c>
    </row>
    <row r="6" spans="1:58" x14ac:dyDescent="0.25">
      <c r="A6" s="15">
        <v>2014</v>
      </c>
      <c r="B6">
        <v>5</v>
      </c>
      <c r="C6" s="14">
        <v>190.08380952380952</v>
      </c>
      <c r="D6">
        <v>3.7516316195730495</v>
      </c>
      <c r="E6" s="14">
        <v>654.56349206349205</v>
      </c>
      <c r="F6">
        <v>-95.778233256187477</v>
      </c>
      <c r="G6" s="14">
        <v>208.36507936507937</v>
      </c>
      <c r="H6">
        <v>-51.691401017068841</v>
      </c>
      <c r="I6" s="14">
        <v>1479.6331114805373</v>
      </c>
      <c r="J6">
        <v>246.08751767239875</v>
      </c>
      <c r="K6" s="14">
        <v>924.29264088169873</v>
      </c>
      <c r="L6">
        <v>125.05911956027855</v>
      </c>
      <c r="M6" s="14">
        <v>216.81613164329849</v>
      </c>
      <c r="N6">
        <v>-44.696144422565915</v>
      </c>
      <c r="O6" s="14">
        <v>273.8588038649749</v>
      </c>
      <c r="P6">
        <v>15.299824736856296</v>
      </c>
      <c r="Q6" s="14">
        <v>6223.683325774753</v>
      </c>
      <c r="R6">
        <v>-574.52818336409598</v>
      </c>
      <c r="S6" s="14">
        <v>1984.3400755857901</v>
      </c>
      <c r="T6">
        <v>-536.51631519695434</v>
      </c>
      <c r="U6" s="14">
        <v>14061.149919585352</v>
      </c>
      <c r="V6">
        <v>2187.8848701362131</v>
      </c>
      <c r="W6" s="14">
        <v>8809.8773332247092</v>
      </c>
      <c r="X6">
        <v>1182.588891075779</v>
      </c>
      <c r="Y6" s="14">
        <v>2067.0597720046849</v>
      </c>
      <c r="Z6">
        <v>-399.2274430436326</v>
      </c>
      <c r="AA6" s="14">
        <v>2615.3710164385452</v>
      </c>
      <c r="AB6">
        <v>133.01911852435228</v>
      </c>
      <c r="AC6" s="14">
        <v>6844.2244268077602</v>
      </c>
      <c r="AD6">
        <v>-1810.3432896467318</v>
      </c>
      <c r="AE6" s="14">
        <v>48434.527077877305</v>
      </c>
      <c r="AF6">
        <v>2453.8107617097508</v>
      </c>
      <c r="AG6" s="14">
        <v>30145.22098855631</v>
      </c>
      <c r="AH6">
        <v>2649.1513937900068</v>
      </c>
      <c r="AI6" s="14">
        <v>7136.6681758879668</v>
      </c>
      <c r="AJ6">
        <v>-1568.539257531429</v>
      </c>
      <c r="AK6" s="14">
        <v>8960.1417307241081</v>
      </c>
      <c r="AL6">
        <v>88.310989068243885</v>
      </c>
      <c r="AM6" s="14">
        <v>15426.540225494058</v>
      </c>
      <c r="AN6">
        <v>-2323.8879230662887</v>
      </c>
      <c r="AO6" s="14">
        <v>9768.1884415185195</v>
      </c>
      <c r="AP6">
        <v>158.81809956057327</v>
      </c>
      <c r="AQ6" s="14">
        <v>2357.7355343075797</v>
      </c>
      <c r="AR6">
        <v>-554.36092129487872</v>
      </c>
      <c r="AS6" s="14">
        <v>2910.7151839467651</v>
      </c>
      <c r="AT6">
        <v>-153.38059572312014</v>
      </c>
      <c r="AU6" s="14">
        <v>68707.460481563496</v>
      </c>
      <c r="AV6">
        <v>11146.963102085865</v>
      </c>
      <c r="AW6" s="14">
        <v>16141.616845172022</v>
      </c>
      <c r="AX6">
        <v>-1079.6614008244426</v>
      </c>
      <c r="AY6" s="14">
        <v>20376.259515641999</v>
      </c>
      <c r="AZ6">
        <v>1957.8269831427494</v>
      </c>
      <c r="BA6" s="14">
        <v>10302.834014848486</v>
      </c>
      <c r="BB6">
        <v>394.08419283756768</v>
      </c>
      <c r="BC6" s="14">
        <v>13303.966125789591</v>
      </c>
      <c r="BD6">
        <v>1588.9162696272247</v>
      </c>
      <c r="BE6" s="14">
        <v>3105.5158936574462</v>
      </c>
      <c r="BF6">
        <v>-67.687364612905782</v>
      </c>
    </row>
    <row r="7" spans="1:58" x14ac:dyDescent="0.25">
      <c r="A7" s="15">
        <v>1867</v>
      </c>
      <c r="B7">
        <v>6</v>
      </c>
      <c r="C7" s="14">
        <v>176.99365079365077</v>
      </c>
      <c r="D7">
        <v>2.9673467203619772</v>
      </c>
      <c r="E7" s="14">
        <v>634.38412698412696</v>
      </c>
      <c r="F7">
        <v>-91.59864158454117</v>
      </c>
      <c r="G7" s="14">
        <v>218.72857142857146</v>
      </c>
      <c r="H7">
        <v>-54.127168301820667</v>
      </c>
      <c r="I7" s="14">
        <v>1572.5017594805045</v>
      </c>
      <c r="J7">
        <v>260.05256959106168</v>
      </c>
      <c r="K7" s="14">
        <v>865.31816825563897</v>
      </c>
      <c r="L7">
        <v>95.045706970757863</v>
      </c>
      <c r="M7" s="14">
        <v>200.15956382077155</v>
      </c>
      <c r="N7">
        <v>-43.28054784239837</v>
      </c>
      <c r="O7" s="14">
        <v>254.20846214869118</v>
      </c>
      <c r="P7">
        <v>9.7149936953029155</v>
      </c>
      <c r="Q7" s="14">
        <v>5646.129624590576</v>
      </c>
      <c r="R7">
        <v>-563.76259673802338</v>
      </c>
      <c r="S7" s="14">
        <v>1944.9354195011338</v>
      </c>
      <c r="T7">
        <v>-532.27965017228905</v>
      </c>
      <c r="U7" s="14">
        <v>13909.666548296136</v>
      </c>
      <c r="V7">
        <v>2130.6146747553166</v>
      </c>
      <c r="W7" s="14">
        <v>7587.6463195652686</v>
      </c>
      <c r="X7">
        <v>825.38209536248019</v>
      </c>
      <c r="Y7" s="14">
        <v>1773.5660805945563</v>
      </c>
      <c r="Z7">
        <v>-353.28759920048969</v>
      </c>
      <c r="AA7" s="14">
        <v>2228.0329797795694</v>
      </c>
      <c r="AB7">
        <v>71.830709213585749</v>
      </c>
      <c r="AC7" s="14">
        <v>7006.0936507936512</v>
      </c>
      <c r="AD7">
        <v>-1852.0771809830792</v>
      </c>
      <c r="AE7" s="14">
        <v>49662.72062318457</v>
      </c>
      <c r="AF7">
        <v>2359.4128574104293</v>
      </c>
      <c r="AG7" s="14">
        <v>27257.235424987863</v>
      </c>
      <c r="AH7">
        <v>1619.415518908575</v>
      </c>
      <c r="AI7" s="14">
        <v>6380.5481964362943</v>
      </c>
      <c r="AJ7">
        <v>-1454.8855249698302</v>
      </c>
      <c r="AK7" s="14">
        <v>8050.9304251869335</v>
      </c>
      <c r="AL7">
        <v>-63.718284515128687</v>
      </c>
      <c r="AM7" s="14">
        <v>17088.073343291726</v>
      </c>
      <c r="AN7">
        <v>-2499.3615125855363</v>
      </c>
      <c r="AO7" s="14">
        <v>9299.1936544305754</v>
      </c>
      <c r="AP7">
        <v>-393.76383613245491</v>
      </c>
      <c r="AQ7" s="14">
        <v>2230.4621155207706</v>
      </c>
      <c r="AR7">
        <v>-538.85877242024776</v>
      </c>
      <c r="AS7" s="14">
        <v>2762.8650056081665</v>
      </c>
      <c r="AT7">
        <v>-272.99778545741935</v>
      </c>
      <c r="AU7" s="14">
        <v>68080.286138465031</v>
      </c>
      <c r="AV7">
        <v>9651.7080959041887</v>
      </c>
      <c r="AW7" s="14">
        <v>15821.024518439084</v>
      </c>
      <c r="AX7">
        <v>-1172.4406310546367</v>
      </c>
      <c r="AY7" s="14">
        <v>19824.714520664045</v>
      </c>
      <c r="AZ7">
        <v>1664.3353657613413</v>
      </c>
      <c r="BA7" s="14">
        <v>8609.1307780880488</v>
      </c>
      <c r="BB7">
        <v>-101.44614212247714</v>
      </c>
      <c r="BC7" s="14">
        <v>11547.663639713119</v>
      </c>
      <c r="BD7">
        <v>842.48660520855242</v>
      </c>
      <c r="BE7" s="14">
        <v>2540.6154829536681</v>
      </c>
      <c r="BF7">
        <v>-168.94398085614131</v>
      </c>
    </row>
    <row r="8" spans="1:58" x14ac:dyDescent="0.25">
      <c r="A8" s="15">
        <v>2259</v>
      </c>
      <c r="B8">
        <v>7</v>
      </c>
      <c r="C8" s="14">
        <v>184.50952380952384</v>
      </c>
      <c r="D8">
        <v>5.4712291139538163</v>
      </c>
      <c r="E8" s="14">
        <v>596.23492063492063</v>
      </c>
      <c r="F8">
        <v>-84.862425899821943</v>
      </c>
      <c r="G8" s="14">
        <v>234.48412698412699</v>
      </c>
      <c r="H8">
        <v>-51.221969281255312</v>
      </c>
      <c r="I8" s="14">
        <v>1476.6461150316582</v>
      </c>
      <c r="J8">
        <v>271.99578601591651</v>
      </c>
      <c r="K8" s="14">
        <v>961.68246468950224</v>
      </c>
      <c r="L8">
        <v>111.63705709046539</v>
      </c>
      <c r="M8" s="14">
        <v>190.26242198323644</v>
      </c>
      <c r="N8">
        <v>-39.760281699895231</v>
      </c>
      <c r="O8" s="14">
        <v>270.12406263367291</v>
      </c>
      <c r="P8">
        <v>17.999662698318684</v>
      </c>
      <c r="Q8" s="14">
        <v>5482.6225547996983</v>
      </c>
      <c r="R8">
        <v>-504.11024420868296</v>
      </c>
      <c r="S8" s="14">
        <v>2120.8466742252449</v>
      </c>
      <c r="T8">
        <v>-533.57581507557006</v>
      </c>
      <c r="U8" s="14">
        <v>13805.425644873058</v>
      </c>
      <c r="V8">
        <v>2471.2793836706919</v>
      </c>
      <c r="W8" s="14">
        <v>8802.4109235713004</v>
      </c>
      <c r="X8">
        <v>892.23532775857734</v>
      </c>
      <c r="Y8" s="14">
        <v>1756.5718825669824</v>
      </c>
      <c r="Z8">
        <v>-322.77990889543634</v>
      </c>
      <c r="AA8" s="14">
        <v>2446.6155623174232</v>
      </c>
      <c r="AB8">
        <v>94.582502408331152</v>
      </c>
      <c r="AC8" s="14">
        <v>7162.6684933232555</v>
      </c>
      <c r="AD8">
        <v>-1664.9933971323019</v>
      </c>
      <c r="AE8" s="14">
        <v>43811.940134512894</v>
      </c>
      <c r="AF8">
        <v>2685.7931805937728</v>
      </c>
      <c r="AG8" s="14">
        <v>28827.954363388017</v>
      </c>
      <c r="AH8">
        <v>2209.8474314249738</v>
      </c>
      <c r="AI8" s="14">
        <v>5758.6838765028851</v>
      </c>
      <c r="AJ8">
        <v>-1260.3981797357765</v>
      </c>
      <c r="AK8" s="14">
        <v>8226.3619003374206</v>
      </c>
      <c r="AL8">
        <v>247.63939686076046</v>
      </c>
      <c r="AM8" s="14">
        <v>16801.500022833716</v>
      </c>
      <c r="AN8">
        <v>-2168.9369542065115</v>
      </c>
      <c r="AO8" s="14">
        <v>11698.896024367414</v>
      </c>
      <c r="AP8">
        <v>199.98294170196161</v>
      </c>
      <c r="AQ8" s="14">
        <v>2320.3568372271052</v>
      </c>
      <c r="AR8">
        <v>-512.68637274791388</v>
      </c>
      <c r="AS8" s="14">
        <v>3438.8457802610083</v>
      </c>
      <c r="AT8">
        <v>-10.880439240529135</v>
      </c>
      <c r="AU8" s="14">
        <v>69205.481892163036</v>
      </c>
      <c r="AV8">
        <v>9226.9399868048149</v>
      </c>
      <c r="AW8" s="14">
        <v>14037.470406104687</v>
      </c>
      <c r="AX8">
        <v>-831.02525788147852</v>
      </c>
      <c r="AY8" s="14">
        <v>19212.719077541573</v>
      </c>
      <c r="AZ8">
        <v>1590.3961333744783</v>
      </c>
      <c r="BA8" s="14">
        <v>9209.9045361523968</v>
      </c>
      <c r="BB8">
        <v>12.038465057187636</v>
      </c>
      <c r="BC8" s="14">
        <v>14107.990619945835</v>
      </c>
      <c r="BD8">
        <v>1602.4796586473458</v>
      </c>
      <c r="BE8" s="14">
        <v>2662.1049060432201</v>
      </c>
      <c r="BF8">
        <v>-91.243426601222467</v>
      </c>
    </row>
    <row r="9" spans="1:58" x14ac:dyDescent="0.25">
      <c r="A9" s="15">
        <v>1845</v>
      </c>
      <c r="B9">
        <v>8</v>
      </c>
      <c r="C9" s="14">
        <v>173.16031746031746</v>
      </c>
      <c r="D9">
        <v>3.2453635418666211</v>
      </c>
      <c r="E9" s="14">
        <v>627.22698412698401</v>
      </c>
      <c r="F9">
        <v>-87.546548267222107</v>
      </c>
      <c r="G9" s="14">
        <v>259.11111111111109</v>
      </c>
      <c r="H9">
        <v>-61.998778402718614</v>
      </c>
      <c r="I9" s="14">
        <v>1595.5875361922265</v>
      </c>
      <c r="J9">
        <v>270.62103640472429</v>
      </c>
      <c r="K9" s="14">
        <v>1125.7086710219564</v>
      </c>
      <c r="L9">
        <v>118.84619487865868</v>
      </c>
      <c r="M9" s="14">
        <v>234.25843142008998</v>
      </c>
      <c r="N9">
        <v>-50.278078256049326</v>
      </c>
      <c r="O9" s="14">
        <v>344.89342487992684</v>
      </c>
      <c r="P9">
        <v>10.820494026559652</v>
      </c>
      <c r="Q9" s="14">
        <v>5462.0139858906523</v>
      </c>
      <c r="R9">
        <v>-513.53178666483632</v>
      </c>
      <c r="S9" s="14">
        <v>2262.6064751826657</v>
      </c>
      <c r="T9">
        <v>-571.94369764508428</v>
      </c>
      <c r="U9" s="14">
        <v>13779.787628052871</v>
      </c>
      <c r="V9">
        <v>2131.7127606501176</v>
      </c>
      <c r="W9" s="14">
        <v>9762.4958555011108</v>
      </c>
      <c r="X9">
        <v>1028.1603102145284</v>
      </c>
      <c r="Y9" s="14">
        <v>2040.9867817166933</v>
      </c>
      <c r="Z9">
        <v>-393.73560698253743</v>
      </c>
      <c r="AA9" s="14">
        <v>3003.2600898842957</v>
      </c>
      <c r="AB9">
        <v>74.242474612108651</v>
      </c>
      <c r="AC9" s="14">
        <v>8263.4710254472175</v>
      </c>
      <c r="AD9">
        <v>-2065.8979199901291</v>
      </c>
      <c r="AE9" s="14">
        <v>49808.714537989872</v>
      </c>
      <c r="AF9">
        <v>2500.97102143958</v>
      </c>
      <c r="AG9" s="14">
        <v>35139.09881338886</v>
      </c>
      <c r="AH9">
        <v>2168.911699038526</v>
      </c>
      <c r="AI9" s="14">
        <v>7434.2126144844078</v>
      </c>
      <c r="AJ9">
        <v>-1661.7477322102111</v>
      </c>
      <c r="AK9" s="14">
        <v>10892.102046976896</v>
      </c>
      <c r="AL9">
        <v>-91.240882157494326</v>
      </c>
      <c r="AM9" s="14">
        <v>20272.911982739068</v>
      </c>
      <c r="AN9">
        <v>-3051.6254537528894</v>
      </c>
      <c r="AO9" s="14">
        <v>14455.980217880073</v>
      </c>
      <c r="AP9">
        <v>-420.93523008849536</v>
      </c>
      <c r="AQ9" s="14">
        <v>3135.9989351212057</v>
      </c>
      <c r="AR9">
        <v>-741.84827821731005</v>
      </c>
      <c r="AS9" s="14">
        <v>4477.5778658688396</v>
      </c>
      <c r="AT9">
        <v>-390.05672859198114</v>
      </c>
      <c r="AU9" s="14">
        <v>90082.7426023593</v>
      </c>
      <c r="AV9">
        <v>12252.133756595573</v>
      </c>
      <c r="AW9" s="14">
        <v>18507.772689919133</v>
      </c>
      <c r="AX9">
        <v>-1365.6032676573259</v>
      </c>
      <c r="AY9" s="14">
        <v>27700.018043720509</v>
      </c>
      <c r="AZ9">
        <v>1900.5339988208889</v>
      </c>
      <c r="BA9" s="14">
        <v>13130.59561003644</v>
      </c>
      <c r="BB9">
        <v>-127.69913825035101</v>
      </c>
      <c r="BC9" s="14">
        <v>19724.637414161472</v>
      </c>
      <c r="BD9">
        <v>1260.5428169492486</v>
      </c>
      <c r="BE9" s="14">
        <v>4065.255840188961</v>
      </c>
      <c r="BF9">
        <v>-273.13195358620629</v>
      </c>
    </row>
    <row r="10" spans="1:58" x14ac:dyDescent="0.25">
      <c r="A10" s="15">
        <v>2603</v>
      </c>
      <c r="B10">
        <v>9</v>
      </c>
      <c r="C10" s="14">
        <v>182.54888888888888</v>
      </c>
      <c r="D10">
        <v>3.5025988427748875</v>
      </c>
      <c r="E10" s="14">
        <v>613.27301587301588</v>
      </c>
      <c r="F10">
        <v>-85.06881257396256</v>
      </c>
      <c r="G10" s="14">
        <v>230.55238095238096</v>
      </c>
      <c r="H10">
        <v>-52.600663152536242</v>
      </c>
      <c r="I10" s="14">
        <v>1682.7800804277158</v>
      </c>
      <c r="J10">
        <v>286.02462630761357</v>
      </c>
      <c r="K10" s="14">
        <v>901.43322243422108</v>
      </c>
      <c r="L10">
        <v>106.02360617523703</v>
      </c>
      <c r="M10" s="14">
        <v>211.15095993677414</v>
      </c>
      <c r="N10">
        <v>-41.97321175566691</v>
      </c>
      <c r="O10" s="14">
        <v>270.47212325938654</v>
      </c>
      <c r="P10">
        <v>12.152838781126398</v>
      </c>
      <c r="Q10" s="14">
        <v>5622.6643134290753</v>
      </c>
      <c r="R10">
        <v>-494.4135796028566</v>
      </c>
      <c r="S10" s="14">
        <v>2111.2262071050641</v>
      </c>
      <c r="T10">
        <v>-487.26592729829827</v>
      </c>
      <c r="U10" s="14">
        <v>15356.626742396798</v>
      </c>
      <c r="V10">
        <v>2408.027710408458</v>
      </c>
      <c r="W10" s="14">
        <v>8221.542977939831</v>
      </c>
      <c r="X10">
        <v>928.32295049455217</v>
      </c>
      <c r="Y10" s="14">
        <v>1930.6477114354057</v>
      </c>
      <c r="Z10">
        <v>-321.77774102335718</v>
      </c>
      <c r="AA10" s="14">
        <v>2484.1502166557184</v>
      </c>
      <c r="AB10">
        <v>83.166751337629009</v>
      </c>
      <c r="AC10" s="14">
        <v>7168.394232804234</v>
      </c>
      <c r="AD10">
        <v>-1747.5236084424282</v>
      </c>
      <c r="AE10" s="14">
        <v>51566.884116507645</v>
      </c>
      <c r="AF10">
        <v>2909.9109296667766</v>
      </c>
      <c r="AG10" s="14">
        <v>27473.568901032526</v>
      </c>
      <c r="AH10">
        <v>1989.957551285871</v>
      </c>
      <c r="AI10" s="14">
        <v>6537.4395297525507</v>
      </c>
      <c r="AJ10">
        <v>-1365.541480272386</v>
      </c>
      <c r="AK10" s="14">
        <v>8337.8039224405784</v>
      </c>
      <c r="AL10">
        <v>39.312673509600323</v>
      </c>
      <c r="AM10" s="14">
        <v>19528.591879712738</v>
      </c>
      <c r="AN10">
        <v>-2064.6723523824053</v>
      </c>
      <c r="AO10" s="14">
        <v>10440.154468224322</v>
      </c>
      <c r="AP10">
        <v>39.56104087521831</v>
      </c>
      <c r="AQ10" s="14">
        <v>2592.2975002397993</v>
      </c>
      <c r="AR10">
        <v>-520.50228982043791</v>
      </c>
      <c r="AS10" s="14">
        <v>3203.5119309101765</v>
      </c>
      <c r="AT10">
        <v>-156.1964772992844</v>
      </c>
      <c r="AU10" s="14">
        <v>76288.803412703695</v>
      </c>
      <c r="AV10">
        <v>11278.404020991069</v>
      </c>
      <c r="AW10" s="14">
        <v>17878.910846001167</v>
      </c>
      <c r="AX10">
        <v>-819.2852459822758</v>
      </c>
      <c r="AY10" s="14">
        <v>22879.432183562581</v>
      </c>
      <c r="AZ10">
        <v>1962.2904582887363</v>
      </c>
      <c r="BA10" s="14">
        <v>9573.9208117166054</v>
      </c>
      <c r="BB10">
        <v>140.60387659690096</v>
      </c>
      <c r="BC10" s="14">
        <v>12429.995187982928</v>
      </c>
      <c r="BD10">
        <v>1045.850969261302</v>
      </c>
      <c r="BE10" s="14">
        <v>2919.6398647904498</v>
      </c>
      <c r="BF10">
        <v>-108.58851214737948</v>
      </c>
    </row>
    <row r="11" spans="1:58" x14ac:dyDescent="0.25">
      <c r="A11" s="15">
        <v>2048</v>
      </c>
      <c r="B11">
        <v>10</v>
      </c>
      <c r="C11" s="14">
        <v>164.215873015873</v>
      </c>
      <c r="D11">
        <v>2.9318905586908186</v>
      </c>
      <c r="E11" s="14">
        <v>618.23333333333323</v>
      </c>
      <c r="F11">
        <v>-90.015971246968391</v>
      </c>
      <c r="G11" s="14">
        <v>244.91111111111113</v>
      </c>
      <c r="H11">
        <v>-56.876839850255628</v>
      </c>
      <c r="I11" s="14">
        <v>1649.2187878394118</v>
      </c>
      <c r="J11">
        <v>284.53353711356829</v>
      </c>
      <c r="K11" s="14">
        <v>1110.9887335120636</v>
      </c>
      <c r="L11">
        <v>129.99065048476524</v>
      </c>
      <c r="M11" s="14">
        <v>226.3541234150189</v>
      </c>
      <c r="N11">
        <v>-45.285328528484435</v>
      </c>
      <c r="O11" s="14">
        <v>331.40173164394031</v>
      </c>
      <c r="P11">
        <v>14.747154418017754</v>
      </c>
      <c r="Q11" s="14">
        <v>5115.0691912320472</v>
      </c>
      <c r="R11">
        <v>-507.55855916320519</v>
      </c>
      <c r="S11" s="14">
        <v>2015.9769110607199</v>
      </c>
      <c r="T11">
        <v>-503.14087817480709</v>
      </c>
      <c r="U11" s="14">
        <v>13521.558369256432</v>
      </c>
      <c r="V11">
        <v>2165.1419092925071</v>
      </c>
      <c r="W11" s="14">
        <v>9118.9865975605753</v>
      </c>
      <c r="X11">
        <v>992.54307107087811</v>
      </c>
      <c r="Y11" s="14">
        <v>1860.8387268158381</v>
      </c>
      <c r="Z11">
        <v>-324.84611082703373</v>
      </c>
      <c r="AA11" s="14">
        <v>2742.5488028111754</v>
      </c>
      <c r="AB11">
        <v>85.240535075842985</v>
      </c>
      <c r="AC11" s="14">
        <v>7633.8608692365824</v>
      </c>
      <c r="AD11">
        <v>-1889.170651027639</v>
      </c>
      <c r="AE11" s="14">
        <v>50961.998236663705</v>
      </c>
      <c r="AF11">
        <v>2742.9948643825828</v>
      </c>
      <c r="AG11" s="14">
        <v>34228.914335944704</v>
      </c>
      <c r="AH11">
        <v>2333.7441567065753</v>
      </c>
      <c r="AI11" s="14">
        <v>7052.8820245011175</v>
      </c>
      <c r="AJ11">
        <v>-1476.7886673292462</v>
      </c>
      <c r="AK11" s="14">
        <v>10337.771380531627</v>
      </c>
      <c r="AL11">
        <v>16.228198158707428</v>
      </c>
      <c r="AM11" s="14">
        <v>20376.257353529647</v>
      </c>
      <c r="AN11">
        <v>-2401.7164764795907</v>
      </c>
      <c r="AO11" s="14">
        <v>13456.647207383197</v>
      </c>
      <c r="AP11">
        <v>-207.01079453719737</v>
      </c>
      <c r="AQ11" s="14">
        <v>2923.5991702515216</v>
      </c>
      <c r="AR11">
        <v>-604.29316449823182</v>
      </c>
      <c r="AS11" s="14">
        <v>4090.4231781310818</v>
      </c>
      <c r="AT11">
        <v>-258.96745998160441</v>
      </c>
      <c r="AU11" s="14">
        <v>91348.48665878769</v>
      </c>
      <c r="AV11">
        <v>13786.716974656074</v>
      </c>
      <c r="AW11" s="14">
        <v>18915.702358446579</v>
      </c>
      <c r="AX11">
        <v>-912.87795362034763</v>
      </c>
      <c r="AY11" s="14">
        <v>27229.546203244619</v>
      </c>
      <c r="AZ11">
        <v>2413.3162256382207</v>
      </c>
      <c r="BA11" s="14">
        <v>12432.313695105966</v>
      </c>
      <c r="BB11">
        <v>181.71768457636901</v>
      </c>
      <c r="BC11" s="14">
        <v>18687.065266235662</v>
      </c>
      <c r="BD11">
        <v>1655.816619094714</v>
      </c>
      <c r="BE11" s="14">
        <v>3774.217794798159</v>
      </c>
      <c r="BF11">
        <v>-135.98603432776869</v>
      </c>
    </row>
    <row r="12" spans="1:58" x14ac:dyDescent="0.25">
      <c r="A12" s="15">
        <v>2323</v>
      </c>
      <c r="B12">
        <v>11</v>
      </c>
      <c r="C12" s="14">
        <v>177.64603174603175</v>
      </c>
      <c r="D12">
        <v>4.3012360619263008</v>
      </c>
      <c r="E12" s="14">
        <v>615.15238095238101</v>
      </c>
      <c r="F12">
        <v>-87.954828640478382</v>
      </c>
      <c r="G12" s="14">
        <v>258.88571428571424</v>
      </c>
      <c r="H12">
        <v>-63.894123105737691</v>
      </c>
      <c r="I12" s="14">
        <v>1631.6295218824898</v>
      </c>
      <c r="J12">
        <v>275.19607346676725</v>
      </c>
      <c r="K12" s="14">
        <v>772.05073209810621</v>
      </c>
      <c r="L12">
        <v>90.244505360844855</v>
      </c>
      <c r="M12" s="14">
        <v>214.84984844106401</v>
      </c>
      <c r="N12">
        <v>-46.308078646069816</v>
      </c>
      <c r="O12" s="14">
        <v>239.57362362814172</v>
      </c>
      <c r="P12">
        <v>13.611449425638863</v>
      </c>
      <c r="Q12" s="14">
        <v>5468.5269690098257</v>
      </c>
      <c r="R12">
        <v>-508.08856857077103</v>
      </c>
      <c r="S12" s="14">
        <v>2303.3111791383226</v>
      </c>
      <c r="T12">
        <v>-622.20613513201886</v>
      </c>
      <c r="U12" s="14">
        <v>14502.43435554704</v>
      </c>
      <c r="V12">
        <v>2326.7824513650044</v>
      </c>
      <c r="W12" s="14">
        <v>6811.6968222174719</v>
      </c>
      <c r="X12">
        <v>727.00264920709162</v>
      </c>
      <c r="Y12" s="14">
        <v>1908.3979528473772</v>
      </c>
      <c r="Z12">
        <v>-381.50057533324878</v>
      </c>
      <c r="AA12" s="14">
        <v>2118.4137467906098</v>
      </c>
      <c r="AB12">
        <v>85.267997995626132</v>
      </c>
      <c r="AC12" s="14">
        <v>8107.0308843537423</v>
      </c>
      <c r="AD12">
        <v>-2125.4802373663597</v>
      </c>
      <c r="AE12" s="14">
        <v>50105.407300053914</v>
      </c>
      <c r="AF12">
        <v>2677.8953606523328</v>
      </c>
      <c r="AG12" s="14">
        <v>23545.754615933656</v>
      </c>
      <c r="AH12">
        <v>1718.6202602345124</v>
      </c>
      <c r="AI12" s="14">
        <v>6703.2375463509461</v>
      </c>
      <c r="AJ12">
        <v>-1503.4458163490071</v>
      </c>
      <c r="AK12" s="14">
        <v>7403.3314391567837</v>
      </c>
      <c r="AL12">
        <v>109.7470488118631</v>
      </c>
      <c r="AM12" s="14">
        <v>21114.11224536414</v>
      </c>
      <c r="AN12">
        <v>-3127.2469392899693</v>
      </c>
      <c r="AO12" s="14">
        <v>10011.361140066072</v>
      </c>
      <c r="AP12">
        <v>-183.57587968830262</v>
      </c>
      <c r="AQ12" s="14">
        <v>2934.6670839212943</v>
      </c>
      <c r="AR12">
        <v>-699.98581326046815</v>
      </c>
      <c r="AS12" s="14">
        <v>3202.7355765747548</v>
      </c>
      <c r="AT12">
        <v>-189.10761256100844</v>
      </c>
      <c r="AU12" s="14">
        <v>63328.728981528824</v>
      </c>
      <c r="AV12">
        <v>9012.0508294765114</v>
      </c>
      <c r="AW12" s="14">
        <v>17535.235245120788</v>
      </c>
      <c r="AX12">
        <v>-1309.0403795063935</v>
      </c>
      <c r="AY12" s="14">
        <v>19605.117021641898</v>
      </c>
      <c r="AZ12">
        <v>1734.6528518485752</v>
      </c>
      <c r="BA12" s="14">
        <v>8367.3815731989798</v>
      </c>
      <c r="BB12">
        <v>21.860292679801859</v>
      </c>
      <c r="BC12" s="14">
        <v>9529.2107958093984</v>
      </c>
      <c r="BD12">
        <v>936.05075771232407</v>
      </c>
      <c r="BE12" s="14">
        <v>2665.8434940690686</v>
      </c>
      <c r="BF12">
        <v>-107.2141628809772</v>
      </c>
    </row>
    <row r="13" spans="1:58" x14ac:dyDescent="0.25">
      <c r="A13" s="15">
        <v>1736</v>
      </c>
      <c r="B13">
        <v>12</v>
      </c>
      <c r="C13" s="14">
        <v>186.15396825396823</v>
      </c>
      <c r="D13">
        <v>3.2872754733698812</v>
      </c>
      <c r="E13" s="14">
        <v>598.22380952380956</v>
      </c>
      <c r="F13">
        <v>-86.8723024156034</v>
      </c>
      <c r="G13" s="14">
        <v>259.1952380952381</v>
      </c>
      <c r="H13">
        <v>-65.150079618754575</v>
      </c>
      <c r="I13" s="14">
        <v>1371.9741602189172</v>
      </c>
      <c r="J13">
        <v>225.07635173590043</v>
      </c>
      <c r="K13" s="14">
        <v>562.66927438162497</v>
      </c>
      <c r="L13">
        <v>57.442671527336095</v>
      </c>
      <c r="M13" s="14">
        <v>184.99156106140964</v>
      </c>
      <c r="N13">
        <v>-37.991211281533069</v>
      </c>
      <c r="O13" s="14">
        <v>174.33046542943376</v>
      </c>
      <c r="P13">
        <v>6.8702620967294576</v>
      </c>
      <c r="Q13" s="14">
        <v>5574.7994935752095</v>
      </c>
      <c r="R13">
        <v>-525.93783524807509</v>
      </c>
      <c r="S13" s="14">
        <v>2416.2429629629628</v>
      </c>
      <c r="T13">
        <v>-638.52475614600996</v>
      </c>
      <c r="U13" s="14">
        <v>12786.475982955413</v>
      </c>
      <c r="V13">
        <v>1938.4643131507073</v>
      </c>
      <c r="W13" s="14">
        <v>5246.3629885148257</v>
      </c>
      <c r="X13">
        <v>533.97817820532669</v>
      </c>
      <c r="Y13" s="14">
        <v>1727.1133784053955</v>
      </c>
      <c r="Z13">
        <v>-314.82854108644983</v>
      </c>
      <c r="AA13" s="14">
        <v>1627.489264057612</v>
      </c>
      <c r="AB13">
        <v>59.654978880626317</v>
      </c>
      <c r="AC13" s="14">
        <v>7834.9247845804985</v>
      </c>
      <c r="AD13">
        <v>-2057.6575540307604</v>
      </c>
      <c r="AE13" s="14">
        <v>41189.98780584005</v>
      </c>
      <c r="AF13">
        <v>2014.2248886368795</v>
      </c>
      <c r="AG13" s="14">
        <v>16813.526525846741</v>
      </c>
      <c r="AH13">
        <v>986.38576683954227</v>
      </c>
      <c r="AI13" s="14">
        <v>5605.0729209365381</v>
      </c>
      <c r="AJ13">
        <v>-1207.1367263562913</v>
      </c>
      <c r="AK13" s="14">
        <v>5249.1181498888309</v>
      </c>
      <c r="AL13">
        <v>2.4963778773424714</v>
      </c>
      <c r="AM13" s="14">
        <v>17973.13963407341</v>
      </c>
      <c r="AN13">
        <v>-2568.2782215088205</v>
      </c>
      <c r="AO13" s="14">
        <v>7324.865126946087</v>
      </c>
      <c r="AP13">
        <v>-291.03556661055518</v>
      </c>
      <c r="AQ13" s="14">
        <v>2493.8563272956435</v>
      </c>
      <c r="AR13">
        <v>-586.96145865761855</v>
      </c>
      <c r="AS13" s="14">
        <v>2304.609122817445</v>
      </c>
      <c r="AT13">
        <v>-190.59475910564797</v>
      </c>
      <c r="AU13" s="14">
        <v>38677.212642308412</v>
      </c>
      <c r="AV13">
        <v>5136.3963707863577</v>
      </c>
      <c r="AW13" s="14">
        <v>12886.365597256048</v>
      </c>
      <c r="AX13">
        <v>-732.70101893465244</v>
      </c>
      <c r="AY13" s="14">
        <v>12029.709396514767</v>
      </c>
      <c r="AZ13">
        <v>968.99592124489084</v>
      </c>
      <c r="BA13" s="14">
        <v>5227.9098579714309</v>
      </c>
      <c r="BB13">
        <v>-27.48116392466514</v>
      </c>
      <c r="BC13" s="14">
        <v>4968.0300616425575</v>
      </c>
      <c r="BD13">
        <v>306.35985857467119</v>
      </c>
      <c r="BE13" s="14">
        <v>1649.3278895409826</v>
      </c>
      <c r="BF13">
        <v>-81.759056629642032</v>
      </c>
    </row>
    <row r="14" spans="1:58" x14ac:dyDescent="0.25">
      <c r="A14" s="15">
        <v>1877</v>
      </c>
      <c r="B14">
        <v>13</v>
      </c>
      <c r="C14" s="14">
        <v>186.46349206349208</v>
      </c>
      <c r="D14">
        <v>2.9040717801117633</v>
      </c>
      <c r="E14" s="14">
        <v>654.26031746031742</v>
      </c>
      <c r="F14">
        <v>-93.288960815438713</v>
      </c>
      <c r="G14" s="14">
        <v>251.41746031746032</v>
      </c>
      <c r="H14">
        <v>-60.851154408924238</v>
      </c>
      <c r="I14" s="14">
        <v>1295.398895487323</v>
      </c>
      <c r="J14">
        <v>222.57643371351276</v>
      </c>
      <c r="K14" s="14">
        <v>502.19064739795471</v>
      </c>
      <c r="L14">
        <v>53.905668318797233</v>
      </c>
      <c r="M14" s="14">
        <v>164.69602550787653</v>
      </c>
      <c r="N14">
        <v>-33.591108812442791</v>
      </c>
      <c r="O14" s="14">
        <v>179.89851767937023</v>
      </c>
      <c r="P14">
        <v>9.3830396520283657</v>
      </c>
      <c r="Q14" s="14">
        <v>6099.350110859159</v>
      </c>
      <c r="R14">
        <v>-583.03190796425883</v>
      </c>
      <c r="S14" s="14">
        <v>2338.0375031494077</v>
      </c>
      <c r="T14">
        <v>-602.9881684893254</v>
      </c>
      <c r="U14" s="14">
        <v>12085.874558191996</v>
      </c>
      <c r="V14">
        <v>1913.3995149589364</v>
      </c>
      <c r="W14" s="14">
        <v>4675.0359939472855</v>
      </c>
      <c r="X14">
        <v>488.48489699968917</v>
      </c>
      <c r="Y14" s="14">
        <v>1532.9981298408579</v>
      </c>
      <c r="Z14">
        <v>-278.38584573677042</v>
      </c>
      <c r="AA14" s="14">
        <v>1674.678771150421</v>
      </c>
      <c r="AB14">
        <v>72.74715496853328</v>
      </c>
      <c r="AC14" s="14">
        <v>8337.1005542957955</v>
      </c>
      <c r="AD14">
        <v>-2107.722392226241</v>
      </c>
      <c r="AE14" s="14">
        <v>42414.930154982583</v>
      </c>
      <c r="AF14">
        <v>2060.8742327972541</v>
      </c>
      <c r="AG14" s="14">
        <v>16339.980523211476</v>
      </c>
      <c r="AH14">
        <v>1103.5791958350794</v>
      </c>
      <c r="AI14" s="14">
        <v>5449.8271708658522</v>
      </c>
      <c r="AJ14">
        <v>-1177.0838020271337</v>
      </c>
      <c r="AK14" s="14">
        <v>5928.0446144546904</v>
      </c>
      <c r="AL14">
        <v>70.764750691021192</v>
      </c>
      <c r="AM14" s="14">
        <v>16431.839859933429</v>
      </c>
      <c r="AN14">
        <v>-2082.7512251323956</v>
      </c>
      <c r="AO14" s="14">
        <v>6393.714919808287</v>
      </c>
      <c r="AP14">
        <v>-101.29612290020154</v>
      </c>
      <c r="AQ14" s="14">
        <v>2175.3585142591392</v>
      </c>
      <c r="AR14">
        <v>-479.75432250674231</v>
      </c>
      <c r="AS14" s="14">
        <v>2354.1284426337179</v>
      </c>
      <c r="AT14">
        <v>-125.15533587512964</v>
      </c>
      <c r="AU14" s="14">
        <v>32826.930106686923</v>
      </c>
      <c r="AV14">
        <v>4771.3257591081519</v>
      </c>
      <c r="AW14" s="14">
        <v>10896.334085033865</v>
      </c>
      <c r="AX14">
        <v>-573.92769801588327</v>
      </c>
      <c r="AY14" s="14">
        <v>11797.953704215823</v>
      </c>
      <c r="AZ14">
        <v>1110.9296774391864</v>
      </c>
      <c r="BA14" s="14">
        <v>4258.1189299528596</v>
      </c>
      <c r="BB14">
        <v>58.880337981155073</v>
      </c>
      <c r="BC14" s="14">
        <v>4806.3493660789954</v>
      </c>
      <c r="BD14">
        <v>456.06416001228524</v>
      </c>
      <c r="BE14" s="14">
        <v>1563.953670552735</v>
      </c>
      <c r="BF14">
        <v>-44.383515439888619</v>
      </c>
    </row>
    <row r="15" spans="1:58" x14ac:dyDescent="0.25">
      <c r="A15" s="15">
        <v>1833</v>
      </c>
      <c r="B15">
        <v>14</v>
      </c>
      <c r="C15" s="14">
        <v>176.4</v>
      </c>
      <c r="D15">
        <v>3.7308074764197245</v>
      </c>
      <c r="E15" s="14">
        <v>650.86825396825395</v>
      </c>
      <c r="F15">
        <v>-93.347287608006866</v>
      </c>
      <c r="G15" s="14">
        <v>291.65079365079362</v>
      </c>
      <c r="H15">
        <v>-72.701065004807489</v>
      </c>
      <c r="I15" s="14">
        <v>1367.4309840898791</v>
      </c>
      <c r="J15">
        <v>226.45621997432153</v>
      </c>
      <c r="K15" s="14">
        <v>700.88431739588714</v>
      </c>
      <c r="L15">
        <v>79.39850652113347</v>
      </c>
      <c r="M15" s="14">
        <v>196.22310345968856</v>
      </c>
      <c r="N15">
        <v>-43.181485527694953</v>
      </c>
      <c r="O15" s="14">
        <v>243.77854722188363</v>
      </c>
      <c r="P15">
        <v>11.404547514078944</v>
      </c>
      <c r="Q15" s="14">
        <v>5745.9170521541946</v>
      </c>
      <c r="R15">
        <v>-545.1843607181346</v>
      </c>
      <c r="S15" s="14">
        <v>2546.321859410431</v>
      </c>
      <c r="T15">
        <v>-685.05212491577095</v>
      </c>
      <c r="U15" s="14">
        <v>12086.024359056792</v>
      </c>
      <c r="V15">
        <v>1948.2396517306763</v>
      </c>
      <c r="W15" s="14">
        <v>6163.2672752858953</v>
      </c>
      <c r="X15">
        <v>692.18914825050115</v>
      </c>
      <c r="Y15" s="14">
        <v>1716.2009422174551</v>
      </c>
      <c r="Z15">
        <v>-356.88312737223339</v>
      </c>
      <c r="AA15" s="14">
        <v>2139.2679961239705</v>
      </c>
      <c r="AB15">
        <v>81.447009640156637</v>
      </c>
      <c r="AC15" s="14">
        <v>9699.6881153943068</v>
      </c>
      <c r="AD15">
        <v>-2524.0061285629117</v>
      </c>
      <c r="AE15" s="14">
        <v>44515.045076200724</v>
      </c>
      <c r="AF15">
        <v>2072.0584382398024</v>
      </c>
      <c r="AG15" s="14">
        <v>22386.168017926357</v>
      </c>
      <c r="AH15">
        <v>1443.8399456797567</v>
      </c>
      <c r="AI15" s="14">
        <v>6514.9341791694433</v>
      </c>
      <c r="AJ15">
        <v>-1510.6762055646907</v>
      </c>
      <c r="AK15" s="14">
        <v>7937.7437655282765</v>
      </c>
      <c r="AL15">
        <v>26.452141798409926</v>
      </c>
      <c r="AM15" s="14">
        <v>19764.868463548435</v>
      </c>
      <c r="AN15">
        <v>-2822.694873744023</v>
      </c>
      <c r="AO15" s="14">
        <v>9850.9047086751561</v>
      </c>
      <c r="AP15">
        <v>-420.42849776032114</v>
      </c>
      <c r="AQ15" s="14">
        <v>3007.1634620377558</v>
      </c>
      <c r="AR15">
        <v>-747.57122119600695</v>
      </c>
      <c r="AS15" s="14">
        <v>3570.5653131387894</v>
      </c>
      <c r="AT15">
        <v>-308.05595946134179</v>
      </c>
      <c r="AU15" s="14">
        <v>48487.557005966621</v>
      </c>
      <c r="AV15">
        <v>7250.0689395316986</v>
      </c>
      <c r="AW15" s="14">
        <v>13465.294872933038</v>
      </c>
      <c r="AX15">
        <v>-1059.5292714408463</v>
      </c>
      <c r="AY15" s="14">
        <v>16865.53621082793</v>
      </c>
      <c r="AZ15">
        <v>1516.668730319218</v>
      </c>
      <c r="BA15" s="14">
        <v>6738.9945166351081</v>
      </c>
      <c r="BB15">
        <v>-25.550765089486134</v>
      </c>
      <c r="BC15" s="14">
        <v>8924.333833297469</v>
      </c>
      <c r="BD15">
        <v>739.03169253319334</v>
      </c>
      <c r="BE15" s="14">
        <v>2432.7975354493683</v>
      </c>
      <c r="BF15">
        <v>-134.79419352412594</v>
      </c>
    </row>
    <row r="16" spans="1:58" x14ac:dyDescent="0.25">
      <c r="A16" s="15">
        <v>1704</v>
      </c>
      <c r="B16">
        <v>15</v>
      </c>
      <c r="C16" s="14">
        <v>184.95238095238096</v>
      </c>
      <c r="D16">
        <v>3.7414216754174081</v>
      </c>
      <c r="E16" s="14">
        <v>643.83333333333326</v>
      </c>
      <c r="F16">
        <v>-93.438804543748191</v>
      </c>
      <c r="G16" s="14">
        <v>304.33968253968249</v>
      </c>
      <c r="H16">
        <v>-80.001708018805402</v>
      </c>
      <c r="I16" s="14">
        <v>1416.2327294222393</v>
      </c>
      <c r="J16">
        <v>228.00904954462425</v>
      </c>
      <c r="K16" s="14">
        <v>710.58380919625733</v>
      </c>
      <c r="L16">
        <v>72.37747562202351</v>
      </c>
      <c r="M16" s="14">
        <v>205.10935254630908</v>
      </c>
      <c r="N16">
        <v>-44.416906679237336</v>
      </c>
      <c r="O16" s="14">
        <v>246.36873133623021</v>
      </c>
      <c r="P16">
        <v>9.8011312581279739</v>
      </c>
      <c r="Q16" s="14">
        <v>5962.8329705215438</v>
      </c>
      <c r="R16">
        <v>-576.65720347153592</v>
      </c>
      <c r="S16" s="14">
        <v>2807.5821012849583</v>
      </c>
      <c r="T16">
        <v>-763.04942056404298</v>
      </c>
      <c r="U16" s="14">
        <v>13104.402614609529</v>
      </c>
      <c r="V16">
        <v>1988.5709287535581</v>
      </c>
      <c r="W16" s="14">
        <v>6590.2576198384086</v>
      </c>
      <c r="X16">
        <v>694.32048645970372</v>
      </c>
      <c r="Y16" s="14">
        <v>1892.0073844582232</v>
      </c>
      <c r="Z16">
        <v>-368.30519860459583</v>
      </c>
      <c r="AA16" s="14">
        <v>2290.1547238686967</v>
      </c>
      <c r="AB16">
        <v>79.480363281329602</v>
      </c>
      <c r="AC16" s="14">
        <v>9871.3126379440655</v>
      </c>
      <c r="AD16">
        <v>-2736.43889229259</v>
      </c>
      <c r="AE16" s="14">
        <v>45775.701505247831</v>
      </c>
      <c r="AF16">
        <v>2495.6419105340174</v>
      </c>
      <c r="AG16" s="14">
        <v>23022.267215255768</v>
      </c>
      <c r="AH16">
        <v>1441.7791182617943</v>
      </c>
      <c r="AI16" s="14">
        <v>6677.7778171268683</v>
      </c>
      <c r="AJ16">
        <v>-1517.7948835636726</v>
      </c>
      <c r="AK16" s="14">
        <v>8048.6682009612423</v>
      </c>
      <c r="AL16">
        <v>5.3133710995340877</v>
      </c>
      <c r="AM16" s="14">
        <v>21657.232008255309</v>
      </c>
      <c r="AN16">
        <v>-3008.5697947756794</v>
      </c>
      <c r="AO16" s="14">
        <v>10949.229238703267</v>
      </c>
      <c r="AP16">
        <v>-476.97108146301423</v>
      </c>
      <c r="AQ16" s="14">
        <v>3210.0863242197074</v>
      </c>
      <c r="AR16">
        <v>-826.64694008501283</v>
      </c>
      <c r="AS16" s="14">
        <v>3823.7690839484885</v>
      </c>
      <c r="AT16">
        <v>-345.49711968936867</v>
      </c>
      <c r="AU16" s="14">
        <v>50637.361762448803</v>
      </c>
      <c r="AV16">
        <v>6915.9287792648047</v>
      </c>
      <c r="AW16" s="14">
        <v>14920.336906783094</v>
      </c>
      <c r="AX16">
        <v>-1112.2450459053364</v>
      </c>
      <c r="AY16" s="14">
        <v>17656.779028272518</v>
      </c>
      <c r="AZ16">
        <v>1473.0336047534613</v>
      </c>
      <c r="BA16" s="14">
        <v>7443.3099066751147</v>
      </c>
      <c r="BB16">
        <v>-65.036767928429967</v>
      </c>
      <c r="BC16" s="14">
        <v>9073.7429480065985</v>
      </c>
      <c r="BD16">
        <v>627.11153757512295</v>
      </c>
      <c r="BE16" s="14">
        <v>2616.6324155491252</v>
      </c>
      <c r="BF16">
        <v>-148.2579930086691</v>
      </c>
    </row>
    <row r="17" spans="1:58" x14ac:dyDescent="0.25">
      <c r="A17" s="15">
        <v>2025</v>
      </c>
      <c r="B17">
        <v>16</v>
      </c>
      <c r="C17" s="14">
        <v>181.99841269841272</v>
      </c>
      <c r="D17">
        <v>2.9835948065443061</v>
      </c>
      <c r="E17" s="14">
        <v>563.42222222222222</v>
      </c>
      <c r="F17">
        <v>-80.308466574801997</v>
      </c>
      <c r="G17" s="14">
        <v>250.81614512471654</v>
      </c>
      <c r="H17">
        <v>-59.068375784311122</v>
      </c>
      <c r="I17" s="14">
        <v>1403.0882541516555</v>
      </c>
      <c r="J17">
        <v>244.11716316666789</v>
      </c>
      <c r="K17" s="14">
        <v>496.9787771131605</v>
      </c>
      <c r="L17">
        <v>61.568362167408218</v>
      </c>
      <c r="M17" s="14">
        <v>195.6398987319792</v>
      </c>
      <c r="N17">
        <v>-38.933335288735094</v>
      </c>
      <c r="O17" s="14">
        <v>166.8473804907955</v>
      </c>
      <c r="P17">
        <v>9.0095570572401833</v>
      </c>
      <c r="Q17" s="14">
        <v>5166.8722776518016</v>
      </c>
      <c r="R17">
        <v>-520.15583425611362</v>
      </c>
      <c r="S17" s="14">
        <v>2299.4689889500778</v>
      </c>
      <c r="T17">
        <v>-582.8070164541133</v>
      </c>
      <c r="U17" s="14">
        <v>12758.93662772288</v>
      </c>
      <c r="V17">
        <v>2016.5830032246809</v>
      </c>
      <c r="W17" s="14">
        <v>4468.1527171414082</v>
      </c>
      <c r="X17">
        <v>542.85009015932269</v>
      </c>
      <c r="Y17" s="14">
        <v>1782.1130574060044</v>
      </c>
      <c r="Z17">
        <v>-316.70242979367492</v>
      </c>
      <c r="AA17" s="14">
        <v>1508.1934267366707</v>
      </c>
      <c r="AB17">
        <v>70.939912208349526</v>
      </c>
      <c r="AC17" s="14">
        <v>7262.2687734225974</v>
      </c>
      <c r="AD17">
        <v>-1845.5803174516691</v>
      </c>
      <c r="AE17" s="14">
        <v>39501.271169171974</v>
      </c>
      <c r="AF17">
        <v>1944.5756510003143</v>
      </c>
      <c r="AG17" s="14">
        <v>13547.166601998242</v>
      </c>
      <c r="AH17">
        <v>992.94440219417959</v>
      </c>
      <c r="AI17" s="14">
        <v>5602.858226405473</v>
      </c>
      <c r="AJ17">
        <v>-1176.6802124812571</v>
      </c>
      <c r="AK17" s="14">
        <v>4652.9963378107013</v>
      </c>
      <c r="AL17">
        <v>37.703504546182359</v>
      </c>
      <c r="AM17" s="14">
        <v>17586.693376145926</v>
      </c>
      <c r="AN17">
        <v>-2201.9042346974252</v>
      </c>
      <c r="AO17" s="14">
        <v>6142.7190474561585</v>
      </c>
      <c r="AP17">
        <v>-20.207685635371394</v>
      </c>
      <c r="AQ17" s="14">
        <v>2597.5858131022264</v>
      </c>
      <c r="AR17">
        <v>-531.1288939712922</v>
      </c>
      <c r="AS17" s="14">
        <v>2150.0442381775101</v>
      </c>
      <c r="AT17">
        <v>-101.21454092924537</v>
      </c>
      <c r="AU17" s="14">
        <v>35149.732155908219</v>
      </c>
      <c r="AV17">
        <v>5396.719418056824</v>
      </c>
      <c r="AW17" s="14">
        <v>13859.88184984192</v>
      </c>
      <c r="AX17">
        <v>-713.95024968223299</v>
      </c>
      <c r="AY17" s="14">
        <v>11829.096951408483</v>
      </c>
      <c r="AZ17">
        <v>1090.3043740859116</v>
      </c>
      <c r="BA17" s="14">
        <v>4924.9721457959349</v>
      </c>
      <c r="BB17">
        <v>75.277910674722364</v>
      </c>
      <c r="BC17" s="14">
        <v>4390.6078459130113</v>
      </c>
      <c r="BD17">
        <v>410.48131307804567</v>
      </c>
      <c r="BE17" s="14">
        <v>1710.5600718373666</v>
      </c>
      <c r="BF17">
        <v>-50.914897139353755</v>
      </c>
    </row>
    <row r="18" spans="1:58" x14ac:dyDescent="0.25">
      <c r="A18" s="19">
        <v>1965</v>
      </c>
      <c r="B18">
        <v>17</v>
      </c>
      <c r="C18" s="14">
        <v>173.42063492063494</v>
      </c>
      <c r="D18">
        <v>3.2926597088072258</v>
      </c>
      <c r="E18" s="14">
        <v>533.54726190476185</v>
      </c>
      <c r="F18">
        <v>-80.836208303627288</v>
      </c>
      <c r="G18" s="14">
        <v>232.27619047619049</v>
      </c>
      <c r="H18">
        <v>-54.241290532414148</v>
      </c>
      <c r="I18" s="14">
        <v>1406.9816813334091</v>
      </c>
      <c r="J18">
        <v>239.44439446878241</v>
      </c>
      <c r="K18" s="14">
        <v>510.15853744642567</v>
      </c>
      <c r="L18">
        <v>54.57105885254802</v>
      </c>
      <c r="M18" s="14">
        <v>190.58154390323978</v>
      </c>
      <c r="N18">
        <v>-39.889299393607111</v>
      </c>
      <c r="O18" s="14">
        <v>162.46910438141572</v>
      </c>
      <c r="P18">
        <v>7.9185613266172208</v>
      </c>
      <c r="Q18" s="14">
        <v>4691.5899662226002</v>
      </c>
      <c r="R18">
        <v>-505.38506640570802</v>
      </c>
      <c r="S18" s="14">
        <v>2022.2959939531372</v>
      </c>
      <c r="T18">
        <v>-491.35503358724708</v>
      </c>
      <c r="U18" s="14">
        <v>12153.385007054874</v>
      </c>
      <c r="V18">
        <v>1950.7447735350415</v>
      </c>
      <c r="W18" s="14">
        <v>4399.9105489435533</v>
      </c>
      <c r="X18">
        <v>437.37142565895346</v>
      </c>
      <c r="Y18" s="14">
        <v>1660.018350197058</v>
      </c>
      <c r="Z18">
        <v>-299.45125219463677</v>
      </c>
      <c r="AA18" s="14">
        <v>1408.5442177120046</v>
      </c>
      <c r="AB18">
        <v>52.745079720009279</v>
      </c>
      <c r="AC18" s="14">
        <v>6304.9619628684814</v>
      </c>
      <c r="AD18">
        <v>-1489.5658860874419</v>
      </c>
      <c r="AE18" s="14">
        <v>36920.062871045528</v>
      </c>
      <c r="AF18">
        <v>1689.9261195504469</v>
      </c>
      <c r="AG18" s="14">
        <v>13422.268281200126</v>
      </c>
      <c r="AH18">
        <v>700.7155560430989</v>
      </c>
      <c r="AI18" s="14">
        <v>5120.5149002279231</v>
      </c>
      <c r="AJ18">
        <v>-1088.0880311615308</v>
      </c>
      <c r="AK18" s="14">
        <v>4304.7420666519265</v>
      </c>
      <c r="AL18">
        <v>29.80940735257591</v>
      </c>
      <c r="AM18" s="14">
        <v>16417.909659499895</v>
      </c>
      <c r="AN18">
        <v>-2020.9185685908856</v>
      </c>
      <c r="AO18" s="14">
        <v>5937.1919722725015</v>
      </c>
      <c r="AP18">
        <v>-108.40038485501879</v>
      </c>
      <c r="AQ18" s="14">
        <v>2333.4002523565509</v>
      </c>
      <c r="AR18">
        <v>-512.77281309324871</v>
      </c>
      <c r="AS18" s="14">
        <v>1959.173196812503</v>
      </c>
      <c r="AT18">
        <v>-102.64407908294672</v>
      </c>
      <c r="AU18" s="14">
        <v>36319.84170364165</v>
      </c>
      <c r="AV18">
        <v>5255.0630052365295</v>
      </c>
      <c r="AW18" s="14">
        <v>13774.156547042805</v>
      </c>
      <c r="AX18">
        <v>-889.70340545655449</v>
      </c>
      <c r="AY18" s="14">
        <v>11563.196962767483</v>
      </c>
      <c r="AZ18">
        <v>1034.6970302822999</v>
      </c>
      <c r="BA18" s="14">
        <v>4889.2126938188012</v>
      </c>
      <c r="BB18">
        <v>2.3094980905678213</v>
      </c>
      <c r="BC18" s="14">
        <v>4240.7497550953403</v>
      </c>
      <c r="BD18">
        <v>321.64533179456009</v>
      </c>
      <c r="BE18" s="14">
        <v>1604.86211480053</v>
      </c>
      <c r="BF18">
        <v>-65.170728213016716</v>
      </c>
    </row>
    <row r="19" spans="1:58" x14ac:dyDescent="0.25">
      <c r="A19" s="15">
        <v>2095.9595959595958</v>
      </c>
      <c r="B19">
        <v>18</v>
      </c>
      <c r="C19" s="14">
        <v>169.56417233560092</v>
      </c>
      <c r="D19">
        <v>4.3963704622209612</v>
      </c>
      <c r="E19" s="14">
        <v>523.83920634920639</v>
      </c>
      <c r="F19">
        <v>-80.14462952202021</v>
      </c>
      <c r="G19" s="14">
        <v>224.61904761904762</v>
      </c>
      <c r="H19">
        <v>-56.396772628872782</v>
      </c>
      <c r="I19" s="14">
        <v>1330.6674515095197</v>
      </c>
      <c r="J19">
        <v>229.08725211867704</v>
      </c>
      <c r="K19" s="14">
        <v>453.49505900184539</v>
      </c>
      <c r="L19">
        <v>49.954286052059487</v>
      </c>
      <c r="M19" s="14">
        <v>184.95767387727892</v>
      </c>
      <c r="N19">
        <v>-37.86431134152074</v>
      </c>
      <c r="O19" s="14">
        <v>145.3153481322127</v>
      </c>
      <c r="P19">
        <v>6.9751586267712256</v>
      </c>
      <c r="Q19" s="14">
        <v>4583.1207459597599</v>
      </c>
      <c r="R19">
        <v>-490.378778579308</v>
      </c>
      <c r="S19" s="14">
        <v>1955.3200788251809</v>
      </c>
      <c r="T19">
        <v>-516.21280558902833</v>
      </c>
      <c r="U19" s="14">
        <v>11320.45277296381</v>
      </c>
      <c r="V19">
        <v>1931.1079103792706</v>
      </c>
      <c r="W19" s="14">
        <v>3810.7320571922846</v>
      </c>
      <c r="X19">
        <v>415.9594316777011</v>
      </c>
      <c r="Y19" s="14">
        <v>1604.4119154094424</v>
      </c>
      <c r="Z19">
        <v>-292.19100898967218</v>
      </c>
      <c r="AA19" s="14">
        <v>1245.3001484357515</v>
      </c>
      <c r="AB19">
        <v>50.84637641941687</v>
      </c>
      <c r="AC19" s="14">
        <v>6026.8320483749058</v>
      </c>
      <c r="AD19">
        <v>-1693.0367499605941</v>
      </c>
      <c r="AE19" s="14">
        <v>34790.153112561202</v>
      </c>
      <c r="AF19">
        <v>1984.1024118678586</v>
      </c>
      <c r="AG19" s="14">
        <v>11500.086410352538</v>
      </c>
      <c r="AH19">
        <v>696.77271992656733</v>
      </c>
      <c r="AI19" s="14">
        <v>4927.2172376193621</v>
      </c>
      <c r="AJ19">
        <v>-1130.9593097682141</v>
      </c>
      <c r="AK19" s="14">
        <v>3742.8375299948398</v>
      </c>
      <c r="AL19">
        <v>-29.793561421127208</v>
      </c>
      <c r="AM19" s="14">
        <v>15026.951891346711</v>
      </c>
      <c r="AN19">
        <v>-1994.5827918944935</v>
      </c>
      <c r="AO19" s="14">
        <v>5062.1844485957872</v>
      </c>
      <c r="AP19">
        <v>-163.55056569246091</v>
      </c>
      <c r="AQ19" s="14">
        <v>2160.8603767377858</v>
      </c>
      <c r="AR19">
        <v>-508.92428964348824</v>
      </c>
      <c r="AS19" s="14">
        <v>1659.5994513155304</v>
      </c>
      <c r="AT19">
        <v>-131.6108740973026</v>
      </c>
      <c r="AU19" s="14">
        <v>30551.040677923884</v>
      </c>
      <c r="AV19">
        <v>4478.636010251008</v>
      </c>
      <c r="AW19" s="14">
        <v>12468.978017748557</v>
      </c>
      <c r="AX19">
        <v>-680.95790655394217</v>
      </c>
      <c r="AY19" s="14">
        <v>9779.6560034454778</v>
      </c>
      <c r="AZ19">
        <v>885.96779315215247</v>
      </c>
      <c r="BA19" s="14">
        <v>4190.4014737109983</v>
      </c>
      <c r="BB19">
        <v>25.388872592579112</v>
      </c>
      <c r="BC19" s="14">
        <v>3448.8086726933439</v>
      </c>
      <c r="BD19">
        <v>286.71174462508816</v>
      </c>
      <c r="BE19" s="14">
        <v>1368.8344824716655</v>
      </c>
      <c r="BF19">
        <v>-63.316259805279543</v>
      </c>
    </row>
    <row r="20" spans="1:58" x14ac:dyDescent="0.25">
      <c r="A20" s="15">
        <v>1415.0943396226414</v>
      </c>
      <c r="B20">
        <v>19</v>
      </c>
      <c r="C20" s="14">
        <v>183.2428571428571</v>
      </c>
      <c r="D20">
        <v>3.2793325041666326</v>
      </c>
      <c r="E20" s="14">
        <v>608.19999999999993</v>
      </c>
      <c r="F20">
        <v>-88.422824655255766</v>
      </c>
      <c r="G20" s="14">
        <v>264.11428571428576</v>
      </c>
      <c r="H20">
        <v>-67.161279528124055</v>
      </c>
      <c r="I20" s="14">
        <v>1450.1355041784154</v>
      </c>
      <c r="J20">
        <v>237.76010713495407</v>
      </c>
      <c r="K20" s="14">
        <v>721.63167516112742</v>
      </c>
      <c r="L20">
        <v>74.728086268686056</v>
      </c>
      <c r="M20" s="14">
        <v>234.36852544675469</v>
      </c>
      <c r="N20">
        <v>-50.571733380207391</v>
      </c>
      <c r="O20" s="14">
        <v>226.13812018808184</v>
      </c>
      <c r="P20">
        <v>7.1355757997805505</v>
      </c>
      <c r="Q20" s="14">
        <v>5580.4765306122445</v>
      </c>
      <c r="R20">
        <v>-542.93490917782458</v>
      </c>
      <c r="S20" s="14">
        <v>2422.0485714285714</v>
      </c>
      <c r="T20">
        <v>-646.66215594859773</v>
      </c>
      <c r="U20" s="14">
        <v>13270.587711479011</v>
      </c>
      <c r="V20">
        <v>1985.4470304821593</v>
      </c>
      <c r="W20" s="14">
        <v>6587.0382244189987</v>
      </c>
      <c r="X20">
        <v>677.80453800147347</v>
      </c>
      <c r="Y20" s="14">
        <v>2148.2785538548815</v>
      </c>
      <c r="Z20">
        <v>-419.12921725895609</v>
      </c>
      <c r="AA20" s="14">
        <v>2070.4675506757881</v>
      </c>
      <c r="AB20">
        <v>56.224454152018424</v>
      </c>
      <c r="AC20" s="14">
        <v>8102.1102040816331</v>
      </c>
      <c r="AD20">
        <v>-2165.7155675074246</v>
      </c>
      <c r="AE20" s="14">
        <v>44036.631223285702</v>
      </c>
      <c r="AF20">
        <v>2227.0316647858363</v>
      </c>
      <c r="AG20" s="14">
        <v>21862.109118461685</v>
      </c>
      <c r="AH20">
        <v>1292.6038349231362</v>
      </c>
      <c r="AI20" s="14">
        <v>7180.4211258797504</v>
      </c>
      <c r="AJ20">
        <v>-1607.6545815398586</v>
      </c>
      <c r="AK20" s="14">
        <v>6902.2933868017617</v>
      </c>
      <c r="AL20">
        <v>-77.723445336835994</v>
      </c>
      <c r="AM20" s="14">
        <v>19157.453634521644</v>
      </c>
      <c r="AN20">
        <v>-2726.4789230980418</v>
      </c>
      <c r="AO20" s="14">
        <v>9514.1100845555629</v>
      </c>
      <c r="AP20">
        <v>-455.68736743344476</v>
      </c>
      <c r="AQ20" s="14">
        <v>3161.8948827013296</v>
      </c>
      <c r="AR20">
        <v>-785.70022847639257</v>
      </c>
      <c r="AS20" s="14">
        <v>3020.6987573368424</v>
      </c>
      <c r="AT20">
        <v>-319.67890507025504</v>
      </c>
      <c r="AU20" s="14">
        <v>52442.194568969797</v>
      </c>
      <c r="AV20">
        <v>7065.2354863716837</v>
      </c>
      <c r="AW20" s="14">
        <v>17028.195010168118</v>
      </c>
      <c r="AX20">
        <v>-1231.288919790097</v>
      </c>
      <c r="AY20" s="14">
        <v>16382.403341862748</v>
      </c>
      <c r="AZ20">
        <v>1221.1456065664852</v>
      </c>
      <c r="BA20" s="14">
        <v>8434.9026816535061</v>
      </c>
      <c r="BB20">
        <v>-134.03438268357996</v>
      </c>
      <c r="BC20" s="14">
        <v>8241.7517021114436</v>
      </c>
      <c r="BD20">
        <v>508.91175412928703</v>
      </c>
      <c r="BE20" s="14">
        <v>2671.6716987250102</v>
      </c>
      <c r="BF20">
        <v>-188.46077697822867</v>
      </c>
    </row>
    <row r="21" spans="1:58" x14ac:dyDescent="0.25">
      <c r="A21" s="15">
        <v>2038</v>
      </c>
      <c r="B21">
        <v>20</v>
      </c>
      <c r="C21" s="14">
        <v>179.20892857142857</v>
      </c>
      <c r="D21">
        <v>3.0291760274298922</v>
      </c>
      <c r="E21" s="14">
        <v>606.39821428571429</v>
      </c>
      <c r="F21">
        <v>-84.678448722408987</v>
      </c>
      <c r="G21" s="14">
        <v>235.88749999999999</v>
      </c>
      <c r="H21">
        <v>-55.892833291875768</v>
      </c>
      <c r="I21" s="14">
        <v>1486.6306153982196</v>
      </c>
      <c r="J21">
        <v>257.50510881960247</v>
      </c>
      <c r="K21" s="14">
        <v>754.73796081833757</v>
      </c>
      <c r="L21">
        <v>95.064286579664639</v>
      </c>
      <c r="M21" s="14">
        <v>219.09811472897445</v>
      </c>
      <c r="N21">
        <v>-44.857365564724702</v>
      </c>
      <c r="O21" s="14">
        <v>234.61236223673282</v>
      </c>
      <c r="P21">
        <v>15.55141669544831</v>
      </c>
      <c r="Q21" s="14">
        <v>5432.1859151785702</v>
      </c>
      <c r="R21">
        <v>-509.31680430753562</v>
      </c>
      <c r="S21" s="14">
        <v>2092.6155165816326</v>
      </c>
      <c r="T21">
        <v>-549.0533651215394</v>
      </c>
      <c r="U21" s="14">
        <v>13261.3806325244</v>
      </c>
      <c r="V21">
        <v>2074.3943671235602</v>
      </c>
      <c r="W21" s="14">
        <v>6705.6414139584094</v>
      </c>
      <c r="X21">
        <v>757.57684563306259</v>
      </c>
      <c r="Y21" s="14">
        <v>1947.8440166147759</v>
      </c>
      <c r="Z21">
        <v>-371.80351532020615</v>
      </c>
      <c r="AA21" s="14">
        <v>2087.9465630329018</v>
      </c>
      <c r="AB21">
        <v>97.496254587760717</v>
      </c>
      <c r="AC21" s="14">
        <v>7365.4979528061231</v>
      </c>
      <c r="AD21">
        <v>-1805.2916123690547</v>
      </c>
      <c r="AE21" s="14">
        <v>45151.759746300129</v>
      </c>
      <c r="AF21">
        <v>2790.5822171687773</v>
      </c>
      <c r="AG21" s="14">
        <v>22690.512450323826</v>
      </c>
      <c r="AH21">
        <v>1940.922551712986</v>
      </c>
      <c r="AI21" s="14">
        <v>6796.0065017563829</v>
      </c>
      <c r="AJ21">
        <v>-1396.6566257147185</v>
      </c>
      <c r="AK21" s="14">
        <v>7186.0668880437433</v>
      </c>
      <c r="AL21">
        <v>214.92376631459098</v>
      </c>
      <c r="AM21" s="14">
        <v>17718.415631886914</v>
      </c>
      <c r="AN21">
        <v>-2237.1429018684962</v>
      </c>
      <c r="AO21" s="14">
        <v>8850.2189167336892</v>
      </c>
      <c r="AP21">
        <v>6.1423036620555251</v>
      </c>
      <c r="AQ21" s="14">
        <v>2775.5116152567994</v>
      </c>
      <c r="AR21">
        <v>-613.04719506064146</v>
      </c>
      <c r="AS21" s="14">
        <v>2870.9391807416441</v>
      </c>
      <c r="AT21">
        <v>-109.11287047183009</v>
      </c>
      <c r="AU21" s="14">
        <v>56631.977942668665</v>
      </c>
      <c r="AV21">
        <v>9138.6377000129651</v>
      </c>
      <c r="AW21" s="14">
        <v>16482.835772307182</v>
      </c>
      <c r="AX21">
        <v>-942.99152456454829</v>
      </c>
      <c r="AY21" s="14">
        <v>17588.904222834281</v>
      </c>
      <c r="AZ21">
        <v>1938.9533823814854</v>
      </c>
      <c r="BA21" s="14">
        <v>8259.5248976619769</v>
      </c>
      <c r="BB21">
        <v>133.27804019112892</v>
      </c>
      <c r="BC21" s="14">
        <v>9231.6280458889596</v>
      </c>
      <c r="BD21">
        <v>1078.8470333312132</v>
      </c>
      <c r="BE21" s="14">
        <v>2650.9181400610896</v>
      </c>
      <c r="BF21">
        <v>-67.797500352058705</v>
      </c>
    </row>
    <row r="22" spans="1:58" x14ac:dyDescent="0.25">
      <c r="A22" s="15">
        <v>1241</v>
      </c>
      <c r="B22">
        <v>21</v>
      </c>
      <c r="C22" s="14">
        <v>171.49821428571428</v>
      </c>
      <c r="D22">
        <v>0.88491348331297326</v>
      </c>
      <c r="E22" s="14">
        <v>639.69107142857138</v>
      </c>
      <c r="F22">
        <v>-92.547359088870721</v>
      </c>
      <c r="G22" s="14">
        <v>289.22142857142865</v>
      </c>
      <c r="H22">
        <v>-78.511287960084374</v>
      </c>
      <c r="I22" s="14">
        <v>1488.8416768371678</v>
      </c>
      <c r="J22">
        <v>237.4461160005248</v>
      </c>
      <c r="K22" s="14">
        <v>671.63642730668471</v>
      </c>
      <c r="L22">
        <v>66.066404079629379</v>
      </c>
      <c r="M22" s="14">
        <v>238.73011635045543</v>
      </c>
      <c r="N22">
        <v>-54.884164822919452</v>
      </c>
      <c r="O22" s="14">
        <v>225.26064248096256</v>
      </c>
      <c r="P22">
        <v>5.7650299114288206</v>
      </c>
      <c r="Q22" s="14">
        <v>5510.8996332908173</v>
      </c>
      <c r="R22">
        <v>-555.36803635076342</v>
      </c>
      <c r="S22" s="14">
        <v>2483.6651147959187</v>
      </c>
      <c r="T22">
        <v>-721.45100475929655</v>
      </c>
      <c r="U22" s="14">
        <v>12801.518506048726</v>
      </c>
      <c r="V22">
        <v>1669.7757059206631</v>
      </c>
      <c r="W22" s="14">
        <v>5715.8632057428431</v>
      </c>
      <c r="X22">
        <v>493.02589181833957</v>
      </c>
      <c r="Y22" s="14">
        <v>2052.6436888299245</v>
      </c>
      <c r="Z22">
        <v>-444.47801781390967</v>
      </c>
      <c r="AA22" s="14">
        <v>1930.7043561959815</v>
      </c>
      <c r="AB22">
        <v>29.739202812107003</v>
      </c>
      <c r="AC22" s="14">
        <v>9355.5558801020416</v>
      </c>
      <c r="AD22">
        <v>-2648.2233498856667</v>
      </c>
      <c r="AE22" s="14">
        <v>47558.238488693802</v>
      </c>
      <c r="AF22">
        <v>2055.0010542478162</v>
      </c>
      <c r="AG22" s="14">
        <v>21179.292006152245</v>
      </c>
      <c r="AH22">
        <v>1110.2868232253018</v>
      </c>
      <c r="AI22" s="14">
        <v>7698.5715227164465</v>
      </c>
      <c r="AJ22">
        <v>-1854.4047512461357</v>
      </c>
      <c r="AK22" s="14">
        <v>7176.5294283617832</v>
      </c>
      <c r="AL22">
        <v>-133.46396468858057</v>
      </c>
      <c r="AM22" s="14">
        <v>21477.712989016414</v>
      </c>
      <c r="AN22">
        <v>-3681.0000792776464</v>
      </c>
      <c r="AO22" s="14">
        <v>9474.1784239645276</v>
      </c>
      <c r="AP22">
        <v>-561.81862278958727</v>
      </c>
      <c r="AQ22" s="14">
        <v>3527.2265567576774</v>
      </c>
      <c r="AR22">
        <v>-1000.3594195435846</v>
      </c>
      <c r="AS22" s="14">
        <v>3238.4339204883991</v>
      </c>
      <c r="AT22">
        <v>-401.03421275687128</v>
      </c>
      <c r="AU22" s="14">
        <v>50399.913358689264</v>
      </c>
      <c r="AV22">
        <v>6489.9987384566512</v>
      </c>
      <c r="AW22" s="14">
        <v>17809.614157515651</v>
      </c>
      <c r="AX22">
        <v>-1669.4504755492567</v>
      </c>
      <c r="AY22" s="14">
        <v>16860.950326674687</v>
      </c>
      <c r="AZ22">
        <v>1087.4507766421925</v>
      </c>
      <c r="BA22" s="14">
        <v>7895.9133200304568</v>
      </c>
      <c r="BB22">
        <v>-214.33692629393727</v>
      </c>
      <c r="BC22" s="14">
        <v>7824.8226834325642</v>
      </c>
      <c r="BD22">
        <v>392.37736198910386</v>
      </c>
      <c r="BE22" s="14">
        <v>2683.1932771416141</v>
      </c>
      <c r="BF22">
        <v>-243.26182350469503</v>
      </c>
    </row>
    <row r="23" spans="1:58" x14ac:dyDescent="0.25">
      <c r="A23" s="18">
        <v>1575</v>
      </c>
      <c r="B23">
        <v>22</v>
      </c>
      <c r="C23" s="14">
        <v>171.57142857142861</v>
      </c>
      <c r="D23">
        <v>1.7025998863255754</v>
      </c>
      <c r="E23" s="14">
        <v>632.07142857142844</v>
      </c>
      <c r="F23">
        <v>-91.547069056959756</v>
      </c>
      <c r="G23" s="14">
        <v>275</v>
      </c>
      <c r="H23">
        <v>-71.785801557466911</v>
      </c>
      <c r="I23" s="14">
        <v>1458.8017465974474</v>
      </c>
      <c r="J23">
        <v>243.29140937813773</v>
      </c>
      <c r="K23" s="14">
        <v>695.96482506911229</v>
      </c>
      <c r="L23">
        <v>67.789689299699617</v>
      </c>
      <c r="M23" s="14">
        <v>244.70581761357542</v>
      </c>
      <c r="N23">
        <v>-53.854062536629748</v>
      </c>
      <c r="O23" s="14">
        <v>228.09221986380928</v>
      </c>
      <c r="P23">
        <v>7.2551180927401422</v>
      </c>
      <c r="Q23" s="14">
        <v>5448.1187074829922</v>
      </c>
      <c r="R23">
        <v>-569.12943262924978</v>
      </c>
      <c r="S23" s="14">
        <v>2339.0228571428574</v>
      </c>
      <c r="T23">
        <v>-668.51663720970032</v>
      </c>
      <c r="U23" s="14">
        <v>12394.04436686591</v>
      </c>
      <c r="V23">
        <v>1785.4014556184554</v>
      </c>
      <c r="W23" s="14">
        <v>5764.1034087388452</v>
      </c>
      <c r="X23">
        <v>597.4611673442505</v>
      </c>
      <c r="Y23" s="14">
        <v>2073.918282138025</v>
      </c>
      <c r="Z23">
        <v>-437.62508346890689</v>
      </c>
      <c r="AA23" s="14">
        <v>1916.4688564299488</v>
      </c>
      <c r="AB23">
        <v>50.244140198920817</v>
      </c>
      <c r="AC23" s="14">
        <v>8764.0791836734679</v>
      </c>
      <c r="AD23">
        <v>-2391.7219759690142</v>
      </c>
      <c r="AE23" s="14">
        <v>46005.645479811479</v>
      </c>
      <c r="AF23">
        <v>2306.6895984575694</v>
      </c>
      <c r="AG23" s="14">
        <v>21840.041691068633</v>
      </c>
      <c r="AH23">
        <v>1215.7841401763901</v>
      </c>
      <c r="AI23" s="14">
        <v>7783.7203426873957</v>
      </c>
      <c r="AJ23">
        <v>-1785.1480882749242</v>
      </c>
      <c r="AK23" s="14">
        <v>7234.7227746890449</v>
      </c>
      <c r="AL23">
        <v>-61.910729105492045</v>
      </c>
      <c r="AM23" s="14">
        <v>20174.624703378755</v>
      </c>
      <c r="AN23">
        <v>-3086.5135523599774</v>
      </c>
      <c r="AO23" s="14">
        <v>9772.1235264041625</v>
      </c>
      <c r="AP23">
        <v>-473.82629042984706</v>
      </c>
      <c r="AQ23" s="14">
        <v>3463.5012682002134</v>
      </c>
      <c r="AR23">
        <v>-913.05007004305639</v>
      </c>
      <c r="AS23" s="14">
        <v>3233.8099531789499</v>
      </c>
      <c r="AT23">
        <v>-338.70224448766083</v>
      </c>
      <c r="AU23" s="14">
        <v>51677.158778209065</v>
      </c>
      <c r="AV23">
        <v>6741.4950568785116</v>
      </c>
      <c r="AW23" s="14">
        <v>18055.715257922413</v>
      </c>
      <c r="AX23">
        <v>-1416.3321404704473</v>
      </c>
      <c r="AY23" s="14">
        <v>16832.293069358373</v>
      </c>
      <c r="AZ23">
        <v>1271.4547609686722</v>
      </c>
      <c r="BA23" s="14">
        <v>8747.4326857982815</v>
      </c>
      <c r="BB23">
        <v>-158.15812003477743</v>
      </c>
      <c r="BC23" s="14">
        <v>8335.4190134331293</v>
      </c>
      <c r="BD23">
        <v>422.9748623957708</v>
      </c>
      <c r="BE23" s="14">
        <v>2884.4412843568989</v>
      </c>
      <c r="BF23">
        <v>-200.94801965224897</v>
      </c>
    </row>
    <row r="24" spans="1:58" x14ac:dyDescent="0.25">
      <c r="A24" s="18">
        <v>2099</v>
      </c>
      <c r="B24">
        <v>23</v>
      </c>
      <c r="C24" s="14">
        <v>178.38517006802718</v>
      </c>
      <c r="D24">
        <v>3.9992206514700581</v>
      </c>
      <c r="E24" s="14">
        <v>609.47142857142865</v>
      </c>
      <c r="F24">
        <v>-87.243416276925103</v>
      </c>
      <c r="G24" s="14">
        <v>247.55360544217683</v>
      </c>
      <c r="H24">
        <v>-59.882569599025395</v>
      </c>
      <c r="I24" s="14">
        <v>1493.0720400985026</v>
      </c>
      <c r="J24">
        <v>256.0213787395935</v>
      </c>
      <c r="K24" s="14">
        <v>738.14601605214614</v>
      </c>
      <c r="L24">
        <v>89.296231301841459</v>
      </c>
      <c r="M24" s="14">
        <v>210.81103543564942</v>
      </c>
      <c r="N24">
        <v>-44.432382148131822</v>
      </c>
      <c r="O24" s="14">
        <v>255.94031670322445</v>
      </c>
      <c r="P24">
        <v>15.742672097885269</v>
      </c>
      <c r="Q24" s="14">
        <v>5491.2958313896988</v>
      </c>
      <c r="R24">
        <v>-536.64892803209932</v>
      </c>
      <c r="S24" s="14">
        <v>2218.1375934101529</v>
      </c>
      <c r="T24">
        <v>-580.21792282153444</v>
      </c>
      <c r="U24" s="14">
        <v>13304.261293812031</v>
      </c>
      <c r="V24">
        <v>2165.9243787690984</v>
      </c>
      <c r="W24" s="14">
        <v>6570.8849312339962</v>
      </c>
      <c r="X24">
        <v>809.32154672263073</v>
      </c>
      <c r="Y24" s="14">
        <v>1885.11180980584</v>
      </c>
      <c r="Z24">
        <v>-358.2432709648823</v>
      </c>
      <c r="AA24" s="14">
        <v>2275.348856468891</v>
      </c>
      <c r="AB24">
        <v>115.13747591944494</v>
      </c>
      <c r="AC24" s="14">
        <v>7685.5103894557815</v>
      </c>
      <c r="AD24">
        <v>-1966.1926997888945</v>
      </c>
      <c r="AE24" s="14">
        <v>45434.983436114926</v>
      </c>
      <c r="AF24">
        <v>2355.6243235668981</v>
      </c>
      <c r="AG24" s="14">
        <v>22554.947315432441</v>
      </c>
      <c r="AH24">
        <v>1786.0842481588543</v>
      </c>
      <c r="AI24" s="14">
        <v>6511.7586647499566</v>
      </c>
      <c r="AJ24">
        <v>-1435.4320414750366</v>
      </c>
      <c r="AK24" s="14">
        <v>7826.5909245578305</v>
      </c>
      <c r="AL24">
        <v>166.64438503115468</v>
      </c>
      <c r="AM24" s="14">
        <v>18463.268718733543</v>
      </c>
      <c r="AN24">
        <v>-2573.5799551527207</v>
      </c>
      <c r="AO24" s="14">
        <v>9270.1921945875274</v>
      </c>
      <c r="AP24">
        <v>24.811928665169233</v>
      </c>
      <c r="AQ24" s="14">
        <v>2734.9594153052412</v>
      </c>
      <c r="AR24">
        <v>-638.4741493987492</v>
      </c>
      <c r="AS24" s="14">
        <v>3199.4235350475769</v>
      </c>
      <c r="AT24">
        <v>-156.38596848339157</v>
      </c>
      <c r="AU24" s="14">
        <v>55508.18896248033</v>
      </c>
      <c r="AV24">
        <v>8529.6360901451881</v>
      </c>
      <c r="AW24" s="14">
        <v>15807.118140989664</v>
      </c>
      <c r="AX24">
        <v>-1046.9927413799214</v>
      </c>
      <c r="AY24" s="14">
        <v>19253.713398278156</v>
      </c>
      <c r="AZ24">
        <v>1954.0656045709459</v>
      </c>
      <c r="BA24" s="14">
        <v>7974.5470839291711</v>
      </c>
      <c r="BB24">
        <v>151.24475769296811</v>
      </c>
      <c r="BC24" s="14">
        <v>9819.1305146158938</v>
      </c>
      <c r="BD24">
        <v>987.18083453189706</v>
      </c>
      <c r="BE24" s="14">
        <v>2762.6588518902963</v>
      </c>
      <c r="BF24">
        <v>-82.248073761918278</v>
      </c>
    </row>
    <row r="25" spans="1:58" x14ac:dyDescent="0.25">
      <c r="A25" s="5">
        <v>2431</v>
      </c>
      <c r="B25">
        <v>24</v>
      </c>
      <c r="C25" s="14">
        <v>179.66666666666669</v>
      </c>
      <c r="D25">
        <v>5.6189676699521129</v>
      </c>
      <c r="E25" s="14">
        <v>620.59305555555557</v>
      </c>
      <c r="F25">
        <v>-86.637960762111163</v>
      </c>
      <c r="G25" s="14">
        <v>225.21984126984123</v>
      </c>
      <c r="H25">
        <v>-48.58300973115994</v>
      </c>
      <c r="I25" s="14">
        <v>1495.154549883883</v>
      </c>
      <c r="J25">
        <v>271.996180591376</v>
      </c>
      <c r="K25" s="14">
        <v>894.72388281025246</v>
      </c>
      <c r="L25">
        <v>95.692546807733109</v>
      </c>
      <c r="M25" s="14">
        <v>193.0944157935389</v>
      </c>
      <c r="N25">
        <v>-40.966588899314793</v>
      </c>
      <c r="O25" s="14">
        <v>277.92379443379207</v>
      </c>
      <c r="P25">
        <v>15.872332718236038</v>
      </c>
      <c r="Q25" s="14">
        <v>5561.5959769463343</v>
      </c>
      <c r="R25">
        <v>-493.83267505755191</v>
      </c>
      <c r="S25" s="14">
        <v>1976.0645993953135</v>
      </c>
      <c r="T25">
        <v>-484.16008324311179</v>
      </c>
      <c r="U25" s="14">
        <v>13612.032298638642</v>
      </c>
      <c r="V25">
        <v>2454.2885694506699</v>
      </c>
      <c r="W25" s="14">
        <v>8054.5453741208803</v>
      </c>
      <c r="X25">
        <v>780.92324118096371</v>
      </c>
      <c r="Y25" s="14">
        <v>1734.1340707078139</v>
      </c>
      <c r="Z25">
        <v>-321.78304608452299</v>
      </c>
      <c r="AA25" s="14">
        <v>2458.3319110491429</v>
      </c>
      <c r="AB25">
        <v>76.460184971026891</v>
      </c>
      <c r="AC25" s="14">
        <v>7102.4810796170332</v>
      </c>
      <c r="AD25">
        <v>-1652.3087373453786</v>
      </c>
      <c r="AE25" s="14">
        <v>46186.464104394996</v>
      </c>
      <c r="AF25">
        <v>2784.9788307353811</v>
      </c>
      <c r="AG25" s="14">
        <v>27725.303324616474</v>
      </c>
      <c r="AH25">
        <v>1757.3798196219338</v>
      </c>
      <c r="AI25" s="14">
        <v>6050.9207074449032</v>
      </c>
      <c r="AJ25">
        <v>-1353.2892451557325</v>
      </c>
      <c r="AK25" s="14">
        <v>8741.08329188465</v>
      </c>
      <c r="AL25">
        <v>160.94977709670937</v>
      </c>
      <c r="AM25" s="14">
        <v>16330.652081989576</v>
      </c>
      <c r="AN25">
        <v>-2110.4959997669011</v>
      </c>
      <c r="AO25" s="14">
        <v>10047.846878299031</v>
      </c>
      <c r="AP25">
        <v>-56.402348945810061</v>
      </c>
      <c r="AQ25" s="14">
        <v>2251.0521630438952</v>
      </c>
      <c r="AR25">
        <v>-503.14354921082577</v>
      </c>
      <c r="AS25" s="14">
        <v>3350.788340027264</v>
      </c>
      <c r="AT25">
        <v>-37.237885391195761</v>
      </c>
      <c r="AU25" s="14">
        <v>66759.087585378846</v>
      </c>
      <c r="AV25">
        <v>8804.0930034314661</v>
      </c>
      <c r="AW25" s="14">
        <v>14449.208611026976</v>
      </c>
      <c r="AX25">
        <v>-933.82050716742822</v>
      </c>
      <c r="AY25" s="14">
        <v>20224.365607875192</v>
      </c>
      <c r="AZ25">
        <v>1498.549828672273</v>
      </c>
      <c r="BA25" s="14">
        <v>8577.5534682168618</v>
      </c>
      <c r="BB25">
        <v>-111.11425366187044</v>
      </c>
      <c r="BC25" s="14">
        <v>12512.728745250317</v>
      </c>
      <c r="BD25">
        <v>1094.0391218728505</v>
      </c>
      <c r="BE25" s="14">
        <v>2750.96296635918</v>
      </c>
      <c r="BF25">
        <v>-138.59847674345272</v>
      </c>
    </row>
    <row r="26" spans="1:58" x14ac:dyDescent="0.25">
      <c r="A26" s="1"/>
    </row>
    <row r="27" spans="1:58" x14ac:dyDescent="0.25">
      <c r="A27" s="5"/>
    </row>
    <row r="28" spans="1:58" ht="15.75" thickBot="1" x14ac:dyDescent="0.3">
      <c r="B28" s="104" t="s">
        <v>675</v>
      </c>
      <c r="C28" s="105"/>
      <c r="D28" s="105"/>
      <c r="E28" s="105"/>
      <c r="F28" s="105"/>
      <c r="G28" s="38"/>
      <c r="H28" s="38"/>
    </row>
    <row r="29" spans="1:58" ht="37.5" thickBot="1" x14ac:dyDescent="0.3">
      <c r="A29" s="6"/>
      <c r="B29" s="39" t="s">
        <v>676</v>
      </c>
      <c r="C29" s="40" t="s">
        <v>677</v>
      </c>
      <c r="D29" s="41" t="s">
        <v>678</v>
      </c>
      <c r="E29" s="41" t="s">
        <v>679</v>
      </c>
      <c r="F29" s="42" t="s">
        <v>680</v>
      </c>
      <c r="G29" s="38"/>
      <c r="H29" s="38"/>
    </row>
    <row r="30" spans="1:58" x14ac:dyDescent="0.25">
      <c r="A30" s="11"/>
      <c r="B30" s="43">
        <v>1</v>
      </c>
      <c r="C30" s="44" t="s">
        <v>681</v>
      </c>
      <c r="D30" s="45">
        <v>0.60138060191884712</v>
      </c>
      <c r="E30" s="45">
        <v>0.58326153836970385</v>
      </c>
      <c r="F30" s="46">
        <v>208.69359076924565</v>
      </c>
      <c r="G30" s="38"/>
      <c r="H30" s="38"/>
    </row>
    <row r="31" spans="1:58" x14ac:dyDescent="0.25">
      <c r="A31" s="8"/>
      <c r="B31" s="47">
        <v>2</v>
      </c>
      <c r="C31" s="48" t="s">
        <v>682</v>
      </c>
      <c r="D31" s="49">
        <v>0.73854162878533913</v>
      </c>
      <c r="E31" s="49">
        <v>0.71364083152680002</v>
      </c>
      <c r="F31" s="50">
        <v>172.99472701937145</v>
      </c>
      <c r="G31" s="38"/>
      <c r="H31" s="38"/>
    </row>
    <row r="32" spans="1:58" x14ac:dyDescent="0.25">
      <c r="A32" s="10"/>
      <c r="B32" s="47">
        <v>3</v>
      </c>
      <c r="C32" s="48" t="s">
        <v>683</v>
      </c>
      <c r="D32" s="49">
        <v>0.83654338657480531</v>
      </c>
      <c r="E32" s="49">
        <v>0.81202489456102611</v>
      </c>
      <c r="F32" s="50">
        <v>140.16109702388366</v>
      </c>
      <c r="G32" s="38"/>
      <c r="H32" s="38"/>
    </row>
    <row r="33" spans="1:8" x14ac:dyDescent="0.25">
      <c r="A33" s="10"/>
      <c r="B33" s="47">
        <v>4</v>
      </c>
      <c r="C33" s="48" t="s">
        <v>684</v>
      </c>
      <c r="D33" s="49">
        <v>0.86858376227091671</v>
      </c>
      <c r="E33" s="49">
        <v>0.84091718590689923</v>
      </c>
      <c r="F33" s="50">
        <v>128.94038180651998</v>
      </c>
      <c r="G33" s="38"/>
      <c r="H33" s="38"/>
    </row>
    <row r="34" spans="1:8" x14ac:dyDescent="0.25">
      <c r="A34" s="10"/>
      <c r="B34" s="47">
        <v>5</v>
      </c>
      <c r="C34" s="48" t="s">
        <v>685</v>
      </c>
      <c r="D34" s="49">
        <v>0.89865927474330642</v>
      </c>
      <c r="E34" s="49">
        <v>0.87050907328311378</v>
      </c>
      <c r="F34" s="50">
        <v>116.33140917639724</v>
      </c>
      <c r="G34" s="38"/>
      <c r="H34" s="38"/>
    </row>
    <row r="35" spans="1:8" x14ac:dyDescent="0.25">
      <c r="A35" s="7"/>
      <c r="B35" s="47">
        <v>6</v>
      </c>
      <c r="C35" s="48" t="s">
        <v>686</v>
      </c>
      <c r="D35" s="49">
        <v>0.93589463767035341</v>
      </c>
      <c r="E35" s="49">
        <v>0.91326921567165464</v>
      </c>
      <c r="F35" s="50">
        <v>95.205920500972653</v>
      </c>
      <c r="G35" s="38"/>
      <c r="H35" s="38"/>
    </row>
    <row r="36" spans="1:8" ht="15.75" thickBot="1" x14ac:dyDescent="0.3">
      <c r="A36" s="7"/>
      <c r="B36" s="51">
        <v>7</v>
      </c>
      <c r="C36" s="52" t="s">
        <v>687</v>
      </c>
      <c r="D36" s="53">
        <v>0.95091381616657233</v>
      </c>
      <c r="E36" s="53">
        <v>0.92943861073944778</v>
      </c>
      <c r="F36" s="54">
        <v>85.873839471488139</v>
      </c>
      <c r="G36" s="38"/>
      <c r="H36" s="38"/>
    </row>
    <row r="37" spans="1:8" x14ac:dyDescent="0.25">
      <c r="A37" s="7"/>
      <c r="B37" s="38"/>
      <c r="C37" s="38"/>
      <c r="D37" s="38"/>
      <c r="E37" s="38"/>
      <c r="F37" s="38"/>
      <c r="G37" s="38"/>
      <c r="H37" s="38"/>
    </row>
    <row r="38" spans="1:8" x14ac:dyDescent="0.25">
      <c r="A38" s="7"/>
      <c r="B38" s="38"/>
      <c r="C38" s="38"/>
      <c r="D38" s="38"/>
      <c r="E38" s="38"/>
      <c r="F38" s="38"/>
      <c r="G38" s="38"/>
      <c r="H38" s="38"/>
    </row>
    <row r="39" spans="1:8" x14ac:dyDescent="0.25">
      <c r="A39" s="12"/>
      <c r="B39" s="38"/>
      <c r="C39" s="38"/>
      <c r="D39" s="38"/>
      <c r="E39" s="38"/>
      <c r="F39" s="38"/>
      <c r="G39" s="38"/>
      <c r="H39" s="38"/>
    </row>
    <row r="40" spans="1:8" x14ac:dyDescent="0.25">
      <c r="A40" s="12"/>
      <c r="B40" s="38"/>
      <c r="C40" s="38"/>
      <c r="D40" s="38"/>
      <c r="E40" s="38"/>
      <c r="F40" s="38"/>
      <c r="G40" s="38"/>
      <c r="H40" s="38"/>
    </row>
    <row r="41" spans="1:8" x14ac:dyDescent="0.25">
      <c r="A41" s="9"/>
      <c r="B41" s="38"/>
      <c r="C41" s="38"/>
      <c r="D41" s="38"/>
      <c r="E41" s="38"/>
      <c r="F41" s="38"/>
      <c r="G41" s="38"/>
      <c r="H41" s="38"/>
    </row>
    <row r="42" spans="1:8" x14ac:dyDescent="0.25">
      <c r="A42" s="9"/>
      <c r="B42" s="38"/>
      <c r="C42" s="38"/>
      <c r="D42" s="38"/>
      <c r="E42" s="38"/>
      <c r="F42" s="38"/>
      <c r="G42" s="38"/>
      <c r="H42" s="38"/>
    </row>
    <row r="43" spans="1:8" x14ac:dyDescent="0.25">
      <c r="A43" s="9"/>
      <c r="B43" s="38"/>
      <c r="C43" s="38"/>
      <c r="D43" s="38"/>
      <c r="E43" s="38"/>
      <c r="F43" s="38"/>
      <c r="G43" s="38"/>
      <c r="H43" s="38"/>
    </row>
    <row r="44" spans="1:8" x14ac:dyDescent="0.25">
      <c r="A44" s="9"/>
      <c r="B44" s="38"/>
      <c r="C44" s="38"/>
      <c r="D44" s="38"/>
      <c r="E44" s="38"/>
      <c r="F44" s="38"/>
      <c r="G44" s="38"/>
      <c r="H44" s="38"/>
    </row>
    <row r="45" spans="1:8" ht="15.75" thickBot="1" x14ac:dyDescent="0.3">
      <c r="A45" s="9"/>
      <c r="B45" s="106" t="s">
        <v>688</v>
      </c>
      <c r="C45" s="107"/>
      <c r="D45" s="107"/>
      <c r="E45" s="107"/>
      <c r="F45" s="107"/>
      <c r="G45" s="107"/>
      <c r="H45" s="107"/>
    </row>
    <row r="46" spans="1:8" ht="25.5" thickBot="1" x14ac:dyDescent="0.3">
      <c r="A46" s="9"/>
      <c r="B46" s="94" t="s">
        <v>676</v>
      </c>
      <c r="C46" s="108"/>
      <c r="D46" s="40" t="s">
        <v>689</v>
      </c>
      <c r="E46" s="41" t="s">
        <v>690</v>
      </c>
      <c r="F46" s="41" t="s">
        <v>691</v>
      </c>
      <c r="G46" s="41" t="s">
        <v>692</v>
      </c>
      <c r="H46" s="42" t="s">
        <v>693</v>
      </c>
    </row>
    <row r="47" spans="1:8" ht="24" x14ac:dyDescent="0.25">
      <c r="A47" s="9"/>
      <c r="B47" s="109">
        <v>1</v>
      </c>
      <c r="C47" s="56" t="s">
        <v>694</v>
      </c>
      <c r="D47" s="57">
        <v>1445545.9136561467</v>
      </c>
      <c r="E47" s="58">
        <v>1</v>
      </c>
      <c r="F47" s="45">
        <v>1445545.9136561467</v>
      </c>
      <c r="G47" s="45">
        <v>33.190490241824939</v>
      </c>
      <c r="H47" s="59" t="s">
        <v>695</v>
      </c>
    </row>
    <row r="48" spans="1:8" x14ac:dyDescent="0.25">
      <c r="A48" s="9"/>
      <c r="B48" s="110"/>
      <c r="C48" s="60" t="s">
        <v>696</v>
      </c>
      <c r="D48" s="61">
        <v>958166.32621954998</v>
      </c>
      <c r="E48" s="62">
        <v>22</v>
      </c>
      <c r="F48" s="49">
        <v>43553.014828161366</v>
      </c>
      <c r="G48" s="63"/>
      <c r="H48" s="64"/>
    </row>
    <row r="49" spans="1:8" x14ac:dyDescent="0.25">
      <c r="A49" s="9"/>
      <c r="B49" s="111"/>
      <c r="C49" s="65" t="s">
        <v>697</v>
      </c>
      <c r="D49" s="66">
        <v>2403712.2398756966</v>
      </c>
      <c r="E49" s="67">
        <v>23</v>
      </c>
      <c r="F49" s="68"/>
      <c r="G49" s="68"/>
      <c r="H49" s="69"/>
    </row>
    <row r="50" spans="1:8" ht="24" x14ac:dyDescent="0.25">
      <c r="A50" s="7"/>
      <c r="B50" s="112">
        <v>2</v>
      </c>
      <c r="C50" s="70" t="s">
        <v>694</v>
      </c>
      <c r="D50" s="71">
        <v>1775241.5527690528</v>
      </c>
      <c r="E50" s="72">
        <v>2</v>
      </c>
      <c r="F50" s="73">
        <v>887620.7763845264</v>
      </c>
      <c r="G50" s="73">
        <v>29.659356731322088</v>
      </c>
      <c r="H50" s="74" t="s">
        <v>698</v>
      </c>
    </row>
    <row r="51" spans="1:8" x14ac:dyDescent="0.25">
      <c r="A51" s="7"/>
      <c r="B51" s="110"/>
      <c r="C51" s="60" t="s">
        <v>696</v>
      </c>
      <c r="D51" s="61">
        <v>628470.6871066438</v>
      </c>
      <c r="E51" s="62">
        <v>21</v>
      </c>
      <c r="F51" s="49">
        <v>29927.175576506848</v>
      </c>
      <c r="G51" s="63"/>
      <c r="H51" s="64"/>
    </row>
    <row r="52" spans="1:8" x14ac:dyDescent="0.25">
      <c r="A52" s="7"/>
      <c r="B52" s="111"/>
      <c r="C52" s="65" t="s">
        <v>697</v>
      </c>
      <c r="D52" s="66">
        <v>2403712.2398756966</v>
      </c>
      <c r="E52" s="67">
        <v>23</v>
      </c>
      <c r="F52" s="68"/>
      <c r="G52" s="68"/>
      <c r="H52" s="69"/>
    </row>
    <row r="53" spans="1:8" ht="24" x14ac:dyDescent="0.25">
      <c r="A53" s="7"/>
      <c r="B53" s="112">
        <v>3</v>
      </c>
      <c r="C53" s="70" t="s">
        <v>694</v>
      </c>
      <c r="D53" s="71">
        <v>2010809.5774969261</v>
      </c>
      <c r="E53" s="72">
        <v>3</v>
      </c>
      <c r="F53" s="73">
        <v>670269.85916564206</v>
      </c>
      <c r="G53" s="73">
        <v>34.118875912298144</v>
      </c>
      <c r="H53" s="74" t="s">
        <v>699</v>
      </c>
    </row>
    <row r="54" spans="1:8" x14ac:dyDescent="0.25">
      <c r="A54" s="7"/>
      <c r="B54" s="110"/>
      <c r="C54" s="60" t="s">
        <v>696</v>
      </c>
      <c r="D54" s="61">
        <v>392902.66237877059</v>
      </c>
      <c r="E54" s="62">
        <v>20</v>
      </c>
      <c r="F54" s="49">
        <v>19645.133118938531</v>
      </c>
      <c r="G54" s="63"/>
      <c r="H54" s="64"/>
    </row>
    <row r="55" spans="1:8" x14ac:dyDescent="0.25">
      <c r="A55" s="12"/>
      <c r="B55" s="111"/>
      <c r="C55" s="65" t="s">
        <v>697</v>
      </c>
      <c r="D55" s="66">
        <v>2403712.2398756966</v>
      </c>
      <c r="E55" s="67">
        <v>23</v>
      </c>
      <c r="F55" s="68"/>
      <c r="G55" s="68"/>
      <c r="H55" s="69"/>
    </row>
    <row r="56" spans="1:8" ht="24" x14ac:dyDescent="0.25">
      <c r="A56" s="12"/>
      <c r="B56" s="112">
        <v>4</v>
      </c>
      <c r="C56" s="70" t="s">
        <v>694</v>
      </c>
      <c r="D56" s="71">
        <v>2087825.4207278849</v>
      </c>
      <c r="E56" s="72">
        <v>4</v>
      </c>
      <c r="F56" s="73">
        <v>521956.35518197122</v>
      </c>
      <c r="G56" s="73">
        <v>31.394696287776874</v>
      </c>
      <c r="H56" s="74" t="s">
        <v>700</v>
      </c>
    </row>
    <row r="57" spans="1:8" x14ac:dyDescent="0.25">
      <c r="A57" s="12"/>
      <c r="B57" s="110"/>
      <c r="C57" s="60" t="s">
        <v>696</v>
      </c>
      <c r="D57" s="61">
        <v>315886.8191478118</v>
      </c>
      <c r="E57" s="62">
        <v>19</v>
      </c>
      <c r="F57" s="49">
        <v>16625.622060411148</v>
      </c>
      <c r="G57" s="63"/>
      <c r="H57" s="64"/>
    </row>
    <row r="58" spans="1:8" x14ac:dyDescent="0.25">
      <c r="A58" s="9"/>
      <c r="B58" s="111"/>
      <c r="C58" s="65" t="s">
        <v>697</v>
      </c>
      <c r="D58" s="66">
        <v>2403712.2398756966</v>
      </c>
      <c r="E58" s="67">
        <v>23</v>
      </c>
      <c r="F58" s="68"/>
      <c r="G58" s="68"/>
      <c r="H58" s="69"/>
    </row>
    <row r="59" spans="1:8" ht="24" x14ac:dyDescent="0.25">
      <c r="A59" s="9"/>
      <c r="B59" s="112">
        <v>5</v>
      </c>
      <c r="C59" s="70" t="s">
        <v>694</v>
      </c>
      <c r="D59" s="71">
        <v>2160118.2981783021</v>
      </c>
      <c r="E59" s="72">
        <v>5</v>
      </c>
      <c r="F59" s="73">
        <v>432023.65963566041</v>
      </c>
      <c r="G59" s="73">
        <v>31.923724454125317</v>
      </c>
      <c r="H59" s="74" t="s">
        <v>701</v>
      </c>
    </row>
    <row r="60" spans="1:8" x14ac:dyDescent="0.25">
      <c r="A60" s="9"/>
      <c r="B60" s="110"/>
      <c r="C60" s="60" t="s">
        <v>696</v>
      </c>
      <c r="D60" s="61">
        <v>243593.9416973945</v>
      </c>
      <c r="E60" s="62">
        <v>18</v>
      </c>
      <c r="F60" s="49">
        <v>13532.996760966362</v>
      </c>
      <c r="G60" s="63"/>
      <c r="H60" s="64"/>
    </row>
    <row r="61" spans="1:8" x14ac:dyDescent="0.25">
      <c r="A61" s="9"/>
      <c r="B61" s="111"/>
      <c r="C61" s="65" t="s">
        <v>697</v>
      </c>
      <c r="D61" s="66">
        <v>2403712.2398756966</v>
      </c>
      <c r="E61" s="67">
        <v>23</v>
      </c>
      <c r="F61" s="68"/>
      <c r="G61" s="68"/>
      <c r="H61" s="69"/>
    </row>
    <row r="62" spans="1:8" ht="24" x14ac:dyDescent="0.25">
      <c r="A62" s="9"/>
      <c r="B62" s="112">
        <v>6</v>
      </c>
      <c r="C62" s="70" t="s">
        <v>694</v>
      </c>
      <c r="D62" s="71">
        <v>2249621.3958022585</v>
      </c>
      <c r="E62" s="72">
        <v>6</v>
      </c>
      <c r="F62" s="73">
        <v>374936.89930037642</v>
      </c>
      <c r="G62" s="73">
        <v>41.364737317349373</v>
      </c>
      <c r="H62" s="74" t="s">
        <v>702</v>
      </c>
    </row>
    <row r="63" spans="1:8" x14ac:dyDescent="0.25">
      <c r="A63" s="9"/>
      <c r="B63" s="110"/>
      <c r="C63" s="60" t="s">
        <v>696</v>
      </c>
      <c r="D63" s="61">
        <v>154090.84407343791</v>
      </c>
      <c r="E63" s="62">
        <v>17</v>
      </c>
      <c r="F63" s="49">
        <v>9064.1672984375236</v>
      </c>
      <c r="G63" s="63"/>
      <c r="H63" s="64"/>
    </row>
    <row r="64" spans="1:8" x14ac:dyDescent="0.25">
      <c r="A64" s="9"/>
      <c r="B64" s="111"/>
      <c r="C64" s="65" t="s">
        <v>697</v>
      </c>
      <c r="D64" s="66">
        <v>2403712.2398756966</v>
      </c>
      <c r="E64" s="67">
        <v>23</v>
      </c>
      <c r="F64" s="68"/>
      <c r="G64" s="68"/>
      <c r="H64" s="69"/>
    </row>
    <row r="65" spans="1:8" ht="24.75" thickBot="1" x14ac:dyDescent="0.3">
      <c r="A65" s="9"/>
      <c r="B65" s="113">
        <v>7</v>
      </c>
      <c r="C65" s="70" t="s">
        <v>694</v>
      </c>
      <c r="D65" s="71">
        <v>2285723.1789864982</v>
      </c>
      <c r="E65" s="72">
        <v>7</v>
      </c>
      <c r="F65" s="73">
        <v>326531.88271235686</v>
      </c>
      <c r="G65" s="73">
        <v>44.27961443225616</v>
      </c>
      <c r="H65" s="74" t="s">
        <v>703</v>
      </c>
    </row>
    <row r="66" spans="1:8" x14ac:dyDescent="0.25">
      <c r="A66" s="9"/>
      <c r="B66" s="110"/>
      <c r="C66" s="60" t="s">
        <v>696</v>
      </c>
      <c r="D66" s="61">
        <v>117989.06088919862</v>
      </c>
      <c r="E66" s="62">
        <v>16</v>
      </c>
      <c r="F66" s="49">
        <v>7374.3163055749137</v>
      </c>
      <c r="G66" s="63"/>
      <c r="H66" s="64"/>
    </row>
    <row r="67" spans="1:8" ht="15.75" thickBot="1" x14ac:dyDescent="0.3">
      <c r="A67" s="7"/>
      <c r="B67" s="96"/>
      <c r="C67" s="75" t="s">
        <v>697</v>
      </c>
      <c r="D67" s="76">
        <v>2403712.2398756966</v>
      </c>
      <c r="E67" s="77">
        <v>23</v>
      </c>
      <c r="F67" s="78"/>
      <c r="G67" s="78"/>
      <c r="H67" s="79"/>
    </row>
    <row r="68" spans="1:8" x14ac:dyDescent="0.25">
      <c r="A68" s="6"/>
      <c r="B68" s="38"/>
      <c r="C68" s="38"/>
      <c r="D68" s="38"/>
      <c r="E68" s="38"/>
      <c r="F68" s="38"/>
      <c r="G68" s="38"/>
      <c r="H68" s="38"/>
    </row>
    <row r="69" spans="1:8" x14ac:dyDescent="0.25">
      <c r="B69" s="38"/>
      <c r="C69" s="38"/>
      <c r="D69" s="38"/>
      <c r="E69" s="38"/>
      <c r="F69" s="38"/>
      <c r="G69" s="38"/>
      <c r="H69" s="38"/>
    </row>
    <row r="70" spans="1:8" x14ac:dyDescent="0.25">
      <c r="B70" s="38"/>
      <c r="C70" s="38"/>
      <c r="D70" s="38"/>
      <c r="E70" s="38"/>
      <c r="F70" s="38"/>
      <c r="G70" s="38"/>
      <c r="H70" s="38"/>
    </row>
    <row r="71" spans="1:8" x14ac:dyDescent="0.25">
      <c r="B71" s="38"/>
      <c r="C71" s="38"/>
      <c r="D71" s="38"/>
      <c r="E71" s="38"/>
      <c r="F71" s="38"/>
      <c r="G71" s="38"/>
      <c r="H71" s="38"/>
    </row>
    <row r="72" spans="1:8" x14ac:dyDescent="0.25">
      <c r="B72" s="38"/>
      <c r="C72" s="38"/>
      <c r="D72" s="38"/>
      <c r="E72" s="38"/>
      <c r="F72" s="38"/>
      <c r="G72" s="38"/>
      <c r="H72" s="38"/>
    </row>
    <row r="73" spans="1:8" x14ac:dyDescent="0.25">
      <c r="B73" s="38"/>
      <c r="C73" s="38"/>
      <c r="D73" s="38"/>
      <c r="E73" s="38"/>
      <c r="F73" s="38"/>
      <c r="G73" s="38"/>
      <c r="H73" s="38"/>
    </row>
    <row r="74" spans="1:8" x14ac:dyDescent="0.25">
      <c r="B74" s="38"/>
      <c r="C74" s="38"/>
      <c r="D74" s="38"/>
      <c r="E74" s="38"/>
      <c r="F74" s="38"/>
      <c r="G74" s="38"/>
      <c r="H74" s="38"/>
    </row>
    <row r="75" spans="1:8" x14ac:dyDescent="0.25">
      <c r="B75" s="38"/>
      <c r="C75" s="38"/>
      <c r="D75" s="38"/>
      <c r="E75" s="38"/>
      <c r="F75" s="38"/>
      <c r="G75" s="38"/>
      <c r="H75" s="38"/>
    </row>
    <row r="76" spans="1:8" x14ac:dyDescent="0.25">
      <c r="B76" s="38"/>
      <c r="C76" s="38"/>
      <c r="D76" s="38"/>
      <c r="E76" s="38"/>
      <c r="F76" s="38"/>
      <c r="G76" s="38"/>
      <c r="H76" s="38"/>
    </row>
    <row r="77" spans="1:8" ht="15.75" thickBot="1" x14ac:dyDescent="0.3">
      <c r="B77" s="106" t="s">
        <v>704</v>
      </c>
      <c r="C77" s="107"/>
      <c r="D77" s="107"/>
      <c r="E77" s="107"/>
      <c r="F77" s="107"/>
      <c r="G77" s="107"/>
      <c r="H77" s="107"/>
    </row>
    <row r="78" spans="1:8" ht="49.5" thickBot="1" x14ac:dyDescent="0.3">
      <c r="B78" s="94" t="s">
        <v>676</v>
      </c>
      <c r="C78" s="95"/>
      <c r="D78" s="98" t="s">
        <v>705</v>
      </c>
      <c r="E78" s="99"/>
      <c r="F78" s="80" t="s">
        <v>706</v>
      </c>
      <c r="G78" s="100" t="s">
        <v>707</v>
      </c>
      <c r="H78" s="102" t="s">
        <v>693</v>
      </c>
    </row>
    <row r="79" spans="1:8" ht="15.75" thickBot="1" x14ac:dyDescent="0.3">
      <c r="B79" s="96"/>
      <c r="C79" s="97"/>
      <c r="D79" s="83" t="s">
        <v>708</v>
      </c>
      <c r="E79" s="84" t="s">
        <v>709</v>
      </c>
      <c r="F79" s="84" t="s">
        <v>710</v>
      </c>
      <c r="G79" s="101"/>
      <c r="H79" s="103"/>
    </row>
    <row r="80" spans="1:8" ht="24" x14ac:dyDescent="0.25">
      <c r="B80" s="109">
        <v>1</v>
      </c>
      <c r="C80" s="56" t="s">
        <v>711</v>
      </c>
      <c r="D80" s="57">
        <v>2149.3658106014527</v>
      </c>
      <c r="E80" s="45">
        <v>55.881800570446174</v>
      </c>
      <c r="F80" s="85"/>
      <c r="G80" s="45">
        <v>38.462715743954988</v>
      </c>
      <c r="H80" s="86">
        <v>1.132355958007058E-21</v>
      </c>
    </row>
    <row r="81" spans="2:8" x14ac:dyDescent="0.25">
      <c r="B81" s="111"/>
      <c r="C81" s="65" t="s">
        <v>712</v>
      </c>
      <c r="D81" s="66">
        <v>1.0965101806172319</v>
      </c>
      <c r="E81" s="87">
        <v>0.19032938077526823</v>
      </c>
      <c r="F81" s="87">
        <v>0.7754873318880503</v>
      </c>
      <c r="G81" s="87">
        <v>5.7611188359401977</v>
      </c>
      <c r="H81" s="88">
        <v>8.5318959486323454E-6</v>
      </c>
    </row>
    <row r="82" spans="2:8" ht="24" x14ac:dyDescent="0.25">
      <c r="B82" s="112">
        <v>2</v>
      </c>
      <c r="C82" s="70" t="s">
        <v>711</v>
      </c>
      <c r="D82" s="71">
        <v>4264.1339204598753</v>
      </c>
      <c r="E82" s="73">
        <v>638.8277746417657</v>
      </c>
      <c r="F82" s="89"/>
      <c r="G82" s="73">
        <v>6.6749350759695227</v>
      </c>
      <c r="H82" s="90">
        <v>1.3181248233090324E-6</v>
      </c>
    </row>
    <row r="83" spans="2:8" x14ac:dyDescent="0.25">
      <c r="B83" s="110"/>
      <c r="C83" s="60" t="s">
        <v>712</v>
      </c>
      <c r="D83" s="61">
        <v>0.84348068472857674</v>
      </c>
      <c r="E83" s="49">
        <v>0.17522429318327337</v>
      </c>
      <c r="F83" s="49">
        <v>0.59653671918583395</v>
      </c>
      <c r="G83" s="49">
        <v>4.8137200008354437</v>
      </c>
      <c r="H83" s="91">
        <v>9.3160117651245702E-5</v>
      </c>
    </row>
    <row r="84" spans="2:8" x14ac:dyDescent="0.25">
      <c r="B84" s="111"/>
      <c r="C84" s="65" t="s">
        <v>713</v>
      </c>
      <c r="D84" s="66">
        <v>4.0360963612008209</v>
      </c>
      <c r="E84" s="87">
        <v>1.2160118042446897</v>
      </c>
      <c r="F84" s="87">
        <v>0.41132025072076217</v>
      </c>
      <c r="G84" s="87">
        <v>3.3191259715671846</v>
      </c>
      <c r="H84" s="88">
        <v>3.2608321812829864E-3</v>
      </c>
    </row>
    <row r="85" spans="2:8" ht="24" x14ac:dyDescent="0.25">
      <c r="B85" s="112">
        <v>3</v>
      </c>
      <c r="C85" s="70" t="s">
        <v>711</v>
      </c>
      <c r="D85" s="71">
        <v>2669.9623053315859</v>
      </c>
      <c r="E85" s="73">
        <v>692.69630671976029</v>
      </c>
      <c r="F85" s="89"/>
      <c r="G85" s="73">
        <v>3.8544485937496926</v>
      </c>
      <c r="H85" s="90">
        <v>9.88548731731529E-4</v>
      </c>
    </row>
    <row r="86" spans="2:8" x14ac:dyDescent="0.25">
      <c r="B86" s="110"/>
      <c r="C86" s="60" t="s">
        <v>712</v>
      </c>
      <c r="D86" s="61">
        <v>0.579023467593205</v>
      </c>
      <c r="E86" s="49">
        <v>0.1612054613322583</v>
      </c>
      <c r="F86" s="49">
        <v>0.4095040537896899</v>
      </c>
      <c r="G86" s="49">
        <v>3.5918353063720834</v>
      </c>
      <c r="H86" s="91">
        <v>1.8225773707832213E-3</v>
      </c>
    </row>
    <row r="87" spans="2:8" x14ac:dyDescent="0.25">
      <c r="B87" s="110"/>
      <c r="C87" s="60" t="s">
        <v>713</v>
      </c>
      <c r="D87" s="61">
        <v>3.5641219432446309</v>
      </c>
      <c r="E87" s="49">
        <v>0.99460134855616367</v>
      </c>
      <c r="F87" s="49">
        <v>0.36322114243540715</v>
      </c>
      <c r="G87" s="49">
        <v>3.5834678370571003</v>
      </c>
      <c r="H87" s="91">
        <v>1.8583342621638112E-3</v>
      </c>
    </row>
    <row r="88" spans="2:8" x14ac:dyDescent="0.25">
      <c r="B88" s="111"/>
      <c r="C88" s="65" t="s">
        <v>714</v>
      </c>
      <c r="D88" s="66">
        <v>0.61565877370671629</v>
      </c>
      <c r="E88" s="87">
        <v>0.17779084366808853</v>
      </c>
      <c r="F88" s="87">
        <v>0.37831767256096505</v>
      </c>
      <c r="G88" s="87">
        <v>3.462826099504134</v>
      </c>
      <c r="H88" s="88">
        <v>2.4576653410006157E-3</v>
      </c>
    </row>
    <row r="89" spans="2:8" ht="24" x14ac:dyDescent="0.25">
      <c r="B89" s="112">
        <v>4</v>
      </c>
      <c r="C89" s="70" t="s">
        <v>711</v>
      </c>
      <c r="D89" s="71">
        <v>3012.7192435670231</v>
      </c>
      <c r="E89" s="73">
        <v>656.83977747114091</v>
      </c>
      <c r="F89" s="89"/>
      <c r="G89" s="73">
        <v>4.5866881801314028</v>
      </c>
      <c r="H89" s="90">
        <v>2.0144354478890113E-4</v>
      </c>
    </row>
    <row r="90" spans="2:8" x14ac:dyDescent="0.25">
      <c r="B90" s="110"/>
      <c r="C90" s="60" t="s">
        <v>712</v>
      </c>
      <c r="D90" s="61">
        <v>0.4742193047334447</v>
      </c>
      <c r="E90" s="49">
        <v>0.15608979428105108</v>
      </c>
      <c r="F90" s="49">
        <v>0.33538317277686935</v>
      </c>
      <c r="G90" s="49">
        <v>3.038118583714565</v>
      </c>
      <c r="H90" s="91">
        <v>6.7651310171658856E-3</v>
      </c>
    </row>
    <row r="91" spans="2:8" x14ac:dyDescent="0.25">
      <c r="B91" s="110"/>
      <c r="C91" s="60" t="s">
        <v>713</v>
      </c>
      <c r="D91" s="61">
        <v>3.2155185356101823</v>
      </c>
      <c r="E91" s="49">
        <v>0.9292028718725488</v>
      </c>
      <c r="F91" s="49">
        <v>0.32769482487552293</v>
      </c>
      <c r="G91" s="49">
        <v>3.4605129115993831</v>
      </c>
      <c r="H91" s="91">
        <v>2.619761483085251E-3</v>
      </c>
    </row>
    <row r="92" spans="2:8" x14ac:dyDescent="0.25">
      <c r="B92" s="110"/>
      <c r="C92" s="60" t="s">
        <v>714</v>
      </c>
      <c r="D92" s="61">
        <v>0.68738198959613928</v>
      </c>
      <c r="E92" s="49">
        <v>0.16691794641999488</v>
      </c>
      <c r="F92" s="49">
        <v>0.42239104772056302</v>
      </c>
      <c r="G92" s="49">
        <v>4.1180831920048035</v>
      </c>
      <c r="H92" s="91">
        <v>5.8508402799608888E-4</v>
      </c>
    </row>
    <row r="93" spans="2:8" x14ac:dyDescent="0.25">
      <c r="B93" s="111"/>
      <c r="C93" s="65" t="s">
        <v>715</v>
      </c>
      <c r="D93" s="66">
        <v>-0.37871533244420413</v>
      </c>
      <c r="E93" s="87">
        <v>0.17595912859379612</v>
      </c>
      <c r="F93" s="87">
        <v>-0.1958749488476659</v>
      </c>
      <c r="G93" s="87">
        <v>-2.15229147513269</v>
      </c>
      <c r="H93" s="88">
        <v>4.4440614064855513E-2</v>
      </c>
    </row>
    <row r="94" spans="2:8" ht="24" x14ac:dyDescent="0.25">
      <c r="B94" s="112">
        <v>5</v>
      </c>
      <c r="C94" s="70" t="s">
        <v>711</v>
      </c>
      <c r="D94" s="71">
        <v>3390.0948034885087</v>
      </c>
      <c r="E94" s="73">
        <v>614.68962012933684</v>
      </c>
      <c r="F94" s="89"/>
      <c r="G94" s="73">
        <v>5.515132666100981</v>
      </c>
      <c r="H94" s="90">
        <v>3.0876114586073561E-5</v>
      </c>
    </row>
    <row r="95" spans="2:8" x14ac:dyDescent="0.25">
      <c r="B95" s="110"/>
      <c r="C95" s="60" t="s">
        <v>712</v>
      </c>
      <c r="D95" s="61">
        <v>0.53925107890952828</v>
      </c>
      <c r="E95" s="49">
        <v>0.14360924416010856</v>
      </c>
      <c r="F95" s="49">
        <v>0.38137573895201349</v>
      </c>
      <c r="G95" s="49">
        <v>3.7549886294807209</v>
      </c>
      <c r="H95" s="91">
        <v>1.4497403731835203E-3</v>
      </c>
    </row>
    <row r="96" spans="2:8" x14ac:dyDescent="0.25">
      <c r="B96" s="110"/>
      <c r="C96" s="60" t="s">
        <v>713</v>
      </c>
      <c r="D96" s="61">
        <v>3.7844695609322296</v>
      </c>
      <c r="E96" s="49">
        <v>0.87373070721997803</v>
      </c>
      <c r="F96" s="49">
        <v>0.38567685935640267</v>
      </c>
      <c r="G96" s="49">
        <v>4.3313912738326348</v>
      </c>
      <c r="H96" s="91">
        <v>4.021246819424113E-4</v>
      </c>
    </row>
    <row r="97" spans="2:8" x14ac:dyDescent="0.25">
      <c r="B97" s="110"/>
      <c r="C97" s="60" t="s">
        <v>714</v>
      </c>
      <c r="D97" s="61">
        <v>0.43289537404698514</v>
      </c>
      <c r="E97" s="49">
        <v>0.18655406076901437</v>
      </c>
      <c r="F97" s="49">
        <v>0.26601094204479003</v>
      </c>
      <c r="G97" s="49">
        <v>2.3204821822827175</v>
      </c>
      <c r="H97" s="91">
        <v>3.2260623666866342E-2</v>
      </c>
    </row>
    <row r="98" spans="2:8" x14ac:dyDescent="0.25">
      <c r="B98" s="110"/>
      <c r="C98" s="60" t="s">
        <v>715</v>
      </c>
      <c r="D98" s="61">
        <v>-0.60272771815128301</v>
      </c>
      <c r="E98" s="49">
        <v>0.18600026209003181</v>
      </c>
      <c r="F98" s="49">
        <v>-0.31173615337938959</v>
      </c>
      <c r="G98" s="49">
        <v>-3.2404670368665283</v>
      </c>
      <c r="H98" s="91">
        <v>4.5397393763559639E-3</v>
      </c>
    </row>
    <row r="99" spans="2:8" x14ac:dyDescent="0.25">
      <c r="B99" s="111"/>
      <c r="C99" s="65" t="s">
        <v>716</v>
      </c>
      <c r="D99" s="66">
        <v>1.9470699207755113E-2</v>
      </c>
      <c r="E99" s="87">
        <v>8.4242409685728898E-3</v>
      </c>
      <c r="F99" s="87">
        <v>0.25918164178225872</v>
      </c>
      <c r="G99" s="87">
        <v>2.3112704492181151</v>
      </c>
      <c r="H99" s="88">
        <v>3.2869143052950738E-2</v>
      </c>
    </row>
    <row r="100" spans="2:8" ht="24" x14ac:dyDescent="0.25">
      <c r="B100" s="112">
        <v>6</v>
      </c>
      <c r="C100" s="70" t="s">
        <v>711</v>
      </c>
      <c r="D100" s="71">
        <v>1854.393826031976</v>
      </c>
      <c r="E100" s="73">
        <v>701.36352103814977</v>
      </c>
      <c r="F100" s="89"/>
      <c r="G100" s="73">
        <v>2.6439838548875834</v>
      </c>
      <c r="H100" s="90">
        <v>1.7052444271406425E-2</v>
      </c>
    </row>
    <row r="101" spans="2:8" x14ac:dyDescent="0.25">
      <c r="B101" s="110"/>
      <c r="C101" s="60" t="s">
        <v>712</v>
      </c>
      <c r="D101" s="61">
        <v>0.51352671065503397</v>
      </c>
      <c r="E101" s="49">
        <v>0.11781492669473846</v>
      </c>
      <c r="F101" s="49">
        <v>0.36318263682235141</v>
      </c>
      <c r="G101" s="49">
        <v>4.3587576299698849</v>
      </c>
      <c r="H101" s="91">
        <v>4.2740735181925118E-4</v>
      </c>
    </row>
    <row r="102" spans="2:8" x14ac:dyDescent="0.25">
      <c r="B102" s="110"/>
      <c r="C102" s="60" t="s">
        <v>713</v>
      </c>
      <c r="D102" s="61">
        <v>3.0102235215128483</v>
      </c>
      <c r="E102" s="49">
        <v>0.75632266445076801</v>
      </c>
      <c r="F102" s="49">
        <v>0.30677312501672305</v>
      </c>
      <c r="G102" s="49">
        <v>3.9800784281650938</v>
      </c>
      <c r="H102" s="91">
        <v>9.6811013726563777E-4</v>
      </c>
    </row>
    <row r="103" spans="2:8" x14ac:dyDescent="0.25">
      <c r="B103" s="110"/>
      <c r="C103" s="60" t="s">
        <v>714</v>
      </c>
      <c r="D103" s="61">
        <v>0.82112016398039267</v>
      </c>
      <c r="E103" s="49">
        <v>0.19640172232440864</v>
      </c>
      <c r="F103" s="49">
        <v>0.5045721470996577</v>
      </c>
      <c r="G103" s="49">
        <v>4.180819568496954</v>
      </c>
      <c r="H103" s="91">
        <v>6.2705497307337474E-4</v>
      </c>
    </row>
    <row r="104" spans="2:8" x14ac:dyDescent="0.25">
      <c r="B104" s="110"/>
      <c r="C104" s="60" t="s">
        <v>715</v>
      </c>
      <c r="D104" s="61">
        <v>-0.48121046412432755</v>
      </c>
      <c r="E104" s="49">
        <v>0.15705825949405292</v>
      </c>
      <c r="F104" s="49">
        <v>-0.24888634541671495</v>
      </c>
      <c r="G104" s="49">
        <v>-3.0638978534111976</v>
      </c>
      <c r="H104" s="91">
        <v>7.0272375468398776E-3</v>
      </c>
    </row>
    <row r="105" spans="2:8" x14ac:dyDescent="0.25">
      <c r="B105" s="110"/>
      <c r="C105" s="60" t="s">
        <v>716</v>
      </c>
      <c r="D105" s="61">
        <v>3.2757913874484949E-2</v>
      </c>
      <c r="E105" s="49">
        <v>8.0878073488413211E-3</v>
      </c>
      <c r="F105" s="49">
        <v>0.43605264550382472</v>
      </c>
      <c r="G105" s="49">
        <v>4.0502836506334345</v>
      </c>
      <c r="H105" s="91">
        <v>8.3153269537224162E-4</v>
      </c>
    </row>
    <row r="106" spans="2:8" x14ac:dyDescent="0.25">
      <c r="B106" s="111"/>
      <c r="C106" s="65" t="s">
        <v>717</v>
      </c>
      <c r="D106" s="66">
        <v>-7.5188508540873764E-2</v>
      </c>
      <c r="E106" s="87">
        <v>2.3927448681323224E-2</v>
      </c>
      <c r="F106" s="87">
        <v>-0.41798147645041195</v>
      </c>
      <c r="G106" s="87">
        <v>-3.1423537687727987</v>
      </c>
      <c r="H106" s="88">
        <v>5.9397077432074624E-3</v>
      </c>
    </row>
    <row r="107" spans="2:8" ht="24.75" thickBot="1" x14ac:dyDescent="0.3">
      <c r="B107" s="113">
        <v>7</v>
      </c>
      <c r="C107" s="70" t="s">
        <v>711</v>
      </c>
      <c r="D107" s="71">
        <v>1806.4171563580571</v>
      </c>
      <c r="E107" s="73">
        <v>632.98739034412517</v>
      </c>
      <c r="F107" s="89"/>
      <c r="G107" s="73">
        <v>2.8537964324628868</v>
      </c>
      <c r="H107" s="90">
        <v>1.1490338809504737E-2</v>
      </c>
    </row>
    <row r="108" spans="2:8" x14ac:dyDescent="0.25">
      <c r="B108" s="110"/>
      <c r="C108" s="60" t="s">
        <v>712</v>
      </c>
      <c r="D108" s="61">
        <v>0.29262083175807108</v>
      </c>
      <c r="E108" s="49">
        <v>0.14581016916418812</v>
      </c>
      <c r="F108" s="49">
        <v>0.20695088115569701</v>
      </c>
      <c r="G108" s="49">
        <v>2.0068616162742958</v>
      </c>
      <c r="H108" s="91">
        <v>6.1967849395431596E-2</v>
      </c>
    </row>
    <row r="109" spans="2:8" x14ac:dyDescent="0.25">
      <c r="B109" s="110"/>
      <c r="C109" s="60" t="s">
        <v>713</v>
      </c>
      <c r="D109" s="61">
        <v>2.9257253745163232</v>
      </c>
      <c r="E109" s="49">
        <v>0.68325604719590638</v>
      </c>
      <c r="F109" s="49">
        <v>0.2981618838823043</v>
      </c>
      <c r="G109" s="49">
        <v>4.2820336336920048</v>
      </c>
      <c r="H109" s="91">
        <v>5.7167639636651136E-4</v>
      </c>
    </row>
    <row r="110" spans="2:8" x14ac:dyDescent="0.25">
      <c r="B110" s="110"/>
      <c r="C110" s="60" t="s">
        <v>714</v>
      </c>
      <c r="D110" s="61">
        <v>0.94602221054712943</v>
      </c>
      <c r="E110" s="49">
        <v>0.18592716288394637</v>
      </c>
      <c r="F110" s="49">
        <v>0.58132351258533665</v>
      </c>
      <c r="G110" s="49">
        <v>5.0881334167274188</v>
      </c>
      <c r="H110" s="91">
        <v>1.09604256777765E-4</v>
      </c>
    </row>
    <row r="111" spans="2:8" x14ac:dyDescent="0.25">
      <c r="B111" s="110"/>
      <c r="C111" s="60" t="s">
        <v>715</v>
      </c>
      <c r="D111" s="61">
        <v>-0.50519913471493927</v>
      </c>
      <c r="E111" s="49">
        <v>0.14207768409086566</v>
      </c>
      <c r="F111" s="49">
        <v>-0.26129349987368916</v>
      </c>
      <c r="G111" s="49">
        <v>-3.5557951127063672</v>
      </c>
      <c r="H111" s="91">
        <v>2.6340653224768578E-3</v>
      </c>
    </row>
    <row r="112" spans="2:8" x14ac:dyDescent="0.25">
      <c r="B112" s="110"/>
      <c r="C112" s="60" t="s">
        <v>716</v>
      </c>
      <c r="D112" s="61">
        <v>2.5402692854892706E-2</v>
      </c>
      <c r="E112" s="49">
        <v>8.0167441403817281E-3</v>
      </c>
      <c r="F112" s="49">
        <v>0.33814459201337749</v>
      </c>
      <c r="G112" s="49">
        <v>3.1687044528382717</v>
      </c>
      <c r="H112" s="91">
        <v>5.9566921396777169E-3</v>
      </c>
    </row>
    <row r="113" spans="2:8" x14ac:dyDescent="0.25">
      <c r="B113" s="110"/>
      <c r="C113" s="60" t="s">
        <v>717</v>
      </c>
      <c r="D113" s="61">
        <v>-0.12995321125040665</v>
      </c>
      <c r="E113" s="49">
        <v>3.2839169059746307E-2</v>
      </c>
      <c r="F113" s="49">
        <v>-0.72242469177838597</v>
      </c>
      <c r="G113" s="49">
        <v>-3.9572624695215288</v>
      </c>
      <c r="H113" s="91">
        <v>1.1290943548082689E-3</v>
      </c>
    </row>
    <row r="114" spans="2:8" ht="15.75" thickBot="1" x14ac:dyDescent="0.3">
      <c r="B114" s="96"/>
      <c r="C114" s="75" t="s">
        <v>718</v>
      </c>
      <c r="D114" s="76">
        <v>0.61414624109557614</v>
      </c>
      <c r="E114" s="53">
        <v>0.27756733276960377</v>
      </c>
      <c r="F114" s="53">
        <v>0.39268640633245666</v>
      </c>
      <c r="G114" s="53">
        <v>2.2126027402704174</v>
      </c>
      <c r="H114" s="92">
        <v>4.1811005821490041E-2</v>
      </c>
    </row>
    <row r="115" spans="2:8" x14ac:dyDescent="0.25">
      <c r="B115" s="38"/>
      <c r="C115" s="38"/>
      <c r="D115" s="38"/>
      <c r="E115" s="38"/>
      <c r="F115" s="38"/>
      <c r="G115" s="38"/>
      <c r="H115" s="38"/>
    </row>
  </sheetData>
  <mergeCells count="22">
    <mergeCell ref="B78:C79"/>
    <mergeCell ref="D78:E78"/>
    <mergeCell ref="G78:G79"/>
    <mergeCell ref="H78:H79"/>
    <mergeCell ref="B28:F28"/>
    <mergeCell ref="B45:H45"/>
    <mergeCell ref="B46:C46"/>
    <mergeCell ref="B47:B49"/>
    <mergeCell ref="B50:B52"/>
    <mergeCell ref="B53:B55"/>
    <mergeCell ref="B56:B58"/>
    <mergeCell ref="B59:B61"/>
    <mergeCell ref="B62:B64"/>
    <mergeCell ref="B65:B67"/>
    <mergeCell ref="B77:H77"/>
    <mergeCell ref="B107:B114"/>
    <mergeCell ref="B80:B81"/>
    <mergeCell ref="B82:B84"/>
    <mergeCell ref="B85:B88"/>
    <mergeCell ref="B89:B93"/>
    <mergeCell ref="B94:B99"/>
    <mergeCell ref="B100:B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2016-03-19T22:06:39Z</dcterms:modified>
</cp:coreProperties>
</file>