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YIELD FORECAST\2015_16\RABI_2015\WHEAT\STATISTICAL\F3\"/>
    </mc:Choice>
  </mc:AlternateContent>
  <bookViews>
    <workbookView xWindow="1290" yWindow="360" windowWidth="14895" windowHeight="7815" activeTab="2"/>
  </bookViews>
  <sheets>
    <sheet name="WEATHER INDICES" sheetId="2" r:id="rId1"/>
    <sheet name="TIME TREND" sheetId="4" r:id="rId2"/>
    <sheet name="VALIDATION" sheetId="3" r:id="rId3"/>
    <sheet name="SPSS" sheetId="5" r:id="rId4"/>
  </sheets>
  <calcPr calcId="152511"/>
</workbook>
</file>

<file path=xl/calcChain.xml><?xml version="1.0" encoding="utf-8"?>
<calcChain xmlns="http://schemas.openxmlformats.org/spreadsheetml/2006/main">
  <c r="C33" i="3" l="1"/>
  <c r="C30" i="3" l="1"/>
  <c r="D30" i="3" s="1"/>
  <c r="C31" i="3"/>
  <c r="C32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D1005" i="2" l="1"/>
  <c r="E1005" i="2"/>
  <c r="Y1005" i="2" s="1"/>
  <c r="F1005" i="2"/>
  <c r="G1005" i="2"/>
  <c r="H1005" i="2"/>
  <c r="I1005" i="2"/>
  <c r="J1005" i="2"/>
  <c r="K1005" i="2"/>
  <c r="L1005" i="2"/>
  <c r="M1005" i="2"/>
  <c r="N1005" i="2"/>
  <c r="O1005" i="2"/>
  <c r="P1005" i="2"/>
  <c r="Q1005" i="2"/>
  <c r="R1005" i="2"/>
  <c r="S1005" i="2"/>
  <c r="T1005" i="2"/>
  <c r="U1005" i="2"/>
  <c r="V1005" i="2"/>
  <c r="W1005" i="2"/>
  <c r="Z1005" i="2"/>
  <c r="D969" i="2"/>
  <c r="E969" i="2"/>
  <c r="F969" i="2"/>
  <c r="G969" i="2"/>
  <c r="Y969" i="2" s="1"/>
  <c r="H969" i="2"/>
  <c r="I969" i="2"/>
  <c r="J969" i="2"/>
  <c r="K969" i="2"/>
  <c r="L969" i="2"/>
  <c r="M969" i="2"/>
  <c r="N969" i="2"/>
  <c r="O969" i="2"/>
  <c r="P969" i="2"/>
  <c r="Q969" i="2"/>
  <c r="R969" i="2"/>
  <c r="S969" i="2"/>
  <c r="T969" i="2"/>
  <c r="U969" i="2"/>
  <c r="V969" i="2"/>
  <c r="W969" i="2"/>
  <c r="D933" i="2"/>
  <c r="E933" i="2"/>
  <c r="Y933" i="2" s="1"/>
  <c r="F933" i="2"/>
  <c r="Z933" i="2" s="1"/>
  <c r="G933" i="2"/>
  <c r="H933" i="2"/>
  <c r="I933" i="2"/>
  <c r="J933" i="2"/>
  <c r="K933" i="2"/>
  <c r="L933" i="2"/>
  <c r="M933" i="2"/>
  <c r="N933" i="2"/>
  <c r="O933" i="2"/>
  <c r="P933" i="2"/>
  <c r="Q933" i="2"/>
  <c r="R933" i="2"/>
  <c r="S933" i="2"/>
  <c r="T933" i="2"/>
  <c r="U933" i="2"/>
  <c r="V933" i="2"/>
  <c r="W933" i="2"/>
  <c r="D897" i="2"/>
  <c r="Z897" i="2" s="1"/>
  <c r="E897" i="2"/>
  <c r="F897" i="2"/>
  <c r="G897" i="2"/>
  <c r="H897" i="2"/>
  <c r="I897" i="2"/>
  <c r="J897" i="2"/>
  <c r="K897" i="2"/>
  <c r="L897" i="2"/>
  <c r="M897" i="2"/>
  <c r="N897" i="2"/>
  <c r="O897" i="2"/>
  <c r="P897" i="2"/>
  <c r="Q897" i="2"/>
  <c r="R897" i="2"/>
  <c r="S897" i="2"/>
  <c r="T897" i="2"/>
  <c r="U897" i="2"/>
  <c r="V897" i="2"/>
  <c r="W897" i="2"/>
  <c r="Y897" i="2"/>
  <c r="D861" i="2"/>
  <c r="E861" i="2"/>
  <c r="Y861" i="2" s="1"/>
  <c r="F861" i="2"/>
  <c r="G861" i="2"/>
  <c r="H861" i="2"/>
  <c r="I861" i="2"/>
  <c r="J861" i="2"/>
  <c r="K861" i="2"/>
  <c r="L861" i="2"/>
  <c r="M861" i="2"/>
  <c r="N861" i="2"/>
  <c r="O861" i="2"/>
  <c r="P861" i="2"/>
  <c r="Q861" i="2"/>
  <c r="R861" i="2"/>
  <c r="S861" i="2"/>
  <c r="T861" i="2"/>
  <c r="U861" i="2"/>
  <c r="V861" i="2"/>
  <c r="W861" i="2"/>
  <c r="Z861" i="2"/>
  <c r="D825" i="2"/>
  <c r="Z825" i="2" s="1"/>
  <c r="E825" i="2"/>
  <c r="F825" i="2"/>
  <c r="G825" i="2"/>
  <c r="H825" i="2"/>
  <c r="I825" i="2"/>
  <c r="J825" i="2"/>
  <c r="K825" i="2"/>
  <c r="L825" i="2"/>
  <c r="M825" i="2"/>
  <c r="N825" i="2"/>
  <c r="O825" i="2"/>
  <c r="P825" i="2"/>
  <c r="Q825" i="2"/>
  <c r="R825" i="2"/>
  <c r="S825" i="2"/>
  <c r="T825" i="2"/>
  <c r="U825" i="2"/>
  <c r="V825" i="2"/>
  <c r="W825" i="2"/>
  <c r="Y825" i="2"/>
  <c r="D789" i="2"/>
  <c r="E789" i="2"/>
  <c r="Y789" i="2" s="1"/>
  <c r="F789" i="2"/>
  <c r="G789" i="2"/>
  <c r="H789" i="2"/>
  <c r="I789" i="2"/>
  <c r="J789" i="2"/>
  <c r="K789" i="2"/>
  <c r="L789" i="2"/>
  <c r="M789" i="2"/>
  <c r="N789" i="2"/>
  <c r="O789" i="2"/>
  <c r="P789" i="2"/>
  <c r="Q789" i="2"/>
  <c r="R789" i="2"/>
  <c r="S789" i="2"/>
  <c r="T789" i="2"/>
  <c r="U789" i="2"/>
  <c r="V789" i="2"/>
  <c r="W789" i="2"/>
  <c r="Z789" i="2"/>
  <c r="D753" i="2"/>
  <c r="E753" i="2"/>
  <c r="Y753" i="2" s="1"/>
  <c r="F753" i="2"/>
  <c r="G753" i="2"/>
  <c r="H753" i="2"/>
  <c r="I753" i="2"/>
  <c r="J753" i="2"/>
  <c r="K753" i="2"/>
  <c r="L753" i="2"/>
  <c r="M753" i="2"/>
  <c r="N753" i="2"/>
  <c r="O753" i="2"/>
  <c r="P753" i="2"/>
  <c r="Q753" i="2"/>
  <c r="R753" i="2"/>
  <c r="S753" i="2"/>
  <c r="T753" i="2"/>
  <c r="U753" i="2"/>
  <c r="V753" i="2"/>
  <c r="W753" i="2"/>
  <c r="Z753" i="2"/>
  <c r="D717" i="2"/>
  <c r="E717" i="2"/>
  <c r="Y717" i="2" s="1"/>
  <c r="F717" i="2"/>
  <c r="G717" i="2"/>
  <c r="H717" i="2"/>
  <c r="I717" i="2"/>
  <c r="J717" i="2"/>
  <c r="K717" i="2"/>
  <c r="L717" i="2"/>
  <c r="M717" i="2"/>
  <c r="N717" i="2"/>
  <c r="O717" i="2"/>
  <c r="P717" i="2"/>
  <c r="Q717" i="2"/>
  <c r="R717" i="2"/>
  <c r="S717" i="2"/>
  <c r="T717" i="2"/>
  <c r="U717" i="2"/>
  <c r="V717" i="2"/>
  <c r="W717" i="2"/>
  <c r="Z717" i="2"/>
  <c r="D681" i="2"/>
  <c r="E681" i="2"/>
  <c r="Y681" i="2" s="1"/>
  <c r="F681" i="2"/>
  <c r="G681" i="2"/>
  <c r="H681" i="2"/>
  <c r="I681" i="2"/>
  <c r="J681" i="2"/>
  <c r="K681" i="2"/>
  <c r="L681" i="2"/>
  <c r="M681" i="2"/>
  <c r="N681" i="2"/>
  <c r="O681" i="2"/>
  <c r="P681" i="2"/>
  <c r="Q681" i="2"/>
  <c r="R681" i="2"/>
  <c r="S681" i="2"/>
  <c r="T681" i="2"/>
  <c r="U681" i="2"/>
  <c r="V681" i="2"/>
  <c r="W681" i="2"/>
  <c r="Z681" i="2"/>
  <c r="D645" i="2"/>
  <c r="E645" i="2"/>
  <c r="Y645" i="2" s="1"/>
  <c r="F645" i="2"/>
  <c r="G645" i="2"/>
  <c r="H645" i="2"/>
  <c r="I645" i="2"/>
  <c r="J645" i="2"/>
  <c r="K645" i="2"/>
  <c r="L645" i="2"/>
  <c r="M645" i="2"/>
  <c r="N645" i="2"/>
  <c r="O645" i="2"/>
  <c r="P645" i="2"/>
  <c r="Q645" i="2"/>
  <c r="R645" i="2"/>
  <c r="S645" i="2"/>
  <c r="T645" i="2"/>
  <c r="U645" i="2"/>
  <c r="V645" i="2"/>
  <c r="W645" i="2"/>
  <c r="Z645" i="2"/>
  <c r="D609" i="2"/>
  <c r="E609" i="2"/>
  <c r="Y609" i="2" s="1"/>
  <c r="F609" i="2"/>
  <c r="G609" i="2"/>
  <c r="H609" i="2"/>
  <c r="I609" i="2"/>
  <c r="J609" i="2"/>
  <c r="K609" i="2"/>
  <c r="L609" i="2"/>
  <c r="M609" i="2"/>
  <c r="N609" i="2"/>
  <c r="O609" i="2"/>
  <c r="P609" i="2"/>
  <c r="Q609" i="2"/>
  <c r="R609" i="2"/>
  <c r="S609" i="2"/>
  <c r="T609" i="2"/>
  <c r="U609" i="2"/>
  <c r="V609" i="2"/>
  <c r="W609" i="2"/>
  <c r="Z609" i="2"/>
  <c r="D610" i="2"/>
  <c r="E610" i="2"/>
  <c r="F610" i="2"/>
  <c r="G610" i="2"/>
  <c r="H610" i="2"/>
  <c r="I610" i="2"/>
  <c r="J610" i="2"/>
  <c r="K610" i="2"/>
  <c r="L610" i="2"/>
  <c r="M610" i="2"/>
  <c r="N610" i="2"/>
  <c r="O610" i="2"/>
  <c r="P610" i="2"/>
  <c r="Q610" i="2"/>
  <c r="R610" i="2"/>
  <c r="S610" i="2"/>
  <c r="T610" i="2"/>
  <c r="U610" i="2"/>
  <c r="V610" i="2"/>
  <c r="W610" i="2"/>
  <c r="D573" i="2"/>
  <c r="E573" i="2"/>
  <c r="Y573" i="2" s="1"/>
  <c r="F573" i="2"/>
  <c r="G573" i="2"/>
  <c r="H573" i="2"/>
  <c r="I573" i="2"/>
  <c r="J573" i="2"/>
  <c r="K573" i="2"/>
  <c r="L573" i="2"/>
  <c r="M573" i="2"/>
  <c r="N573" i="2"/>
  <c r="O573" i="2"/>
  <c r="P573" i="2"/>
  <c r="Q573" i="2"/>
  <c r="R573" i="2"/>
  <c r="S573" i="2"/>
  <c r="T573" i="2"/>
  <c r="U573" i="2"/>
  <c r="V573" i="2"/>
  <c r="W573" i="2"/>
  <c r="Z573" i="2"/>
  <c r="D537" i="2"/>
  <c r="E537" i="2"/>
  <c r="Y537" i="2" s="1"/>
  <c r="F537" i="2"/>
  <c r="G537" i="2"/>
  <c r="H537" i="2"/>
  <c r="I537" i="2"/>
  <c r="J537" i="2"/>
  <c r="K537" i="2"/>
  <c r="L537" i="2"/>
  <c r="M537" i="2"/>
  <c r="N537" i="2"/>
  <c r="O537" i="2"/>
  <c r="P537" i="2"/>
  <c r="Q537" i="2"/>
  <c r="R537" i="2"/>
  <c r="S537" i="2"/>
  <c r="T537" i="2"/>
  <c r="U537" i="2"/>
  <c r="V537" i="2"/>
  <c r="W537" i="2"/>
  <c r="Z537" i="2"/>
  <c r="D501" i="2"/>
  <c r="Z501" i="2" s="1"/>
  <c r="E501" i="2"/>
  <c r="F501" i="2"/>
  <c r="G501" i="2"/>
  <c r="H501" i="2"/>
  <c r="I501" i="2"/>
  <c r="J501" i="2"/>
  <c r="K501" i="2"/>
  <c r="L501" i="2"/>
  <c r="M501" i="2"/>
  <c r="N501" i="2"/>
  <c r="O501" i="2"/>
  <c r="P501" i="2"/>
  <c r="Q501" i="2"/>
  <c r="R501" i="2"/>
  <c r="S501" i="2"/>
  <c r="T501" i="2"/>
  <c r="U501" i="2"/>
  <c r="V501" i="2"/>
  <c r="W501" i="2"/>
  <c r="Y501" i="2"/>
  <c r="D465" i="2"/>
  <c r="E465" i="2"/>
  <c r="Y465" i="2" s="1"/>
  <c r="F465" i="2"/>
  <c r="G465" i="2"/>
  <c r="H465" i="2"/>
  <c r="I465" i="2"/>
  <c r="J465" i="2"/>
  <c r="K465" i="2"/>
  <c r="L465" i="2"/>
  <c r="M465" i="2"/>
  <c r="N465" i="2"/>
  <c r="O465" i="2"/>
  <c r="P465" i="2"/>
  <c r="Q465" i="2"/>
  <c r="R465" i="2"/>
  <c r="S465" i="2"/>
  <c r="T465" i="2"/>
  <c r="U465" i="2"/>
  <c r="V465" i="2"/>
  <c r="W465" i="2"/>
  <c r="Z465" i="2"/>
  <c r="D429" i="2"/>
  <c r="E429" i="2"/>
  <c r="Y429" i="2" s="1"/>
  <c r="F429" i="2"/>
  <c r="G429" i="2"/>
  <c r="H429" i="2"/>
  <c r="I429" i="2"/>
  <c r="J429" i="2"/>
  <c r="K429" i="2"/>
  <c r="L429" i="2"/>
  <c r="M429" i="2"/>
  <c r="N429" i="2"/>
  <c r="O429" i="2"/>
  <c r="P429" i="2"/>
  <c r="Q429" i="2"/>
  <c r="R429" i="2"/>
  <c r="S429" i="2"/>
  <c r="T429" i="2"/>
  <c r="U429" i="2"/>
  <c r="V429" i="2"/>
  <c r="W429" i="2"/>
  <c r="Z429" i="2"/>
  <c r="D393" i="2"/>
  <c r="E393" i="2"/>
  <c r="Y393" i="2" s="1"/>
  <c r="F393" i="2"/>
  <c r="G393" i="2"/>
  <c r="H393" i="2"/>
  <c r="I393" i="2"/>
  <c r="J393" i="2"/>
  <c r="K393" i="2"/>
  <c r="L393" i="2"/>
  <c r="M393" i="2"/>
  <c r="N393" i="2"/>
  <c r="O393" i="2"/>
  <c r="P393" i="2"/>
  <c r="Q393" i="2"/>
  <c r="R393" i="2"/>
  <c r="S393" i="2"/>
  <c r="T393" i="2"/>
  <c r="U393" i="2"/>
  <c r="V393" i="2"/>
  <c r="W393" i="2"/>
  <c r="Z393" i="2"/>
  <c r="D357" i="2"/>
  <c r="E357" i="2"/>
  <c r="Y357" i="2" s="1"/>
  <c r="F357" i="2"/>
  <c r="G357" i="2"/>
  <c r="H357" i="2"/>
  <c r="I357" i="2"/>
  <c r="J357" i="2"/>
  <c r="K357" i="2"/>
  <c r="L357" i="2"/>
  <c r="M357" i="2"/>
  <c r="N357" i="2"/>
  <c r="O357" i="2"/>
  <c r="P357" i="2"/>
  <c r="Q357" i="2"/>
  <c r="R357" i="2"/>
  <c r="S357" i="2"/>
  <c r="T357" i="2"/>
  <c r="U357" i="2"/>
  <c r="V357" i="2"/>
  <c r="W357" i="2"/>
  <c r="Z357" i="2"/>
  <c r="D320" i="2"/>
  <c r="E320" i="2"/>
  <c r="F320" i="2"/>
  <c r="G320" i="2"/>
  <c r="H320" i="2"/>
  <c r="I320" i="2"/>
  <c r="J320" i="2"/>
  <c r="K320" i="2"/>
  <c r="L320" i="2"/>
  <c r="M320" i="2"/>
  <c r="N320" i="2"/>
  <c r="O320" i="2"/>
  <c r="P320" i="2"/>
  <c r="Q320" i="2"/>
  <c r="R320" i="2"/>
  <c r="S320" i="2"/>
  <c r="T320" i="2"/>
  <c r="U320" i="2"/>
  <c r="V320" i="2"/>
  <c r="W320" i="2"/>
  <c r="Y320" i="2"/>
  <c r="Z320" i="2"/>
  <c r="D321" i="2"/>
  <c r="E321" i="2"/>
  <c r="Y321" i="2" s="1"/>
  <c r="F321" i="2"/>
  <c r="Z321" i="2" s="1"/>
  <c r="G321" i="2"/>
  <c r="H321" i="2"/>
  <c r="I321" i="2"/>
  <c r="J321" i="2"/>
  <c r="K321" i="2"/>
  <c r="L321" i="2"/>
  <c r="M321" i="2"/>
  <c r="N321" i="2"/>
  <c r="O321" i="2"/>
  <c r="P321" i="2"/>
  <c r="Q321" i="2"/>
  <c r="R321" i="2"/>
  <c r="S321" i="2"/>
  <c r="T321" i="2"/>
  <c r="U321" i="2"/>
  <c r="V321" i="2"/>
  <c r="W321" i="2"/>
  <c r="D285" i="2"/>
  <c r="Z285" i="2" s="1"/>
  <c r="E285" i="2"/>
  <c r="F285" i="2"/>
  <c r="G285" i="2"/>
  <c r="H285" i="2"/>
  <c r="I285" i="2"/>
  <c r="J285" i="2"/>
  <c r="K285" i="2"/>
  <c r="L285" i="2"/>
  <c r="M285" i="2"/>
  <c r="N285" i="2"/>
  <c r="O285" i="2"/>
  <c r="P285" i="2"/>
  <c r="Q285" i="2"/>
  <c r="R285" i="2"/>
  <c r="S285" i="2"/>
  <c r="T285" i="2"/>
  <c r="U285" i="2"/>
  <c r="V285" i="2"/>
  <c r="W285" i="2"/>
  <c r="Y285" i="2"/>
  <c r="D31" i="3"/>
  <c r="D28" i="4"/>
  <c r="E28" i="4" s="1"/>
  <c r="D27" i="4"/>
  <c r="E27" i="4" s="1"/>
  <c r="D26" i="4"/>
  <c r="E26" i="4" s="1"/>
  <c r="D25" i="4"/>
  <c r="E25" i="4" s="1"/>
  <c r="D24" i="4"/>
  <c r="E24" i="4" s="1"/>
  <c r="D23" i="4"/>
  <c r="E23" i="4" s="1"/>
  <c r="D22" i="4"/>
  <c r="E22" i="4" s="1"/>
  <c r="D21" i="4"/>
  <c r="E21" i="4" s="1"/>
  <c r="D20" i="4"/>
  <c r="E20" i="4" s="1"/>
  <c r="D19" i="4"/>
  <c r="E19" i="4" s="1"/>
  <c r="D18" i="4"/>
  <c r="E18" i="4" s="1"/>
  <c r="D17" i="4"/>
  <c r="E17" i="4" s="1"/>
  <c r="D16" i="4"/>
  <c r="E16" i="4" s="1"/>
  <c r="D15" i="4"/>
  <c r="E15" i="4" s="1"/>
  <c r="D14" i="4"/>
  <c r="E14" i="4" s="1"/>
  <c r="D13" i="4"/>
  <c r="E13" i="4" s="1"/>
  <c r="D12" i="4"/>
  <c r="E12" i="4" s="1"/>
  <c r="D11" i="4"/>
  <c r="E11" i="4" s="1"/>
  <c r="D10" i="4"/>
  <c r="E10" i="4" s="1"/>
  <c r="D9" i="4"/>
  <c r="E9" i="4" s="1"/>
  <c r="D8" i="4"/>
  <c r="E8" i="4" s="1"/>
  <c r="D7" i="4"/>
  <c r="E7" i="4" s="1"/>
  <c r="D6" i="4"/>
  <c r="E6" i="4" s="1"/>
  <c r="D5" i="4"/>
  <c r="E5" i="4" s="1"/>
  <c r="D4" i="4"/>
  <c r="E4" i="4" s="1"/>
  <c r="D3" i="4"/>
  <c r="E3" i="4" s="1"/>
  <c r="D2" i="4"/>
  <c r="E2" i="4" s="1"/>
  <c r="Y249" i="2"/>
  <c r="Y213" i="2"/>
  <c r="Y177" i="2"/>
  <c r="Y141" i="2"/>
  <c r="Y105" i="2"/>
  <c r="Y69" i="2"/>
  <c r="Y33" i="2"/>
  <c r="Z969" i="2" l="1"/>
  <c r="E250" i="2"/>
  <c r="F250" i="2"/>
  <c r="G250" i="2"/>
  <c r="H250" i="2"/>
  <c r="I250" i="2"/>
  <c r="J250" i="2"/>
  <c r="K250" i="2"/>
  <c r="L250" i="2"/>
  <c r="M250" i="2"/>
  <c r="N250" i="2"/>
  <c r="O250" i="2"/>
  <c r="P250" i="2"/>
  <c r="Q250" i="2"/>
  <c r="R250" i="2"/>
  <c r="S250" i="2"/>
  <c r="T250" i="2"/>
  <c r="U250" i="2"/>
  <c r="V250" i="2"/>
  <c r="W250" i="2"/>
  <c r="D250" i="2"/>
  <c r="Z249" i="2" s="1"/>
  <c r="E214" i="2"/>
  <c r="F214" i="2"/>
  <c r="G214" i="2"/>
  <c r="H214" i="2"/>
  <c r="I214" i="2"/>
  <c r="J214" i="2"/>
  <c r="K214" i="2"/>
  <c r="L214" i="2"/>
  <c r="M214" i="2"/>
  <c r="N214" i="2"/>
  <c r="O214" i="2"/>
  <c r="P214" i="2"/>
  <c r="Q214" i="2"/>
  <c r="R214" i="2"/>
  <c r="S214" i="2"/>
  <c r="T214" i="2"/>
  <c r="U214" i="2"/>
  <c r="V214" i="2"/>
  <c r="W214" i="2"/>
  <c r="D214" i="2"/>
  <c r="Z213" i="2" s="1"/>
  <c r="E178" i="2"/>
  <c r="F178" i="2"/>
  <c r="G178" i="2"/>
  <c r="H178" i="2"/>
  <c r="I178" i="2"/>
  <c r="J178" i="2"/>
  <c r="K178" i="2"/>
  <c r="L178" i="2"/>
  <c r="M178" i="2"/>
  <c r="N178" i="2"/>
  <c r="O178" i="2"/>
  <c r="P178" i="2"/>
  <c r="Q178" i="2"/>
  <c r="R178" i="2"/>
  <c r="S178" i="2"/>
  <c r="T178" i="2"/>
  <c r="U178" i="2"/>
  <c r="V178" i="2"/>
  <c r="W178" i="2"/>
  <c r="D178" i="2"/>
  <c r="Z177" i="2" s="1"/>
  <c r="E142" i="2"/>
  <c r="F142" i="2"/>
  <c r="G142" i="2"/>
  <c r="H142" i="2"/>
  <c r="I142" i="2"/>
  <c r="J142" i="2"/>
  <c r="K142" i="2"/>
  <c r="L142" i="2"/>
  <c r="M142" i="2"/>
  <c r="N142" i="2"/>
  <c r="O142" i="2"/>
  <c r="P142" i="2"/>
  <c r="Q142" i="2"/>
  <c r="R142" i="2"/>
  <c r="S142" i="2"/>
  <c r="T142" i="2"/>
  <c r="U142" i="2"/>
  <c r="V142" i="2"/>
  <c r="W142" i="2"/>
  <c r="D142" i="2"/>
  <c r="Z141" i="2" s="1"/>
  <c r="E106" i="2"/>
  <c r="F106" i="2"/>
  <c r="G106" i="2"/>
  <c r="H106" i="2"/>
  <c r="I106" i="2"/>
  <c r="J106" i="2"/>
  <c r="K106" i="2"/>
  <c r="L106" i="2"/>
  <c r="M106" i="2"/>
  <c r="N106" i="2"/>
  <c r="O106" i="2"/>
  <c r="P106" i="2"/>
  <c r="Q106" i="2"/>
  <c r="R106" i="2"/>
  <c r="S106" i="2"/>
  <c r="T106" i="2"/>
  <c r="U106" i="2"/>
  <c r="V106" i="2"/>
  <c r="W106" i="2"/>
  <c r="D106" i="2"/>
  <c r="Z105" i="2" s="1"/>
  <c r="E70" i="2"/>
  <c r="F70" i="2"/>
  <c r="G70" i="2"/>
  <c r="H70" i="2"/>
  <c r="I70" i="2"/>
  <c r="J70" i="2"/>
  <c r="K70" i="2"/>
  <c r="L70" i="2"/>
  <c r="M70" i="2"/>
  <c r="N70" i="2"/>
  <c r="O70" i="2"/>
  <c r="P70" i="2"/>
  <c r="Q70" i="2"/>
  <c r="R70" i="2"/>
  <c r="S70" i="2"/>
  <c r="T70" i="2"/>
  <c r="U70" i="2"/>
  <c r="V70" i="2"/>
  <c r="W70" i="2"/>
  <c r="D70" i="2"/>
  <c r="Z69" i="2" s="1"/>
  <c r="E34" i="2"/>
  <c r="F34" i="2"/>
  <c r="G34" i="2"/>
  <c r="H34" i="2"/>
  <c r="I34" i="2"/>
  <c r="J34" i="2"/>
  <c r="K34" i="2"/>
  <c r="L34" i="2"/>
  <c r="M34" i="2"/>
  <c r="N34" i="2"/>
  <c r="O34" i="2"/>
  <c r="P34" i="2"/>
  <c r="Q34" i="2"/>
  <c r="R34" i="2"/>
  <c r="S34" i="2"/>
  <c r="T34" i="2"/>
  <c r="U34" i="2"/>
  <c r="V34" i="2"/>
  <c r="W34" i="2"/>
  <c r="D34" i="2"/>
  <c r="Z33" i="2" s="1"/>
  <c r="Y136" i="2" l="1"/>
  <c r="Y248" i="2" l="1"/>
  <c r="Y247" i="2"/>
  <c r="Y246" i="2"/>
  <c r="Y244" i="2"/>
  <c r="Y243" i="2"/>
  <c r="Y242" i="2"/>
  <c r="Y241" i="2"/>
  <c r="Y240" i="2"/>
  <c r="Y239" i="2"/>
  <c r="Y238" i="2"/>
  <c r="Y237" i="2"/>
  <c r="Y236" i="2"/>
  <c r="Y235" i="2"/>
  <c r="Y234" i="2"/>
  <c r="Y233" i="2"/>
  <c r="Y232" i="2"/>
  <c r="Y231" i="2"/>
  <c r="Y230" i="2"/>
  <c r="Y229" i="2"/>
  <c r="Y228" i="2"/>
  <c r="Y227" i="2"/>
  <c r="Y226" i="2"/>
  <c r="Y225" i="2"/>
  <c r="Y224" i="2"/>
  <c r="Y223" i="2"/>
  <c r="Y222" i="2"/>
  <c r="Y221" i="2"/>
  <c r="Y220" i="2"/>
  <c r="Y219" i="2"/>
  <c r="Y218" i="2"/>
  <c r="Y212" i="2"/>
  <c r="Y211" i="2"/>
  <c r="Y210" i="2"/>
  <c r="Y208" i="2"/>
  <c r="Y207" i="2"/>
  <c r="Y206" i="2"/>
  <c r="Y205" i="2"/>
  <c r="Y204" i="2"/>
  <c r="Y203" i="2"/>
  <c r="Y202" i="2"/>
  <c r="Y201" i="2"/>
  <c r="Y200" i="2"/>
  <c r="Y199" i="2"/>
  <c r="Y198" i="2"/>
  <c r="Y197" i="2"/>
  <c r="Y196" i="2"/>
  <c r="Y195" i="2"/>
  <c r="Y194" i="2"/>
  <c r="Y193" i="2"/>
  <c r="Y192" i="2"/>
  <c r="Y191" i="2"/>
  <c r="Y190" i="2"/>
  <c r="Y189" i="2"/>
  <c r="Y188" i="2"/>
  <c r="Y187" i="2"/>
  <c r="Y186" i="2"/>
  <c r="Y185" i="2"/>
  <c r="Y184" i="2"/>
  <c r="Y183" i="2"/>
  <c r="Y182" i="2"/>
  <c r="Y176" i="2"/>
  <c r="Y175" i="2"/>
  <c r="Y174" i="2"/>
  <c r="Y172" i="2"/>
  <c r="Y171" i="2"/>
  <c r="Y170" i="2"/>
  <c r="Y169" i="2"/>
  <c r="Y168" i="2"/>
  <c r="Y167" i="2"/>
  <c r="Y166" i="2"/>
  <c r="Y165" i="2"/>
  <c r="Y164" i="2"/>
  <c r="Y163" i="2"/>
  <c r="Y162" i="2"/>
  <c r="Y161" i="2"/>
  <c r="Y160" i="2"/>
  <c r="Y159" i="2"/>
  <c r="Y158" i="2"/>
  <c r="Y157" i="2"/>
  <c r="Y156" i="2"/>
  <c r="Y155" i="2"/>
  <c r="Y154" i="2"/>
  <c r="Y153" i="2"/>
  <c r="Y152" i="2"/>
  <c r="Y151" i="2"/>
  <c r="Y150" i="2"/>
  <c r="Y149" i="2"/>
  <c r="Y148" i="2"/>
  <c r="Y147" i="2"/>
  <c r="Y146" i="2"/>
  <c r="Y140" i="2"/>
  <c r="Y139" i="2"/>
  <c r="Y138" i="2"/>
  <c r="Y135" i="2"/>
  <c r="Y134" i="2"/>
  <c r="Y133" i="2"/>
  <c r="Y132" i="2"/>
  <c r="Y131" i="2"/>
  <c r="Y130" i="2"/>
  <c r="Y129" i="2"/>
  <c r="Y128" i="2"/>
  <c r="Y127" i="2"/>
  <c r="Y126" i="2"/>
  <c r="Y125" i="2"/>
  <c r="Y124" i="2"/>
  <c r="Y123" i="2"/>
  <c r="Y122" i="2"/>
  <c r="Y121" i="2"/>
  <c r="Y120" i="2"/>
  <c r="Y119" i="2"/>
  <c r="Y118" i="2"/>
  <c r="Y117" i="2"/>
  <c r="Y116" i="2"/>
  <c r="Y115" i="2"/>
  <c r="Y114" i="2"/>
  <c r="Y113" i="2"/>
  <c r="Y112" i="2"/>
  <c r="Y111" i="2"/>
  <c r="Y110" i="2"/>
  <c r="Y104" i="2"/>
  <c r="Y103" i="2"/>
  <c r="Y102" i="2"/>
  <c r="Y100" i="2"/>
  <c r="Y99" i="2"/>
  <c r="Y98" i="2"/>
  <c r="Y97" i="2"/>
  <c r="Y96" i="2"/>
  <c r="Y95" i="2"/>
  <c r="Y94" i="2"/>
  <c r="Y93" i="2"/>
  <c r="Y92" i="2"/>
  <c r="Y91" i="2"/>
  <c r="Y90" i="2"/>
  <c r="Y89" i="2"/>
  <c r="Y88" i="2"/>
  <c r="Y87" i="2"/>
  <c r="Y86" i="2"/>
  <c r="Y85" i="2"/>
  <c r="Y84" i="2"/>
  <c r="Y83" i="2"/>
  <c r="Y82" i="2"/>
  <c r="Y81" i="2"/>
  <c r="Y80" i="2"/>
  <c r="Y79" i="2"/>
  <c r="Y78" i="2"/>
  <c r="Y77" i="2"/>
  <c r="Y76" i="2"/>
  <c r="Y75" i="2"/>
  <c r="Y74" i="2"/>
  <c r="Y68" i="2"/>
  <c r="Y67" i="2"/>
  <c r="Y66" i="2"/>
  <c r="Y64" i="2"/>
  <c r="Y63" i="2"/>
  <c r="Y62" i="2"/>
  <c r="Y61" i="2"/>
  <c r="Y60" i="2"/>
  <c r="Y59" i="2"/>
  <c r="Y58" i="2"/>
  <c r="Y57" i="2"/>
  <c r="Y56" i="2"/>
  <c r="Y55" i="2"/>
  <c r="Y54" i="2"/>
  <c r="Y53" i="2"/>
  <c r="Y52" i="2"/>
  <c r="Y51" i="2"/>
  <c r="Y50" i="2"/>
  <c r="Y49" i="2"/>
  <c r="Y48" i="2"/>
  <c r="Y47" i="2"/>
  <c r="Y46" i="2"/>
  <c r="Y45" i="2"/>
  <c r="Y44" i="2"/>
  <c r="Y43" i="2"/>
  <c r="Y42" i="2"/>
  <c r="Y41" i="2"/>
  <c r="Y40" i="2"/>
  <c r="Y39" i="2"/>
  <c r="Y38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30" i="2"/>
  <c r="Y31" i="2"/>
  <c r="Y32" i="2"/>
  <c r="Y2" i="2"/>
  <c r="T254" i="2" l="1"/>
  <c r="U254" i="2"/>
  <c r="V254" i="2"/>
  <c r="W254" i="2"/>
  <c r="T255" i="2"/>
  <c r="U255" i="2"/>
  <c r="V255" i="2"/>
  <c r="W255" i="2"/>
  <c r="T256" i="2"/>
  <c r="U256" i="2"/>
  <c r="V256" i="2"/>
  <c r="W256" i="2"/>
  <c r="T257" i="2"/>
  <c r="U257" i="2"/>
  <c r="V257" i="2"/>
  <c r="W257" i="2"/>
  <c r="T258" i="2"/>
  <c r="U258" i="2"/>
  <c r="V258" i="2"/>
  <c r="W258" i="2"/>
  <c r="T259" i="2"/>
  <c r="U259" i="2"/>
  <c r="V259" i="2"/>
  <c r="W259" i="2"/>
  <c r="T260" i="2"/>
  <c r="U260" i="2"/>
  <c r="V260" i="2"/>
  <c r="W260" i="2"/>
  <c r="T261" i="2"/>
  <c r="U261" i="2"/>
  <c r="V261" i="2"/>
  <c r="W261" i="2"/>
  <c r="T262" i="2"/>
  <c r="U262" i="2"/>
  <c r="V262" i="2"/>
  <c r="W262" i="2"/>
  <c r="T263" i="2"/>
  <c r="U263" i="2"/>
  <c r="V263" i="2"/>
  <c r="W263" i="2"/>
  <c r="T264" i="2"/>
  <c r="U264" i="2"/>
  <c r="V264" i="2"/>
  <c r="W264" i="2"/>
  <c r="T265" i="2"/>
  <c r="U265" i="2"/>
  <c r="V265" i="2"/>
  <c r="W265" i="2"/>
  <c r="T266" i="2"/>
  <c r="U266" i="2"/>
  <c r="V266" i="2"/>
  <c r="W266" i="2"/>
  <c r="T267" i="2"/>
  <c r="U267" i="2"/>
  <c r="V267" i="2"/>
  <c r="W267" i="2"/>
  <c r="T268" i="2"/>
  <c r="U268" i="2"/>
  <c r="V268" i="2"/>
  <c r="W268" i="2"/>
  <c r="T269" i="2"/>
  <c r="U269" i="2"/>
  <c r="V269" i="2"/>
  <c r="W269" i="2"/>
  <c r="T270" i="2"/>
  <c r="U270" i="2"/>
  <c r="V270" i="2"/>
  <c r="W270" i="2"/>
  <c r="T271" i="2"/>
  <c r="U271" i="2"/>
  <c r="V271" i="2"/>
  <c r="W271" i="2"/>
  <c r="T272" i="2"/>
  <c r="U272" i="2"/>
  <c r="V272" i="2"/>
  <c r="W272" i="2"/>
  <c r="T273" i="2"/>
  <c r="U273" i="2"/>
  <c r="V273" i="2"/>
  <c r="W273" i="2"/>
  <c r="T274" i="2"/>
  <c r="U274" i="2"/>
  <c r="V274" i="2"/>
  <c r="W274" i="2"/>
  <c r="T275" i="2"/>
  <c r="U275" i="2"/>
  <c r="V275" i="2"/>
  <c r="W275" i="2"/>
  <c r="T276" i="2"/>
  <c r="U276" i="2"/>
  <c r="V276" i="2"/>
  <c r="W276" i="2"/>
  <c r="T277" i="2"/>
  <c r="U277" i="2"/>
  <c r="V277" i="2"/>
  <c r="W277" i="2"/>
  <c r="T278" i="2"/>
  <c r="U278" i="2"/>
  <c r="V278" i="2"/>
  <c r="W278" i="2"/>
  <c r="T279" i="2"/>
  <c r="U279" i="2"/>
  <c r="V279" i="2"/>
  <c r="W279" i="2"/>
  <c r="T280" i="2"/>
  <c r="U280" i="2"/>
  <c r="V280" i="2"/>
  <c r="W280" i="2"/>
  <c r="T282" i="2"/>
  <c r="U282" i="2"/>
  <c r="V282" i="2"/>
  <c r="W282" i="2"/>
  <c r="T283" i="2"/>
  <c r="U283" i="2"/>
  <c r="V283" i="2"/>
  <c r="W283" i="2"/>
  <c r="T284" i="2"/>
  <c r="U284" i="2"/>
  <c r="V284" i="2"/>
  <c r="W284" i="2"/>
  <c r="T290" i="2"/>
  <c r="U290" i="2"/>
  <c r="V290" i="2"/>
  <c r="W290" i="2"/>
  <c r="T291" i="2"/>
  <c r="U291" i="2"/>
  <c r="V291" i="2"/>
  <c r="W291" i="2"/>
  <c r="T292" i="2"/>
  <c r="U292" i="2"/>
  <c r="V292" i="2"/>
  <c r="W292" i="2"/>
  <c r="T293" i="2"/>
  <c r="U293" i="2"/>
  <c r="V293" i="2"/>
  <c r="W293" i="2"/>
  <c r="T294" i="2"/>
  <c r="U294" i="2"/>
  <c r="V294" i="2"/>
  <c r="W294" i="2"/>
  <c r="T295" i="2"/>
  <c r="U295" i="2"/>
  <c r="V295" i="2"/>
  <c r="W295" i="2"/>
  <c r="T296" i="2"/>
  <c r="U296" i="2"/>
  <c r="V296" i="2"/>
  <c r="W296" i="2"/>
  <c r="T297" i="2"/>
  <c r="U297" i="2"/>
  <c r="V297" i="2"/>
  <c r="W297" i="2"/>
  <c r="T298" i="2"/>
  <c r="U298" i="2"/>
  <c r="V298" i="2"/>
  <c r="W298" i="2"/>
  <c r="T299" i="2"/>
  <c r="U299" i="2"/>
  <c r="V299" i="2"/>
  <c r="W299" i="2"/>
  <c r="T300" i="2"/>
  <c r="U300" i="2"/>
  <c r="V300" i="2"/>
  <c r="W300" i="2"/>
  <c r="T301" i="2"/>
  <c r="U301" i="2"/>
  <c r="V301" i="2"/>
  <c r="W301" i="2"/>
  <c r="T302" i="2"/>
  <c r="U302" i="2"/>
  <c r="V302" i="2"/>
  <c r="W302" i="2"/>
  <c r="T303" i="2"/>
  <c r="U303" i="2"/>
  <c r="V303" i="2"/>
  <c r="W303" i="2"/>
  <c r="T304" i="2"/>
  <c r="U304" i="2"/>
  <c r="V304" i="2"/>
  <c r="W304" i="2"/>
  <c r="T305" i="2"/>
  <c r="U305" i="2"/>
  <c r="V305" i="2"/>
  <c r="W305" i="2"/>
  <c r="T306" i="2"/>
  <c r="U306" i="2"/>
  <c r="V306" i="2"/>
  <c r="W306" i="2"/>
  <c r="T307" i="2"/>
  <c r="U307" i="2"/>
  <c r="V307" i="2"/>
  <c r="W307" i="2"/>
  <c r="T308" i="2"/>
  <c r="U308" i="2"/>
  <c r="V308" i="2"/>
  <c r="W308" i="2"/>
  <c r="T309" i="2"/>
  <c r="U309" i="2"/>
  <c r="V309" i="2"/>
  <c r="W309" i="2"/>
  <c r="T310" i="2"/>
  <c r="U310" i="2"/>
  <c r="V310" i="2"/>
  <c r="W310" i="2"/>
  <c r="T311" i="2"/>
  <c r="U311" i="2"/>
  <c r="V311" i="2"/>
  <c r="W311" i="2"/>
  <c r="T312" i="2"/>
  <c r="U312" i="2"/>
  <c r="V312" i="2"/>
  <c r="W312" i="2"/>
  <c r="T313" i="2"/>
  <c r="U313" i="2"/>
  <c r="V313" i="2"/>
  <c r="W313" i="2"/>
  <c r="T314" i="2"/>
  <c r="U314" i="2"/>
  <c r="V314" i="2"/>
  <c r="W314" i="2"/>
  <c r="T315" i="2"/>
  <c r="U315" i="2"/>
  <c r="V315" i="2"/>
  <c r="W315" i="2"/>
  <c r="T316" i="2"/>
  <c r="U316" i="2"/>
  <c r="V316" i="2"/>
  <c r="W316" i="2"/>
  <c r="T318" i="2"/>
  <c r="U318" i="2"/>
  <c r="V318" i="2"/>
  <c r="W318" i="2"/>
  <c r="T319" i="2"/>
  <c r="U319" i="2"/>
  <c r="V319" i="2"/>
  <c r="W319" i="2"/>
  <c r="T326" i="2"/>
  <c r="U326" i="2"/>
  <c r="V326" i="2"/>
  <c r="W326" i="2"/>
  <c r="T327" i="2"/>
  <c r="U327" i="2"/>
  <c r="V327" i="2"/>
  <c r="W327" i="2"/>
  <c r="T328" i="2"/>
  <c r="U328" i="2"/>
  <c r="V328" i="2"/>
  <c r="W328" i="2"/>
  <c r="T329" i="2"/>
  <c r="U329" i="2"/>
  <c r="V329" i="2"/>
  <c r="W329" i="2"/>
  <c r="T330" i="2"/>
  <c r="U330" i="2"/>
  <c r="V330" i="2"/>
  <c r="W330" i="2"/>
  <c r="T331" i="2"/>
  <c r="U331" i="2"/>
  <c r="V331" i="2"/>
  <c r="W331" i="2"/>
  <c r="T332" i="2"/>
  <c r="U332" i="2"/>
  <c r="V332" i="2"/>
  <c r="W332" i="2"/>
  <c r="T333" i="2"/>
  <c r="U333" i="2"/>
  <c r="V333" i="2"/>
  <c r="W333" i="2"/>
  <c r="T334" i="2"/>
  <c r="U334" i="2"/>
  <c r="V334" i="2"/>
  <c r="W334" i="2"/>
  <c r="T335" i="2"/>
  <c r="U335" i="2"/>
  <c r="V335" i="2"/>
  <c r="W335" i="2"/>
  <c r="T336" i="2"/>
  <c r="U336" i="2"/>
  <c r="V336" i="2"/>
  <c r="W336" i="2"/>
  <c r="T337" i="2"/>
  <c r="U337" i="2"/>
  <c r="V337" i="2"/>
  <c r="W337" i="2"/>
  <c r="T338" i="2"/>
  <c r="U338" i="2"/>
  <c r="V338" i="2"/>
  <c r="W338" i="2"/>
  <c r="T339" i="2"/>
  <c r="U339" i="2"/>
  <c r="V339" i="2"/>
  <c r="W339" i="2"/>
  <c r="T340" i="2"/>
  <c r="U340" i="2"/>
  <c r="V340" i="2"/>
  <c r="W340" i="2"/>
  <c r="T341" i="2"/>
  <c r="U341" i="2"/>
  <c r="V341" i="2"/>
  <c r="W341" i="2"/>
  <c r="T342" i="2"/>
  <c r="U342" i="2"/>
  <c r="V342" i="2"/>
  <c r="W342" i="2"/>
  <c r="T343" i="2"/>
  <c r="U343" i="2"/>
  <c r="V343" i="2"/>
  <c r="W343" i="2"/>
  <c r="T344" i="2"/>
  <c r="U344" i="2"/>
  <c r="V344" i="2"/>
  <c r="W344" i="2"/>
  <c r="T345" i="2"/>
  <c r="U345" i="2"/>
  <c r="V345" i="2"/>
  <c r="W345" i="2"/>
  <c r="T346" i="2"/>
  <c r="U346" i="2"/>
  <c r="V346" i="2"/>
  <c r="W346" i="2"/>
  <c r="T347" i="2"/>
  <c r="U347" i="2"/>
  <c r="V347" i="2"/>
  <c r="W347" i="2"/>
  <c r="T348" i="2"/>
  <c r="U348" i="2"/>
  <c r="V348" i="2"/>
  <c r="W348" i="2"/>
  <c r="T349" i="2"/>
  <c r="U349" i="2"/>
  <c r="V349" i="2"/>
  <c r="W349" i="2"/>
  <c r="T350" i="2"/>
  <c r="U350" i="2"/>
  <c r="V350" i="2"/>
  <c r="W350" i="2"/>
  <c r="T351" i="2"/>
  <c r="U351" i="2"/>
  <c r="V351" i="2"/>
  <c r="W351" i="2"/>
  <c r="T352" i="2"/>
  <c r="U352" i="2"/>
  <c r="V352" i="2"/>
  <c r="W352" i="2"/>
  <c r="T354" i="2"/>
  <c r="U354" i="2"/>
  <c r="V354" i="2"/>
  <c r="W354" i="2"/>
  <c r="T355" i="2"/>
  <c r="U355" i="2"/>
  <c r="V355" i="2"/>
  <c r="W355" i="2"/>
  <c r="T356" i="2"/>
  <c r="U356" i="2"/>
  <c r="V356" i="2"/>
  <c r="W356" i="2"/>
  <c r="T362" i="2"/>
  <c r="U362" i="2"/>
  <c r="V362" i="2"/>
  <c r="W362" i="2"/>
  <c r="T363" i="2"/>
  <c r="U363" i="2"/>
  <c r="V363" i="2"/>
  <c r="W363" i="2"/>
  <c r="T364" i="2"/>
  <c r="U364" i="2"/>
  <c r="V364" i="2"/>
  <c r="W364" i="2"/>
  <c r="T365" i="2"/>
  <c r="U365" i="2"/>
  <c r="V365" i="2"/>
  <c r="W365" i="2"/>
  <c r="T366" i="2"/>
  <c r="U366" i="2"/>
  <c r="V366" i="2"/>
  <c r="W366" i="2"/>
  <c r="T367" i="2"/>
  <c r="U367" i="2"/>
  <c r="V367" i="2"/>
  <c r="W367" i="2"/>
  <c r="T368" i="2"/>
  <c r="U368" i="2"/>
  <c r="V368" i="2"/>
  <c r="W368" i="2"/>
  <c r="T369" i="2"/>
  <c r="U369" i="2"/>
  <c r="V369" i="2"/>
  <c r="W369" i="2"/>
  <c r="T370" i="2"/>
  <c r="U370" i="2"/>
  <c r="V370" i="2"/>
  <c r="W370" i="2"/>
  <c r="T371" i="2"/>
  <c r="U371" i="2"/>
  <c r="V371" i="2"/>
  <c r="W371" i="2"/>
  <c r="T372" i="2"/>
  <c r="U372" i="2"/>
  <c r="V372" i="2"/>
  <c r="W372" i="2"/>
  <c r="T373" i="2"/>
  <c r="U373" i="2"/>
  <c r="V373" i="2"/>
  <c r="W373" i="2"/>
  <c r="T374" i="2"/>
  <c r="U374" i="2"/>
  <c r="V374" i="2"/>
  <c r="W374" i="2"/>
  <c r="T375" i="2"/>
  <c r="U375" i="2"/>
  <c r="V375" i="2"/>
  <c r="W375" i="2"/>
  <c r="T376" i="2"/>
  <c r="U376" i="2"/>
  <c r="V376" i="2"/>
  <c r="W376" i="2"/>
  <c r="T377" i="2"/>
  <c r="U377" i="2"/>
  <c r="V377" i="2"/>
  <c r="W377" i="2"/>
  <c r="T378" i="2"/>
  <c r="U378" i="2"/>
  <c r="V378" i="2"/>
  <c r="W378" i="2"/>
  <c r="T379" i="2"/>
  <c r="U379" i="2"/>
  <c r="V379" i="2"/>
  <c r="W379" i="2"/>
  <c r="T380" i="2"/>
  <c r="U380" i="2"/>
  <c r="V380" i="2"/>
  <c r="W380" i="2"/>
  <c r="T381" i="2"/>
  <c r="U381" i="2"/>
  <c r="V381" i="2"/>
  <c r="W381" i="2"/>
  <c r="T382" i="2"/>
  <c r="U382" i="2"/>
  <c r="V382" i="2"/>
  <c r="W382" i="2"/>
  <c r="T383" i="2"/>
  <c r="U383" i="2"/>
  <c r="V383" i="2"/>
  <c r="W383" i="2"/>
  <c r="T384" i="2"/>
  <c r="U384" i="2"/>
  <c r="V384" i="2"/>
  <c r="W384" i="2"/>
  <c r="T385" i="2"/>
  <c r="U385" i="2"/>
  <c r="V385" i="2"/>
  <c r="W385" i="2"/>
  <c r="T386" i="2"/>
  <c r="U386" i="2"/>
  <c r="V386" i="2"/>
  <c r="W386" i="2"/>
  <c r="T387" i="2"/>
  <c r="U387" i="2"/>
  <c r="V387" i="2"/>
  <c r="W387" i="2"/>
  <c r="T388" i="2"/>
  <c r="U388" i="2"/>
  <c r="V388" i="2"/>
  <c r="W388" i="2"/>
  <c r="T390" i="2"/>
  <c r="U390" i="2"/>
  <c r="V390" i="2"/>
  <c r="W390" i="2"/>
  <c r="T391" i="2"/>
  <c r="U391" i="2"/>
  <c r="V391" i="2"/>
  <c r="W391" i="2"/>
  <c r="T392" i="2"/>
  <c r="U392" i="2"/>
  <c r="V392" i="2"/>
  <c r="W392" i="2"/>
  <c r="T398" i="2"/>
  <c r="U398" i="2"/>
  <c r="V398" i="2"/>
  <c r="W398" i="2"/>
  <c r="T399" i="2"/>
  <c r="U399" i="2"/>
  <c r="V399" i="2"/>
  <c r="W399" i="2"/>
  <c r="T400" i="2"/>
  <c r="U400" i="2"/>
  <c r="V400" i="2"/>
  <c r="W400" i="2"/>
  <c r="T401" i="2"/>
  <c r="U401" i="2"/>
  <c r="V401" i="2"/>
  <c r="W401" i="2"/>
  <c r="T402" i="2"/>
  <c r="U402" i="2"/>
  <c r="V402" i="2"/>
  <c r="W402" i="2"/>
  <c r="T403" i="2"/>
  <c r="U403" i="2"/>
  <c r="V403" i="2"/>
  <c r="W403" i="2"/>
  <c r="T404" i="2"/>
  <c r="U404" i="2"/>
  <c r="V404" i="2"/>
  <c r="W404" i="2"/>
  <c r="T405" i="2"/>
  <c r="U405" i="2"/>
  <c r="V405" i="2"/>
  <c r="W405" i="2"/>
  <c r="T406" i="2"/>
  <c r="U406" i="2"/>
  <c r="V406" i="2"/>
  <c r="W406" i="2"/>
  <c r="T407" i="2"/>
  <c r="U407" i="2"/>
  <c r="V407" i="2"/>
  <c r="W407" i="2"/>
  <c r="T408" i="2"/>
  <c r="U408" i="2"/>
  <c r="V408" i="2"/>
  <c r="W408" i="2"/>
  <c r="T409" i="2"/>
  <c r="U409" i="2"/>
  <c r="V409" i="2"/>
  <c r="W409" i="2"/>
  <c r="T410" i="2"/>
  <c r="U410" i="2"/>
  <c r="V410" i="2"/>
  <c r="W410" i="2"/>
  <c r="T411" i="2"/>
  <c r="U411" i="2"/>
  <c r="V411" i="2"/>
  <c r="W411" i="2"/>
  <c r="T412" i="2"/>
  <c r="U412" i="2"/>
  <c r="V412" i="2"/>
  <c r="W412" i="2"/>
  <c r="T413" i="2"/>
  <c r="U413" i="2"/>
  <c r="V413" i="2"/>
  <c r="W413" i="2"/>
  <c r="T414" i="2"/>
  <c r="U414" i="2"/>
  <c r="V414" i="2"/>
  <c r="W414" i="2"/>
  <c r="T415" i="2"/>
  <c r="U415" i="2"/>
  <c r="V415" i="2"/>
  <c r="W415" i="2"/>
  <c r="T416" i="2"/>
  <c r="U416" i="2"/>
  <c r="V416" i="2"/>
  <c r="W416" i="2"/>
  <c r="T417" i="2"/>
  <c r="U417" i="2"/>
  <c r="V417" i="2"/>
  <c r="W417" i="2"/>
  <c r="T418" i="2"/>
  <c r="U418" i="2"/>
  <c r="V418" i="2"/>
  <c r="W418" i="2"/>
  <c r="T419" i="2"/>
  <c r="U419" i="2"/>
  <c r="V419" i="2"/>
  <c r="W419" i="2"/>
  <c r="T420" i="2"/>
  <c r="U420" i="2"/>
  <c r="V420" i="2"/>
  <c r="W420" i="2"/>
  <c r="T421" i="2"/>
  <c r="U421" i="2"/>
  <c r="V421" i="2"/>
  <c r="W421" i="2"/>
  <c r="T422" i="2"/>
  <c r="U422" i="2"/>
  <c r="V422" i="2"/>
  <c r="W422" i="2"/>
  <c r="T423" i="2"/>
  <c r="U423" i="2"/>
  <c r="V423" i="2"/>
  <c r="W423" i="2"/>
  <c r="T424" i="2"/>
  <c r="U424" i="2"/>
  <c r="V424" i="2"/>
  <c r="W424" i="2"/>
  <c r="T426" i="2"/>
  <c r="U426" i="2"/>
  <c r="V426" i="2"/>
  <c r="W426" i="2"/>
  <c r="T427" i="2"/>
  <c r="U427" i="2"/>
  <c r="V427" i="2"/>
  <c r="W427" i="2"/>
  <c r="T428" i="2"/>
  <c r="U428" i="2"/>
  <c r="V428" i="2"/>
  <c r="W428" i="2"/>
  <c r="T434" i="2"/>
  <c r="U434" i="2"/>
  <c r="V434" i="2"/>
  <c r="W434" i="2"/>
  <c r="T435" i="2"/>
  <c r="U435" i="2"/>
  <c r="V435" i="2"/>
  <c r="W435" i="2"/>
  <c r="T436" i="2"/>
  <c r="U436" i="2"/>
  <c r="V436" i="2"/>
  <c r="W436" i="2"/>
  <c r="T437" i="2"/>
  <c r="U437" i="2"/>
  <c r="V437" i="2"/>
  <c r="W437" i="2"/>
  <c r="T438" i="2"/>
  <c r="U438" i="2"/>
  <c r="V438" i="2"/>
  <c r="W438" i="2"/>
  <c r="T439" i="2"/>
  <c r="U439" i="2"/>
  <c r="V439" i="2"/>
  <c r="W439" i="2"/>
  <c r="T440" i="2"/>
  <c r="U440" i="2"/>
  <c r="V440" i="2"/>
  <c r="W440" i="2"/>
  <c r="T441" i="2"/>
  <c r="U441" i="2"/>
  <c r="V441" i="2"/>
  <c r="W441" i="2"/>
  <c r="T442" i="2"/>
  <c r="U442" i="2"/>
  <c r="V442" i="2"/>
  <c r="W442" i="2"/>
  <c r="T443" i="2"/>
  <c r="U443" i="2"/>
  <c r="V443" i="2"/>
  <c r="W443" i="2"/>
  <c r="T444" i="2"/>
  <c r="U444" i="2"/>
  <c r="V444" i="2"/>
  <c r="W444" i="2"/>
  <c r="T445" i="2"/>
  <c r="U445" i="2"/>
  <c r="V445" i="2"/>
  <c r="W445" i="2"/>
  <c r="T446" i="2"/>
  <c r="U446" i="2"/>
  <c r="V446" i="2"/>
  <c r="W446" i="2"/>
  <c r="T447" i="2"/>
  <c r="U447" i="2"/>
  <c r="V447" i="2"/>
  <c r="W447" i="2"/>
  <c r="T448" i="2"/>
  <c r="U448" i="2"/>
  <c r="V448" i="2"/>
  <c r="W448" i="2"/>
  <c r="T449" i="2"/>
  <c r="U449" i="2"/>
  <c r="V449" i="2"/>
  <c r="W449" i="2"/>
  <c r="T450" i="2"/>
  <c r="U450" i="2"/>
  <c r="V450" i="2"/>
  <c r="W450" i="2"/>
  <c r="T451" i="2"/>
  <c r="U451" i="2"/>
  <c r="V451" i="2"/>
  <c r="W451" i="2"/>
  <c r="T452" i="2"/>
  <c r="U452" i="2"/>
  <c r="V452" i="2"/>
  <c r="W452" i="2"/>
  <c r="T453" i="2"/>
  <c r="U453" i="2"/>
  <c r="V453" i="2"/>
  <c r="W453" i="2"/>
  <c r="T454" i="2"/>
  <c r="U454" i="2"/>
  <c r="V454" i="2"/>
  <c r="W454" i="2"/>
  <c r="T455" i="2"/>
  <c r="U455" i="2"/>
  <c r="V455" i="2"/>
  <c r="W455" i="2"/>
  <c r="T456" i="2"/>
  <c r="U456" i="2"/>
  <c r="V456" i="2"/>
  <c r="W456" i="2"/>
  <c r="T457" i="2"/>
  <c r="U457" i="2"/>
  <c r="V457" i="2"/>
  <c r="W457" i="2"/>
  <c r="T458" i="2"/>
  <c r="U458" i="2"/>
  <c r="V458" i="2"/>
  <c r="W458" i="2"/>
  <c r="T459" i="2"/>
  <c r="U459" i="2"/>
  <c r="V459" i="2"/>
  <c r="W459" i="2"/>
  <c r="T460" i="2"/>
  <c r="U460" i="2"/>
  <c r="V460" i="2"/>
  <c r="W460" i="2"/>
  <c r="T462" i="2"/>
  <c r="U462" i="2"/>
  <c r="V462" i="2"/>
  <c r="W462" i="2"/>
  <c r="T463" i="2"/>
  <c r="U463" i="2"/>
  <c r="V463" i="2"/>
  <c r="W463" i="2"/>
  <c r="T464" i="2"/>
  <c r="U464" i="2"/>
  <c r="V464" i="2"/>
  <c r="W464" i="2"/>
  <c r="T470" i="2"/>
  <c r="U470" i="2"/>
  <c r="V470" i="2"/>
  <c r="W470" i="2"/>
  <c r="T471" i="2"/>
  <c r="U471" i="2"/>
  <c r="V471" i="2"/>
  <c r="W471" i="2"/>
  <c r="T472" i="2"/>
  <c r="U472" i="2"/>
  <c r="V472" i="2"/>
  <c r="W472" i="2"/>
  <c r="T473" i="2"/>
  <c r="U473" i="2"/>
  <c r="V473" i="2"/>
  <c r="W473" i="2"/>
  <c r="T474" i="2"/>
  <c r="U474" i="2"/>
  <c r="V474" i="2"/>
  <c r="W474" i="2"/>
  <c r="T475" i="2"/>
  <c r="U475" i="2"/>
  <c r="V475" i="2"/>
  <c r="W475" i="2"/>
  <c r="T476" i="2"/>
  <c r="U476" i="2"/>
  <c r="V476" i="2"/>
  <c r="W476" i="2"/>
  <c r="T477" i="2"/>
  <c r="U477" i="2"/>
  <c r="V477" i="2"/>
  <c r="W477" i="2"/>
  <c r="T478" i="2"/>
  <c r="U478" i="2"/>
  <c r="V478" i="2"/>
  <c r="W478" i="2"/>
  <c r="T479" i="2"/>
  <c r="U479" i="2"/>
  <c r="V479" i="2"/>
  <c r="W479" i="2"/>
  <c r="T480" i="2"/>
  <c r="U480" i="2"/>
  <c r="V480" i="2"/>
  <c r="W480" i="2"/>
  <c r="T481" i="2"/>
  <c r="U481" i="2"/>
  <c r="V481" i="2"/>
  <c r="W481" i="2"/>
  <c r="T482" i="2"/>
  <c r="U482" i="2"/>
  <c r="V482" i="2"/>
  <c r="W482" i="2"/>
  <c r="T483" i="2"/>
  <c r="U483" i="2"/>
  <c r="V483" i="2"/>
  <c r="W483" i="2"/>
  <c r="T484" i="2"/>
  <c r="U484" i="2"/>
  <c r="V484" i="2"/>
  <c r="W484" i="2"/>
  <c r="T485" i="2"/>
  <c r="U485" i="2"/>
  <c r="V485" i="2"/>
  <c r="W485" i="2"/>
  <c r="T486" i="2"/>
  <c r="U486" i="2"/>
  <c r="V486" i="2"/>
  <c r="W486" i="2"/>
  <c r="T487" i="2"/>
  <c r="U487" i="2"/>
  <c r="V487" i="2"/>
  <c r="W487" i="2"/>
  <c r="T488" i="2"/>
  <c r="U488" i="2"/>
  <c r="V488" i="2"/>
  <c r="W488" i="2"/>
  <c r="T489" i="2"/>
  <c r="U489" i="2"/>
  <c r="V489" i="2"/>
  <c r="W489" i="2"/>
  <c r="T490" i="2"/>
  <c r="U490" i="2"/>
  <c r="V490" i="2"/>
  <c r="W490" i="2"/>
  <c r="T491" i="2"/>
  <c r="U491" i="2"/>
  <c r="V491" i="2"/>
  <c r="W491" i="2"/>
  <c r="T492" i="2"/>
  <c r="U492" i="2"/>
  <c r="V492" i="2"/>
  <c r="W492" i="2"/>
  <c r="T493" i="2"/>
  <c r="U493" i="2"/>
  <c r="V493" i="2"/>
  <c r="W493" i="2"/>
  <c r="T494" i="2"/>
  <c r="U494" i="2"/>
  <c r="V494" i="2"/>
  <c r="W494" i="2"/>
  <c r="T495" i="2"/>
  <c r="U495" i="2"/>
  <c r="V495" i="2"/>
  <c r="W495" i="2"/>
  <c r="T496" i="2"/>
  <c r="U496" i="2"/>
  <c r="V496" i="2"/>
  <c r="W496" i="2"/>
  <c r="T498" i="2"/>
  <c r="U498" i="2"/>
  <c r="V498" i="2"/>
  <c r="W498" i="2"/>
  <c r="T499" i="2"/>
  <c r="U499" i="2"/>
  <c r="V499" i="2"/>
  <c r="W499" i="2"/>
  <c r="T500" i="2"/>
  <c r="U500" i="2"/>
  <c r="V500" i="2"/>
  <c r="W500" i="2"/>
  <c r="T506" i="2"/>
  <c r="U506" i="2"/>
  <c r="V506" i="2"/>
  <c r="W506" i="2"/>
  <c r="T507" i="2"/>
  <c r="U507" i="2"/>
  <c r="V507" i="2"/>
  <c r="W507" i="2"/>
  <c r="T508" i="2"/>
  <c r="U508" i="2"/>
  <c r="V508" i="2"/>
  <c r="W508" i="2"/>
  <c r="T509" i="2"/>
  <c r="U509" i="2"/>
  <c r="V509" i="2"/>
  <c r="W509" i="2"/>
  <c r="T510" i="2"/>
  <c r="U510" i="2"/>
  <c r="V510" i="2"/>
  <c r="W510" i="2"/>
  <c r="T511" i="2"/>
  <c r="U511" i="2"/>
  <c r="V511" i="2"/>
  <c r="W511" i="2"/>
  <c r="T512" i="2"/>
  <c r="U512" i="2"/>
  <c r="V512" i="2"/>
  <c r="W512" i="2"/>
  <c r="T513" i="2"/>
  <c r="U513" i="2"/>
  <c r="V513" i="2"/>
  <c r="W513" i="2"/>
  <c r="T514" i="2"/>
  <c r="U514" i="2"/>
  <c r="V514" i="2"/>
  <c r="W514" i="2"/>
  <c r="T515" i="2"/>
  <c r="U515" i="2"/>
  <c r="V515" i="2"/>
  <c r="W515" i="2"/>
  <c r="T516" i="2"/>
  <c r="U516" i="2"/>
  <c r="V516" i="2"/>
  <c r="W516" i="2"/>
  <c r="T517" i="2"/>
  <c r="U517" i="2"/>
  <c r="V517" i="2"/>
  <c r="W517" i="2"/>
  <c r="T518" i="2"/>
  <c r="U518" i="2"/>
  <c r="V518" i="2"/>
  <c r="W518" i="2"/>
  <c r="T519" i="2"/>
  <c r="U519" i="2"/>
  <c r="V519" i="2"/>
  <c r="W519" i="2"/>
  <c r="T520" i="2"/>
  <c r="U520" i="2"/>
  <c r="V520" i="2"/>
  <c r="W520" i="2"/>
  <c r="T521" i="2"/>
  <c r="U521" i="2"/>
  <c r="V521" i="2"/>
  <c r="W521" i="2"/>
  <c r="T522" i="2"/>
  <c r="U522" i="2"/>
  <c r="V522" i="2"/>
  <c r="W522" i="2"/>
  <c r="T523" i="2"/>
  <c r="U523" i="2"/>
  <c r="V523" i="2"/>
  <c r="W523" i="2"/>
  <c r="T524" i="2"/>
  <c r="U524" i="2"/>
  <c r="V524" i="2"/>
  <c r="W524" i="2"/>
  <c r="T525" i="2"/>
  <c r="U525" i="2"/>
  <c r="V525" i="2"/>
  <c r="W525" i="2"/>
  <c r="T526" i="2"/>
  <c r="U526" i="2"/>
  <c r="V526" i="2"/>
  <c r="W526" i="2"/>
  <c r="T527" i="2"/>
  <c r="U527" i="2"/>
  <c r="V527" i="2"/>
  <c r="W527" i="2"/>
  <c r="T528" i="2"/>
  <c r="U528" i="2"/>
  <c r="V528" i="2"/>
  <c r="W528" i="2"/>
  <c r="T529" i="2"/>
  <c r="U529" i="2"/>
  <c r="V529" i="2"/>
  <c r="W529" i="2"/>
  <c r="T530" i="2"/>
  <c r="U530" i="2"/>
  <c r="V530" i="2"/>
  <c r="W530" i="2"/>
  <c r="T531" i="2"/>
  <c r="U531" i="2"/>
  <c r="V531" i="2"/>
  <c r="W531" i="2"/>
  <c r="T532" i="2"/>
  <c r="U532" i="2"/>
  <c r="V532" i="2"/>
  <c r="W532" i="2"/>
  <c r="T534" i="2"/>
  <c r="U534" i="2"/>
  <c r="V534" i="2"/>
  <c r="W534" i="2"/>
  <c r="T535" i="2"/>
  <c r="U535" i="2"/>
  <c r="V535" i="2"/>
  <c r="W535" i="2"/>
  <c r="T536" i="2"/>
  <c r="U536" i="2"/>
  <c r="V536" i="2"/>
  <c r="W536" i="2"/>
  <c r="T542" i="2"/>
  <c r="U542" i="2"/>
  <c r="V542" i="2"/>
  <c r="W542" i="2"/>
  <c r="T543" i="2"/>
  <c r="U543" i="2"/>
  <c r="V543" i="2"/>
  <c r="W543" i="2"/>
  <c r="T544" i="2"/>
  <c r="U544" i="2"/>
  <c r="V544" i="2"/>
  <c r="W544" i="2"/>
  <c r="T545" i="2"/>
  <c r="U545" i="2"/>
  <c r="V545" i="2"/>
  <c r="W545" i="2"/>
  <c r="T546" i="2"/>
  <c r="U546" i="2"/>
  <c r="V546" i="2"/>
  <c r="W546" i="2"/>
  <c r="T547" i="2"/>
  <c r="U547" i="2"/>
  <c r="V547" i="2"/>
  <c r="W547" i="2"/>
  <c r="T548" i="2"/>
  <c r="U548" i="2"/>
  <c r="V548" i="2"/>
  <c r="W548" i="2"/>
  <c r="T549" i="2"/>
  <c r="U549" i="2"/>
  <c r="V549" i="2"/>
  <c r="W549" i="2"/>
  <c r="T550" i="2"/>
  <c r="U550" i="2"/>
  <c r="V550" i="2"/>
  <c r="W550" i="2"/>
  <c r="T551" i="2"/>
  <c r="U551" i="2"/>
  <c r="V551" i="2"/>
  <c r="W551" i="2"/>
  <c r="T552" i="2"/>
  <c r="U552" i="2"/>
  <c r="V552" i="2"/>
  <c r="W552" i="2"/>
  <c r="T553" i="2"/>
  <c r="U553" i="2"/>
  <c r="V553" i="2"/>
  <c r="W553" i="2"/>
  <c r="T554" i="2"/>
  <c r="U554" i="2"/>
  <c r="V554" i="2"/>
  <c r="W554" i="2"/>
  <c r="T555" i="2"/>
  <c r="U555" i="2"/>
  <c r="V555" i="2"/>
  <c r="W555" i="2"/>
  <c r="T556" i="2"/>
  <c r="U556" i="2"/>
  <c r="V556" i="2"/>
  <c r="W556" i="2"/>
  <c r="T557" i="2"/>
  <c r="U557" i="2"/>
  <c r="V557" i="2"/>
  <c r="W557" i="2"/>
  <c r="T558" i="2"/>
  <c r="U558" i="2"/>
  <c r="V558" i="2"/>
  <c r="W558" i="2"/>
  <c r="T559" i="2"/>
  <c r="U559" i="2"/>
  <c r="V559" i="2"/>
  <c r="W559" i="2"/>
  <c r="T560" i="2"/>
  <c r="U560" i="2"/>
  <c r="V560" i="2"/>
  <c r="W560" i="2"/>
  <c r="T561" i="2"/>
  <c r="U561" i="2"/>
  <c r="V561" i="2"/>
  <c r="W561" i="2"/>
  <c r="T562" i="2"/>
  <c r="U562" i="2"/>
  <c r="V562" i="2"/>
  <c r="W562" i="2"/>
  <c r="T563" i="2"/>
  <c r="U563" i="2"/>
  <c r="V563" i="2"/>
  <c r="W563" i="2"/>
  <c r="T564" i="2"/>
  <c r="U564" i="2"/>
  <c r="V564" i="2"/>
  <c r="W564" i="2"/>
  <c r="T565" i="2"/>
  <c r="U565" i="2"/>
  <c r="V565" i="2"/>
  <c r="W565" i="2"/>
  <c r="T566" i="2"/>
  <c r="U566" i="2"/>
  <c r="V566" i="2"/>
  <c r="W566" i="2"/>
  <c r="T567" i="2"/>
  <c r="U567" i="2"/>
  <c r="V567" i="2"/>
  <c r="W567" i="2"/>
  <c r="T568" i="2"/>
  <c r="U568" i="2"/>
  <c r="V568" i="2"/>
  <c r="W568" i="2"/>
  <c r="T570" i="2"/>
  <c r="U570" i="2"/>
  <c r="V570" i="2"/>
  <c r="W570" i="2"/>
  <c r="T571" i="2"/>
  <c r="U571" i="2"/>
  <c r="V571" i="2"/>
  <c r="W571" i="2"/>
  <c r="T572" i="2"/>
  <c r="U572" i="2"/>
  <c r="V572" i="2"/>
  <c r="W572" i="2"/>
  <c r="T578" i="2"/>
  <c r="U578" i="2"/>
  <c r="V578" i="2"/>
  <c r="W578" i="2"/>
  <c r="T579" i="2"/>
  <c r="U579" i="2"/>
  <c r="V579" i="2"/>
  <c r="W579" i="2"/>
  <c r="T580" i="2"/>
  <c r="U580" i="2"/>
  <c r="V580" i="2"/>
  <c r="W580" i="2"/>
  <c r="T581" i="2"/>
  <c r="U581" i="2"/>
  <c r="V581" i="2"/>
  <c r="W581" i="2"/>
  <c r="T582" i="2"/>
  <c r="U582" i="2"/>
  <c r="V582" i="2"/>
  <c r="W582" i="2"/>
  <c r="T583" i="2"/>
  <c r="U583" i="2"/>
  <c r="V583" i="2"/>
  <c r="W583" i="2"/>
  <c r="T584" i="2"/>
  <c r="U584" i="2"/>
  <c r="V584" i="2"/>
  <c r="W584" i="2"/>
  <c r="T585" i="2"/>
  <c r="U585" i="2"/>
  <c r="V585" i="2"/>
  <c r="W585" i="2"/>
  <c r="T586" i="2"/>
  <c r="U586" i="2"/>
  <c r="V586" i="2"/>
  <c r="W586" i="2"/>
  <c r="T587" i="2"/>
  <c r="U587" i="2"/>
  <c r="V587" i="2"/>
  <c r="W587" i="2"/>
  <c r="T588" i="2"/>
  <c r="U588" i="2"/>
  <c r="V588" i="2"/>
  <c r="W588" i="2"/>
  <c r="T589" i="2"/>
  <c r="U589" i="2"/>
  <c r="V589" i="2"/>
  <c r="W589" i="2"/>
  <c r="T590" i="2"/>
  <c r="U590" i="2"/>
  <c r="V590" i="2"/>
  <c r="W590" i="2"/>
  <c r="T591" i="2"/>
  <c r="U591" i="2"/>
  <c r="V591" i="2"/>
  <c r="W591" i="2"/>
  <c r="T592" i="2"/>
  <c r="U592" i="2"/>
  <c r="V592" i="2"/>
  <c r="W592" i="2"/>
  <c r="T593" i="2"/>
  <c r="U593" i="2"/>
  <c r="V593" i="2"/>
  <c r="W593" i="2"/>
  <c r="T594" i="2"/>
  <c r="U594" i="2"/>
  <c r="V594" i="2"/>
  <c r="W594" i="2"/>
  <c r="T595" i="2"/>
  <c r="U595" i="2"/>
  <c r="V595" i="2"/>
  <c r="W595" i="2"/>
  <c r="T596" i="2"/>
  <c r="U596" i="2"/>
  <c r="V596" i="2"/>
  <c r="W596" i="2"/>
  <c r="T597" i="2"/>
  <c r="U597" i="2"/>
  <c r="V597" i="2"/>
  <c r="W597" i="2"/>
  <c r="T598" i="2"/>
  <c r="U598" i="2"/>
  <c r="V598" i="2"/>
  <c r="W598" i="2"/>
  <c r="T599" i="2"/>
  <c r="U599" i="2"/>
  <c r="V599" i="2"/>
  <c r="W599" i="2"/>
  <c r="T600" i="2"/>
  <c r="U600" i="2"/>
  <c r="V600" i="2"/>
  <c r="W600" i="2"/>
  <c r="T601" i="2"/>
  <c r="U601" i="2"/>
  <c r="V601" i="2"/>
  <c r="W601" i="2"/>
  <c r="T602" i="2"/>
  <c r="U602" i="2"/>
  <c r="V602" i="2"/>
  <c r="W602" i="2"/>
  <c r="T603" i="2"/>
  <c r="U603" i="2"/>
  <c r="V603" i="2"/>
  <c r="W603" i="2"/>
  <c r="T604" i="2"/>
  <c r="U604" i="2"/>
  <c r="V604" i="2"/>
  <c r="W604" i="2"/>
  <c r="T606" i="2"/>
  <c r="U606" i="2"/>
  <c r="V606" i="2"/>
  <c r="W606" i="2"/>
  <c r="T607" i="2"/>
  <c r="U607" i="2"/>
  <c r="V607" i="2"/>
  <c r="W607" i="2"/>
  <c r="T608" i="2"/>
  <c r="U608" i="2"/>
  <c r="V608" i="2"/>
  <c r="W608" i="2"/>
  <c r="T614" i="2"/>
  <c r="U614" i="2"/>
  <c r="V614" i="2"/>
  <c r="W614" i="2"/>
  <c r="T615" i="2"/>
  <c r="U615" i="2"/>
  <c r="V615" i="2"/>
  <c r="W615" i="2"/>
  <c r="T616" i="2"/>
  <c r="U616" i="2"/>
  <c r="V616" i="2"/>
  <c r="W616" i="2"/>
  <c r="T617" i="2"/>
  <c r="U617" i="2"/>
  <c r="V617" i="2"/>
  <c r="W617" i="2"/>
  <c r="T618" i="2"/>
  <c r="U618" i="2"/>
  <c r="V618" i="2"/>
  <c r="W618" i="2"/>
  <c r="T619" i="2"/>
  <c r="U619" i="2"/>
  <c r="V619" i="2"/>
  <c r="W619" i="2"/>
  <c r="T620" i="2"/>
  <c r="U620" i="2"/>
  <c r="V620" i="2"/>
  <c r="W620" i="2"/>
  <c r="T621" i="2"/>
  <c r="U621" i="2"/>
  <c r="V621" i="2"/>
  <c r="W621" i="2"/>
  <c r="T622" i="2"/>
  <c r="U622" i="2"/>
  <c r="V622" i="2"/>
  <c r="W622" i="2"/>
  <c r="T623" i="2"/>
  <c r="U623" i="2"/>
  <c r="V623" i="2"/>
  <c r="W623" i="2"/>
  <c r="T624" i="2"/>
  <c r="U624" i="2"/>
  <c r="V624" i="2"/>
  <c r="W624" i="2"/>
  <c r="T625" i="2"/>
  <c r="U625" i="2"/>
  <c r="V625" i="2"/>
  <c r="W625" i="2"/>
  <c r="T626" i="2"/>
  <c r="U626" i="2"/>
  <c r="V626" i="2"/>
  <c r="W626" i="2"/>
  <c r="T627" i="2"/>
  <c r="U627" i="2"/>
  <c r="V627" i="2"/>
  <c r="W627" i="2"/>
  <c r="T628" i="2"/>
  <c r="U628" i="2"/>
  <c r="V628" i="2"/>
  <c r="W628" i="2"/>
  <c r="T629" i="2"/>
  <c r="U629" i="2"/>
  <c r="V629" i="2"/>
  <c r="W629" i="2"/>
  <c r="T630" i="2"/>
  <c r="U630" i="2"/>
  <c r="V630" i="2"/>
  <c r="W630" i="2"/>
  <c r="T631" i="2"/>
  <c r="U631" i="2"/>
  <c r="V631" i="2"/>
  <c r="W631" i="2"/>
  <c r="T632" i="2"/>
  <c r="U632" i="2"/>
  <c r="V632" i="2"/>
  <c r="W632" i="2"/>
  <c r="T633" i="2"/>
  <c r="U633" i="2"/>
  <c r="V633" i="2"/>
  <c r="W633" i="2"/>
  <c r="T634" i="2"/>
  <c r="U634" i="2"/>
  <c r="V634" i="2"/>
  <c r="W634" i="2"/>
  <c r="T635" i="2"/>
  <c r="U635" i="2"/>
  <c r="V635" i="2"/>
  <c r="W635" i="2"/>
  <c r="T636" i="2"/>
  <c r="U636" i="2"/>
  <c r="V636" i="2"/>
  <c r="W636" i="2"/>
  <c r="T637" i="2"/>
  <c r="U637" i="2"/>
  <c r="V637" i="2"/>
  <c r="W637" i="2"/>
  <c r="T638" i="2"/>
  <c r="U638" i="2"/>
  <c r="V638" i="2"/>
  <c r="W638" i="2"/>
  <c r="T639" i="2"/>
  <c r="U639" i="2"/>
  <c r="V639" i="2"/>
  <c r="W639" i="2"/>
  <c r="T640" i="2"/>
  <c r="U640" i="2"/>
  <c r="V640" i="2"/>
  <c r="W640" i="2"/>
  <c r="T642" i="2"/>
  <c r="U642" i="2"/>
  <c r="V642" i="2"/>
  <c r="W642" i="2"/>
  <c r="T643" i="2"/>
  <c r="U643" i="2"/>
  <c r="V643" i="2"/>
  <c r="W643" i="2"/>
  <c r="T644" i="2"/>
  <c r="U644" i="2"/>
  <c r="V644" i="2"/>
  <c r="W644" i="2"/>
  <c r="T650" i="2"/>
  <c r="U650" i="2"/>
  <c r="V650" i="2"/>
  <c r="W650" i="2"/>
  <c r="T651" i="2"/>
  <c r="U651" i="2"/>
  <c r="V651" i="2"/>
  <c r="W651" i="2"/>
  <c r="T652" i="2"/>
  <c r="U652" i="2"/>
  <c r="V652" i="2"/>
  <c r="W652" i="2"/>
  <c r="T653" i="2"/>
  <c r="U653" i="2"/>
  <c r="V653" i="2"/>
  <c r="W653" i="2"/>
  <c r="T654" i="2"/>
  <c r="U654" i="2"/>
  <c r="V654" i="2"/>
  <c r="W654" i="2"/>
  <c r="T655" i="2"/>
  <c r="U655" i="2"/>
  <c r="V655" i="2"/>
  <c r="W655" i="2"/>
  <c r="T656" i="2"/>
  <c r="U656" i="2"/>
  <c r="V656" i="2"/>
  <c r="W656" i="2"/>
  <c r="T657" i="2"/>
  <c r="U657" i="2"/>
  <c r="V657" i="2"/>
  <c r="W657" i="2"/>
  <c r="T658" i="2"/>
  <c r="U658" i="2"/>
  <c r="V658" i="2"/>
  <c r="W658" i="2"/>
  <c r="T659" i="2"/>
  <c r="U659" i="2"/>
  <c r="V659" i="2"/>
  <c r="W659" i="2"/>
  <c r="T660" i="2"/>
  <c r="U660" i="2"/>
  <c r="V660" i="2"/>
  <c r="W660" i="2"/>
  <c r="T661" i="2"/>
  <c r="U661" i="2"/>
  <c r="V661" i="2"/>
  <c r="W661" i="2"/>
  <c r="T662" i="2"/>
  <c r="U662" i="2"/>
  <c r="V662" i="2"/>
  <c r="W662" i="2"/>
  <c r="T663" i="2"/>
  <c r="U663" i="2"/>
  <c r="V663" i="2"/>
  <c r="W663" i="2"/>
  <c r="T664" i="2"/>
  <c r="U664" i="2"/>
  <c r="V664" i="2"/>
  <c r="W664" i="2"/>
  <c r="T665" i="2"/>
  <c r="U665" i="2"/>
  <c r="V665" i="2"/>
  <c r="W665" i="2"/>
  <c r="T666" i="2"/>
  <c r="U666" i="2"/>
  <c r="V666" i="2"/>
  <c r="W666" i="2"/>
  <c r="T667" i="2"/>
  <c r="U667" i="2"/>
  <c r="V667" i="2"/>
  <c r="W667" i="2"/>
  <c r="T668" i="2"/>
  <c r="U668" i="2"/>
  <c r="V668" i="2"/>
  <c r="W668" i="2"/>
  <c r="T669" i="2"/>
  <c r="U669" i="2"/>
  <c r="V669" i="2"/>
  <c r="W669" i="2"/>
  <c r="T670" i="2"/>
  <c r="U670" i="2"/>
  <c r="V670" i="2"/>
  <c r="W670" i="2"/>
  <c r="T671" i="2"/>
  <c r="U671" i="2"/>
  <c r="V671" i="2"/>
  <c r="W671" i="2"/>
  <c r="T672" i="2"/>
  <c r="U672" i="2"/>
  <c r="V672" i="2"/>
  <c r="W672" i="2"/>
  <c r="T673" i="2"/>
  <c r="U673" i="2"/>
  <c r="V673" i="2"/>
  <c r="W673" i="2"/>
  <c r="T674" i="2"/>
  <c r="U674" i="2"/>
  <c r="V674" i="2"/>
  <c r="W674" i="2"/>
  <c r="T675" i="2"/>
  <c r="U675" i="2"/>
  <c r="V675" i="2"/>
  <c r="W675" i="2"/>
  <c r="T676" i="2"/>
  <c r="U676" i="2"/>
  <c r="V676" i="2"/>
  <c r="W676" i="2"/>
  <c r="T678" i="2"/>
  <c r="U678" i="2"/>
  <c r="V678" i="2"/>
  <c r="W678" i="2"/>
  <c r="T679" i="2"/>
  <c r="U679" i="2"/>
  <c r="V679" i="2"/>
  <c r="W679" i="2"/>
  <c r="T680" i="2"/>
  <c r="U680" i="2"/>
  <c r="V680" i="2"/>
  <c r="W680" i="2"/>
  <c r="T686" i="2"/>
  <c r="U686" i="2"/>
  <c r="V686" i="2"/>
  <c r="W686" i="2"/>
  <c r="T687" i="2"/>
  <c r="U687" i="2"/>
  <c r="V687" i="2"/>
  <c r="W687" i="2"/>
  <c r="T688" i="2"/>
  <c r="U688" i="2"/>
  <c r="V688" i="2"/>
  <c r="W688" i="2"/>
  <c r="T689" i="2"/>
  <c r="U689" i="2"/>
  <c r="V689" i="2"/>
  <c r="W689" i="2"/>
  <c r="T690" i="2"/>
  <c r="U690" i="2"/>
  <c r="V690" i="2"/>
  <c r="W690" i="2"/>
  <c r="T691" i="2"/>
  <c r="U691" i="2"/>
  <c r="V691" i="2"/>
  <c r="W691" i="2"/>
  <c r="T692" i="2"/>
  <c r="U692" i="2"/>
  <c r="V692" i="2"/>
  <c r="W692" i="2"/>
  <c r="T693" i="2"/>
  <c r="U693" i="2"/>
  <c r="V693" i="2"/>
  <c r="W693" i="2"/>
  <c r="T694" i="2"/>
  <c r="U694" i="2"/>
  <c r="V694" i="2"/>
  <c r="W694" i="2"/>
  <c r="T695" i="2"/>
  <c r="U695" i="2"/>
  <c r="V695" i="2"/>
  <c r="W695" i="2"/>
  <c r="T696" i="2"/>
  <c r="U696" i="2"/>
  <c r="V696" i="2"/>
  <c r="W696" i="2"/>
  <c r="T697" i="2"/>
  <c r="U697" i="2"/>
  <c r="V697" i="2"/>
  <c r="W697" i="2"/>
  <c r="T698" i="2"/>
  <c r="U698" i="2"/>
  <c r="V698" i="2"/>
  <c r="W698" i="2"/>
  <c r="T699" i="2"/>
  <c r="U699" i="2"/>
  <c r="V699" i="2"/>
  <c r="W699" i="2"/>
  <c r="T700" i="2"/>
  <c r="U700" i="2"/>
  <c r="V700" i="2"/>
  <c r="W700" i="2"/>
  <c r="T701" i="2"/>
  <c r="U701" i="2"/>
  <c r="V701" i="2"/>
  <c r="W701" i="2"/>
  <c r="T702" i="2"/>
  <c r="U702" i="2"/>
  <c r="V702" i="2"/>
  <c r="W702" i="2"/>
  <c r="T703" i="2"/>
  <c r="U703" i="2"/>
  <c r="V703" i="2"/>
  <c r="W703" i="2"/>
  <c r="T704" i="2"/>
  <c r="U704" i="2"/>
  <c r="V704" i="2"/>
  <c r="W704" i="2"/>
  <c r="T705" i="2"/>
  <c r="U705" i="2"/>
  <c r="V705" i="2"/>
  <c r="W705" i="2"/>
  <c r="T706" i="2"/>
  <c r="U706" i="2"/>
  <c r="V706" i="2"/>
  <c r="W706" i="2"/>
  <c r="T707" i="2"/>
  <c r="U707" i="2"/>
  <c r="V707" i="2"/>
  <c r="W707" i="2"/>
  <c r="T708" i="2"/>
  <c r="U708" i="2"/>
  <c r="V708" i="2"/>
  <c r="W708" i="2"/>
  <c r="T709" i="2"/>
  <c r="U709" i="2"/>
  <c r="V709" i="2"/>
  <c r="W709" i="2"/>
  <c r="T710" i="2"/>
  <c r="U710" i="2"/>
  <c r="V710" i="2"/>
  <c r="W710" i="2"/>
  <c r="T711" i="2"/>
  <c r="U711" i="2"/>
  <c r="V711" i="2"/>
  <c r="W711" i="2"/>
  <c r="T712" i="2"/>
  <c r="U712" i="2"/>
  <c r="V712" i="2"/>
  <c r="W712" i="2"/>
  <c r="T714" i="2"/>
  <c r="U714" i="2"/>
  <c r="V714" i="2"/>
  <c r="W714" i="2"/>
  <c r="T715" i="2"/>
  <c r="U715" i="2"/>
  <c r="V715" i="2"/>
  <c r="W715" i="2"/>
  <c r="T716" i="2"/>
  <c r="U716" i="2"/>
  <c r="V716" i="2"/>
  <c r="W716" i="2"/>
  <c r="T722" i="2"/>
  <c r="U722" i="2"/>
  <c r="V722" i="2"/>
  <c r="W722" i="2"/>
  <c r="T723" i="2"/>
  <c r="U723" i="2"/>
  <c r="V723" i="2"/>
  <c r="W723" i="2"/>
  <c r="T724" i="2"/>
  <c r="U724" i="2"/>
  <c r="V724" i="2"/>
  <c r="W724" i="2"/>
  <c r="T725" i="2"/>
  <c r="U725" i="2"/>
  <c r="V725" i="2"/>
  <c r="W725" i="2"/>
  <c r="T726" i="2"/>
  <c r="U726" i="2"/>
  <c r="V726" i="2"/>
  <c r="W726" i="2"/>
  <c r="T727" i="2"/>
  <c r="U727" i="2"/>
  <c r="V727" i="2"/>
  <c r="W727" i="2"/>
  <c r="T728" i="2"/>
  <c r="U728" i="2"/>
  <c r="V728" i="2"/>
  <c r="W728" i="2"/>
  <c r="T729" i="2"/>
  <c r="U729" i="2"/>
  <c r="V729" i="2"/>
  <c r="W729" i="2"/>
  <c r="T730" i="2"/>
  <c r="U730" i="2"/>
  <c r="V730" i="2"/>
  <c r="W730" i="2"/>
  <c r="T731" i="2"/>
  <c r="U731" i="2"/>
  <c r="V731" i="2"/>
  <c r="W731" i="2"/>
  <c r="T732" i="2"/>
  <c r="U732" i="2"/>
  <c r="V732" i="2"/>
  <c r="W732" i="2"/>
  <c r="T733" i="2"/>
  <c r="U733" i="2"/>
  <c r="V733" i="2"/>
  <c r="W733" i="2"/>
  <c r="T734" i="2"/>
  <c r="U734" i="2"/>
  <c r="V734" i="2"/>
  <c r="W734" i="2"/>
  <c r="T735" i="2"/>
  <c r="U735" i="2"/>
  <c r="V735" i="2"/>
  <c r="W735" i="2"/>
  <c r="T736" i="2"/>
  <c r="U736" i="2"/>
  <c r="V736" i="2"/>
  <c r="W736" i="2"/>
  <c r="T737" i="2"/>
  <c r="U737" i="2"/>
  <c r="V737" i="2"/>
  <c r="W737" i="2"/>
  <c r="T738" i="2"/>
  <c r="U738" i="2"/>
  <c r="V738" i="2"/>
  <c r="W738" i="2"/>
  <c r="T739" i="2"/>
  <c r="U739" i="2"/>
  <c r="V739" i="2"/>
  <c r="W739" i="2"/>
  <c r="T740" i="2"/>
  <c r="U740" i="2"/>
  <c r="V740" i="2"/>
  <c r="W740" i="2"/>
  <c r="T741" i="2"/>
  <c r="U741" i="2"/>
  <c r="V741" i="2"/>
  <c r="W741" i="2"/>
  <c r="T742" i="2"/>
  <c r="U742" i="2"/>
  <c r="V742" i="2"/>
  <c r="W742" i="2"/>
  <c r="T743" i="2"/>
  <c r="U743" i="2"/>
  <c r="V743" i="2"/>
  <c r="W743" i="2"/>
  <c r="T744" i="2"/>
  <c r="U744" i="2"/>
  <c r="V744" i="2"/>
  <c r="W744" i="2"/>
  <c r="T745" i="2"/>
  <c r="U745" i="2"/>
  <c r="V745" i="2"/>
  <c r="W745" i="2"/>
  <c r="T746" i="2"/>
  <c r="U746" i="2"/>
  <c r="V746" i="2"/>
  <c r="W746" i="2"/>
  <c r="T747" i="2"/>
  <c r="U747" i="2"/>
  <c r="V747" i="2"/>
  <c r="W747" i="2"/>
  <c r="T748" i="2"/>
  <c r="U748" i="2"/>
  <c r="V748" i="2"/>
  <c r="W748" i="2"/>
  <c r="T750" i="2"/>
  <c r="U750" i="2"/>
  <c r="V750" i="2"/>
  <c r="W750" i="2"/>
  <c r="T751" i="2"/>
  <c r="U751" i="2"/>
  <c r="V751" i="2"/>
  <c r="W751" i="2"/>
  <c r="T752" i="2"/>
  <c r="U752" i="2"/>
  <c r="V752" i="2"/>
  <c r="W752" i="2"/>
  <c r="T758" i="2"/>
  <c r="U758" i="2"/>
  <c r="V758" i="2"/>
  <c r="W758" i="2"/>
  <c r="T759" i="2"/>
  <c r="U759" i="2"/>
  <c r="V759" i="2"/>
  <c r="W759" i="2"/>
  <c r="T760" i="2"/>
  <c r="U760" i="2"/>
  <c r="V760" i="2"/>
  <c r="W760" i="2"/>
  <c r="T761" i="2"/>
  <c r="U761" i="2"/>
  <c r="V761" i="2"/>
  <c r="W761" i="2"/>
  <c r="T762" i="2"/>
  <c r="U762" i="2"/>
  <c r="V762" i="2"/>
  <c r="W762" i="2"/>
  <c r="T763" i="2"/>
  <c r="U763" i="2"/>
  <c r="V763" i="2"/>
  <c r="W763" i="2"/>
  <c r="T764" i="2"/>
  <c r="U764" i="2"/>
  <c r="V764" i="2"/>
  <c r="W764" i="2"/>
  <c r="T765" i="2"/>
  <c r="U765" i="2"/>
  <c r="V765" i="2"/>
  <c r="W765" i="2"/>
  <c r="T766" i="2"/>
  <c r="U766" i="2"/>
  <c r="V766" i="2"/>
  <c r="W766" i="2"/>
  <c r="T767" i="2"/>
  <c r="U767" i="2"/>
  <c r="V767" i="2"/>
  <c r="W767" i="2"/>
  <c r="T768" i="2"/>
  <c r="U768" i="2"/>
  <c r="V768" i="2"/>
  <c r="W768" i="2"/>
  <c r="T769" i="2"/>
  <c r="U769" i="2"/>
  <c r="V769" i="2"/>
  <c r="W769" i="2"/>
  <c r="T770" i="2"/>
  <c r="U770" i="2"/>
  <c r="V770" i="2"/>
  <c r="W770" i="2"/>
  <c r="T771" i="2"/>
  <c r="U771" i="2"/>
  <c r="V771" i="2"/>
  <c r="W771" i="2"/>
  <c r="T772" i="2"/>
  <c r="U772" i="2"/>
  <c r="V772" i="2"/>
  <c r="W772" i="2"/>
  <c r="T773" i="2"/>
  <c r="U773" i="2"/>
  <c r="V773" i="2"/>
  <c r="W773" i="2"/>
  <c r="T774" i="2"/>
  <c r="U774" i="2"/>
  <c r="V774" i="2"/>
  <c r="W774" i="2"/>
  <c r="T775" i="2"/>
  <c r="U775" i="2"/>
  <c r="V775" i="2"/>
  <c r="W775" i="2"/>
  <c r="T776" i="2"/>
  <c r="U776" i="2"/>
  <c r="V776" i="2"/>
  <c r="W776" i="2"/>
  <c r="T777" i="2"/>
  <c r="U777" i="2"/>
  <c r="V777" i="2"/>
  <c r="W777" i="2"/>
  <c r="T778" i="2"/>
  <c r="U778" i="2"/>
  <c r="V778" i="2"/>
  <c r="W778" i="2"/>
  <c r="T779" i="2"/>
  <c r="U779" i="2"/>
  <c r="V779" i="2"/>
  <c r="W779" i="2"/>
  <c r="T780" i="2"/>
  <c r="U780" i="2"/>
  <c r="V780" i="2"/>
  <c r="W780" i="2"/>
  <c r="T781" i="2"/>
  <c r="U781" i="2"/>
  <c r="V781" i="2"/>
  <c r="W781" i="2"/>
  <c r="T782" i="2"/>
  <c r="U782" i="2"/>
  <c r="V782" i="2"/>
  <c r="W782" i="2"/>
  <c r="T783" i="2"/>
  <c r="U783" i="2"/>
  <c r="V783" i="2"/>
  <c r="W783" i="2"/>
  <c r="T784" i="2"/>
  <c r="U784" i="2"/>
  <c r="V784" i="2"/>
  <c r="W784" i="2"/>
  <c r="T786" i="2"/>
  <c r="U786" i="2"/>
  <c r="V786" i="2"/>
  <c r="W786" i="2"/>
  <c r="T787" i="2"/>
  <c r="U787" i="2"/>
  <c r="V787" i="2"/>
  <c r="W787" i="2"/>
  <c r="T788" i="2"/>
  <c r="U788" i="2"/>
  <c r="V788" i="2"/>
  <c r="W788" i="2"/>
  <c r="T794" i="2"/>
  <c r="U794" i="2"/>
  <c r="V794" i="2"/>
  <c r="W794" i="2"/>
  <c r="T795" i="2"/>
  <c r="U795" i="2"/>
  <c r="V795" i="2"/>
  <c r="W795" i="2"/>
  <c r="T796" i="2"/>
  <c r="U796" i="2"/>
  <c r="V796" i="2"/>
  <c r="W796" i="2"/>
  <c r="T797" i="2"/>
  <c r="U797" i="2"/>
  <c r="V797" i="2"/>
  <c r="W797" i="2"/>
  <c r="T798" i="2"/>
  <c r="U798" i="2"/>
  <c r="V798" i="2"/>
  <c r="W798" i="2"/>
  <c r="T799" i="2"/>
  <c r="U799" i="2"/>
  <c r="V799" i="2"/>
  <c r="W799" i="2"/>
  <c r="T800" i="2"/>
  <c r="U800" i="2"/>
  <c r="V800" i="2"/>
  <c r="W800" i="2"/>
  <c r="T801" i="2"/>
  <c r="U801" i="2"/>
  <c r="V801" i="2"/>
  <c r="W801" i="2"/>
  <c r="T802" i="2"/>
  <c r="U802" i="2"/>
  <c r="V802" i="2"/>
  <c r="W802" i="2"/>
  <c r="T803" i="2"/>
  <c r="U803" i="2"/>
  <c r="V803" i="2"/>
  <c r="W803" i="2"/>
  <c r="T804" i="2"/>
  <c r="U804" i="2"/>
  <c r="V804" i="2"/>
  <c r="W804" i="2"/>
  <c r="T805" i="2"/>
  <c r="U805" i="2"/>
  <c r="V805" i="2"/>
  <c r="W805" i="2"/>
  <c r="T806" i="2"/>
  <c r="U806" i="2"/>
  <c r="V806" i="2"/>
  <c r="W806" i="2"/>
  <c r="T807" i="2"/>
  <c r="U807" i="2"/>
  <c r="V807" i="2"/>
  <c r="W807" i="2"/>
  <c r="T808" i="2"/>
  <c r="U808" i="2"/>
  <c r="V808" i="2"/>
  <c r="W808" i="2"/>
  <c r="T809" i="2"/>
  <c r="U809" i="2"/>
  <c r="V809" i="2"/>
  <c r="W809" i="2"/>
  <c r="T810" i="2"/>
  <c r="U810" i="2"/>
  <c r="V810" i="2"/>
  <c r="W810" i="2"/>
  <c r="T811" i="2"/>
  <c r="U811" i="2"/>
  <c r="V811" i="2"/>
  <c r="W811" i="2"/>
  <c r="T812" i="2"/>
  <c r="U812" i="2"/>
  <c r="V812" i="2"/>
  <c r="W812" i="2"/>
  <c r="T813" i="2"/>
  <c r="U813" i="2"/>
  <c r="V813" i="2"/>
  <c r="W813" i="2"/>
  <c r="T814" i="2"/>
  <c r="U814" i="2"/>
  <c r="V814" i="2"/>
  <c r="W814" i="2"/>
  <c r="T815" i="2"/>
  <c r="U815" i="2"/>
  <c r="V815" i="2"/>
  <c r="W815" i="2"/>
  <c r="T816" i="2"/>
  <c r="U816" i="2"/>
  <c r="V816" i="2"/>
  <c r="W816" i="2"/>
  <c r="T817" i="2"/>
  <c r="U817" i="2"/>
  <c r="V817" i="2"/>
  <c r="W817" i="2"/>
  <c r="T818" i="2"/>
  <c r="U818" i="2"/>
  <c r="V818" i="2"/>
  <c r="W818" i="2"/>
  <c r="T819" i="2"/>
  <c r="U819" i="2"/>
  <c r="V819" i="2"/>
  <c r="W819" i="2"/>
  <c r="T820" i="2"/>
  <c r="U820" i="2"/>
  <c r="V820" i="2"/>
  <c r="W820" i="2"/>
  <c r="T822" i="2"/>
  <c r="U822" i="2"/>
  <c r="V822" i="2"/>
  <c r="W822" i="2"/>
  <c r="T823" i="2"/>
  <c r="U823" i="2"/>
  <c r="V823" i="2"/>
  <c r="W823" i="2"/>
  <c r="T824" i="2"/>
  <c r="U824" i="2"/>
  <c r="V824" i="2"/>
  <c r="W824" i="2"/>
  <c r="T830" i="2"/>
  <c r="U830" i="2"/>
  <c r="V830" i="2"/>
  <c r="W830" i="2"/>
  <c r="T831" i="2"/>
  <c r="U831" i="2"/>
  <c r="V831" i="2"/>
  <c r="W831" i="2"/>
  <c r="T832" i="2"/>
  <c r="U832" i="2"/>
  <c r="V832" i="2"/>
  <c r="W832" i="2"/>
  <c r="T833" i="2"/>
  <c r="U833" i="2"/>
  <c r="V833" i="2"/>
  <c r="W833" i="2"/>
  <c r="T834" i="2"/>
  <c r="U834" i="2"/>
  <c r="V834" i="2"/>
  <c r="W834" i="2"/>
  <c r="T835" i="2"/>
  <c r="U835" i="2"/>
  <c r="V835" i="2"/>
  <c r="W835" i="2"/>
  <c r="T836" i="2"/>
  <c r="U836" i="2"/>
  <c r="V836" i="2"/>
  <c r="W836" i="2"/>
  <c r="T837" i="2"/>
  <c r="U837" i="2"/>
  <c r="V837" i="2"/>
  <c r="W837" i="2"/>
  <c r="T838" i="2"/>
  <c r="U838" i="2"/>
  <c r="V838" i="2"/>
  <c r="W838" i="2"/>
  <c r="T839" i="2"/>
  <c r="U839" i="2"/>
  <c r="V839" i="2"/>
  <c r="W839" i="2"/>
  <c r="T840" i="2"/>
  <c r="U840" i="2"/>
  <c r="V840" i="2"/>
  <c r="W840" i="2"/>
  <c r="T841" i="2"/>
  <c r="U841" i="2"/>
  <c r="V841" i="2"/>
  <c r="W841" i="2"/>
  <c r="T842" i="2"/>
  <c r="U842" i="2"/>
  <c r="V842" i="2"/>
  <c r="W842" i="2"/>
  <c r="T843" i="2"/>
  <c r="U843" i="2"/>
  <c r="V843" i="2"/>
  <c r="W843" i="2"/>
  <c r="T844" i="2"/>
  <c r="U844" i="2"/>
  <c r="V844" i="2"/>
  <c r="W844" i="2"/>
  <c r="T845" i="2"/>
  <c r="U845" i="2"/>
  <c r="V845" i="2"/>
  <c r="W845" i="2"/>
  <c r="T846" i="2"/>
  <c r="U846" i="2"/>
  <c r="V846" i="2"/>
  <c r="W846" i="2"/>
  <c r="T847" i="2"/>
  <c r="U847" i="2"/>
  <c r="V847" i="2"/>
  <c r="W847" i="2"/>
  <c r="T848" i="2"/>
  <c r="U848" i="2"/>
  <c r="V848" i="2"/>
  <c r="W848" i="2"/>
  <c r="T849" i="2"/>
  <c r="U849" i="2"/>
  <c r="V849" i="2"/>
  <c r="W849" i="2"/>
  <c r="T850" i="2"/>
  <c r="U850" i="2"/>
  <c r="V850" i="2"/>
  <c r="W850" i="2"/>
  <c r="T851" i="2"/>
  <c r="U851" i="2"/>
  <c r="V851" i="2"/>
  <c r="W851" i="2"/>
  <c r="T852" i="2"/>
  <c r="U852" i="2"/>
  <c r="V852" i="2"/>
  <c r="W852" i="2"/>
  <c r="T853" i="2"/>
  <c r="U853" i="2"/>
  <c r="V853" i="2"/>
  <c r="W853" i="2"/>
  <c r="T854" i="2"/>
  <c r="U854" i="2"/>
  <c r="V854" i="2"/>
  <c r="W854" i="2"/>
  <c r="T855" i="2"/>
  <c r="U855" i="2"/>
  <c r="V855" i="2"/>
  <c r="W855" i="2"/>
  <c r="T856" i="2"/>
  <c r="U856" i="2"/>
  <c r="V856" i="2"/>
  <c r="W856" i="2"/>
  <c r="T858" i="2"/>
  <c r="U858" i="2"/>
  <c r="V858" i="2"/>
  <c r="W858" i="2"/>
  <c r="T859" i="2"/>
  <c r="U859" i="2"/>
  <c r="V859" i="2"/>
  <c r="W859" i="2"/>
  <c r="T860" i="2"/>
  <c r="U860" i="2"/>
  <c r="V860" i="2"/>
  <c r="W860" i="2"/>
  <c r="T866" i="2"/>
  <c r="U866" i="2"/>
  <c r="V866" i="2"/>
  <c r="W866" i="2"/>
  <c r="T867" i="2"/>
  <c r="U867" i="2"/>
  <c r="V867" i="2"/>
  <c r="W867" i="2"/>
  <c r="T868" i="2"/>
  <c r="U868" i="2"/>
  <c r="V868" i="2"/>
  <c r="W868" i="2"/>
  <c r="T869" i="2"/>
  <c r="U869" i="2"/>
  <c r="V869" i="2"/>
  <c r="W869" i="2"/>
  <c r="T870" i="2"/>
  <c r="U870" i="2"/>
  <c r="V870" i="2"/>
  <c r="W870" i="2"/>
  <c r="T871" i="2"/>
  <c r="U871" i="2"/>
  <c r="V871" i="2"/>
  <c r="W871" i="2"/>
  <c r="T872" i="2"/>
  <c r="U872" i="2"/>
  <c r="V872" i="2"/>
  <c r="W872" i="2"/>
  <c r="T873" i="2"/>
  <c r="U873" i="2"/>
  <c r="V873" i="2"/>
  <c r="W873" i="2"/>
  <c r="T874" i="2"/>
  <c r="U874" i="2"/>
  <c r="V874" i="2"/>
  <c r="W874" i="2"/>
  <c r="T875" i="2"/>
  <c r="U875" i="2"/>
  <c r="V875" i="2"/>
  <c r="W875" i="2"/>
  <c r="T876" i="2"/>
  <c r="U876" i="2"/>
  <c r="V876" i="2"/>
  <c r="W876" i="2"/>
  <c r="T877" i="2"/>
  <c r="U877" i="2"/>
  <c r="V877" i="2"/>
  <c r="W877" i="2"/>
  <c r="T878" i="2"/>
  <c r="U878" i="2"/>
  <c r="V878" i="2"/>
  <c r="W878" i="2"/>
  <c r="T879" i="2"/>
  <c r="U879" i="2"/>
  <c r="V879" i="2"/>
  <c r="W879" i="2"/>
  <c r="T880" i="2"/>
  <c r="U880" i="2"/>
  <c r="V880" i="2"/>
  <c r="W880" i="2"/>
  <c r="T881" i="2"/>
  <c r="U881" i="2"/>
  <c r="V881" i="2"/>
  <c r="W881" i="2"/>
  <c r="T882" i="2"/>
  <c r="U882" i="2"/>
  <c r="V882" i="2"/>
  <c r="W882" i="2"/>
  <c r="T883" i="2"/>
  <c r="U883" i="2"/>
  <c r="V883" i="2"/>
  <c r="W883" i="2"/>
  <c r="T884" i="2"/>
  <c r="U884" i="2"/>
  <c r="V884" i="2"/>
  <c r="W884" i="2"/>
  <c r="T885" i="2"/>
  <c r="U885" i="2"/>
  <c r="V885" i="2"/>
  <c r="W885" i="2"/>
  <c r="T886" i="2"/>
  <c r="U886" i="2"/>
  <c r="V886" i="2"/>
  <c r="W886" i="2"/>
  <c r="T887" i="2"/>
  <c r="U887" i="2"/>
  <c r="V887" i="2"/>
  <c r="W887" i="2"/>
  <c r="T888" i="2"/>
  <c r="U888" i="2"/>
  <c r="V888" i="2"/>
  <c r="W888" i="2"/>
  <c r="T889" i="2"/>
  <c r="U889" i="2"/>
  <c r="V889" i="2"/>
  <c r="W889" i="2"/>
  <c r="T890" i="2"/>
  <c r="U890" i="2"/>
  <c r="V890" i="2"/>
  <c r="W890" i="2"/>
  <c r="T891" i="2"/>
  <c r="U891" i="2"/>
  <c r="V891" i="2"/>
  <c r="W891" i="2"/>
  <c r="T892" i="2"/>
  <c r="U892" i="2"/>
  <c r="V892" i="2"/>
  <c r="W892" i="2"/>
  <c r="T894" i="2"/>
  <c r="U894" i="2"/>
  <c r="V894" i="2"/>
  <c r="W894" i="2"/>
  <c r="T895" i="2"/>
  <c r="U895" i="2"/>
  <c r="V895" i="2"/>
  <c r="W895" i="2"/>
  <c r="T896" i="2"/>
  <c r="U896" i="2"/>
  <c r="V896" i="2"/>
  <c r="W896" i="2"/>
  <c r="T902" i="2"/>
  <c r="U902" i="2"/>
  <c r="V902" i="2"/>
  <c r="W902" i="2"/>
  <c r="T903" i="2"/>
  <c r="U903" i="2"/>
  <c r="V903" i="2"/>
  <c r="W903" i="2"/>
  <c r="T904" i="2"/>
  <c r="U904" i="2"/>
  <c r="V904" i="2"/>
  <c r="W904" i="2"/>
  <c r="T905" i="2"/>
  <c r="U905" i="2"/>
  <c r="V905" i="2"/>
  <c r="W905" i="2"/>
  <c r="T906" i="2"/>
  <c r="U906" i="2"/>
  <c r="V906" i="2"/>
  <c r="W906" i="2"/>
  <c r="T907" i="2"/>
  <c r="U907" i="2"/>
  <c r="V907" i="2"/>
  <c r="W907" i="2"/>
  <c r="T908" i="2"/>
  <c r="U908" i="2"/>
  <c r="V908" i="2"/>
  <c r="W908" i="2"/>
  <c r="T909" i="2"/>
  <c r="U909" i="2"/>
  <c r="V909" i="2"/>
  <c r="W909" i="2"/>
  <c r="T910" i="2"/>
  <c r="U910" i="2"/>
  <c r="V910" i="2"/>
  <c r="W910" i="2"/>
  <c r="T911" i="2"/>
  <c r="U911" i="2"/>
  <c r="V911" i="2"/>
  <c r="W911" i="2"/>
  <c r="T912" i="2"/>
  <c r="U912" i="2"/>
  <c r="V912" i="2"/>
  <c r="W912" i="2"/>
  <c r="T913" i="2"/>
  <c r="U913" i="2"/>
  <c r="V913" i="2"/>
  <c r="W913" i="2"/>
  <c r="T914" i="2"/>
  <c r="U914" i="2"/>
  <c r="V914" i="2"/>
  <c r="W914" i="2"/>
  <c r="T915" i="2"/>
  <c r="U915" i="2"/>
  <c r="V915" i="2"/>
  <c r="W915" i="2"/>
  <c r="T916" i="2"/>
  <c r="U916" i="2"/>
  <c r="V916" i="2"/>
  <c r="W916" i="2"/>
  <c r="T917" i="2"/>
  <c r="U917" i="2"/>
  <c r="V917" i="2"/>
  <c r="W917" i="2"/>
  <c r="T918" i="2"/>
  <c r="U918" i="2"/>
  <c r="V918" i="2"/>
  <c r="W918" i="2"/>
  <c r="T919" i="2"/>
  <c r="U919" i="2"/>
  <c r="V919" i="2"/>
  <c r="W919" i="2"/>
  <c r="T920" i="2"/>
  <c r="U920" i="2"/>
  <c r="V920" i="2"/>
  <c r="W920" i="2"/>
  <c r="T921" i="2"/>
  <c r="U921" i="2"/>
  <c r="V921" i="2"/>
  <c r="W921" i="2"/>
  <c r="T922" i="2"/>
  <c r="U922" i="2"/>
  <c r="V922" i="2"/>
  <c r="W922" i="2"/>
  <c r="T923" i="2"/>
  <c r="U923" i="2"/>
  <c r="V923" i="2"/>
  <c r="W923" i="2"/>
  <c r="T924" i="2"/>
  <c r="U924" i="2"/>
  <c r="V924" i="2"/>
  <c r="W924" i="2"/>
  <c r="T925" i="2"/>
  <c r="U925" i="2"/>
  <c r="V925" i="2"/>
  <c r="W925" i="2"/>
  <c r="T926" i="2"/>
  <c r="U926" i="2"/>
  <c r="V926" i="2"/>
  <c r="W926" i="2"/>
  <c r="T927" i="2"/>
  <c r="U927" i="2"/>
  <c r="V927" i="2"/>
  <c r="W927" i="2"/>
  <c r="T928" i="2"/>
  <c r="U928" i="2"/>
  <c r="V928" i="2"/>
  <c r="W928" i="2"/>
  <c r="T930" i="2"/>
  <c r="U930" i="2"/>
  <c r="V930" i="2"/>
  <c r="W930" i="2"/>
  <c r="T931" i="2"/>
  <c r="U931" i="2"/>
  <c r="V931" i="2"/>
  <c r="W931" i="2"/>
  <c r="T932" i="2"/>
  <c r="U932" i="2"/>
  <c r="V932" i="2"/>
  <c r="W932" i="2"/>
  <c r="T938" i="2"/>
  <c r="U938" i="2"/>
  <c r="V938" i="2"/>
  <c r="W938" i="2"/>
  <c r="T939" i="2"/>
  <c r="U939" i="2"/>
  <c r="V939" i="2"/>
  <c r="W939" i="2"/>
  <c r="T940" i="2"/>
  <c r="U940" i="2"/>
  <c r="V940" i="2"/>
  <c r="W940" i="2"/>
  <c r="T941" i="2"/>
  <c r="U941" i="2"/>
  <c r="V941" i="2"/>
  <c r="W941" i="2"/>
  <c r="T942" i="2"/>
  <c r="U942" i="2"/>
  <c r="V942" i="2"/>
  <c r="W942" i="2"/>
  <c r="T943" i="2"/>
  <c r="U943" i="2"/>
  <c r="V943" i="2"/>
  <c r="W943" i="2"/>
  <c r="T944" i="2"/>
  <c r="U944" i="2"/>
  <c r="V944" i="2"/>
  <c r="W944" i="2"/>
  <c r="T945" i="2"/>
  <c r="U945" i="2"/>
  <c r="V945" i="2"/>
  <c r="W945" i="2"/>
  <c r="T946" i="2"/>
  <c r="U946" i="2"/>
  <c r="V946" i="2"/>
  <c r="W946" i="2"/>
  <c r="T947" i="2"/>
  <c r="U947" i="2"/>
  <c r="V947" i="2"/>
  <c r="W947" i="2"/>
  <c r="T948" i="2"/>
  <c r="U948" i="2"/>
  <c r="V948" i="2"/>
  <c r="W948" i="2"/>
  <c r="T949" i="2"/>
  <c r="U949" i="2"/>
  <c r="V949" i="2"/>
  <c r="W949" i="2"/>
  <c r="T950" i="2"/>
  <c r="U950" i="2"/>
  <c r="V950" i="2"/>
  <c r="W950" i="2"/>
  <c r="T951" i="2"/>
  <c r="U951" i="2"/>
  <c r="V951" i="2"/>
  <c r="W951" i="2"/>
  <c r="T952" i="2"/>
  <c r="U952" i="2"/>
  <c r="V952" i="2"/>
  <c r="W952" i="2"/>
  <c r="T953" i="2"/>
  <c r="U953" i="2"/>
  <c r="V953" i="2"/>
  <c r="W953" i="2"/>
  <c r="T954" i="2"/>
  <c r="U954" i="2"/>
  <c r="V954" i="2"/>
  <c r="W954" i="2"/>
  <c r="T955" i="2"/>
  <c r="U955" i="2"/>
  <c r="V955" i="2"/>
  <c r="W955" i="2"/>
  <c r="T956" i="2"/>
  <c r="U956" i="2"/>
  <c r="V956" i="2"/>
  <c r="W956" i="2"/>
  <c r="T957" i="2"/>
  <c r="U957" i="2"/>
  <c r="V957" i="2"/>
  <c r="W957" i="2"/>
  <c r="T958" i="2"/>
  <c r="U958" i="2"/>
  <c r="V958" i="2"/>
  <c r="W958" i="2"/>
  <c r="T959" i="2"/>
  <c r="U959" i="2"/>
  <c r="V959" i="2"/>
  <c r="W959" i="2"/>
  <c r="T960" i="2"/>
  <c r="U960" i="2"/>
  <c r="V960" i="2"/>
  <c r="W960" i="2"/>
  <c r="T961" i="2"/>
  <c r="U961" i="2"/>
  <c r="V961" i="2"/>
  <c r="W961" i="2"/>
  <c r="T962" i="2"/>
  <c r="U962" i="2"/>
  <c r="V962" i="2"/>
  <c r="W962" i="2"/>
  <c r="T963" i="2"/>
  <c r="U963" i="2"/>
  <c r="V963" i="2"/>
  <c r="W963" i="2"/>
  <c r="T964" i="2"/>
  <c r="U964" i="2"/>
  <c r="V964" i="2"/>
  <c r="W964" i="2"/>
  <c r="T966" i="2"/>
  <c r="U966" i="2"/>
  <c r="V966" i="2"/>
  <c r="W966" i="2"/>
  <c r="T967" i="2"/>
  <c r="U967" i="2"/>
  <c r="V967" i="2"/>
  <c r="W967" i="2"/>
  <c r="T968" i="2"/>
  <c r="U968" i="2"/>
  <c r="V968" i="2"/>
  <c r="W968" i="2"/>
  <c r="T974" i="2"/>
  <c r="U974" i="2"/>
  <c r="V974" i="2"/>
  <c r="W974" i="2"/>
  <c r="T975" i="2"/>
  <c r="U975" i="2"/>
  <c r="V975" i="2"/>
  <c r="W975" i="2"/>
  <c r="T976" i="2"/>
  <c r="U976" i="2"/>
  <c r="V976" i="2"/>
  <c r="W976" i="2"/>
  <c r="T977" i="2"/>
  <c r="U977" i="2"/>
  <c r="V977" i="2"/>
  <c r="W977" i="2"/>
  <c r="T978" i="2"/>
  <c r="U978" i="2"/>
  <c r="V978" i="2"/>
  <c r="W978" i="2"/>
  <c r="T979" i="2"/>
  <c r="U979" i="2"/>
  <c r="V979" i="2"/>
  <c r="W979" i="2"/>
  <c r="T980" i="2"/>
  <c r="U980" i="2"/>
  <c r="V980" i="2"/>
  <c r="W980" i="2"/>
  <c r="T981" i="2"/>
  <c r="U981" i="2"/>
  <c r="V981" i="2"/>
  <c r="W981" i="2"/>
  <c r="T982" i="2"/>
  <c r="U982" i="2"/>
  <c r="V982" i="2"/>
  <c r="W982" i="2"/>
  <c r="T983" i="2"/>
  <c r="U983" i="2"/>
  <c r="V983" i="2"/>
  <c r="W983" i="2"/>
  <c r="T984" i="2"/>
  <c r="U984" i="2"/>
  <c r="V984" i="2"/>
  <c r="W984" i="2"/>
  <c r="T985" i="2"/>
  <c r="U985" i="2"/>
  <c r="V985" i="2"/>
  <c r="W985" i="2"/>
  <c r="T986" i="2"/>
  <c r="U986" i="2"/>
  <c r="V986" i="2"/>
  <c r="W986" i="2"/>
  <c r="T987" i="2"/>
  <c r="U987" i="2"/>
  <c r="V987" i="2"/>
  <c r="W987" i="2"/>
  <c r="T988" i="2"/>
  <c r="U988" i="2"/>
  <c r="V988" i="2"/>
  <c r="W988" i="2"/>
  <c r="T989" i="2"/>
  <c r="U989" i="2"/>
  <c r="V989" i="2"/>
  <c r="W989" i="2"/>
  <c r="T990" i="2"/>
  <c r="U990" i="2"/>
  <c r="V990" i="2"/>
  <c r="W990" i="2"/>
  <c r="T991" i="2"/>
  <c r="U991" i="2"/>
  <c r="V991" i="2"/>
  <c r="W991" i="2"/>
  <c r="T992" i="2"/>
  <c r="U992" i="2"/>
  <c r="V992" i="2"/>
  <c r="W992" i="2"/>
  <c r="T993" i="2"/>
  <c r="U993" i="2"/>
  <c r="V993" i="2"/>
  <c r="W993" i="2"/>
  <c r="T994" i="2"/>
  <c r="U994" i="2"/>
  <c r="V994" i="2"/>
  <c r="W994" i="2"/>
  <c r="T995" i="2"/>
  <c r="U995" i="2"/>
  <c r="V995" i="2"/>
  <c r="W995" i="2"/>
  <c r="T996" i="2"/>
  <c r="U996" i="2"/>
  <c r="V996" i="2"/>
  <c r="W996" i="2"/>
  <c r="T997" i="2"/>
  <c r="U997" i="2"/>
  <c r="V997" i="2"/>
  <c r="W997" i="2"/>
  <c r="T998" i="2"/>
  <c r="U998" i="2"/>
  <c r="V998" i="2"/>
  <c r="W998" i="2"/>
  <c r="T999" i="2"/>
  <c r="U999" i="2"/>
  <c r="V999" i="2"/>
  <c r="W999" i="2"/>
  <c r="T1000" i="2"/>
  <c r="U1000" i="2"/>
  <c r="V1000" i="2"/>
  <c r="W1000" i="2"/>
  <c r="T1002" i="2"/>
  <c r="U1002" i="2"/>
  <c r="V1002" i="2"/>
  <c r="W1002" i="2"/>
  <c r="T1003" i="2"/>
  <c r="U1003" i="2"/>
  <c r="V1003" i="2"/>
  <c r="W1003" i="2"/>
  <c r="T1004" i="2"/>
  <c r="U1004" i="2"/>
  <c r="V1004" i="2"/>
  <c r="W1004" i="2"/>
  <c r="W1006" i="2" l="1"/>
  <c r="W970" i="2"/>
  <c r="W934" i="2"/>
  <c r="W898" i="2"/>
  <c r="W862" i="2"/>
  <c r="W826" i="2"/>
  <c r="W790" i="2"/>
  <c r="W754" i="2"/>
  <c r="W718" i="2"/>
  <c r="W682" i="2"/>
  <c r="W646" i="2"/>
  <c r="W574" i="2"/>
  <c r="W538" i="2"/>
  <c r="W502" i="2"/>
  <c r="W466" i="2"/>
  <c r="W430" i="2"/>
  <c r="W394" i="2"/>
  <c r="W358" i="2"/>
  <c r="W322" i="2"/>
  <c r="W286" i="2"/>
  <c r="V1006" i="2"/>
  <c r="V970" i="2"/>
  <c r="V934" i="2"/>
  <c r="V898" i="2"/>
  <c r="V862" i="2"/>
  <c r="V826" i="2"/>
  <c r="V790" i="2"/>
  <c r="V754" i="2"/>
  <c r="V718" i="2"/>
  <c r="V682" i="2"/>
  <c r="V646" i="2"/>
  <c r="V574" i="2"/>
  <c r="V538" i="2"/>
  <c r="V502" i="2"/>
  <c r="V466" i="2"/>
  <c r="V430" i="2"/>
  <c r="V394" i="2"/>
  <c r="V358" i="2"/>
  <c r="V322" i="2"/>
  <c r="V286" i="2"/>
  <c r="U1006" i="2"/>
  <c r="U970" i="2"/>
  <c r="U934" i="2"/>
  <c r="U898" i="2"/>
  <c r="U862" i="2"/>
  <c r="U826" i="2"/>
  <c r="U790" i="2"/>
  <c r="U754" i="2"/>
  <c r="U718" i="2"/>
  <c r="U682" i="2"/>
  <c r="U646" i="2"/>
  <c r="U574" i="2"/>
  <c r="U538" i="2"/>
  <c r="U502" i="2"/>
  <c r="U466" i="2"/>
  <c r="U430" i="2"/>
  <c r="U394" i="2"/>
  <c r="U358" i="2"/>
  <c r="U322" i="2"/>
  <c r="U286" i="2"/>
  <c r="T1006" i="2"/>
  <c r="T970" i="2"/>
  <c r="T934" i="2"/>
  <c r="T898" i="2"/>
  <c r="T862" i="2"/>
  <c r="T826" i="2"/>
  <c r="T790" i="2"/>
  <c r="T754" i="2"/>
  <c r="T718" i="2"/>
  <c r="T682" i="2"/>
  <c r="T646" i="2"/>
  <c r="T574" i="2"/>
  <c r="T538" i="2"/>
  <c r="T502" i="2"/>
  <c r="T466" i="2"/>
  <c r="T430" i="2"/>
  <c r="T394" i="2"/>
  <c r="T358" i="2"/>
  <c r="T322" i="2"/>
  <c r="T286" i="2"/>
  <c r="P254" i="2"/>
  <c r="Q254" i="2"/>
  <c r="R254" i="2"/>
  <c r="S254" i="2"/>
  <c r="P255" i="2"/>
  <c r="Q255" i="2"/>
  <c r="R255" i="2"/>
  <c r="S255" i="2"/>
  <c r="P256" i="2"/>
  <c r="Q256" i="2"/>
  <c r="R256" i="2"/>
  <c r="S256" i="2"/>
  <c r="P257" i="2"/>
  <c r="Q257" i="2"/>
  <c r="R257" i="2"/>
  <c r="S257" i="2"/>
  <c r="P258" i="2"/>
  <c r="Q258" i="2"/>
  <c r="R258" i="2"/>
  <c r="S258" i="2"/>
  <c r="P259" i="2"/>
  <c r="Q259" i="2"/>
  <c r="R259" i="2"/>
  <c r="S259" i="2"/>
  <c r="P260" i="2"/>
  <c r="Q260" i="2"/>
  <c r="R260" i="2"/>
  <c r="S260" i="2"/>
  <c r="P261" i="2"/>
  <c r="Q261" i="2"/>
  <c r="R261" i="2"/>
  <c r="S261" i="2"/>
  <c r="P262" i="2"/>
  <c r="Q262" i="2"/>
  <c r="R262" i="2"/>
  <c r="S262" i="2"/>
  <c r="P263" i="2"/>
  <c r="Q263" i="2"/>
  <c r="R263" i="2"/>
  <c r="S263" i="2"/>
  <c r="P264" i="2"/>
  <c r="Q264" i="2"/>
  <c r="R264" i="2"/>
  <c r="S264" i="2"/>
  <c r="P265" i="2"/>
  <c r="Q265" i="2"/>
  <c r="R265" i="2"/>
  <c r="S265" i="2"/>
  <c r="P266" i="2"/>
  <c r="Q266" i="2"/>
  <c r="R266" i="2"/>
  <c r="S266" i="2"/>
  <c r="P267" i="2"/>
  <c r="Q267" i="2"/>
  <c r="R267" i="2"/>
  <c r="S267" i="2"/>
  <c r="P268" i="2"/>
  <c r="Q268" i="2"/>
  <c r="R268" i="2"/>
  <c r="S268" i="2"/>
  <c r="P269" i="2"/>
  <c r="Q269" i="2"/>
  <c r="R269" i="2"/>
  <c r="S269" i="2"/>
  <c r="P270" i="2"/>
  <c r="Q270" i="2"/>
  <c r="R270" i="2"/>
  <c r="S270" i="2"/>
  <c r="P271" i="2"/>
  <c r="Q271" i="2"/>
  <c r="R271" i="2"/>
  <c r="S271" i="2"/>
  <c r="P272" i="2"/>
  <c r="Q272" i="2"/>
  <c r="R272" i="2"/>
  <c r="S272" i="2"/>
  <c r="P273" i="2"/>
  <c r="Q273" i="2"/>
  <c r="R273" i="2"/>
  <c r="S273" i="2"/>
  <c r="P274" i="2"/>
  <c r="Q274" i="2"/>
  <c r="R274" i="2"/>
  <c r="S274" i="2"/>
  <c r="P275" i="2"/>
  <c r="Q275" i="2"/>
  <c r="R275" i="2"/>
  <c r="S275" i="2"/>
  <c r="P276" i="2"/>
  <c r="Q276" i="2"/>
  <c r="R276" i="2"/>
  <c r="S276" i="2"/>
  <c r="P277" i="2"/>
  <c r="Q277" i="2"/>
  <c r="R277" i="2"/>
  <c r="S277" i="2"/>
  <c r="P278" i="2"/>
  <c r="Q278" i="2"/>
  <c r="R278" i="2"/>
  <c r="S278" i="2"/>
  <c r="P279" i="2"/>
  <c r="Q279" i="2"/>
  <c r="R279" i="2"/>
  <c r="S279" i="2"/>
  <c r="P280" i="2"/>
  <c r="Q280" i="2"/>
  <c r="R280" i="2"/>
  <c r="S280" i="2"/>
  <c r="P282" i="2"/>
  <c r="Q282" i="2"/>
  <c r="R282" i="2"/>
  <c r="S282" i="2"/>
  <c r="P283" i="2"/>
  <c r="Q283" i="2"/>
  <c r="R283" i="2"/>
  <c r="S283" i="2"/>
  <c r="P284" i="2"/>
  <c r="Q284" i="2"/>
  <c r="R284" i="2"/>
  <c r="S284" i="2"/>
  <c r="P290" i="2"/>
  <c r="Q290" i="2"/>
  <c r="R290" i="2"/>
  <c r="S290" i="2"/>
  <c r="P291" i="2"/>
  <c r="Q291" i="2"/>
  <c r="R291" i="2"/>
  <c r="S291" i="2"/>
  <c r="P292" i="2"/>
  <c r="Q292" i="2"/>
  <c r="R292" i="2"/>
  <c r="S292" i="2"/>
  <c r="P293" i="2"/>
  <c r="Q293" i="2"/>
  <c r="R293" i="2"/>
  <c r="S293" i="2"/>
  <c r="P294" i="2"/>
  <c r="Q294" i="2"/>
  <c r="R294" i="2"/>
  <c r="S294" i="2"/>
  <c r="P295" i="2"/>
  <c r="Q295" i="2"/>
  <c r="R295" i="2"/>
  <c r="S295" i="2"/>
  <c r="P296" i="2"/>
  <c r="Q296" i="2"/>
  <c r="R296" i="2"/>
  <c r="S296" i="2"/>
  <c r="P297" i="2"/>
  <c r="Q297" i="2"/>
  <c r="R297" i="2"/>
  <c r="S297" i="2"/>
  <c r="P298" i="2"/>
  <c r="Q298" i="2"/>
  <c r="R298" i="2"/>
  <c r="S298" i="2"/>
  <c r="P299" i="2"/>
  <c r="Q299" i="2"/>
  <c r="R299" i="2"/>
  <c r="S299" i="2"/>
  <c r="P300" i="2"/>
  <c r="Q300" i="2"/>
  <c r="R300" i="2"/>
  <c r="S300" i="2"/>
  <c r="P301" i="2"/>
  <c r="Q301" i="2"/>
  <c r="R301" i="2"/>
  <c r="S301" i="2"/>
  <c r="P302" i="2"/>
  <c r="Q302" i="2"/>
  <c r="R302" i="2"/>
  <c r="S302" i="2"/>
  <c r="P303" i="2"/>
  <c r="Q303" i="2"/>
  <c r="R303" i="2"/>
  <c r="S303" i="2"/>
  <c r="P304" i="2"/>
  <c r="Q304" i="2"/>
  <c r="R304" i="2"/>
  <c r="S304" i="2"/>
  <c r="P305" i="2"/>
  <c r="Q305" i="2"/>
  <c r="R305" i="2"/>
  <c r="S305" i="2"/>
  <c r="P306" i="2"/>
  <c r="Q306" i="2"/>
  <c r="R306" i="2"/>
  <c r="S306" i="2"/>
  <c r="P307" i="2"/>
  <c r="Q307" i="2"/>
  <c r="R307" i="2"/>
  <c r="S307" i="2"/>
  <c r="P308" i="2"/>
  <c r="Q308" i="2"/>
  <c r="R308" i="2"/>
  <c r="S308" i="2"/>
  <c r="P309" i="2"/>
  <c r="Q309" i="2"/>
  <c r="R309" i="2"/>
  <c r="S309" i="2"/>
  <c r="P310" i="2"/>
  <c r="Q310" i="2"/>
  <c r="R310" i="2"/>
  <c r="S310" i="2"/>
  <c r="P311" i="2"/>
  <c r="Q311" i="2"/>
  <c r="R311" i="2"/>
  <c r="S311" i="2"/>
  <c r="P312" i="2"/>
  <c r="Q312" i="2"/>
  <c r="R312" i="2"/>
  <c r="S312" i="2"/>
  <c r="P313" i="2"/>
  <c r="Q313" i="2"/>
  <c r="R313" i="2"/>
  <c r="S313" i="2"/>
  <c r="P314" i="2"/>
  <c r="Q314" i="2"/>
  <c r="R314" i="2"/>
  <c r="S314" i="2"/>
  <c r="P315" i="2"/>
  <c r="Q315" i="2"/>
  <c r="R315" i="2"/>
  <c r="S315" i="2"/>
  <c r="P316" i="2"/>
  <c r="Q316" i="2"/>
  <c r="R316" i="2"/>
  <c r="S316" i="2"/>
  <c r="P318" i="2"/>
  <c r="Q318" i="2"/>
  <c r="R318" i="2"/>
  <c r="S318" i="2"/>
  <c r="P319" i="2"/>
  <c r="Q319" i="2"/>
  <c r="R319" i="2"/>
  <c r="S319" i="2"/>
  <c r="P326" i="2"/>
  <c r="Q326" i="2"/>
  <c r="R326" i="2"/>
  <c r="S326" i="2"/>
  <c r="P327" i="2"/>
  <c r="Q327" i="2"/>
  <c r="R327" i="2"/>
  <c r="S327" i="2"/>
  <c r="P328" i="2"/>
  <c r="Q328" i="2"/>
  <c r="R328" i="2"/>
  <c r="S328" i="2"/>
  <c r="P329" i="2"/>
  <c r="Q329" i="2"/>
  <c r="R329" i="2"/>
  <c r="S329" i="2"/>
  <c r="P330" i="2"/>
  <c r="Q330" i="2"/>
  <c r="R330" i="2"/>
  <c r="S330" i="2"/>
  <c r="P331" i="2"/>
  <c r="Q331" i="2"/>
  <c r="R331" i="2"/>
  <c r="S331" i="2"/>
  <c r="P332" i="2"/>
  <c r="Q332" i="2"/>
  <c r="R332" i="2"/>
  <c r="S332" i="2"/>
  <c r="P333" i="2"/>
  <c r="Q333" i="2"/>
  <c r="R333" i="2"/>
  <c r="S333" i="2"/>
  <c r="P334" i="2"/>
  <c r="Q334" i="2"/>
  <c r="R334" i="2"/>
  <c r="S334" i="2"/>
  <c r="P335" i="2"/>
  <c r="Q335" i="2"/>
  <c r="R335" i="2"/>
  <c r="S335" i="2"/>
  <c r="P336" i="2"/>
  <c r="Q336" i="2"/>
  <c r="R336" i="2"/>
  <c r="S336" i="2"/>
  <c r="P337" i="2"/>
  <c r="Q337" i="2"/>
  <c r="R337" i="2"/>
  <c r="S337" i="2"/>
  <c r="P338" i="2"/>
  <c r="Q338" i="2"/>
  <c r="R338" i="2"/>
  <c r="S338" i="2"/>
  <c r="P339" i="2"/>
  <c r="Q339" i="2"/>
  <c r="R339" i="2"/>
  <c r="S339" i="2"/>
  <c r="P340" i="2"/>
  <c r="Q340" i="2"/>
  <c r="R340" i="2"/>
  <c r="S340" i="2"/>
  <c r="P341" i="2"/>
  <c r="Q341" i="2"/>
  <c r="R341" i="2"/>
  <c r="S341" i="2"/>
  <c r="P342" i="2"/>
  <c r="Q342" i="2"/>
  <c r="R342" i="2"/>
  <c r="S342" i="2"/>
  <c r="P343" i="2"/>
  <c r="Q343" i="2"/>
  <c r="R343" i="2"/>
  <c r="S343" i="2"/>
  <c r="P344" i="2"/>
  <c r="Q344" i="2"/>
  <c r="R344" i="2"/>
  <c r="S344" i="2"/>
  <c r="P345" i="2"/>
  <c r="Q345" i="2"/>
  <c r="R345" i="2"/>
  <c r="S345" i="2"/>
  <c r="P346" i="2"/>
  <c r="Q346" i="2"/>
  <c r="R346" i="2"/>
  <c r="S346" i="2"/>
  <c r="P347" i="2"/>
  <c r="Q347" i="2"/>
  <c r="R347" i="2"/>
  <c r="S347" i="2"/>
  <c r="P348" i="2"/>
  <c r="Q348" i="2"/>
  <c r="R348" i="2"/>
  <c r="S348" i="2"/>
  <c r="P349" i="2"/>
  <c r="Q349" i="2"/>
  <c r="R349" i="2"/>
  <c r="S349" i="2"/>
  <c r="P350" i="2"/>
  <c r="Q350" i="2"/>
  <c r="R350" i="2"/>
  <c r="S350" i="2"/>
  <c r="P351" i="2"/>
  <c r="Q351" i="2"/>
  <c r="R351" i="2"/>
  <c r="S351" i="2"/>
  <c r="P352" i="2"/>
  <c r="Q352" i="2"/>
  <c r="R352" i="2"/>
  <c r="S352" i="2"/>
  <c r="P354" i="2"/>
  <c r="Q354" i="2"/>
  <c r="R354" i="2"/>
  <c r="S354" i="2"/>
  <c r="P355" i="2"/>
  <c r="Q355" i="2"/>
  <c r="R355" i="2"/>
  <c r="S355" i="2"/>
  <c r="P356" i="2"/>
  <c r="Q356" i="2"/>
  <c r="R356" i="2"/>
  <c r="S356" i="2"/>
  <c r="P362" i="2"/>
  <c r="Q362" i="2"/>
  <c r="R362" i="2"/>
  <c r="S362" i="2"/>
  <c r="P363" i="2"/>
  <c r="Q363" i="2"/>
  <c r="R363" i="2"/>
  <c r="S363" i="2"/>
  <c r="P364" i="2"/>
  <c r="Q364" i="2"/>
  <c r="R364" i="2"/>
  <c r="S364" i="2"/>
  <c r="P365" i="2"/>
  <c r="Q365" i="2"/>
  <c r="R365" i="2"/>
  <c r="S365" i="2"/>
  <c r="P366" i="2"/>
  <c r="Q366" i="2"/>
  <c r="R366" i="2"/>
  <c r="S366" i="2"/>
  <c r="P367" i="2"/>
  <c r="Q367" i="2"/>
  <c r="R367" i="2"/>
  <c r="S367" i="2"/>
  <c r="P368" i="2"/>
  <c r="Q368" i="2"/>
  <c r="R368" i="2"/>
  <c r="S368" i="2"/>
  <c r="P369" i="2"/>
  <c r="Q369" i="2"/>
  <c r="R369" i="2"/>
  <c r="S369" i="2"/>
  <c r="P370" i="2"/>
  <c r="Q370" i="2"/>
  <c r="R370" i="2"/>
  <c r="S370" i="2"/>
  <c r="P371" i="2"/>
  <c r="Q371" i="2"/>
  <c r="R371" i="2"/>
  <c r="S371" i="2"/>
  <c r="P372" i="2"/>
  <c r="Q372" i="2"/>
  <c r="R372" i="2"/>
  <c r="S372" i="2"/>
  <c r="P373" i="2"/>
  <c r="Q373" i="2"/>
  <c r="R373" i="2"/>
  <c r="S373" i="2"/>
  <c r="P374" i="2"/>
  <c r="Q374" i="2"/>
  <c r="R374" i="2"/>
  <c r="S374" i="2"/>
  <c r="P375" i="2"/>
  <c r="Q375" i="2"/>
  <c r="R375" i="2"/>
  <c r="S375" i="2"/>
  <c r="P376" i="2"/>
  <c r="Q376" i="2"/>
  <c r="R376" i="2"/>
  <c r="S376" i="2"/>
  <c r="P377" i="2"/>
  <c r="Q377" i="2"/>
  <c r="R377" i="2"/>
  <c r="S377" i="2"/>
  <c r="P378" i="2"/>
  <c r="Q378" i="2"/>
  <c r="R378" i="2"/>
  <c r="S378" i="2"/>
  <c r="P379" i="2"/>
  <c r="Q379" i="2"/>
  <c r="R379" i="2"/>
  <c r="S379" i="2"/>
  <c r="P380" i="2"/>
  <c r="Q380" i="2"/>
  <c r="R380" i="2"/>
  <c r="S380" i="2"/>
  <c r="P381" i="2"/>
  <c r="Q381" i="2"/>
  <c r="R381" i="2"/>
  <c r="S381" i="2"/>
  <c r="P382" i="2"/>
  <c r="Q382" i="2"/>
  <c r="R382" i="2"/>
  <c r="S382" i="2"/>
  <c r="P383" i="2"/>
  <c r="Q383" i="2"/>
  <c r="R383" i="2"/>
  <c r="S383" i="2"/>
  <c r="P384" i="2"/>
  <c r="Q384" i="2"/>
  <c r="R384" i="2"/>
  <c r="S384" i="2"/>
  <c r="P385" i="2"/>
  <c r="Q385" i="2"/>
  <c r="R385" i="2"/>
  <c r="S385" i="2"/>
  <c r="P386" i="2"/>
  <c r="Q386" i="2"/>
  <c r="R386" i="2"/>
  <c r="S386" i="2"/>
  <c r="P387" i="2"/>
  <c r="Q387" i="2"/>
  <c r="R387" i="2"/>
  <c r="S387" i="2"/>
  <c r="P388" i="2"/>
  <c r="Q388" i="2"/>
  <c r="R388" i="2"/>
  <c r="S388" i="2"/>
  <c r="P390" i="2"/>
  <c r="Q390" i="2"/>
  <c r="R390" i="2"/>
  <c r="S390" i="2"/>
  <c r="P391" i="2"/>
  <c r="Q391" i="2"/>
  <c r="R391" i="2"/>
  <c r="S391" i="2"/>
  <c r="P392" i="2"/>
  <c r="Q392" i="2"/>
  <c r="R392" i="2"/>
  <c r="S392" i="2"/>
  <c r="P398" i="2"/>
  <c r="Q398" i="2"/>
  <c r="R398" i="2"/>
  <c r="S398" i="2"/>
  <c r="P399" i="2"/>
  <c r="Q399" i="2"/>
  <c r="R399" i="2"/>
  <c r="S399" i="2"/>
  <c r="P400" i="2"/>
  <c r="Q400" i="2"/>
  <c r="R400" i="2"/>
  <c r="S400" i="2"/>
  <c r="P401" i="2"/>
  <c r="Q401" i="2"/>
  <c r="R401" i="2"/>
  <c r="S401" i="2"/>
  <c r="P402" i="2"/>
  <c r="Q402" i="2"/>
  <c r="R402" i="2"/>
  <c r="S402" i="2"/>
  <c r="P403" i="2"/>
  <c r="Q403" i="2"/>
  <c r="R403" i="2"/>
  <c r="S403" i="2"/>
  <c r="P404" i="2"/>
  <c r="Q404" i="2"/>
  <c r="R404" i="2"/>
  <c r="S404" i="2"/>
  <c r="P405" i="2"/>
  <c r="Q405" i="2"/>
  <c r="R405" i="2"/>
  <c r="S405" i="2"/>
  <c r="P406" i="2"/>
  <c r="Q406" i="2"/>
  <c r="R406" i="2"/>
  <c r="S406" i="2"/>
  <c r="P407" i="2"/>
  <c r="Q407" i="2"/>
  <c r="R407" i="2"/>
  <c r="S407" i="2"/>
  <c r="P408" i="2"/>
  <c r="Q408" i="2"/>
  <c r="R408" i="2"/>
  <c r="S408" i="2"/>
  <c r="P409" i="2"/>
  <c r="Q409" i="2"/>
  <c r="R409" i="2"/>
  <c r="S409" i="2"/>
  <c r="P410" i="2"/>
  <c r="Q410" i="2"/>
  <c r="R410" i="2"/>
  <c r="S410" i="2"/>
  <c r="P411" i="2"/>
  <c r="Q411" i="2"/>
  <c r="R411" i="2"/>
  <c r="S411" i="2"/>
  <c r="P412" i="2"/>
  <c r="Q412" i="2"/>
  <c r="R412" i="2"/>
  <c r="S412" i="2"/>
  <c r="P413" i="2"/>
  <c r="Q413" i="2"/>
  <c r="R413" i="2"/>
  <c r="S413" i="2"/>
  <c r="P414" i="2"/>
  <c r="Q414" i="2"/>
  <c r="R414" i="2"/>
  <c r="S414" i="2"/>
  <c r="P415" i="2"/>
  <c r="Q415" i="2"/>
  <c r="R415" i="2"/>
  <c r="S415" i="2"/>
  <c r="P416" i="2"/>
  <c r="Q416" i="2"/>
  <c r="R416" i="2"/>
  <c r="S416" i="2"/>
  <c r="P417" i="2"/>
  <c r="Q417" i="2"/>
  <c r="R417" i="2"/>
  <c r="S417" i="2"/>
  <c r="P418" i="2"/>
  <c r="Q418" i="2"/>
  <c r="R418" i="2"/>
  <c r="S418" i="2"/>
  <c r="P419" i="2"/>
  <c r="Q419" i="2"/>
  <c r="R419" i="2"/>
  <c r="S419" i="2"/>
  <c r="P420" i="2"/>
  <c r="Q420" i="2"/>
  <c r="R420" i="2"/>
  <c r="S420" i="2"/>
  <c r="P421" i="2"/>
  <c r="Q421" i="2"/>
  <c r="R421" i="2"/>
  <c r="S421" i="2"/>
  <c r="P422" i="2"/>
  <c r="Q422" i="2"/>
  <c r="R422" i="2"/>
  <c r="S422" i="2"/>
  <c r="P423" i="2"/>
  <c r="Q423" i="2"/>
  <c r="R423" i="2"/>
  <c r="S423" i="2"/>
  <c r="P424" i="2"/>
  <c r="Q424" i="2"/>
  <c r="R424" i="2"/>
  <c r="S424" i="2"/>
  <c r="P426" i="2"/>
  <c r="Q426" i="2"/>
  <c r="R426" i="2"/>
  <c r="S426" i="2"/>
  <c r="P427" i="2"/>
  <c r="Q427" i="2"/>
  <c r="R427" i="2"/>
  <c r="S427" i="2"/>
  <c r="P428" i="2"/>
  <c r="Q428" i="2"/>
  <c r="R428" i="2"/>
  <c r="S428" i="2"/>
  <c r="P434" i="2"/>
  <c r="Q434" i="2"/>
  <c r="R434" i="2"/>
  <c r="S434" i="2"/>
  <c r="P435" i="2"/>
  <c r="Q435" i="2"/>
  <c r="R435" i="2"/>
  <c r="S435" i="2"/>
  <c r="P436" i="2"/>
  <c r="Q436" i="2"/>
  <c r="R436" i="2"/>
  <c r="S436" i="2"/>
  <c r="P437" i="2"/>
  <c r="Q437" i="2"/>
  <c r="R437" i="2"/>
  <c r="S437" i="2"/>
  <c r="P438" i="2"/>
  <c r="Q438" i="2"/>
  <c r="R438" i="2"/>
  <c r="S438" i="2"/>
  <c r="P439" i="2"/>
  <c r="Q439" i="2"/>
  <c r="R439" i="2"/>
  <c r="S439" i="2"/>
  <c r="P440" i="2"/>
  <c r="Q440" i="2"/>
  <c r="R440" i="2"/>
  <c r="S440" i="2"/>
  <c r="P441" i="2"/>
  <c r="Q441" i="2"/>
  <c r="R441" i="2"/>
  <c r="S441" i="2"/>
  <c r="P442" i="2"/>
  <c r="Q442" i="2"/>
  <c r="R442" i="2"/>
  <c r="S442" i="2"/>
  <c r="P443" i="2"/>
  <c r="Q443" i="2"/>
  <c r="R443" i="2"/>
  <c r="S443" i="2"/>
  <c r="P444" i="2"/>
  <c r="Q444" i="2"/>
  <c r="R444" i="2"/>
  <c r="S444" i="2"/>
  <c r="P445" i="2"/>
  <c r="Q445" i="2"/>
  <c r="R445" i="2"/>
  <c r="S445" i="2"/>
  <c r="P446" i="2"/>
  <c r="Q446" i="2"/>
  <c r="R446" i="2"/>
  <c r="S446" i="2"/>
  <c r="P447" i="2"/>
  <c r="Q447" i="2"/>
  <c r="R447" i="2"/>
  <c r="S447" i="2"/>
  <c r="P448" i="2"/>
  <c r="Q448" i="2"/>
  <c r="R448" i="2"/>
  <c r="S448" i="2"/>
  <c r="P449" i="2"/>
  <c r="Q449" i="2"/>
  <c r="R449" i="2"/>
  <c r="S449" i="2"/>
  <c r="P450" i="2"/>
  <c r="Q450" i="2"/>
  <c r="R450" i="2"/>
  <c r="S450" i="2"/>
  <c r="P451" i="2"/>
  <c r="Q451" i="2"/>
  <c r="R451" i="2"/>
  <c r="S451" i="2"/>
  <c r="P452" i="2"/>
  <c r="Q452" i="2"/>
  <c r="R452" i="2"/>
  <c r="S452" i="2"/>
  <c r="P453" i="2"/>
  <c r="Q453" i="2"/>
  <c r="R453" i="2"/>
  <c r="S453" i="2"/>
  <c r="P454" i="2"/>
  <c r="Q454" i="2"/>
  <c r="R454" i="2"/>
  <c r="S454" i="2"/>
  <c r="P455" i="2"/>
  <c r="Q455" i="2"/>
  <c r="R455" i="2"/>
  <c r="S455" i="2"/>
  <c r="P456" i="2"/>
  <c r="Q456" i="2"/>
  <c r="R456" i="2"/>
  <c r="S456" i="2"/>
  <c r="P457" i="2"/>
  <c r="Q457" i="2"/>
  <c r="R457" i="2"/>
  <c r="S457" i="2"/>
  <c r="P458" i="2"/>
  <c r="Q458" i="2"/>
  <c r="R458" i="2"/>
  <c r="S458" i="2"/>
  <c r="P459" i="2"/>
  <c r="Q459" i="2"/>
  <c r="R459" i="2"/>
  <c r="S459" i="2"/>
  <c r="P460" i="2"/>
  <c r="Q460" i="2"/>
  <c r="R460" i="2"/>
  <c r="S460" i="2"/>
  <c r="P462" i="2"/>
  <c r="Q462" i="2"/>
  <c r="R462" i="2"/>
  <c r="S462" i="2"/>
  <c r="P463" i="2"/>
  <c r="Q463" i="2"/>
  <c r="R463" i="2"/>
  <c r="S463" i="2"/>
  <c r="P464" i="2"/>
  <c r="Q464" i="2"/>
  <c r="R464" i="2"/>
  <c r="S464" i="2"/>
  <c r="P470" i="2"/>
  <c r="Q470" i="2"/>
  <c r="R470" i="2"/>
  <c r="S470" i="2"/>
  <c r="P471" i="2"/>
  <c r="Q471" i="2"/>
  <c r="R471" i="2"/>
  <c r="S471" i="2"/>
  <c r="P472" i="2"/>
  <c r="Q472" i="2"/>
  <c r="R472" i="2"/>
  <c r="S472" i="2"/>
  <c r="P473" i="2"/>
  <c r="Q473" i="2"/>
  <c r="R473" i="2"/>
  <c r="S473" i="2"/>
  <c r="P474" i="2"/>
  <c r="Q474" i="2"/>
  <c r="R474" i="2"/>
  <c r="S474" i="2"/>
  <c r="P475" i="2"/>
  <c r="Q475" i="2"/>
  <c r="R475" i="2"/>
  <c r="S475" i="2"/>
  <c r="P476" i="2"/>
  <c r="Q476" i="2"/>
  <c r="R476" i="2"/>
  <c r="S476" i="2"/>
  <c r="P477" i="2"/>
  <c r="Q477" i="2"/>
  <c r="R477" i="2"/>
  <c r="S477" i="2"/>
  <c r="P478" i="2"/>
  <c r="Q478" i="2"/>
  <c r="R478" i="2"/>
  <c r="S478" i="2"/>
  <c r="P479" i="2"/>
  <c r="Q479" i="2"/>
  <c r="R479" i="2"/>
  <c r="S479" i="2"/>
  <c r="P480" i="2"/>
  <c r="Q480" i="2"/>
  <c r="R480" i="2"/>
  <c r="S480" i="2"/>
  <c r="P481" i="2"/>
  <c r="Q481" i="2"/>
  <c r="R481" i="2"/>
  <c r="S481" i="2"/>
  <c r="P482" i="2"/>
  <c r="Q482" i="2"/>
  <c r="R482" i="2"/>
  <c r="S482" i="2"/>
  <c r="P483" i="2"/>
  <c r="Q483" i="2"/>
  <c r="R483" i="2"/>
  <c r="S483" i="2"/>
  <c r="P484" i="2"/>
  <c r="Q484" i="2"/>
  <c r="R484" i="2"/>
  <c r="S484" i="2"/>
  <c r="P485" i="2"/>
  <c r="Q485" i="2"/>
  <c r="R485" i="2"/>
  <c r="S485" i="2"/>
  <c r="P486" i="2"/>
  <c r="Q486" i="2"/>
  <c r="R486" i="2"/>
  <c r="S486" i="2"/>
  <c r="P487" i="2"/>
  <c r="Q487" i="2"/>
  <c r="R487" i="2"/>
  <c r="S487" i="2"/>
  <c r="P488" i="2"/>
  <c r="Q488" i="2"/>
  <c r="R488" i="2"/>
  <c r="S488" i="2"/>
  <c r="P489" i="2"/>
  <c r="Q489" i="2"/>
  <c r="R489" i="2"/>
  <c r="S489" i="2"/>
  <c r="P490" i="2"/>
  <c r="Q490" i="2"/>
  <c r="R490" i="2"/>
  <c r="S490" i="2"/>
  <c r="P491" i="2"/>
  <c r="Q491" i="2"/>
  <c r="R491" i="2"/>
  <c r="S491" i="2"/>
  <c r="P492" i="2"/>
  <c r="Q492" i="2"/>
  <c r="R492" i="2"/>
  <c r="S492" i="2"/>
  <c r="P493" i="2"/>
  <c r="Q493" i="2"/>
  <c r="R493" i="2"/>
  <c r="S493" i="2"/>
  <c r="P494" i="2"/>
  <c r="Q494" i="2"/>
  <c r="R494" i="2"/>
  <c r="S494" i="2"/>
  <c r="P495" i="2"/>
  <c r="Q495" i="2"/>
  <c r="R495" i="2"/>
  <c r="S495" i="2"/>
  <c r="P496" i="2"/>
  <c r="Q496" i="2"/>
  <c r="R496" i="2"/>
  <c r="S496" i="2"/>
  <c r="P498" i="2"/>
  <c r="Q498" i="2"/>
  <c r="R498" i="2"/>
  <c r="S498" i="2"/>
  <c r="P499" i="2"/>
  <c r="Q499" i="2"/>
  <c r="R499" i="2"/>
  <c r="S499" i="2"/>
  <c r="P500" i="2"/>
  <c r="Q500" i="2"/>
  <c r="R500" i="2"/>
  <c r="S500" i="2"/>
  <c r="P506" i="2"/>
  <c r="Q506" i="2"/>
  <c r="R506" i="2"/>
  <c r="S506" i="2"/>
  <c r="P507" i="2"/>
  <c r="Q507" i="2"/>
  <c r="R507" i="2"/>
  <c r="S507" i="2"/>
  <c r="P508" i="2"/>
  <c r="Q508" i="2"/>
  <c r="R508" i="2"/>
  <c r="S508" i="2"/>
  <c r="P509" i="2"/>
  <c r="Q509" i="2"/>
  <c r="R509" i="2"/>
  <c r="S509" i="2"/>
  <c r="P510" i="2"/>
  <c r="Q510" i="2"/>
  <c r="R510" i="2"/>
  <c r="S510" i="2"/>
  <c r="P511" i="2"/>
  <c r="Q511" i="2"/>
  <c r="R511" i="2"/>
  <c r="S511" i="2"/>
  <c r="P512" i="2"/>
  <c r="Q512" i="2"/>
  <c r="R512" i="2"/>
  <c r="S512" i="2"/>
  <c r="P513" i="2"/>
  <c r="Q513" i="2"/>
  <c r="R513" i="2"/>
  <c r="S513" i="2"/>
  <c r="P514" i="2"/>
  <c r="Q514" i="2"/>
  <c r="R514" i="2"/>
  <c r="S514" i="2"/>
  <c r="P515" i="2"/>
  <c r="Q515" i="2"/>
  <c r="R515" i="2"/>
  <c r="S515" i="2"/>
  <c r="P516" i="2"/>
  <c r="Q516" i="2"/>
  <c r="R516" i="2"/>
  <c r="S516" i="2"/>
  <c r="P517" i="2"/>
  <c r="Q517" i="2"/>
  <c r="R517" i="2"/>
  <c r="S517" i="2"/>
  <c r="P518" i="2"/>
  <c r="Q518" i="2"/>
  <c r="R518" i="2"/>
  <c r="S518" i="2"/>
  <c r="P519" i="2"/>
  <c r="Q519" i="2"/>
  <c r="R519" i="2"/>
  <c r="S519" i="2"/>
  <c r="P520" i="2"/>
  <c r="Q520" i="2"/>
  <c r="R520" i="2"/>
  <c r="S520" i="2"/>
  <c r="P521" i="2"/>
  <c r="Q521" i="2"/>
  <c r="R521" i="2"/>
  <c r="S521" i="2"/>
  <c r="P522" i="2"/>
  <c r="Q522" i="2"/>
  <c r="R522" i="2"/>
  <c r="S522" i="2"/>
  <c r="P523" i="2"/>
  <c r="Q523" i="2"/>
  <c r="R523" i="2"/>
  <c r="S523" i="2"/>
  <c r="P524" i="2"/>
  <c r="Q524" i="2"/>
  <c r="R524" i="2"/>
  <c r="S524" i="2"/>
  <c r="P525" i="2"/>
  <c r="Q525" i="2"/>
  <c r="R525" i="2"/>
  <c r="S525" i="2"/>
  <c r="P526" i="2"/>
  <c r="Q526" i="2"/>
  <c r="R526" i="2"/>
  <c r="S526" i="2"/>
  <c r="P527" i="2"/>
  <c r="Q527" i="2"/>
  <c r="R527" i="2"/>
  <c r="S527" i="2"/>
  <c r="P528" i="2"/>
  <c r="Q528" i="2"/>
  <c r="R528" i="2"/>
  <c r="S528" i="2"/>
  <c r="P529" i="2"/>
  <c r="Q529" i="2"/>
  <c r="R529" i="2"/>
  <c r="S529" i="2"/>
  <c r="P530" i="2"/>
  <c r="Q530" i="2"/>
  <c r="R530" i="2"/>
  <c r="S530" i="2"/>
  <c r="P531" i="2"/>
  <c r="Q531" i="2"/>
  <c r="R531" i="2"/>
  <c r="S531" i="2"/>
  <c r="P532" i="2"/>
  <c r="Q532" i="2"/>
  <c r="R532" i="2"/>
  <c r="S532" i="2"/>
  <c r="P534" i="2"/>
  <c r="Q534" i="2"/>
  <c r="R534" i="2"/>
  <c r="S534" i="2"/>
  <c r="P535" i="2"/>
  <c r="Q535" i="2"/>
  <c r="R535" i="2"/>
  <c r="S535" i="2"/>
  <c r="P536" i="2"/>
  <c r="Q536" i="2"/>
  <c r="R536" i="2"/>
  <c r="S536" i="2"/>
  <c r="P542" i="2"/>
  <c r="Q542" i="2"/>
  <c r="R542" i="2"/>
  <c r="S542" i="2"/>
  <c r="P543" i="2"/>
  <c r="Q543" i="2"/>
  <c r="R543" i="2"/>
  <c r="S543" i="2"/>
  <c r="P544" i="2"/>
  <c r="Q544" i="2"/>
  <c r="R544" i="2"/>
  <c r="S544" i="2"/>
  <c r="P545" i="2"/>
  <c r="Q545" i="2"/>
  <c r="R545" i="2"/>
  <c r="S545" i="2"/>
  <c r="P546" i="2"/>
  <c r="Q546" i="2"/>
  <c r="R546" i="2"/>
  <c r="S546" i="2"/>
  <c r="P547" i="2"/>
  <c r="Q547" i="2"/>
  <c r="R547" i="2"/>
  <c r="S547" i="2"/>
  <c r="P548" i="2"/>
  <c r="Q548" i="2"/>
  <c r="R548" i="2"/>
  <c r="S548" i="2"/>
  <c r="P549" i="2"/>
  <c r="Q549" i="2"/>
  <c r="R549" i="2"/>
  <c r="S549" i="2"/>
  <c r="P550" i="2"/>
  <c r="Q550" i="2"/>
  <c r="R550" i="2"/>
  <c r="S550" i="2"/>
  <c r="P551" i="2"/>
  <c r="Q551" i="2"/>
  <c r="R551" i="2"/>
  <c r="S551" i="2"/>
  <c r="P552" i="2"/>
  <c r="Q552" i="2"/>
  <c r="R552" i="2"/>
  <c r="S552" i="2"/>
  <c r="P553" i="2"/>
  <c r="Q553" i="2"/>
  <c r="R553" i="2"/>
  <c r="S553" i="2"/>
  <c r="P554" i="2"/>
  <c r="Q554" i="2"/>
  <c r="R554" i="2"/>
  <c r="S554" i="2"/>
  <c r="P555" i="2"/>
  <c r="Q555" i="2"/>
  <c r="R555" i="2"/>
  <c r="S555" i="2"/>
  <c r="P556" i="2"/>
  <c r="Q556" i="2"/>
  <c r="R556" i="2"/>
  <c r="S556" i="2"/>
  <c r="P557" i="2"/>
  <c r="Q557" i="2"/>
  <c r="R557" i="2"/>
  <c r="S557" i="2"/>
  <c r="P558" i="2"/>
  <c r="Q558" i="2"/>
  <c r="R558" i="2"/>
  <c r="S558" i="2"/>
  <c r="P559" i="2"/>
  <c r="Q559" i="2"/>
  <c r="R559" i="2"/>
  <c r="S559" i="2"/>
  <c r="P560" i="2"/>
  <c r="Q560" i="2"/>
  <c r="R560" i="2"/>
  <c r="S560" i="2"/>
  <c r="P561" i="2"/>
  <c r="Q561" i="2"/>
  <c r="R561" i="2"/>
  <c r="S561" i="2"/>
  <c r="P562" i="2"/>
  <c r="Q562" i="2"/>
  <c r="R562" i="2"/>
  <c r="S562" i="2"/>
  <c r="P563" i="2"/>
  <c r="Q563" i="2"/>
  <c r="R563" i="2"/>
  <c r="S563" i="2"/>
  <c r="P564" i="2"/>
  <c r="Q564" i="2"/>
  <c r="R564" i="2"/>
  <c r="S564" i="2"/>
  <c r="P565" i="2"/>
  <c r="Q565" i="2"/>
  <c r="R565" i="2"/>
  <c r="S565" i="2"/>
  <c r="P566" i="2"/>
  <c r="Q566" i="2"/>
  <c r="R566" i="2"/>
  <c r="S566" i="2"/>
  <c r="P567" i="2"/>
  <c r="Q567" i="2"/>
  <c r="R567" i="2"/>
  <c r="S567" i="2"/>
  <c r="P568" i="2"/>
  <c r="Q568" i="2"/>
  <c r="R568" i="2"/>
  <c r="S568" i="2"/>
  <c r="P570" i="2"/>
  <c r="Q570" i="2"/>
  <c r="R570" i="2"/>
  <c r="S570" i="2"/>
  <c r="P571" i="2"/>
  <c r="Q571" i="2"/>
  <c r="R571" i="2"/>
  <c r="S571" i="2"/>
  <c r="P572" i="2"/>
  <c r="Q572" i="2"/>
  <c r="R572" i="2"/>
  <c r="S572" i="2"/>
  <c r="P578" i="2"/>
  <c r="Q578" i="2"/>
  <c r="R578" i="2"/>
  <c r="S578" i="2"/>
  <c r="P579" i="2"/>
  <c r="Q579" i="2"/>
  <c r="R579" i="2"/>
  <c r="S579" i="2"/>
  <c r="P580" i="2"/>
  <c r="Q580" i="2"/>
  <c r="R580" i="2"/>
  <c r="S580" i="2"/>
  <c r="P581" i="2"/>
  <c r="Q581" i="2"/>
  <c r="R581" i="2"/>
  <c r="S581" i="2"/>
  <c r="P582" i="2"/>
  <c r="Q582" i="2"/>
  <c r="R582" i="2"/>
  <c r="S582" i="2"/>
  <c r="P583" i="2"/>
  <c r="Q583" i="2"/>
  <c r="R583" i="2"/>
  <c r="S583" i="2"/>
  <c r="P584" i="2"/>
  <c r="Q584" i="2"/>
  <c r="R584" i="2"/>
  <c r="S584" i="2"/>
  <c r="P585" i="2"/>
  <c r="Q585" i="2"/>
  <c r="R585" i="2"/>
  <c r="S585" i="2"/>
  <c r="P586" i="2"/>
  <c r="Q586" i="2"/>
  <c r="R586" i="2"/>
  <c r="S586" i="2"/>
  <c r="P587" i="2"/>
  <c r="Q587" i="2"/>
  <c r="R587" i="2"/>
  <c r="S587" i="2"/>
  <c r="P588" i="2"/>
  <c r="Q588" i="2"/>
  <c r="R588" i="2"/>
  <c r="S588" i="2"/>
  <c r="P589" i="2"/>
  <c r="Q589" i="2"/>
  <c r="R589" i="2"/>
  <c r="S589" i="2"/>
  <c r="P590" i="2"/>
  <c r="Q590" i="2"/>
  <c r="R590" i="2"/>
  <c r="S590" i="2"/>
  <c r="P591" i="2"/>
  <c r="Q591" i="2"/>
  <c r="R591" i="2"/>
  <c r="S591" i="2"/>
  <c r="P592" i="2"/>
  <c r="Q592" i="2"/>
  <c r="R592" i="2"/>
  <c r="S592" i="2"/>
  <c r="P593" i="2"/>
  <c r="Q593" i="2"/>
  <c r="R593" i="2"/>
  <c r="S593" i="2"/>
  <c r="P594" i="2"/>
  <c r="Q594" i="2"/>
  <c r="R594" i="2"/>
  <c r="S594" i="2"/>
  <c r="P595" i="2"/>
  <c r="Q595" i="2"/>
  <c r="R595" i="2"/>
  <c r="S595" i="2"/>
  <c r="P596" i="2"/>
  <c r="Q596" i="2"/>
  <c r="R596" i="2"/>
  <c r="S596" i="2"/>
  <c r="P597" i="2"/>
  <c r="Q597" i="2"/>
  <c r="R597" i="2"/>
  <c r="S597" i="2"/>
  <c r="P598" i="2"/>
  <c r="Q598" i="2"/>
  <c r="R598" i="2"/>
  <c r="S598" i="2"/>
  <c r="P599" i="2"/>
  <c r="Q599" i="2"/>
  <c r="R599" i="2"/>
  <c r="S599" i="2"/>
  <c r="P600" i="2"/>
  <c r="Q600" i="2"/>
  <c r="R600" i="2"/>
  <c r="S600" i="2"/>
  <c r="P601" i="2"/>
  <c r="Q601" i="2"/>
  <c r="R601" i="2"/>
  <c r="S601" i="2"/>
  <c r="P602" i="2"/>
  <c r="Q602" i="2"/>
  <c r="R602" i="2"/>
  <c r="S602" i="2"/>
  <c r="P603" i="2"/>
  <c r="Q603" i="2"/>
  <c r="R603" i="2"/>
  <c r="S603" i="2"/>
  <c r="P604" i="2"/>
  <c r="Q604" i="2"/>
  <c r="R604" i="2"/>
  <c r="S604" i="2"/>
  <c r="P606" i="2"/>
  <c r="Q606" i="2"/>
  <c r="R606" i="2"/>
  <c r="S606" i="2"/>
  <c r="P607" i="2"/>
  <c r="Q607" i="2"/>
  <c r="R607" i="2"/>
  <c r="S607" i="2"/>
  <c r="P608" i="2"/>
  <c r="Q608" i="2"/>
  <c r="R608" i="2"/>
  <c r="S608" i="2"/>
  <c r="P614" i="2"/>
  <c r="Q614" i="2"/>
  <c r="R614" i="2"/>
  <c r="S614" i="2"/>
  <c r="P615" i="2"/>
  <c r="Q615" i="2"/>
  <c r="R615" i="2"/>
  <c r="S615" i="2"/>
  <c r="P616" i="2"/>
  <c r="Q616" i="2"/>
  <c r="R616" i="2"/>
  <c r="S616" i="2"/>
  <c r="P617" i="2"/>
  <c r="Q617" i="2"/>
  <c r="R617" i="2"/>
  <c r="S617" i="2"/>
  <c r="P618" i="2"/>
  <c r="Q618" i="2"/>
  <c r="R618" i="2"/>
  <c r="S618" i="2"/>
  <c r="P619" i="2"/>
  <c r="Q619" i="2"/>
  <c r="R619" i="2"/>
  <c r="S619" i="2"/>
  <c r="P620" i="2"/>
  <c r="Q620" i="2"/>
  <c r="R620" i="2"/>
  <c r="S620" i="2"/>
  <c r="P621" i="2"/>
  <c r="Q621" i="2"/>
  <c r="R621" i="2"/>
  <c r="S621" i="2"/>
  <c r="P622" i="2"/>
  <c r="Q622" i="2"/>
  <c r="R622" i="2"/>
  <c r="S622" i="2"/>
  <c r="P623" i="2"/>
  <c r="Q623" i="2"/>
  <c r="R623" i="2"/>
  <c r="S623" i="2"/>
  <c r="P624" i="2"/>
  <c r="Q624" i="2"/>
  <c r="R624" i="2"/>
  <c r="S624" i="2"/>
  <c r="P625" i="2"/>
  <c r="Q625" i="2"/>
  <c r="R625" i="2"/>
  <c r="S625" i="2"/>
  <c r="P626" i="2"/>
  <c r="Q626" i="2"/>
  <c r="R626" i="2"/>
  <c r="S626" i="2"/>
  <c r="P627" i="2"/>
  <c r="Q627" i="2"/>
  <c r="R627" i="2"/>
  <c r="S627" i="2"/>
  <c r="P628" i="2"/>
  <c r="Q628" i="2"/>
  <c r="R628" i="2"/>
  <c r="S628" i="2"/>
  <c r="P629" i="2"/>
  <c r="Q629" i="2"/>
  <c r="R629" i="2"/>
  <c r="S629" i="2"/>
  <c r="P630" i="2"/>
  <c r="Q630" i="2"/>
  <c r="R630" i="2"/>
  <c r="S630" i="2"/>
  <c r="P631" i="2"/>
  <c r="Q631" i="2"/>
  <c r="R631" i="2"/>
  <c r="S631" i="2"/>
  <c r="P632" i="2"/>
  <c r="Q632" i="2"/>
  <c r="R632" i="2"/>
  <c r="S632" i="2"/>
  <c r="P633" i="2"/>
  <c r="Q633" i="2"/>
  <c r="R633" i="2"/>
  <c r="S633" i="2"/>
  <c r="P634" i="2"/>
  <c r="Q634" i="2"/>
  <c r="R634" i="2"/>
  <c r="S634" i="2"/>
  <c r="P635" i="2"/>
  <c r="Q635" i="2"/>
  <c r="R635" i="2"/>
  <c r="S635" i="2"/>
  <c r="P636" i="2"/>
  <c r="Q636" i="2"/>
  <c r="R636" i="2"/>
  <c r="S636" i="2"/>
  <c r="P637" i="2"/>
  <c r="Q637" i="2"/>
  <c r="R637" i="2"/>
  <c r="S637" i="2"/>
  <c r="P638" i="2"/>
  <c r="Q638" i="2"/>
  <c r="R638" i="2"/>
  <c r="S638" i="2"/>
  <c r="P639" i="2"/>
  <c r="Q639" i="2"/>
  <c r="R639" i="2"/>
  <c r="S639" i="2"/>
  <c r="P640" i="2"/>
  <c r="Q640" i="2"/>
  <c r="R640" i="2"/>
  <c r="S640" i="2"/>
  <c r="P642" i="2"/>
  <c r="Q642" i="2"/>
  <c r="R642" i="2"/>
  <c r="S642" i="2"/>
  <c r="P643" i="2"/>
  <c r="Q643" i="2"/>
  <c r="R643" i="2"/>
  <c r="S643" i="2"/>
  <c r="P644" i="2"/>
  <c r="Q644" i="2"/>
  <c r="R644" i="2"/>
  <c r="S644" i="2"/>
  <c r="P650" i="2"/>
  <c r="Q650" i="2"/>
  <c r="R650" i="2"/>
  <c r="S650" i="2"/>
  <c r="P651" i="2"/>
  <c r="Q651" i="2"/>
  <c r="R651" i="2"/>
  <c r="S651" i="2"/>
  <c r="P652" i="2"/>
  <c r="Q652" i="2"/>
  <c r="R652" i="2"/>
  <c r="S652" i="2"/>
  <c r="P653" i="2"/>
  <c r="Q653" i="2"/>
  <c r="R653" i="2"/>
  <c r="S653" i="2"/>
  <c r="P654" i="2"/>
  <c r="Q654" i="2"/>
  <c r="R654" i="2"/>
  <c r="S654" i="2"/>
  <c r="P655" i="2"/>
  <c r="Q655" i="2"/>
  <c r="R655" i="2"/>
  <c r="S655" i="2"/>
  <c r="P656" i="2"/>
  <c r="Q656" i="2"/>
  <c r="R656" i="2"/>
  <c r="S656" i="2"/>
  <c r="P657" i="2"/>
  <c r="Q657" i="2"/>
  <c r="R657" i="2"/>
  <c r="S657" i="2"/>
  <c r="P658" i="2"/>
  <c r="Q658" i="2"/>
  <c r="R658" i="2"/>
  <c r="S658" i="2"/>
  <c r="P659" i="2"/>
  <c r="Q659" i="2"/>
  <c r="R659" i="2"/>
  <c r="S659" i="2"/>
  <c r="P660" i="2"/>
  <c r="Q660" i="2"/>
  <c r="R660" i="2"/>
  <c r="S660" i="2"/>
  <c r="P661" i="2"/>
  <c r="Q661" i="2"/>
  <c r="R661" i="2"/>
  <c r="S661" i="2"/>
  <c r="P662" i="2"/>
  <c r="Q662" i="2"/>
  <c r="R662" i="2"/>
  <c r="S662" i="2"/>
  <c r="P663" i="2"/>
  <c r="Q663" i="2"/>
  <c r="R663" i="2"/>
  <c r="S663" i="2"/>
  <c r="P664" i="2"/>
  <c r="Q664" i="2"/>
  <c r="R664" i="2"/>
  <c r="S664" i="2"/>
  <c r="P665" i="2"/>
  <c r="Q665" i="2"/>
  <c r="R665" i="2"/>
  <c r="S665" i="2"/>
  <c r="P666" i="2"/>
  <c r="Q666" i="2"/>
  <c r="R666" i="2"/>
  <c r="S666" i="2"/>
  <c r="P667" i="2"/>
  <c r="Q667" i="2"/>
  <c r="R667" i="2"/>
  <c r="S667" i="2"/>
  <c r="P668" i="2"/>
  <c r="Q668" i="2"/>
  <c r="R668" i="2"/>
  <c r="S668" i="2"/>
  <c r="P669" i="2"/>
  <c r="Q669" i="2"/>
  <c r="R669" i="2"/>
  <c r="S669" i="2"/>
  <c r="P670" i="2"/>
  <c r="Q670" i="2"/>
  <c r="R670" i="2"/>
  <c r="S670" i="2"/>
  <c r="P671" i="2"/>
  <c r="Q671" i="2"/>
  <c r="R671" i="2"/>
  <c r="S671" i="2"/>
  <c r="P672" i="2"/>
  <c r="Q672" i="2"/>
  <c r="R672" i="2"/>
  <c r="S672" i="2"/>
  <c r="P673" i="2"/>
  <c r="Q673" i="2"/>
  <c r="R673" i="2"/>
  <c r="S673" i="2"/>
  <c r="P674" i="2"/>
  <c r="Q674" i="2"/>
  <c r="R674" i="2"/>
  <c r="S674" i="2"/>
  <c r="P675" i="2"/>
  <c r="Q675" i="2"/>
  <c r="R675" i="2"/>
  <c r="S675" i="2"/>
  <c r="P676" i="2"/>
  <c r="Q676" i="2"/>
  <c r="R676" i="2"/>
  <c r="S676" i="2"/>
  <c r="P678" i="2"/>
  <c r="Q678" i="2"/>
  <c r="R678" i="2"/>
  <c r="S678" i="2"/>
  <c r="P679" i="2"/>
  <c r="Q679" i="2"/>
  <c r="R679" i="2"/>
  <c r="S679" i="2"/>
  <c r="P680" i="2"/>
  <c r="Q680" i="2"/>
  <c r="R680" i="2"/>
  <c r="S680" i="2"/>
  <c r="P686" i="2"/>
  <c r="Q686" i="2"/>
  <c r="R686" i="2"/>
  <c r="S686" i="2"/>
  <c r="P687" i="2"/>
  <c r="Q687" i="2"/>
  <c r="R687" i="2"/>
  <c r="S687" i="2"/>
  <c r="P688" i="2"/>
  <c r="Q688" i="2"/>
  <c r="R688" i="2"/>
  <c r="S688" i="2"/>
  <c r="P689" i="2"/>
  <c r="Q689" i="2"/>
  <c r="R689" i="2"/>
  <c r="S689" i="2"/>
  <c r="P690" i="2"/>
  <c r="Q690" i="2"/>
  <c r="R690" i="2"/>
  <c r="S690" i="2"/>
  <c r="P691" i="2"/>
  <c r="Q691" i="2"/>
  <c r="R691" i="2"/>
  <c r="S691" i="2"/>
  <c r="P692" i="2"/>
  <c r="Q692" i="2"/>
  <c r="R692" i="2"/>
  <c r="S692" i="2"/>
  <c r="P693" i="2"/>
  <c r="Q693" i="2"/>
  <c r="R693" i="2"/>
  <c r="S693" i="2"/>
  <c r="P694" i="2"/>
  <c r="Q694" i="2"/>
  <c r="R694" i="2"/>
  <c r="S694" i="2"/>
  <c r="P695" i="2"/>
  <c r="Q695" i="2"/>
  <c r="R695" i="2"/>
  <c r="S695" i="2"/>
  <c r="P696" i="2"/>
  <c r="Q696" i="2"/>
  <c r="R696" i="2"/>
  <c r="S696" i="2"/>
  <c r="P697" i="2"/>
  <c r="Q697" i="2"/>
  <c r="R697" i="2"/>
  <c r="S697" i="2"/>
  <c r="P698" i="2"/>
  <c r="Q698" i="2"/>
  <c r="R698" i="2"/>
  <c r="S698" i="2"/>
  <c r="P699" i="2"/>
  <c r="Q699" i="2"/>
  <c r="R699" i="2"/>
  <c r="S699" i="2"/>
  <c r="P700" i="2"/>
  <c r="Q700" i="2"/>
  <c r="R700" i="2"/>
  <c r="S700" i="2"/>
  <c r="P701" i="2"/>
  <c r="Q701" i="2"/>
  <c r="R701" i="2"/>
  <c r="S701" i="2"/>
  <c r="P702" i="2"/>
  <c r="Q702" i="2"/>
  <c r="R702" i="2"/>
  <c r="S702" i="2"/>
  <c r="P703" i="2"/>
  <c r="Q703" i="2"/>
  <c r="R703" i="2"/>
  <c r="S703" i="2"/>
  <c r="P704" i="2"/>
  <c r="Q704" i="2"/>
  <c r="R704" i="2"/>
  <c r="S704" i="2"/>
  <c r="P705" i="2"/>
  <c r="Q705" i="2"/>
  <c r="R705" i="2"/>
  <c r="S705" i="2"/>
  <c r="P706" i="2"/>
  <c r="Q706" i="2"/>
  <c r="R706" i="2"/>
  <c r="S706" i="2"/>
  <c r="P707" i="2"/>
  <c r="Q707" i="2"/>
  <c r="R707" i="2"/>
  <c r="S707" i="2"/>
  <c r="P708" i="2"/>
  <c r="Q708" i="2"/>
  <c r="R708" i="2"/>
  <c r="S708" i="2"/>
  <c r="P709" i="2"/>
  <c r="Q709" i="2"/>
  <c r="R709" i="2"/>
  <c r="S709" i="2"/>
  <c r="P710" i="2"/>
  <c r="Q710" i="2"/>
  <c r="R710" i="2"/>
  <c r="S710" i="2"/>
  <c r="P711" i="2"/>
  <c r="Q711" i="2"/>
  <c r="R711" i="2"/>
  <c r="S711" i="2"/>
  <c r="P712" i="2"/>
  <c r="Q712" i="2"/>
  <c r="R712" i="2"/>
  <c r="S712" i="2"/>
  <c r="P714" i="2"/>
  <c r="Q714" i="2"/>
  <c r="R714" i="2"/>
  <c r="S714" i="2"/>
  <c r="P715" i="2"/>
  <c r="Q715" i="2"/>
  <c r="R715" i="2"/>
  <c r="S715" i="2"/>
  <c r="P716" i="2"/>
  <c r="Q716" i="2"/>
  <c r="R716" i="2"/>
  <c r="S716" i="2"/>
  <c r="P722" i="2"/>
  <c r="Q722" i="2"/>
  <c r="R722" i="2"/>
  <c r="S722" i="2"/>
  <c r="P723" i="2"/>
  <c r="Q723" i="2"/>
  <c r="R723" i="2"/>
  <c r="S723" i="2"/>
  <c r="P724" i="2"/>
  <c r="Q724" i="2"/>
  <c r="R724" i="2"/>
  <c r="S724" i="2"/>
  <c r="P725" i="2"/>
  <c r="Q725" i="2"/>
  <c r="R725" i="2"/>
  <c r="S725" i="2"/>
  <c r="P726" i="2"/>
  <c r="Q726" i="2"/>
  <c r="R726" i="2"/>
  <c r="S726" i="2"/>
  <c r="P727" i="2"/>
  <c r="Q727" i="2"/>
  <c r="R727" i="2"/>
  <c r="S727" i="2"/>
  <c r="P728" i="2"/>
  <c r="Q728" i="2"/>
  <c r="R728" i="2"/>
  <c r="S728" i="2"/>
  <c r="P729" i="2"/>
  <c r="Q729" i="2"/>
  <c r="R729" i="2"/>
  <c r="S729" i="2"/>
  <c r="P730" i="2"/>
  <c r="Q730" i="2"/>
  <c r="R730" i="2"/>
  <c r="S730" i="2"/>
  <c r="P731" i="2"/>
  <c r="Q731" i="2"/>
  <c r="R731" i="2"/>
  <c r="S731" i="2"/>
  <c r="P732" i="2"/>
  <c r="Q732" i="2"/>
  <c r="R732" i="2"/>
  <c r="S732" i="2"/>
  <c r="P733" i="2"/>
  <c r="Q733" i="2"/>
  <c r="R733" i="2"/>
  <c r="S733" i="2"/>
  <c r="P734" i="2"/>
  <c r="Q734" i="2"/>
  <c r="R734" i="2"/>
  <c r="S734" i="2"/>
  <c r="P735" i="2"/>
  <c r="Q735" i="2"/>
  <c r="R735" i="2"/>
  <c r="S735" i="2"/>
  <c r="P736" i="2"/>
  <c r="Q736" i="2"/>
  <c r="R736" i="2"/>
  <c r="S736" i="2"/>
  <c r="P737" i="2"/>
  <c r="Q737" i="2"/>
  <c r="R737" i="2"/>
  <c r="S737" i="2"/>
  <c r="P738" i="2"/>
  <c r="Q738" i="2"/>
  <c r="R738" i="2"/>
  <c r="S738" i="2"/>
  <c r="P739" i="2"/>
  <c r="Q739" i="2"/>
  <c r="R739" i="2"/>
  <c r="S739" i="2"/>
  <c r="P740" i="2"/>
  <c r="Q740" i="2"/>
  <c r="R740" i="2"/>
  <c r="S740" i="2"/>
  <c r="P741" i="2"/>
  <c r="Q741" i="2"/>
  <c r="R741" i="2"/>
  <c r="S741" i="2"/>
  <c r="P742" i="2"/>
  <c r="Q742" i="2"/>
  <c r="R742" i="2"/>
  <c r="S742" i="2"/>
  <c r="P743" i="2"/>
  <c r="Q743" i="2"/>
  <c r="R743" i="2"/>
  <c r="S743" i="2"/>
  <c r="P744" i="2"/>
  <c r="Q744" i="2"/>
  <c r="R744" i="2"/>
  <c r="S744" i="2"/>
  <c r="P745" i="2"/>
  <c r="Q745" i="2"/>
  <c r="R745" i="2"/>
  <c r="S745" i="2"/>
  <c r="P746" i="2"/>
  <c r="Q746" i="2"/>
  <c r="R746" i="2"/>
  <c r="S746" i="2"/>
  <c r="P747" i="2"/>
  <c r="Q747" i="2"/>
  <c r="R747" i="2"/>
  <c r="S747" i="2"/>
  <c r="P748" i="2"/>
  <c r="Q748" i="2"/>
  <c r="R748" i="2"/>
  <c r="S748" i="2"/>
  <c r="P750" i="2"/>
  <c r="Q750" i="2"/>
  <c r="R750" i="2"/>
  <c r="S750" i="2"/>
  <c r="P751" i="2"/>
  <c r="Q751" i="2"/>
  <c r="R751" i="2"/>
  <c r="S751" i="2"/>
  <c r="P752" i="2"/>
  <c r="Q752" i="2"/>
  <c r="R752" i="2"/>
  <c r="S752" i="2"/>
  <c r="P758" i="2"/>
  <c r="Q758" i="2"/>
  <c r="R758" i="2"/>
  <c r="S758" i="2"/>
  <c r="P759" i="2"/>
  <c r="Q759" i="2"/>
  <c r="R759" i="2"/>
  <c r="S759" i="2"/>
  <c r="P760" i="2"/>
  <c r="Q760" i="2"/>
  <c r="R760" i="2"/>
  <c r="S760" i="2"/>
  <c r="P761" i="2"/>
  <c r="Q761" i="2"/>
  <c r="R761" i="2"/>
  <c r="S761" i="2"/>
  <c r="P762" i="2"/>
  <c r="Q762" i="2"/>
  <c r="R762" i="2"/>
  <c r="S762" i="2"/>
  <c r="P763" i="2"/>
  <c r="Q763" i="2"/>
  <c r="R763" i="2"/>
  <c r="S763" i="2"/>
  <c r="P764" i="2"/>
  <c r="Q764" i="2"/>
  <c r="R764" i="2"/>
  <c r="S764" i="2"/>
  <c r="P765" i="2"/>
  <c r="Q765" i="2"/>
  <c r="R765" i="2"/>
  <c r="S765" i="2"/>
  <c r="P766" i="2"/>
  <c r="Q766" i="2"/>
  <c r="R766" i="2"/>
  <c r="S766" i="2"/>
  <c r="P767" i="2"/>
  <c r="Q767" i="2"/>
  <c r="R767" i="2"/>
  <c r="S767" i="2"/>
  <c r="P768" i="2"/>
  <c r="Q768" i="2"/>
  <c r="R768" i="2"/>
  <c r="S768" i="2"/>
  <c r="P769" i="2"/>
  <c r="Q769" i="2"/>
  <c r="R769" i="2"/>
  <c r="S769" i="2"/>
  <c r="P770" i="2"/>
  <c r="Q770" i="2"/>
  <c r="R770" i="2"/>
  <c r="S770" i="2"/>
  <c r="P771" i="2"/>
  <c r="Q771" i="2"/>
  <c r="R771" i="2"/>
  <c r="S771" i="2"/>
  <c r="P772" i="2"/>
  <c r="Q772" i="2"/>
  <c r="R772" i="2"/>
  <c r="S772" i="2"/>
  <c r="P773" i="2"/>
  <c r="Q773" i="2"/>
  <c r="R773" i="2"/>
  <c r="S773" i="2"/>
  <c r="P774" i="2"/>
  <c r="Q774" i="2"/>
  <c r="R774" i="2"/>
  <c r="S774" i="2"/>
  <c r="P775" i="2"/>
  <c r="Q775" i="2"/>
  <c r="R775" i="2"/>
  <c r="S775" i="2"/>
  <c r="P776" i="2"/>
  <c r="Q776" i="2"/>
  <c r="R776" i="2"/>
  <c r="S776" i="2"/>
  <c r="P777" i="2"/>
  <c r="Q777" i="2"/>
  <c r="R777" i="2"/>
  <c r="S777" i="2"/>
  <c r="P778" i="2"/>
  <c r="Q778" i="2"/>
  <c r="R778" i="2"/>
  <c r="S778" i="2"/>
  <c r="P779" i="2"/>
  <c r="Q779" i="2"/>
  <c r="R779" i="2"/>
  <c r="S779" i="2"/>
  <c r="P780" i="2"/>
  <c r="Q780" i="2"/>
  <c r="R780" i="2"/>
  <c r="S780" i="2"/>
  <c r="P781" i="2"/>
  <c r="Q781" i="2"/>
  <c r="R781" i="2"/>
  <c r="S781" i="2"/>
  <c r="P782" i="2"/>
  <c r="Q782" i="2"/>
  <c r="R782" i="2"/>
  <c r="S782" i="2"/>
  <c r="P783" i="2"/>
  <c r="Q783" i="2"/>
  <c r="R783" i="2"/>
  <c r="S783" i="2"/>
  <c r="P784" i="2"/>
  <c r="Q784" i="2"/>
  <c r="R784" i="2"/>
  <c r="S784" i="2"/>
  <c r="P786" i="2"/>
  <c r="Q786" i="2"/>
  <c r="R786" i="2"/>
  <c r="S786" i="2"/>
  <c r="P787" i="2"/>
  <c r="Q787" i="2"/>
  <c r="R787" i="2"/>
  <c r="S787" i="2"/>
  <c r="P788" i="2"/>
  <c r="Q788" i="2"/>
  <c r="R788" i="2"/>
  <c r="S788" i="2"/>
  <c r="P794" i="2"/>
  <c r="Q794" i="2"/>
  <c r="R794" i="2"/>
  <c r="S794" i="2"/>
  <c r="P795" i="2"/>
  <c r="Q795" i="2"/>
  <c r="R795" i="2"/>
  <c r="S795" i="2"/>
  <c r="P796" i="2"/>
  <c r="Q796" i="2"/>
  <c r="R796" i="2"/>
  <c r="S796" i="2"/>
  <c r="P797" i="2"/>
  <c r="Q797" i="2"/>
  <c r="R797" i="2"/>
  <c r="S797" i="2"/>
  <c r="P798" i="2"/>
  <c r="Q798" i="2"/>
  <c r="R798" i="2"/>
  <c r="S798" i="2"/>
  <c r="P799" i="2"/>
  <c r="Q799" i="2"/>
  <c r="R799" i="2"/>
  <c r="S799" i="2"/>
  <c r="P800" i="2"/>
  <c r="Q800" i="2"/>
  <c r="R800" i="2"/>
  <c r="S800" i="2"/>
  <c r="P801" i="2"/>
  <c r="Q801" i="2"/>
  <c r="R801" i="2"/>
  <c r="S801" i="2"/>
  <c r="P802" i="2"/>
  <c r="Q802" i="2"/>
  <c r="R802" i="2"/>
  <c r="S802" i="2"/>
  <c r="P803" i="2"/>
  <c r="Q803" i="2"/>
  <c r="R803" i="2"/>
  <c r="S803" i="2"/>
  <c r="P804" i="2"/>
  <c r="Q804" i="2"/>
  <c r="R804" i="2"/>
  <c r="S804" i="2"/>
  <c r="P805" i="2"/>
  <c r="Q805" i="2"/>
  <c r="R805" i="2"/>
  <c r="S805" i="2"/>
  <c r="P806" i="2"/>
  <c r="Q806" i="2"/>
  <c r="R806" i="2"/>
  <c r="S806" i="2"/>
  <c r="P807" i="2"/>
  <c r="Q807" i="2"/>
  <c r="R807" i="2"/>
  <c r="S807" i="2"/>
  <c r="P808" i="2"/>
  <c r="Q808" i="2"/>
  <c r="R808" i="2"/>
  <c r="S808" i="2"/>
  <c r="P809" i="2"/>
  <c r="Q809" i="2"/>
  <c r="R809" i="2"/>
  <c r="S809" i="2"/>
  <c r="P810" i="2"/>
  <c r="Q810" i="2"/>
  <c r="R810" i="2"/>
  <c r="S810" i="2"/>
  <c r="P811" i="2"/>
  <c r="Q811" i="2"/>
  <c r="R811" i="2"/>
  <c r="S811" i="2"/>
  <c r="P812" i="2"/>
  <c r="Q812" i="2"/>
  <c r="R812" i="2"/>
  <c r="S812" i="2"/>
  <c r="P813" i="2"/>
  <c r="Q813" i="2"/>
  <c r="R813" i="2"/>
  <c r="S813" i="2"/>
  <c r="P814" i="2"/>
  <c r="Q814" i="2"/>
  <c r="R814" i="2"/>
  <c r="S814" i="2"/>
  <c r="P815" i="2"/>
  <c r="Q815" i="2"/>
  <c r="R815" i="2"/>
  <c r="S815" i="2"/>
  <c r="P816" i="2"/>
  <c r="Q816" i="2"/>
  <c r="R816" i="2"/>
  <c r="S816" i="2"/>
  <c r="P817" i="2"/>
  <c r="Q817" i="2"/>
  <c r="R817" i="2"/>
  <c r="S817" i="2"/>
  <c r="P818" i="2"/>
  <c r="Q818" i="2"/>
  <c r="R818" i="2"/>
  <c r="S818" i="2"/>
  <c r="P819" i="2"/>
  <c r="Q819" i="2"/>
  <c r="R819" i="2"/>
  <c r="S819" i="2"/>
  <c r="P820" i="2"/>
  <c r="Q820" i="2"/>
  <c r="R820" i="2"/>
  <c r="S820" i="2"/>
  <c r="P822" i="2"/>
  <c r="Q822" i="2"/>
  <c r="R822" i="2"/>
  <c r="S822" i="2"/>
  <c r="P823" i="2"/>
  <c r="Q823" i="2"/>
  <c r="R823" i="2"/>
  <c r="S823" i="2"/>
  <c r="P824" i="2"/>
  <c r="Q824" i="2"/>
  <c r="R824" i="2"/>
  <c r="S824" i="2"/>
  <c r="P830" i="2"/>
  <c r="Q830" i="2"/>
  <c r="R830" i="2"/>
  <c r="S830" i="2"/>
  <c r="P831" i="2"/>
  <c r="Q831" i="2"/>
  <c r="R831" i="2"/>
  <c r="S831" i="2"/>
  <c r="P832" i="2"/>
  <c r="Q832" i="2"/>
  <c r="R832" i="2"/>
  <c r="S832" i="2"/>
  <c r="P833" i="2"/>
  <c r="Q833" i="2"/>
  <c r="R833" i="2"/>
  <c r="S833" i="2"/>
  <c r="P834" i="2"/>
  <c r="Q834" i="2"/>
  <c r="R834" i="2"/>
  <c r="S834" i="2"/>
  <c r="P835" i="2"/>
  <c r="Q835" i="2"/>
  <c r="R835" i="2"/>
  <c r="S835" i="2"/>
  <c r="P836" i="2"/>
  <c r="Q836" i="2"/>
  <c r="R836" i="2"/>
  <c r="S836" i="2"/>
  <c r="P837" i="2"/>
  <c r="Q837" i="2"/>
  <c r="R837" i="2"/>
  <c r="S837" i="2"/>
  <c r="P838" i="2"/>
  <c r="Q838" i="2"/>
  <c r="R838" i="2"/>
  <c r="S838" i="2"/>
  <c r="P839" i="2"/>
  <c r="Q839" i="2"/>
  <c r="R839" i="2"/>
  <c r="S839" i="2"/>
  <c r="P840" i="2"/>
  <c r="Q840" i="2"/>
  <c r="R840" i="2"/>
  <c r="S840" i="2"/>
  <c r="P841" i="2"/>
  <c r="Q841" i="2"/>
  <c r="R841" i="2"/>
  <c r="S841" i="2"/>
  <c r="P842" i="2"/>
  <c r="Q842" i="2"/>
  <c r="R842" i="2"/>
  <c r="S842" i="2"/>
  <c r="P843" i="2"/>
  <c r="Q843" i="2"/>
  <c r="R843" i="2"/>
  <c r="S843" i="2"/>
  <c r="P844" i="2"/>
  <c r="Q844" i="2"/>
  <c r="R844" i="2"/>
  <c r="S844" i="2"/>
  <c r="P845" i="2"/>
  <c r="Q845" i="2"/>
  <c r="R845" i="2"/>
  <c r="S845" i="2"/>
  <c r="P846" i="2"/>
  <c r="Q846" i="2"/>
  <c r="R846" i="2"/>
  <c r="S846" i="2"/>
  <c r="P847" i="2"/>
  <c r="Q847" i="2"/>
  <c r="R847" i="2"/>
  <c r="S847" i="2"/>
  <c r="P848" i="2"/>
  <c r="Q848" i="2"/>
  <c r="R848" i="2"/>
  <c r="S848" i="2"/>
  <c r="P849" i="2"/>
  <c r="Q849" i="2"/>
  <c r="R849" i="2"/>
  <c r="S849" i="2"/>
  <c r="P850" i="2"/>
  <c r="Q850" i="2"/>
  <c r="R850" i="2"/>
  <c r="S850" i="2"/>
  <c r="P851" i="2"/>
  <c r="Q851" i="2"/>
  <c r="R851" i="2"/>
  <c r="S851" i="2"/>
  <c r="P852" i="2"/>
  <c r="Q852" i="2"/>
  <c r="R852" i="2"/>
  <c r="S852" i="2"/>
  <c r="P853" i="2"/>
  <c r="Q853" i="2"/>
  <c r="R853" i="2"/>
  <c r="S853" i="2"/>
  <c r="P854" i="2"/>
  <c r="Q854" i="2"/>
  <c r="R854" i="2"/>
  <c r="S854" i="2"/>
  <c r="P855" i="2"/>
  <c r="Q855" i="2"/>
  <c r="R855" i="2"/>
  <c r="S855" i="2"/>
  <c r="P856" i="2"/>
  <c r="Q856" i="2"/>
  <c r="R856" i="2"/>
  <c r="S856" i="2"/>
  <c r="P858" i="2"/>
  <c r="Q858" i="2"/>
  <c r="R858" i="2"/>
  <c r="S858" i="2"/>
  <c r="P859" i="2"/>
  <c r="Q859" i="2"/>
  <c r="R859" i="2"/>
  <c r="S859" i="2"/>
  <c r="P860" i="2"/>
  <c r="Q860" i="2"/>
  <c r="R860" i="2"/>
  <c r="S860" i="2"/>
  <c r="P866" i="2"/>
  <c r="Q866" i="2"/>
  <c r="R866" i="2"/>
  <c r="S866" i="2"/>
  <c r="P867" i="2"/>
  <c r="Q867" i="2"/>
  <c r="R867" i="2"/>
  <c r="S867" i="2"/>
  <c r="P868" i="2"/>
  <c r="Q868" i="2"/>
  <c r="R868" i="2"/>
  <c r="S868" i="2"/>
  <c r="P869" i="2"/>
  <c r="Q869" i="2"/>
  <c r="R869" i="2"/>
  <c r="S869" i="2"/>
  <c r="P870" i="2"/>
  <c r="Q870" i="2"/>
  <c r="R870" i="2"/>
  <c r="S870" i="2"/>
  <c r="P871" i="2"/>
  <c r="Q871" i="2"/>
  <c r="R871" i="2"/>
  <c r="S871" i="2"/>
  <c r="P872" i="2"/>
  <c r="Q872" i="2"/>
  <c r="R872" i="2"/>
  <c r="S872" i="2"/>
  <c r="P873" i="2"/>
  <c r="Q873" i="2"/>
  <c r="R873" i="2"/>
  <c r="S873" i="2"/>
  <c r="P874" i="2"/>
  <c r="Q874" i="2"/>
  <c r="R874" i="2"/>
  <c r="S874" i="2"/>
  <c r="P875" i="2"/>
  <c r="Q875" i="2"/>
  <c r="R875" i="2"/>
  <c r="S875" i="2"/>
  <c r="P876" i="2"/>
  <c r="Q876" i="2"/>
  <c r="R876" i="2"/>
  <c r="S876" i="2"/>
  <c r="P877" i="2"/>
  <c r="Q877" i="2"/>
  <c r="R877" i="2"/>
  <c r="S877" i="2"/>
  <c r="P878" i="2"/>
  <c r="Q878" i="2"/>
  <c r="R878" i="2"/>
  <c r="S878" i="2"/>
  <c r="P879" i="2"/>
  <c r="Q879" i="2"/>
  <c r="R879" i="2"/>
  <c r="S879" i="2"/>
  <c r="P880" i="2"/>
  <c r="Q880" i="2"/>
  <c r="R880" i="2"/>
  <c r="S880" i="2"/>
  <c r="P881" i="2"/>
  <c r="Q881" i="2"/>
  <c r="R881" i="2"/>
  <c r="S881" i="2"/>
  <c r="P882" i="2"/>
  <c r="Q882" i="2"/>
  <c r="R882" i="2"/>
  <c r="S882" i="2"/>
  <c r="P883" i="2"/>
  <c r="Q883" i="2"/>
  <c r="R883" i="2"/>
  <c r="S883" i="2"/>
  <c r="P884" i="2"/>
  <c r="Q884" i="2"/>
  <c r="R884" i="2"/>
  <c r="S884" i="2"/>
  <c r="P885" i="2"/>
  <c r="Q885" i="2"/>
  <c r="R885" i="2"/>
  <c r="S885" i="2"/>
  <c r="P886" i="2"/>
  <c r="Q886" i="2"/>
  <c r="R886" i="2"/>
  <c r="S886" i="2"/>
  <c r="P887" i="2"/>
  <c r="Q887" i="2"/>
  <c r="R887" i="2"/>
  <c r="S887" i="2"/>
  <c r="P888" i="2"/>
  <c r="Q888" i="2"/>
  <c r="R888" i="2"/>
  <c r="S888" i="2"/>
  <c r="P889" i="2"/>
  <c r="Q889" i="2"/>
  <c r="R889" i="2"/>
  <c r="S889" i="2"/>
  <c r="P890" i="2"/>
  <c r="Q890" i="2"/>
  <c r="R890" i="2"/>
  <c r="S890" i="2"/>
  <c r="P891" i="2"/>
  <c r="Q891" i="2"/>
  <c r="R891" i="2"/>
  <c r="S891" i="2"/>
  <c r="P892" i="2"/>
  <c r="Q892" i="2"/>
  <c r="R892" i="2"/>
  <c r="S892" i="2"/>
  <c r="P894" i="2"/>
  <c r="Q894" i="2"/>
  <c r="R894" i="2"/>
  <c r="S894" i="2"/>
  <c r="P895" i="2"/>
  <c r="Q895" i="2"/>
  <c r="R895" i="2"/>
  <c r="S895" i="2"/>
  <c r="P896" i="2"/>
  <c r="Q896" i="2"/>
  <c r="R896" i="2"/>
  <c r="S896" i="2"/>
  <c r="P902" i="2"/>
  <c r="Q902" i="2"/>
  <c r="R902" i="2"/>
  <c r="S902" i="2"/>
  <c r="P903" i="2"/>
  <c r="Q903" i="2"/>
  <c r="R903" i="2"/>
  <c r="S903" i="2"/>
  <c r="P904" i="2"/>
  <c r="Q904" i="2"/>
  <c r="R904" i="2"/>
  <c r="S904" i="2"/>
  <c r="P905" i="2"/>
  <c r="Q905" i="2"/>
  <c r="R905" i="2"/>
  <c r="S905" i="2"/>
  <c r="P906" i="2"/>
  <c r="Q906" i="2"/>
  <c r="R906" i="2"/>
  <c r="S906" i="2"/>
  <c r="P907" i="2"/>
  <c r="Q907" i="2"/>
  <c r="R907" i="2"/>
  <c r="S907" i="2"/>
  <c r="P908" i="2"/>
  <c r="Q908" i="2"/>
  <c r="R908" i="2"/>
  <c r="S908" i="2"/>
  <c r="P909" i="2"/>
  <c r="Q909" i="2"/>
  <c r="R909" i="2"/>
  <c r="S909" i="2"/>
  <c r="P910" i="2"/>
  <c r="Q910" i="2"/>
  <c r="R910" i="2"/>
  <c r="S910" i="2"/>
  <c r="P911" i="2"/>
  <c r="Q911" i="2"/>
  <c r="R911" i="2"/>
  <c r="S911" i="2"/>
  <c r="P912" i="2"/>
  <c r="Q912" i="2"/>
  <c r="R912" i="2"/>
  <c r="S912" i="2"/>
  <c r="P913" i="2"/>
  <c r="Q913" i="2"/>
  <c r="R913" i="2"/>
  <c r="S913" i="2"/>
  <c r="P914" i="2"/>
  <c r="Q914" i="2"/>
  <c r="R914" i="2"/>
  <c r="S914" i="2"/>
  <c r="P915" i="2"/>
  <c r="Q915" i="2"/>
  <c r="R915" i="2"/>
  <c r="S915" i="2"/>
  <c r="P916" i="2"/>
  <c r="Q916" i="2"/>
  <c r="R916" i="2"/>
  <c r="S916" i="2"/>
  <c r="P917" i="2"/>
  <c r="Q917" i="2"/>
  <c r="R917" i="2"/>
  <c r="S917" i="2"/>
  <c r="P918" i="2"/>
  <c r="Q918" i="2"/>
  <c r="R918" i="2"/>
  <c r="S918" i="2"/>
  <c r="P919" i="2"/>
  <c r="Q919" i="2"/>
  <c r="R919" i="2"/>
  <c r="S919" i="2"/>
  <c r="P920" i="2"/>
  <c r="Q920" i="2"/>
  <c r="R920" i="2"/>
  <c r="S920" i="2"/>
  <c r="P921" i="2"/>
  <c r="Q921" i="2"/>
  <c r="R921" i="2"/>
  <c r="S921" i="2"/>
  <c r="P922" i="2"/>
  <c r="Q922" i="2"/>
  <c r="R922" i="2"/>
  <c r="S922" i="2"/>
  <c r="P923" i="2"/>
  <c r="Q923" i="2"/>
  <c r="R923" i="2"/>
  <c r="S923" i="2"/>
  <c r="P924" i="2"/>
  <c r="Q924" i="2"/>
  <c r="R924" i="2"/>
  <c r="S924" i="2"/>
  <c r="P925" i="2"/>
  <c r="Q925" i="2"/>
  <c r="R925" i="2"/>
  <c r="S925" i="2"/>
  <c r="P926" i="2"/>
  <c r="Q926" i="2"/>
  <c r="R926" i="2"/>
  <c r="S926" i="2"/>
  <c r="P927" i="2"/>
  <c r="Q927" i="2"/>
  <c r="R927" i="2"/>
  <c r="S927" i="2"/>
  <c r="P928" i="2"/>
  <c r="Q928" i="2"/>
  <c r="R928" i="2"/>
  <c r="S928" i="2"/>
  <c r="P930" i="2"/>
  <c r="Q930" i="2"/>
  <c r="R930" i="2"/>
  <c r="S930" i="2"/>
  <c r="P931" i="2"/>
  <c r="Q931" i="2"/>
  <c r="R931" i="2"/>
  <c r="S931" i="2"/>
  <c r="P932" i="2"/>
  <c r="Q932" i="2"/>
  <c r="R932" i="2"/>
  <c r="S932" i="2"/>
  <c r="P938" i="2"/>
  <c r="Q938" i="2"/>
  <c r="R938" i="2"/>
  <c r="S938" i="2"/>
  <c r="P939" i="2"/>
  <c r="Q939" i="2"/>
  <c r="R939" i="2"/>
  <c r="S939" i="2"/>
  <c r="P940" i="2"/>
  <c r="Q940" i="2"/>
  <c r="R940" i="2"/>
  <c r="S940" i="2"/>
  <c r="P941" i="2"/>
  <c r="Q941" i="2"/>
  <c r="R941" i="2"/>
  <c r="S941" i="2"/>
  <c r="P942" i="2"/>
  <c r="Q942" i="2"/>
  <c r="R942" i="2"/>
  <c r="S942" i="2"/>
  <c r="P943" i="2"/>
  <c r="Q943" i="2"/>
  <c r="R943" i="2"/>
  <c r="S943" i="2"/>
  <c r="P944" i="2"/>
  <c r="Q944" i="2"/>
  <c r="R944" i="2"/>
  <c r="S944" i="2"/>
  <c r="P945" i="2"/>
  <c r="Q945" i="2"/>
  <c r="R945" i="2"/>
  <c r="S945" i="2"/>
  <c r="P946" i="2"/>
  <c r="Q946" i="2"/>
  <c r="R946" i="2"/>
  <c r="S946" i="2"/>
  <c r="P947" i="2"/>
  <c r="Q947" i="2"/>
  <c r="R947" i="2"/>
  <c r="S947" i="2"/>
  <c r="P948" i="2"/>
  <c r="Q948" i="2"/>
  <c r="R948" i="2"/>
  <c r="S948" i="2"/>
  <c r="P949" i="2"/>
  <c r="Q949" i="2"/>
  <c r="R949" i="2"/>
  <c r="S949" i="2"/>
  <c r="P950" i="2"/>
  <c r="Q950" i="2"/>
  <c r="R950" i="2"/>
  <c r="S950" i="2"/>
  <c r="P951" i="2"/>
  <c r="Q951" i="2"/>
  <c r="R951" i="2"/>
  <c r="S951" i="2"/>
  <c r="P952" i="2"/>
  <c r="Q952" i="2"/>
  <c r="R952" i="2"/>
  <c r="S952" i="2"/>
  <c r="P953" i="2"/>
  <c r="Q953" i="2"/>
  <c r="R953" i="2"/>
  <c r="S953" i="2"/>
  <c r="P954" i="2"/>
  <c r="Q954" i="2"/>
  <c r="R954" i="2"/>
  <c r="S954" i="2"/>
  <c r="P955" i="2"/>
  <c r="Q955" i="2"/>
  <c r="R955" i="2"/>
  <c r="S955" i="2"/>
  <c r="P956" i="2"/>
  <c r="Q956" i="2"/>
  <c r="R956" i="2"/>
  <c r="S956" i="2"/>
  <c r="P957" i="2"/>
  <c r="Q957" i="2"/>
  <c r="R957" i="2"/>
  <c r="S957" i="2"/>
  <c r="P958" i="2"/>
  <c r="Q958" i="2"/>
  <c r="R958" i="2"/>
  <c r="S958" i="2"/>
  <c r="P959" i="2"/>
  <c r="Q959" i="2"/>
  <c r="R959" i="2"/>
  <c r="S959" i="2"/>
  <c r="P960" i="2"/>
  <c r="Q960" i="2"/>
  <c r="R960" i="2"/>
  <c r="S960" i="2"/>
  <c r="P961" i="2"/>
  <c r="Q961" i="2"/>
  <c r="R961" i="2"/>
  <c r="S961" i="2"/>
  <c r="P962" i="2"/>
  <c r="Q962" i="2"/>
  <c r="R962" i="2"/>
  <c r="S962" i="2"/>
  <c r="P963" i="2"/>
  <c r="Q963" i="2"/>
  <c r="R963" i="2"/>
  <c r="S963" i="2"/>
  <c r="P964" i="2"/>
  <c r="Q964" i="2"/>
  <c r="R964" i="2"/>
  <c r="S964" i="2"/>
  <c r="P966" i="2"/>
  <c r="Q966" i="2"/>
  <c r="R966" i="2"/>
  <c r="S966" i="2"/>
  <c r="P967" i="2"/>
  <c r="Q967" i="2"/>
  <c r="R967" i="2"/>
  <c r="S967" i="2"/>
  <c r="P968" i="2"/>
  <c r="Q968" i="2"/>
  <c r="R968" i="2"/>
  <c r="S968" i="2"/>
  <c r="P974" i="2"/>
  <c r="Q974" i="2"/>
  <c r="R974" i="2"/>
  <c r="R1006" i="2" s="1"/>
  <c r="S974" i="2"/>
  <c r="P975" i="2"/>
  <c r="Q975" i="2"/>
  <c r="R975" i="2"/>
  <c r="S975" i="2"/>
  <c r="P976" i="2"/>
  <c r="Q976" i="2"/>
  <c r="R976" i="2"/>
  <c r="S976" i="2"/>
  <c r="P977" i="2"/>
  <c r="Q977" i="2"/>
  <c r="R977" i="2"/>
  <c r="S977" i="2"/>
  <c r="P978" i="2"/>
  <c r="Q978" i="2"/>
  <c r="R978" i="2"/>
  <c r="S978" i="2"/>
  <c r="P979" i="2"/>
  <c r="Q979" i="2"/>
  <c r="R979" i="2"/>
  <c r="S979" i="2"/>
  <c r="P980" i="2"/>
  <c r="Q980" i="2"/>
  <c r="R980" i="2"/>
  <c r="S980" i="2"/>
  <c r="P981" i="2"/>
  <c r="Q981" i="2"/>
  <c r="R981" i="2"/>
  <c r="S981" i="2"/>
  <c r="P982" i="2"/>
  <c r="Q982" i="2"/>
  <c r="R982" i="2"/>
  <c r="S982" i="2"/>
  <c r="P983" i="2"/>
  <c r="Q983" i="2"/>
  <c r="R983" i="2"/>
  <c r="S983" i="2"/>
  <c r="P984" i="2"/>
  <c r="Q984" i="2"/>
  <c r="R984" i="2"/>
  <c r="S984" i="2"/>
  <c r="P985" i="2"/>
  <c r="Q985" i="2"/>
  <c r="R985" i="2"/>
  <c r="S985" i="2"/>
  <c r="P986" i="2"/>
  <c r="Q986" i="2"/>
  <c r="R986" i="2"/>
  <c r="S986" i="2"/>
  <c r="P987" i="2"/>
  <c r="Q987" i="2"/>
  <c r="R987" i="2"/>
  <c r="S987" i="2"/>
  <c r="P988" i="2"/>
  <c r="Q988" i="2"/>
  <c r="R988" i="2"/>
  <c r="S988" i="2"/>
  <c r="P989" i="2"/>
  <c r="Q989" i="2"/>
  <c r="R989" i="2"/>
  <c r="S989" i="2"/>
  <c r="P990" i="2"/>
  <c r="Q990" i="2"/>
  <c r="R990" i="2"/>
  <c r="S990" i="2"/>
  <c r="P991" i="2"/>
  <c r="Q991" i="2"/>
  <c r="R991" i="2"/>
  <c r="S991" i="2"/>
  <c r="P992" i="2"/>
  <c r="Q992" i="2"/>
  <c r="R992" i="2"/>
  <c r="S992" i="2"/>
  <c r="P993" i="2"/>
  <c r="Q993" i="2"/>
  <c r="R993" i="2"/>
  <c r="S993" i="2"/>
  <c r="P994" i="2"/>
  <c r="Q994" i="2"/>
  <c r="R994" i="2"/>
  <c r="S994" i="2"/>
  <c r="P995" i="2"/>
  <c r="Q995" i="2"/>
  <c r="R995" i="2"/>
  <c r="S995" i="2"/>
  <c r="P996" i="2"/>
  <c r="Q996" i="2"/>
  <c r="R996" i="2"/>
  <c r="S996" i="2"/>
  <c r="P997" i="2"/>
  <c r="Q997" i="2"/>
  <c r="R997" i="2"/>
  <c r="S997" i="2"/>
  <c r="P998" i="2"/>
  <c r="Q998" i="2"/>
  <c r="R998" i="2"/>
  <c r="S998" i="2"/>
  <c r="P999" i="2"/>
  <c r="Q999" i="2"/>
  <c r="R999" i="2"/>
  <c r="S999" i="2"/>
  <c r="P1000" i="2"/>
  <c r="Q1000" i="2"/>
  <c r="R1000" i="2"/>
  <c r="S1000" i="2"/>
  <c r="P1002" i="2"/>
  <c r="Q1002" i="2"/>
  <c r="R1002" i="2"/>
  <c r="S1002" i="2"/>
  <c r="P1003" i="2"/>
  <c r="Q1003" i="2"/>
  <c r="R1003" i="2"/>
  <c r="S1003" i="2"/>
  <c r="P1004" i="2"/>
  <c r="Q1004" i="2"/>
  <c r="R1004" i="2"/>
  <c r="S1004" i="2"/>
  <c r="Q1006" i="2" l="1"/>
  <c r="S1006" i="2"/>
  <c r="S970" i="2"/>
  <c r="S934" i="2"/>
  <c r="S898" i="2"/>
  <c r="S862" i="2"/>
  <c r="S826" i="2"/>
  <c r="S790" i="2"/>
  <c r="S754" i="2"/>
  <c r="S718" i="2"/>
  <c r="S682" i="2"/>
  <c r="S646" i="2"/>
  <c r="S574" i="2"/>
  <c r="S538" i="2"/>
  <c r="S502" i="2"/>
  <c r="S466" i="2"/>
  <c r="S430" i="2"/>
  <c r="S394" i="2"/>
  <c r="S358" i="2"/>
  <c r="S322" i="2"/>
  <c r="S286" i="2"/>
  <c r="R970" i="2"/>
  <c r="R934" i="2"/>
  <c r="R898" i="2"/>
  <c r="R862" i="2"/>
  <c r="R826" i="2"/>
  <c r="R790" i="2"/>
  <c r="R754" i="2"/>
  <c r="R718" i="2"/>
  <c r="R682" i="2"/>
  <c r="R646" i="2"/>
  <c r="R574" i="2"/>
  <c r="R538" i="2"/>
  <c r="R502" i="2"/>
  <c r="R466" i="2"/>
  <c r="R430" i="2"/>
  <c r="R394" i="2"/>
  <c r="R358" i="2"/>
  <c r="R322" i="2"/>
  <c r="R286" i="2"/>
  <c r="Q970" i="2"/>
  <c r="Q934" i="2"/>
  <c r="Q898" i="2"/>
  <c r="Q862" i="2"/>
  <c r="Q826" i="2"/>
  <c r="Q790" i="2"/>
  <c r="Q754" i="2"/>
  <c r="Q718" i="2"/>
  <c r="Q682" i="2"/>
  <c r="Q646" i="2"/>
  <c r="Q574" i="2"/>
  <c r="Q538" i="2"/>
  <c r="Q502" i="2"/>
  <c r="Q466" i="2"/>
  <c r="Q430" i="2"/>
  <c r="Q394" i="2"/>
  <c r="Q358" i="2"/>
  <c r="Q322" i="2"/>
  <c r="Q286" i="2"/>
  <c r="P1006" i="2"/>
  <c r="P970" i="2"/>
  <c r="P934" i="2"/>
  <c r="P898" i="2"/>
  <c r="P862" i="2"/>
  <c r="P826" i="2"/>
  <c r="P790" i="2"/>
  <c r="P754" i="2"/>
  <c r="P718" i="2"/>
  <c r="P682" i="2"/>
  <c r="P646" i="2"/>
  <c r="P574" i="2"/>
  <c r="P538" i="2"/>
  <c r="P502" i="2"/>
  <c r="P466" i="2"/>
  <c r="P430" i="2"/>
  <c r="P394" i="2"/>
  <c r="P358" i="2"/>
  <c r="P322" i="2"/>
  <c r="P286" i="2"/>
  <c r="D27" i="3"/>
  <c r="D19" i="3"/>
  <c r="D11" i="3"/>
  <c r="D3" i="3"/>
  <c r="D26" i="3"/>
  <c r="D25" i="3"/>
  <c r="D24" i="3"/>
  <c r="D23" i="3"/>
  <c r="D22" i="3"/>
  <c r="D21" i="3"/>
  <c r="D20" i="3"/>
  <c r="D18" i="3"/>
  <c r="D17" i="3"/>
  <c r="D16" i="3"/>
  <c r="D15" i="3"/>
  <c r="D14" i="3"/>
  <c r="D13" i="3"/>
  <c r="D12" i="3"/>
  <c r="D10" i="3"/>
  <c r="D9" i="3"/>
  <c r="D8" i="3"/>
  <c r="D7" i="3"/>
  <c r="D6" i="3"/>
  <c r="D5" i="3"/>
  <c r="D4" i="3"/>
  <c r="D2" i="3"/>
  <c r="D28" i="3"/>
  <c r="L974" i="2" l="1"/>
  <c r="M974" i="2"/>
  <c r="N974" i="2"/>
  <c r="O974" i="2"/>
  <c r="L975" i="2"/>
  <c r="M975" i="2"/>
  <c r="N975" i="2"/>
  <c r="O975" i="2"/>
  <c r="L976" i="2"/>
  <c r="M976" i="2"/>
  <c r="N976" i="2"/>
  <c r="O976" i="2"/>
  <c r="L977" i="2"/>
  <c r="M977" i="2"/>
  <c r="N977" i="2"/>
  <c r="O977" i="2"/>
  <c r="L978" i="2"/>
  <c r="M978" i="2"/>
  <c r="N978" i="2"/>
  <c r="O978" i="2"/>
  <c r="L979" i="2"/>
  <c r="M979" i="2"/>
  <c r="N979" i="2"/>
  <c r="O979" i="2"/>
  <c r="L980" i="2"/>
  <c r="M980" i="2"/>
  <c r="N980" i="2"/>
  <c r="O980" i="2"/>
  <c r="L981" i="2"/>
  <c r="M981" i="2"/>
  <c r="N981" i="2"/>
  <c r="O981" i="2"/>
  <c r="L982" i="2"/>
  <c r="M982" i="2"/>
  <c r="N982" i="2"/>
  <c r="O982" i="2"/>
  <c r="L983" i="2"/>
  <c r="M983" i="2"/>
  <c r="N983" i="2"/>
  <c r="O983" i="2"/>
  <c r="L984" i="2"/>
  <c r="M984" i="2"/>
  <c r="N984" i="2"/>
  <c r="O984" i="2"/>
  <c r="L985" i="2"/>
  <c r="M985" i="2"/>
  <c r="N985" i="2"/>
  <c r="O985" i="2"/>
  <c r="L986" i="2"/>
  <c r="M986" i="2"/>
  <c r="N986" i="2"/>
  <c r="O986" i="2"/>
  <c r="L987" i="2"/>
  <c r="M987" i="2"/>
  <c r="N987" i="2"/>
  <c r="O987" i="2"/>
  <c r="L988" i="2"/>
  <c r="M988" i="2"/>
  <c r="N988" i="2"/>
  <c r="O988" i="2"/>
  <c r="L989" i="2"/>
  <c r="M989" i="2"/>
  <c r="N989" i="2"/>
  <c r="O989" i="2"/>
  <c r="L990" i="2"/>
  <c r="M990" i="2"/>
  <c r="N990" i="2"/>
  <c r="O990" i="2"/>
  <c r="L991" i="2"/>
  <c r="M991" i="2"/>
  <c r="N991" i="2"/>
  <c r="O991" i="2"/>
  <c r="L992" i="2"/>
  <c r="M992" i="2"/>
  <c r="N992" i="2"/>
  <c r="O992" i="2"/>
  <c r="L993" i="2"/>
  <c r="M993" i="2"/>
  <c r="N993" i="2"/>
  <c r="O993" i="2"/>
  <c r="L994" i="2"/>
  <c r="M994" i="2"/>
  <c r="N994" i="2"/>
  <c r="O994" i="2"/>
  <c r="L995" i="2"/>
  <c r="M995" i="2"/>
  <c r="N995" i="2"/>
  <c r="O995" i="2"/>
  <c r="L996" i="2"/>
  <c r="M996" i="2"/>
  <c r="N996" i="2"/>
  <c r="O996" i="2"/>
  <c r="L997" i="2"/>
  <c r="M997" i="2"/>
  <c r="N997" i="2"/>
  <c r="O997" i="2"/>
  <c r="L998" i="2"/>
  <c r="M998" i="2"/>
  <c r="N998" i="2"/>
  <c r="O998" i="2"/>
  <c r="L999" i="2"/>
  <c r="M999" i="2"/>
  <c r="N999" i="2"/>
  <c r="O999" i="2"/>
  <c r="L1000" i="2"/>
  <c r="M1000" i="2"/>
  <c r="N1000" i="2"/>
  <c r="O1000" i="2"/>
  <c r="L1002" i="2"/>
  <c r="M1002" i="2"/>
  <c r="N1002" i="2"/>
  <c r="O1002" i="2"/>
  <c r="L1003" i="2"/>
  <c r="M1003" i="2"/>
  <c r="N1003" i="2"/>
  <c r="O1003" i="2"/>
  <c r="L1004" i="2"/>
  <c r="M1004" i="2"/>
  <c r="N1004" i="2"/>
  <c r="O1004" i="2"/>
  <c r="L938" i="2"/>
  <c r="M938" i="2"/>
  <c r="N938" i="2"/>
  <c r="O938" i="2"/>
  <c r="L939" i="2"/>
  <c r="M939" i="2"/>
  <c r="N939" i="2"/>
  <c r="O939" i="2"/>
  <c r="L940" i="2"/>
  <c r="M940" i="2"/>
  <c r="N940" i="2"/>
  <c r="O940" i="2"/>
  <c r="L941" i="2"/>
  <c r="M941" i="2"/>
  <c r="N941" i="2"/>
  <c r="O941" i="2"/>
  <c r="L942" i="2"/>
  <c r="M942" i="2"/>
  <c r="N942" i="2"/>
  <c r="O942" i="2"/>
  <c r="L943" i="2"/>
  <c r="M943" i="2"/>
  <c r="N943" i="2"/>
  <c r="O943" i="2"/>
  <c r="L944" i="2"/>
  <c r="M944" i="2"/>
  <c r="N944" i="2"/>
  <c r="O944" i="2"/>
  <c r="L945" i="2"/>
  <c r="M945" i="2"/>
  <c r="N945" i="2"/>
  <c r="O945" i="2"/>
  <c r="L946" i="2"/>
  <c r="M946" i="2"/>
  <c r="N946" i="2"/>
  <c r="O946" i="2"/>
  <c r="L947" i="2"/>
  <c r="M947" i="2"/>
  <c r="N947" i="2"/>
  <c r="O947" i="2"/>
  <c r="L948" i="2"/>
  <c r="M948" i="2"/>
  <c r="N948" i="2"/>
  <c r="O948" i="2"/>
  <c r="L949" i="2"/>
  <c r="M949" i="2"/>
  <c r="N949" i="2"/>
  <c r="O949" i="2"/>
  <c r="L950" i="2"/>
  <c r="M950" i="2"/>
  <c r="N950" i="2"/>
  <c r="O950" i="2"/>
  <c r="L951" i="2"/>
  <c r="M951" i="2"/>
  <c r="N951" i="2"/>
  <c r="O951" i="2"/>
  <c r="L952" i="2"/>
  <c r="M952" i="2"/>
  <c r="N952" i="2"/>
  <c r="O952" i="2"/>
  <c r="L953" i="2"/>
  <c r="M953" i="2"/>
  <c r="N953" i="2"/>
  <c r="O953" i="2"/>
  <c r="L954" i="2"/>
  <c r="M954" i="2"/>
  <c r="N954" i="2"/>
  <c r="O954" i="2"/>
  <c r="L955" i="2"/>
  <c r="M955" i="2"/>
  <c r="N955" i="2"/>
  <c r="O955" i="2"/>
  <c r="L956" i="2"/>
  <c r="M956" i="2"/>
  <c r="N956" i="2"/>
  <c r="O956" i="2"/>
  <c r="L957" i="2"/>
  <c r="M957" i="2"/>
  <c r="N957" i="2"/>
  <c r="O957" i="2"/>
  <c r="L958" i="2"/>
  <c r="M958" i="2"/>
  <c r="N958" i="2"/>
  <c r="O958" i="2"/>
  <c r="L959" i="2"/>
  <c r="M959" i="2"/>
  <c r="N959" i="2"/>
  <c r="O959" i="2"/>
  <c r="L960" i="2"/>
  <c r="M960" i="2"/>
  <c r="N960" i="2"/>
  <c r="O960" i="2"/>
  <c r="L961" i="2"/>
  <c r="M961" i="2"/>
  <c r="N961" i="2"/>
  <c r="O961" i="2"/>
  <c r="L962" i="2"/>
  <c r="M962" i="2"/>
  <c r="N962" i="2"/>
  <c r="O962" i="2"/>
  <c r="L963" i="2"/>
  <c r="M963" i="2"/>
  <c r="N963" i="2"/>
  <c r="O963" i="2"/>
  <c r="L964" i="2"/>
  <c r="M964" i="2"/>
  <c r="N964" i="2"/>
  <c r="O964" i="2"/>
  <c r="L966" i="2"/>
  <c r="M966" i="2"/>
  <c r="N966" i="2"/>
  <c r="O966" i="2"/>
  <c r="L967" i="2"/>
  <c r="M967" i="2"/>
  <c r="N967" i="2"/>
  <c r="O967" i="2"/>
  <c r="L968" i="2"/>
  <c r="M968" i="2"/>
  <c r="N968" i="2"/>
  <c r="O968" i="2"/>
  <c r="L902" i="2"/>
  <c r="M902" i="2"/>
  <c r="N902" i="2"/>
  <c r="O902" i="2"/>
  <c r="L903" i="2"/>
  <c r="M903" i="2"/>
  <c r="N903" i="2"/>
  <c r="O903" i="2"/>
  <c r="L904" i="2"/>
  <c r="M904" i="2"/>
  <c r="N904" i="2"/>
  <c r="O904" i="2"/>
  <c r="L905" i="2"/>
  <c r="M905" i="2"/>
  <c r="N905" i="2"/>
  <c r="O905" i="2"/>
  <c r="L906" i="2"/>
  <c r="M906" i="2"/>
  <c r="N906" i="2"/>
  <c r="O906" i="2"/>
  <c r="L907" i="2"/>
  <c r="M907" i="2"/>
  <c r="N907" i="2"/>
  <c r="O907" i="2"/>
  <c r="L908" i="2"/>
  <c r="M908" i="2"/>
  <c r="N908" i="2"/>
  <c r="O908" i="2"/>
  <c r="L909" i="2"/>
  <c r="M909" i="2"/>
  <c r="N909" i="2"/>
  <c r="O909" i="2"/>
  <c r="L910" i="2"/>
  <c r="M910" i="2"/>
  <c r="N910" i="2"/>
  <c r="O910" i="2"/>
  <c r="L911" i="2"/>
  <c r="M911" i="2"/>
  <c r="N911" i="2"/>
  <c r="O911" i="2"/>
  <c r="L912" i="2"/>
  <c r="M912" i="2"/>
  <c r="N912" i="2"/>
  <c r="O912" i="2"/>
  <c r="L913" i="2"/>
  <c r="M913" i="2"/>
  <c r="N913" i="2"/>
  <c r="O913" i="2"/>
  <c r="L914" i="2"/>
  <c r="M914" i="2"/>
  <c r="N914" i="2"/>
  <c r="O914" i="2"/>
  <c r="L915" i="2"/>
  <c r="M915" i="2"/>
  <c r="N915" i="2"/>
  <c r="O915" i="2"/>
  <c r="L916" i="2"/>
  <c r="M916" i="2"/>
  <c r="N916" i="2"/>
  <c r="O916" i="2"/>
  <c r="L917" i="2"/>
  <c r="M917" i="2"/>
  <c r="N917" i="2"/>
  <c r="O917" i="2"/>
  <c r="L918" i="2"/>
  <c r="M918" i="2"/>
  <c r="N918" i="2"/>
  <c r="O918" i="2"/>
  <c r="L919" i="2"/>
  <c r="M919" i="2"/>
  <c r="N919" i="2"/>
  <c r="O919" i="2"/>
  <c r="L920" i="2"/>
  <c r="M920" i="2"/>
  <c r="N920" i="2"/>
  <c r="O920" i="2"/>
  <c r="L921" i="2"/>
  <c r="M921" i="2"/>
  <c r="N921" i="2"/>
  <c r="O921" i="2"/>
  <c r="L922" i="2"/>
  <c r="M922" i="2"/>
  <c r="N922" i="2"/>
  <c r="O922" i="2"/>
  <c r="L923" i="2"/>
  <c r="M923" i="2"/>
  <c r="N923" i="2"/>
  <c r="O923" i="2"/>
  <c r="L924" i="2"/>
  <c r="M924" i="2"/>
  <c r="N924" i="2"/>
  <c r="O924" i="2"/>
  <c r="L925" i="2"/>
  <c r="M925" i="2"/>
  <c r="N925" i="2"/>
  <c r="O925" i="2"/>
  <c r="L926" i="2"/>
  <c r="M926" i="2"/>
  <c r="N926" i="2"/>
  <c r="O926" i="2"/>
  <c r="L927" i="2"/>
  <c r="M927" i="2"/>
  <c r="N927" i="2"/>
  <c r="O927" i="2"/>
  <c r="L928" i="2"/>
  <c r="M928" i="2"/>
  <c r="N928" i="2"/>
  <c r="O928" i="2"/>
  <c r="L930" i="2"/>
  <c r="M930" i="2"/>
  <c r="N930" i="2"/>
  <c r="O930" i="2"/>
  <c r="L931" i="2"/>
  <c r="M931" i="2"/>
  <c r="N931" i="2"/>
  <c r="O931" i="2"/>
  <c r="L932" i="2"/>
  <c r="M932" i="2"/>
  <c r="N932" i="2"/>
  <c r="O932" i="2"/>
  <c r="L866" i="2"/>
  <c r="M866" i="2"/>
  <c r="N866" i="2"/>
  <c r="O866" i="2"/>
  <c r="L867" i="2"/>
  <c r="M867" i="2"/>
  <c r="N867" i="2"/>
  <c r="O867" i="2"/>
  <c r="L868" i="2"/>
  <c r="M868" i="2"/>
  <c r="N868" i="2"/>
  <c r="O868" i="2"/>
  <c r="L869" i="2"/>
  <c r="M869" i="2"/>
  <c r="N869" i="2"/>
  <c r="O869" i="2"/>
  <c r="L870" i="2"/>
  <c r="M870" i="2"/>
  <c r="N870" i="2"/>
  <c r="O870" i="2"/>
  <c r="L871" i="2"/>
  <c r="M871" i="2"/>
  <c r="N871" i="2"/>
  <c r="O871" i="2"/>
  <c r="L872" i="2"/>
  <c r="M872" i="2"/>
  <c r="N872" i="2"/>
  <c r="O872" i="2"/>
  <c r="L873" i="2"/>
  <c r="M873" i="2"/>
  <c r="N873" i="2"/>
  <c r="O873" i="2"/>
  <c r="L874" i="2"/>
  <c r="M874" i="2"/>
  <c r="N874" i="2"/>
  <c r="O874" i="2"/>
  <c r="L875" i="2"/>
  <c r="M875" i="2"/>
  <c r="N875" i="2"/>
  <c r="O875" i="2"/>
  <c r="L876" i="2"/>
  <c r="M876" i="2"/>
  <c r="N876" i="2"/>
  <c r="O876" i="2"/>
  <c r="L877" i="2"/>
  <c r="M877" i="2"/>
  <c r="N877" i="2"/>
  <c r="O877" i="2"/>
  <c r="L878" i="2"/>
  <c r="M878" i="2"/>
  <c r="N878" i="2"/>
  <c r="O878" i="2"/>
  <c r="L879" i="2"/>
  <c r="M879" i="2"/>
  <c r="N879" i="2"/>
  <c r="O879" i="2"/>
  <c r="L880" i="2"/>
  <c r="M880" i="2"/>
  <c r="N880" i="2"/>
  <c r="O880" i="2"/>
  <c r="L881" i="2"/>
  <c r="M881" i="2"/>
  <c r="N881" i="2"/>
  <c r="O881" i="2"/>
  <c r="L882" i="2"/>
  <c r="M882" i="2"/>
  <c r="N882" i="2"/>
  <c r="O882" i="2"/>
  <c r="L883" i="2"/>
  <c r="M883" i="2"/>
  <c r="N883" i="2"/>
  <c r="O883" i="2"/>
  <c r="L884" i="2"/>
  <c r="M884" i="2"/>
  <c r="N884" i="2"/>
  <c r="O884" i="2"/>
  <c r="L885" i="2"/>
  <c r="M885" i="2"/>
  <c r="N885" i="2"/>
  <c r="O885" i="2"/>
  <c r="L886" i="2"/>
  <c r="M886" i="2"/>
  <c r="N886" i="2"/>
  <c r="O886" i="2"/>
  <c r="L887" i="2"/>
  <c r="M887" i="2"/>
  <c r="N887" i="2"/>
  <c r="O887" i="2"/>
  <c r="L888" i="2"/>
  <c r="M888" i="2"/>
  <c r="N888" i="2"/>
  <c r="O888" i="2"/>
  <c r="L889" i="2"/>
  <c r="M889" i="2"/>
  <c r="N889" i="2"/>
  <c r="O889" i="2"/>
  <c r="L890" i="2"/>
  <c r="M890" i="2"/>
  <c r="N890" i="2"/>
  <c r="O890" i="2"/>
  <c r="L891" i="2"/>
  <c r="M891" i="2"/>
  <c r="N891" i="2"/>
  <c r="O891" i="2"/>
  <c r="L892" i="2"/>
  <c r="M892" i="2"/>
  <c r="N892" i="2"/>
  <c r="O892" i="2"/>
  <c r="L894" i="2"/>
  <c r="M894" i="2"/>
  <c r="N894" i="2"/>
  <c r="O894" i="2"/>
  <c r="L895" i="2"/>
  <c r="M895" i="2"/>
  <c r="N895" i="2"/>
  <c r="O895" i="2"/>
  <c r="L896" i="2"/>
  <c r="M896" i="2"/>
  <c r="N896" i="2"/>
  <c r="O896" i="2"/>
  <c r="L830" i="2"/>
  <c r="M830" i="2"/>
  <c r="N830" i="2"/>
  <c r="O830" i="2"/>
  <c r="L831" i="2"/>
  <c r="M831" i="2"/>
  <c r="N831" i="2"/>
  <c r="O831" i="2"/>
  <c r="L832" i="2"/>
  <c r="M832" i="2"/>
  <c r="N832" i="2"/>
  <c r="O832" i="2"/>
  <c r="L833" i="2"/>
  <c r="M833" i="2"/>
  <c r="N833" i="2"/>
  <c r="O833" i="2"/>
  <c r="L834" i="2"/>
  <c r="M834" i="2"/>
  <c r="N834" i="2"/>
  <c r="O834" i="2"/>
  <c r="L835" i="2"/>
  <c r="M835" i="2"/>
  <c r="N835" i="2"/>
  <c r="O835" i="2"/>
  <c r="L836" i="2"/>
  <c r="M836" i="2"/>
  <c r="N836" i="2"/>
  <c r="O836" i="2"/>
  <c r="L837" i="2"/>
  <c r="M837" i="2"/>
  <c r="N837" i="2"/>
  <c r="O837" i="2"/>
  <c r="L838" i="2"/>
  <c r="M838" i="2"/>
  <c r="N838" i="2"/>
  <c r="O838" i="2"/>
  <c r="L839" i="2"/>
  <c r="M839" i="2"/>
  <c r="N839" i="2"/>
  <c r="O839" i="2"/>
  <c r="L840" i="2"/>
  <c r="M840" i="2"/>
  <c r="N840" i="2"/>
  <c r="O840" i="2"/>
  <c r="L841" i="2"/>
  <c r="M841" i="2"/>
  <c r="N841" i="2"/>
  <c r="O841" i="2"/>
  <c r="L842" i="2"/>
  <c r="M842" i="2"/>
  <c r="N842" i="2"/>
  <c r="O842" i="2"/>
  <c r="L843" i="2"/>
  <c r="M843" i="2"/>
  <c r="N843" i="2"/>
  <c r="O843" i="2"/>
  <c r="L844" i="2"/>
  <c r="M844" i="2"/>
  <c r="N844" i="2"/>
  <c r="O844" i="2"/>
  <c r="L845" i="2"/>
  <c r="M845" i="2"/>
  <c r="N845" i="2"/>
  <c r="O845" i="2"/>
  <c r="L846" i="2"/>
  <c r="M846" i="2"/>
  <c r="N846" i="2"/>
  <c r="O846" i="2"/>
  <c r="L847" i="2"/>
  <c r="M847" i="2"/>
  <c r="N847" i="2"/>
  <c r="O847" i="2"/>
  <c r="L848" i="2"/>
  <c r="M848" i="2"/>
  <c r="N848" i="2"/>
  <c r="O848" i="2"/>
  <c r="L849" i="2"/>
  <c r="M849" i="2"/>
  <c r="N849" i="2"/>
  <c r="O849" i="2"/>
  <c r="L850" i="2"/>
  <c r="M850" i="2"/>
  <c r="N850" i="2"/>
  <c r="O850" i="2"/>
  <c r="L851" i="2"/>
  <c r="M851" i="2"/>
  <c r="N851" i="2"/>
  <c r="O851" i="2"/>
  <c r="L852" i="2"/>
  <c r="M852" i="2"/>
  <c r="N852" i="2"/>
  <c r="O852" i="2"/>
  <c r="L853" i="2"/>
  <c r="M853" i="2"/>
  <c r="N853" i="2"/>
  <c r="O853" i="2"/>
  <c r="L854" i="2"/>
  <c r="M854" i="2"/>
  <c r="N854" i="2"/>
  <c r="O854" i="2"/>
  <c r="L855" i="2"/>
  <c r="M855" i="2"/>
  <c r="N855" i="2"/>
  <c r="O855" i="2"/>
  <c r="L856" i="2"/>
  <c r="M856" i="2"/>
  <c r="N856" i="2"/>
  <c r="O856" i="2"/>
  <c r="L858" i="2"/>
  <c r="M858" i="2"/>
  <c r="N858" i="2"/>
  <c r="O858" i="2"/>
  <c r="L859" i="2"/>
  <c r="M859" i="2"/>
  <c r="N859" i="2"/>
  <c r="O859" i="2"/>
  <c r="L860" i="2"/>
  <c r="M860" i="2"/>
  <c r="N860" i="2"/>
  <c r="O860" i="2"/>
  <c r="L794" i="2"/>
  <c r="M794" i="2"/>
  <c r="N794" i="2"/>
  <c r="O794" i="2"/>
  <c r="L795" i="2"/>
  <c r="M795" i="2"/>
  <c r="N795" i="2"/>
  <c r="O795" i="2"/>
  <c r="L796" i="2"/>
  <c r="M796" i="2"/>
  <c r="N796" i="2"/>
  <c r="O796" i="2"/>
  <c r="L797" i="2"/>
  <c r="M797" i="2"/>
  <c r="N797" i="2"/>
  <c r="O797" i="2"/>
  <c r="L798" i="2"/>
  <c r="M798" i="2"/>
  <c r="N798" i="2"/>
  <c r="O798" i="2"/>
  <c r="L799" i="2"/>
  <c r="M799" i="2"/>
  <c r="N799" i="2"/>
  <c r="O799" i="2"/>
  <c r="L800" i="2"/>
  <c r="M800" i="2"/>
  <c r="N800" i="2"/>
  <c r="O800" i="2"/>
  <c r="L801" i="2"/>
  <c r="M801" i="2"/>
  <c r="N801" i="2"/>
  <c r="O801" i="2"/>
  <c r="L802" i="2"/>
  <c r="M802" i="2"/>
  <c r="N802" i="2"/>
  <c r="O802" i="2"/>
  <c r="L803" i="2"/>
  <c r="M803" i="2"/>
  <c r="N803" i="2"/>
  <c r="O803" i="2"/>
  <c r="L804" i="2"/>
  <c r="M804" i="2"/>
  <c r="N804" i="2"/>
  <c r="O804" i="2"/>
  <c r="L805" i="2"/>
  <c r="M805" i="2"/>
  <c r="N805" i="2"/>
  <c r="O805" i="2"/>
  <c r="L806" i="2"/>
  <c r="M806" i="2"/>
  <c r="N806" i="2"/>
  <c r="O806" i="2"/>
  <c r="L807" i="2"/>
  <c r="M807" i="2"/>
  <c r="N807" i="2"/>
  <c r="O807" i="2"/>
  <c r="L808" i="2"/>
  <c r="M808" i="2"/>
  <c r="N808" i="2"/>
  <c r="O808" i="2"/>
  <c r="L809" i="2"/>
  <c r="M809" i="2"/>
  <c r="N809" i="2"/>
  <c r="O809" i="2"/>
  <c r="L810" i="2"/>
  <c r="M810" i="2"/>
  <c r="N810" i="2"/>
  <c r="O810" i="2"/>
  <c r="L811" i="2"/>
  <c r="M811" i="2"/>
  <c r="N811" i="2"/>
  <c r="O811" i="2"/>
  <c r="L812" i="2"/>
  <c r="M812" i="2"/>
  <c r="N812" i="2"/>
  <c r="O812" i="2"/>
  <c r="L813" i="2"/>
  <c r="M813" i="2"/>
  <c r="N813" i="2"/>
  <c r="O813" i="2"/>
  <c r="L814" i="2"/>
  <c r="M814" i="2"/>
  <c r="N814" i="2"/>
  <c r="O814" i="2"/>
  <c r="L815" i="2"/>
  <c r="M815" i="2"/>
  <c r="N815" i="2"/>
  <c r="O815" i="2"/>
  <c r="L816" i="2"/>
  <c r="M816" i="2"/>
  <c r="N816" i="2"/>
  <c r="O816" i="2"/>
  <c r="L817" i="2"/>
  <c r="M817" i="2"/>
  <c r="N817" i="2"/>
  <c r="O817" i="2"/>
  <c r="L818" i="2"/>
  <c r="M818" i="2"/>
  <c r="N818" i="2"/>
  <c r="O818" i="2"/>
  <c r="L819" i="2"/>
  <c r="M819" i="2"/>
  <c r="N819" i="2"/>
  <c r="O819" i="2"/>
  <c r="L820" i="2"/>
  <c r="M820" i="2"/>
  <c r="N820" i="2"/>
  <c r="O820" i="2"/>
  <c r="L822" i="2"/>
  <c r="M822" i="2"/>
  <c r="N822" i="2"/>
  <c r="O822" i="2"/>
  <c r="L823" i="2"/>
  <c r="M823" i="2"/>
  <c r="N823" i="2"/>
  <c r="O823" i="2"/>
  <c r="L824" i="2"/>
  <c r="M824" i="2"/>
  <c r="N824" i="2"/>
  <c r="O824" i="2"/>
  <c r="L758" i="2"/>
  <c r="M758" i="2"/>
  <c r="N758" i="2"/>
  <c r="O758" i="2"/>
  <c r="L759" i="2"/>
  <c r="M759" i="2"/>
  <c r="N759" i="2"/>
  <c r="O759" i="2"/>
  <c r="L760" i="2"/>
  <c r="M760" i="2"/>
  <c r="N760" i="2"/>
  <c r="O760" i="2"/>
  <c r="L761" i="2"/>
  <c r="M761" i="2"/>
  <c r="N761" i="2"/>
  <c r="O761" i="2"/>
  <c r="L762" i="2"/>
  <c r="M762" i="2"/>
  <c r="N762" i="2"/>
  <c r="O762" i="2"/>
  <c r="L763" i="2"/>
  <c r="M763" i="2"/>
  <c r="N763" i="2"/>
  <c r="O763" i="2"/>
  <c r="L764" i="2"/>
  <c r="M764" i="2"/>
  <c r="N764" i="2"/>
  <c r="O764" i="2"/>
  <c r="L765" i="2"/>
  <c r="M765" i="2"/>
  <c r="N765" i="2"/>
  <c r="O765" i="2"/>
  <c r="L766" i="2"/>
  <c r="M766" i="2"/>
  <c r="N766" i="2"/>
  <c r="O766" i="2"/>
  <c r="L767" i="2"/>
  <c r="M767" i="2"/>
  <c r="N767" i="2"/>
  <c r="O767" i="2"/>
  <c r="L768" i="2"/>
  <c r="M768" i="2"/>
  <c r="N768" i="2"/>
  <c r="O768" i="2"/>
  <c r="L769" i="2"/>
  <c r="M769" i="2"/>
  <c r="N769" i="2"/>
  <c r="O769" i="2"/>
  <c r="L770" i="2"/>
  <c r="M770" i="2"/>
  <c r="N770" i="2"/>
  <c r="O770" i="2"/>
  <c r="L771" i="2"/>
  <c r="M771" i="2"/>
  <c r="N771" i="2"/>
  <c r="O771" i="2"/>
  <c r="L772" i="2"/>
  <c r="M772" i="2"/>
  <c r="N772" i="2"/>
  <c r="O772" i="2"/>
  <c r="L773" i="2"/>
  <c r="M773" i="2"/>
  <c r="N773" i="2"/>
  <c r="O773" i="2"/>
  <c r="L774" i="2"/>
  <c r="M774" i="2"/>
  <c r="N774" i="2"/>
  <c r="O774" i="2"/>
  <c r="L775" i="2"/>
  <c r="M775" i="2"/>
  <c r="N775" i="2"/>
  <c r="O775" i="2"/>
  <c r="L776" i="2"/>
  <c r="M776" i="2"/>
  <c r="N776" i="2"/>
  <c r="O776" i="2"/>
  <c r="L777" i="2"/>
  <c r="M777" i="2"/>
  <c r="N777" i="2"/>
  <c r="O777" i="2"/>
  <c r="L778" i="2"/>
  <c r="M778" i="2"/>
  <c r="N778" i="2"/>
  <c r="O778" i="2"/>
  <c r="L779" i="2"/>
  <c r="M779" i="2"/>
  <c r="N779" i="2"/>
  <c r="O779" i="2"/>
  <c r="L780" i="2"/>
  <c r="M780" i="2"/>
  <c r="N780" i="2"/>
  <c r="O780" i="2"/>
  <c r="L781" i="2"/>
  <c r="M781" i="2"/>
  <c r="N781" i="2"/>
  <c r="O781" i="2"/>
  <c r="L782" i="2"/>
  <c r="M782" i="2"/>
  <c r="N782" i="2"/>
  <c r="O782" i="2"/>
  <c r="L783" i="2"/>
  <c r="M783" i="2"/>
  <c r="N783" i="2"/>
  <c r="O783" i="2"/>
  <c r="L784" i="2"/>
  <c r="M784" i="2"/>
  <c r="N784" i="2"/>
  <c r="O784" i="2"/>
  <c r="L786" i="2"/>
  <c r="M786" i="2"/>
  <c r="N786" i="2"/>
  <c r="O786" i="2"/>
  <c r="L787" i="2"/>
  <c r="M787" i="2"/>
  <c r="N787" i="2"/>
  <c r="O787" i="2"/>
  <c r="L788" i="2"/>
  <c r="M788" i="2"/>
  <c r="N788" i="2"/>
  <c r="O788" i="2"/>
  <c r="L722" i="2"/>
  <c r="M722" i="2"/>
  <c r="N722" i="2"/>
  <c r="O722" i="2"/>
  <c r="L723" i="2"/>
  <c r="M723" i="2"/>
  <c r="N723" i="2"/>
  <c r="O723" i="2"/>
  <c r="L724" i="2"/>
  <c r="M724" i="2"/>
  <c r="N724" i="2"/>
  <c r="O724" i="2"/>
  <c r="L725" i="2"/>
  <c r="M725" i="2"/>
  <c r="N725" i="2"/>
  <c r="O725" i="2"/>
  <c r="L726" i="2"/>
  <c r="M726" i="2"/>
  <c r="N726" i="2"/>
  <c r="O726" i="2"/>
  <c r="L727" i="2"/>
  <c r="M727" i="2"/>
  <c r="N727" i="2"/>
  <c r="O727" i="2"/>
  <c r="L728" i="2"/>
  <c r="M728" i="2"/>
  <c r="N728" i="2"/>
  <c r="O728" i="2"/>
  <c r="L729" i="2"/>
  <c r="M729" i="2"/>
  <c r="N729" i="2"/>
  <c r="O729" i="2"/>
  <c r="L730" i="2"/>
  <c r="M730" i="2"/>
  <c r="N730" i="2"/>
  <c r="O730" i="2"/>
  <c r="L731" i="2"/>
  <c r="M731" i="2"/>
  <c r="N731" i="2"/>
  <c r="O731" i="2"/>
  <c r="L732" i="2"/>
  <c r="M732" i="2"/>
  <c r="N732" i="2"/>
  <c r="O732" i="2"/>
  <c r="L733" i="2"/>
  <c r="M733" i="2"/>
  <c r="N733" i="2"/>
  <c r="O733" i="2"/>
  <c r="L734" i="2"/>
  <c r="M734" i="2"/>
  <c r="N734" i="2"/>
  <c r="O734" i="2"/>
  <c r="L735" i="2"/>
  <c r="M735" i="2"/>
  <c r="N735" i="2"/>
  <c r="O735" i="2"/>
  <c r="L736" i="2"/>
  <c r="M736" i="2"/>
  <c r="N736" i="2"/>
  <c r="O736" i="2"/>
  <c r="L737" i="2"/>
  <c r="M737" i="2"/>
  <c r="N737" i="2"/>
  <c r="O737" i="2"/>
  <c r="L738" i="2"/>
  <c r="M738" i="2"/>
  <c r="N738" i="2"/>
  <c r="O738" i="2"/>
  <c r="L739" i="2"/>
  <c r="M739" i="2"/>
  <c r="N739" i="2"/>
  <c r="O739" i="2"/>
  <c r="L740" i="2"/>
  <c r="M740" i="2"/>
  <c r="N740" i="2"/>
  <c r="O740" i="2"/>
  <c r="L741" i="2"/>
  <c r="M741" i="2"/>
  <c r="N741" i="2"/>
  <c r="O741" i="2"/>
  <c r="L742" i="2"/>
  <c r="M742" i="2"/>
  <c r="N742" i="2"/>
  <c r="O742" i="2"/>
  <c r="L743" i="2"/>
  <c r="M743" i="2"/>
  <c r="N743" i="2"/>
  <c r="O743" i="2"/>
  <c r="L744" i="2"/>
  <c r="M744" i="2"/>
  <c r="N744" i="2"/>
  <c r="O744" i="2"/>
  <c r="L745" i="2"/>
  <c r="M745" i="2"/>
  <c r="N745" i="2"/>
  <c r="O745" i="2"/>
  <c r="L746" i="2"/>
  <c r="M746" i="2"/>
  <c r="N746" i="2"/>
  <c r="O746" i="2"/>
  <c r="L747" i="2"/>
  <c r="M747" i="2"/>
  <c r="N747" i="2"/>
  <c r="O747" i="2"/>
  <c r="L748" i="2"/>
  <c r="M748" i="2"/>
  <c r="N748" i="2"/>
  <c r="O748" i="2"/>
  <c r="L750" i="2"/>
  <c r="M750" i="2"/>
  <c r="N750" i="2"/>
  <c r="O750" i="2"/>
  <c r="L751" i="2"/>
  <c r="M751" i="2"/>
  <c r="N751" i="2"/>
  <c r="O751" i="2"/>
  <c r="L752" i="2"/>
  <c r="M752" i="2"/>
  <c r="N752" i="2"/>
  <c r="O752" i="2"/>
  <c r="L686" i="2"/>
  <c r="M686" i="2"/>
  <c r="N686" i="2"/>
  <c r="O686" i="2"/>
  <c r="L687" i="2"/>
  <c r="M687" i="2"/>
  <c r="N687" i="2"/>
  <c r="O687" i="2"/>
  <c r="L688" i="2"/>
  <c r="M688" i="2"/>
  <c r="N688" i="2"/>
  <c r="O688" i="2"/>
  <c r="L689" i="2"/>
  <c r="M689" i="2"/>
  <c r="N689" i="2"/>
  <c r="O689" i="2"/>
  <c r="L690" i="2"/>
  <c r="M690" i="2"/>
  <c r="N690" i="2"/>
  <c r="O690" i="2"/>
  <c r="L691" i="2"/>
  <c r="M691" i="2"/>
  <c r="N691" i="2"/>
  <c r="O691" i="2"/>
  <c r="L692" i="2"/>
  <c r="M692" i="2"/>
  <c r="N692" i="2"/>
  <c r="O692" i="2"/>
  <c r="L693" i="2"/>
  <c r="M693" i="2"/>
  <c r="N693" i="2"/>
  <c r="O693" i="2"/>
  <c r="L694" i="2"/>
  <c r="M694" i="2"/>
  <c r="N694" i="2"/>
  <c r="O694" i="2"/>
  <c r="L695" i="2"/>
  <c r="M695" i="2"/>
  <c r="N695" i="2"/>
  <c r="O695" i="2"/>
  <c r="L696" i="2"/>
  <c r="M696" i="2"/>
  <c r="N696" i="2"/>
  <c r="O696" i="2"/>
  <c r="L697" i="2"/>
  <c r="M697" i="2"/>
  <c r="N697" i="2"/>
  <c r="O697" i="2"/>
  <c r="L698" i="2"/>
  <c r="M698" i="2"/>
  <c r="N698" i="2"/>
  <c r="O698" i="2"/>
  <c r="L699" i="2"/>
  <c r="M699" i="2"/>
  <c r="N699" i="2"/>
  <c r="O699" i="2"/>
  <c r="L700" i="2"/>
  <c r="M700" i="2"/>
  <c r="N700" i="2"/>
  <c r="O700" i="2"/>
  <c r="L701" i="2"/>
  <c r="M701" i="2"/>
  <c r="N701" i="2"/>
  <c r="O701" i="2"/>
  <c r="L702" i="2"/>
  <c r="M702" i="2"/>
  <c r="N702" i="2"/>
  <c r="O702" i="2"/>
  <c r="L703" i="2"/>
  <c r="M703" i="2"/>
  <c r="N703" i="2"/>
  <c r="O703" i="2"/>
  <c r="L704" i="2"/>
  <c r="M704" i="2"/>
  <c r="N704" i="2"/>
  <c r="O704" i="2"/>
  <c r="L705" i="2"/>
  <c r="M705" i="2"/>
  <c r="N705" i="2"/>
  <c r="O705" i="2"/>
  <c r="L706" i="2"/>
  <c r="M706" i="2"/>
  <c r="N706" i="2"/>
  <c r="O706" i="2"/>
  <c r="L707" i="2"/>
  <c r="M707" i="2"/>
  <c r="N707" i="2"/>
  <c r="O707" i="2"/>
  <c r="L708" i="2"/>
  <c r="M708" i="2"/>
  <c r="N708" i="2"/>
  <c r="O708" i="2"/>
  <c r="L709" i="2"/>
  <c r="M709" i="2"/>
  <c r="N709" i="2"/>
  <c r="O709" i="2"/>
  <c r="L710" i="2"/>
  <c r="M710" i="2"/>
  <c r="N710" i="2"/>
  <c r="O710" i="2"/>
  <c r="L711" i="2"/>
  <c r="M711" i="2"/>
  <c r="N711" i="2"/>
  <c r="O711" i="2"/>
  <c r="L712" i="2"/>
  <c r="M712" i="2"/>
  <c r="N712" i="2"/>
  <c r="O712" i="2"/>
  <c r="L714" i="2"/>
  <c r="M714" i="2"/>
  <c r="N714" i="2"/>
  <c r="O714" i="2"/>
  <c r="L715" i="2"/>
  <c r="M715" i="2"/>
  <c r="N715" i="2"/>
  <c r="O715" i="2"/>
  <c r="L716" i="2"/>
  <c r="M716" i="2"/>
  <c r="N716" i="2"/>
  <c r="O716" i="2"/>
  <c r="L650" i="2"/>
  <c r="M650" i="2"/>
  <c r="N650" i="2"/>
  <c r="O650" i="2"/>
  <c r="L651" i="2"/>
  <c r="M651" i="2"/>
  <c r="N651" i="2"/>
  <c r="O651" i="2"/>
  <c r="L652" i="2"/>
  <c r="M652" i="2"/>
  <c r="N652" i="2"/>
  <c r="O652" i="2"/>
  <c r="L653" i="2"/>
  <c r="M653" i="2"/>
  <c r="N653" i="2"/>
  <c r="O653" i="2"/>
  <c r="L654" i="2"/>
  <c r="M654" i="2"/>
  <c r="N654" i="2"/>
  <c r="O654" i="2"/>
  <c r="L655" i="2"/>
  <c r="M655" i="2"/>
  <c r="N655" i="2"/>
  <c r="O655" i="2"/>
  <c r="L656" i="2"/>
  <c r="M656" i="2"/>
  <c r="N656" i="2"/>
  <c r="O656" i="2"/>
  <c r="L657" i="2"/>
  <c r="M657" i="2"/>
  <c r="N657" i="2"/>
  <c r="O657" i="2"/>
  <c r="L658" i="2"/>
  <c r="M658" i="2"/>
  <c r="N658" i="2"/>
  <c r="O658" i="2"/>
  <c r="L659" i="2"/>
  <c r="M659" i="2"/>
  <c r="N659" i="2"/>
  <c r="O659" i="2"/>
  <c r="L660" i="2"/>
  <c r="M660" i="2"/>
  <c r="N660" i="2"/>
  <c r="O660" i="2"/>
  <c r="L661" i="2"/>
  <c r="M661" i="2"/>
  <c r="N661" i="2"/>
  <c r="O661" i="2"/>
  <c r="L662" i="2"/>
  <c r="M662" i="2"/>
  <c r="N662" i="2"/>
  <c r="O662" i="2"/>
  <c r="L663" i="2"/>
  <c r="M663" i="2"/>
  <c r="N663" i="2"/>
  <c r="O663" i="2"/>
  <c r="L664" i="2"/>
  <c r="M664" i="2"/>
  <c r="N664" i="2"/>
  <c r="O664" i="2"/>
  <c r="L665" i="2"/>
  <c r="M665" i="2"/>
  <c r="N665" i="2"/>
  <c r="O665" i="2"/>
  <c r="L666" i="2"/>
  <c r="M666" i="2"/>
  <c r="N666" i="2"/>
  <c r="O666" i="2"/>
  <c r="L667" i="2"/>
  <c r="M667" i="2"/>
  <c r="N667" i="2"/>
  <c r="O667" i="2"/>
  <c r="L668" i="2"/>
  <c r="M668" i="2"/>
  <c r="N668" i="2"/>
  <c r="O668" i="2"/>
  <c r="L669" i="2"/>
  <c r="M669" i="2"/>
  <c r="N669" i="2"/>
  <c r="O669" i="2"/>
  <c r="L670" i="2"/>
  <c r="M670" i="2"/>
  <c r="N670" i="2"/>
  <c r="O670" i="2"/>
  <c r="L671" i="2"/>
  <c r="M671" i="2"/>
  <c r="N671" i="2"/>
  <c r="O671" i="2"/>
  <c r="L672" i="2"/>
  <c r="M672" i="2"/>
  <c r="N672" i="2"/>
  <c r="O672" i="2"/>
  <c r="L673" i="2"/>
  <c r="M673" i="2"/>
  <c r="N673" i="2"/>
  <c r="O673" i="2"/>
  <c r="L674" i="2"/>
  <c r="M674" i="2"/>
  <c r="N674" i="2"/>
  <c r="O674" i="2"/>
  <c r="L675" i="2"/>
  <c r="M675" i="2"/>
  <c r="N675" i="2"/>
  <c r="O675" i="2"/>
  <c r="L676" i="2"/>
  <c r="M676" i="2"/>
  <c r="N676" i="2"/>
  <c r="O676" i="2"/>
  <c r="L678" i="2"/>
  <c r="M678" i="2"/>
  <c r="N678" i="2"/>
  <c r="O678" i="2"/>
  <c r="L679" i="2"/>
  <c r="M679" i="2"/>
  <c r="N679" i="2"/>
  <c r="O679" i="2"/>
  <c r="L680" i="2"/>
  <c r="M680" i="2"/>
  <c r="N680" i="2"/>
  <c r="O680" i="2"/>
  <c r="L614" i="2"/>
  <c r="M614" i="2"/>
  <c r="N614" i="2"/>
  <c r="O614" i="2"/>
  <c r="L615" i="2"/>
  <c r="M615" i="2"/>
  <c r="N615" i="2"/>
  <c r="O615" i="2"/>
  <c r="L616" i="2"/>
  <c r="M616" i="2"/>
  <c r="N616" i="2"/>
  <c r="O616" i="2"/>
  <c r="L617" i="2"/>
  <c r="M617" i="2"/>
  <c r="N617" i="2"/>
  <c r="O617" i="2"/>
  <c r="L618" i="2"/>
  <c r="M618" i="2"/>
  <c r="N618" i="2"/>
  <c r="O618" i="2"/>
  <c r="L619" i="2"/>
  <c r="M619" i="2"/>
  <c r="N619" i="2"/>
  <c r="O619" i="2"/>
  <c r="L620" i="2"/>
  <c r="M620" i="2"/>
  <c r="N620" i="2"/>
  <c r="O620" i="2"/>
  <c r="L621" i="2"/>
  <c r="M621" i="2"/>
  <c r="N621" i="2"/>
  <c r="O621" i="2"/>
  <c r="L622" i="2"/>
  <c r="M622" i="2"/>
  <c r="N622" i="2"/>
  <c r="O622" i="2"/>
  <c r="L623" i="2"/>
  <c r="M623" i="2"/>
  <c r="N623" i="2"/>
  <c r="O623" i="2"/>
  <c r="L624" i="2"/>
  <c r="M624" i="2"/>
  <c r="N624" i="2"/>
  <c r="O624" i="2"/>
  <c r="L625" i="2"/>
  <c r="M625" i="2"/>
  <c r="N625" i="2"/>
  <c r="O625" i="2"/>
  <c r="L626" i="2"/>
  <c r="M626" i="2"/>
  <c r="N626" i="2"/>
  <c r="O626" i="2"/>
  <c r="L627" i="2"/>
  <c r="M627" i="2"/>
  <c r="N627" i="2"/>
  <c r="O627" i="2"/>
  <c r="L628" i="2"/>
  <c r="M628" i="2"/>
  <c r="N628" i="2"/>
  <c r="O628" i="2"/>
  <c r="L629" i="2"/>
  <c r="M629" i="2"/>
  <c r="N629" i="2"/>
  <c r="O629" i="2"/>
  <c r="L630" i="2"/>
  <c r="M630" i="2"/>
  <c r="N630" i="2"/>
  <c r="O630" i="2"/>
  <c r="L631" i="2"/>
  <c r="M631" i="2"/>
  <c r="N631" i="2"/>
  <c r="O631" i="2"/>
  <c r="L632" i="2"/>
  <c r="M632" i="2"/>
  <c r="N632" i="2"/>
  <c r="O632" i="2"/>
  <c r="L633" i="2"/>
  <c r="M633" i="2"/>
  <c r="N633" i="2"/>
  <c r="O633" i="2"/>
  <c r="L634" i="2"/>
  <c r="M634" i="2"/>
  <c r="N634" i="2"/>
  <c r="O634" i="2"/>
  <c r="L635" i="2"/>
  <c r="M635" i="2"/>
  <c r="N635" i="2"/>
  <c r="O635" i="2"/>
  <c r="L636" i="2"/>
  <c r="M636" i="2"/>
  <c r="N636" i="2"/>
  <c r="O636" i="2"/>
  <c r="L637" i="2"/>
  <c r="M637" i="2"/>
  <c r="N637" i="2"/>
  <c r="O637" i="2"/>
  <c r="L638" i="2"/>
  <c r="M638" i="2"/>
  <c r="N638" i="2"/>
  <c r="O638" i="2"/>
  <c r="L639" i="2"/>
  <c r="M639" i="2"/>
  <c r="N639" i="2"/>
  <c r="O639" i="2"/>
  <c r="L640" i="2"/>
  <c r="M640" i="2"/>
  <c r="N640" i="2"/>
  <c r="O640" i="2"/>
  <c r="L642" i="2"/>
  <c r="M642" i="2"/>
  <c r="N642" i="2"/>
  <c r="O642" i="2"/>
  <c r="L643" i="2"/>
  <c r="M643" i="2"/>
  <c r="N643" i="2"/>
  <c r="O643" i="2"/>
  <c r="L644" i="2"/>
  <c r="M644" i="2"/>
  <c r="N644" i="2"/>
  <c r="O644" i="2"/>
  <c r="L578" i="2"/>
  <c r="M578" i="2"/>
  <c r="N578" i="2"/>
  <c r="O578" i="2"/>
  <c r="L579" i="2"/>
  <c r="M579" i="2"/>
  <c r="N579" i="2"/>
  <c r="O579" i="2"/>
  <c r="L580" i="2"/>
  <c r="M580" i="2"/>
  <c r="N580" i="2"/>
  <c r="O580" i="2"/>
  <c r="L581" i="2"/>
  <c r="M581" i="2"/>
  <c r="N581" i="2"/>
  <c r="O581" i="2"/>
  <c r="L582" i="2"/>
  <c r="M582" i="2"/>
  <c r="N582" i="2"/>
  <c r="O582" i="2"/>
  <c r="L583" i="2"/>
  <c r="M583" i="2"/>
  <c r="N583" i="2"/>
  <c r="O583" i="2"/>
  <c r="L584" i="2"/>
  <c r="M584" i="2"/>
  <c r="N584" i="2"/>
  <c r="O584" i="2"/>
  <c r="L585" i="2"/>
  <c r="M585" i="2"/>
  <c r="N585" i="2"/>
  <c r="O585" i="2"/>
  <c r="L586" i="2"/>
  <c r="M586" i="2"/>
  <c r="N586" i="2"/>
  <c r="O586" i="2"/>
  <c r="L587" i="2"/>
  <c r="M587" i="2"/>
  <c r="N587" i="2"/>
  <c r="O587" i="2"/>
  <c r="L588" i="2"/>
  <c r="M588" i="2"/>
  <c r="N588" i="2"/>
  <c r="O588" i="2"/>
  <c r="L589" i="2"/>
  <c r="M589" i="2"/>
  <c r="N589" i="2"/>
  <c r="O589" i="2"/>
  <c r="L590" i="2"/>
  <c r="M590" i="2"/>
  <c r="N590" i="2"/>
  <c r="O590" i="2"/>
  <c r="L591" i="2"/>
  <c r="M591" i="2"/>
  <c r="N591" i="2"/>
  <c r="O591" i="2"/>
  <c r="L592" i="2"/>
  <c r="M592" i="2"/>
  <c r="N592" i="2"/>
  <c r="O592" i="2"/>
  <c r="L593" i="2"/>
  <c r="M593" i="2"/>
  <c r="N593" i="2"/>
  <c r="O593" i="2"/>
  <c r="L594" i="2"/>
  <c r="M594" i="2"/>
  <c r="N594" i="2"/>
  <c r="O594" i="2"/>
  <c r="L595" i="2"/>
  <c r="M595" i="2"/>
  <c r="N595" i="2"/>
  <c r="O595" i="2"/>
  <c r="L596" i="2"/>
  <c r="M596" i="2"/>
  <c r="N596" i="2"/>
  <c r="O596" i="2"/>
  <c r="L597" i="2"/>
  <c r="M597" i="2"/>
  <c r="N597" i="2"/>
  <c r="O597" i="2"/>
  <c r="L598" i="2"/>
  <c r="M598" i="2"/>
  <c r="N598" i="2"/>
  <c r="O598" i="2"/>
  <c r="L599" i="2"/>
  <c r="M599" i="2"/>
  <c r="N599" i="2"/>
  <c r="O599" i="2"/>
  <c r="L600" i="2"/>
  <c r="M600" i="2"/>
  <c r="N600" i="2"/>
  <c r="O600" i="2"/>
  <c r="L601" i="2"/>
  <c r="M601" i="2"/>
  <c r="N601" i="2"/>
  <c r="O601" i="2"/>
  <c r="L602" i="2"/>
  <c r="M602" i="2"/>
  <c r="N602" i="2"/>
  <c r="O602" i="2"/>
  <c r="L603" i="2"/>
  <c r="M603" i="2"/>
  <c r="N603" i="2"/>
  <c r="O603" i="2"/>
  <c r="L604" i="2"/>
  <c r="M604" i="2"/>
  <c r="N604" i="2"/>
  <c r="O604" i="2"/>
  <c r="L606" i="2"/>
  <c r="M606" i="2"/>
  <c r="N606" i="2"/>
  <c r="O606" i="2"/>
  <c r="L607" i="2"/>
  <c r="M607" i="2"/>
  <c r="N607" i="2"/>
  <c r="O607" i="2"/>
  <c r="L608" i="2"/>
  <c r="M608" i="2"/>
  <c r="N608" i="2"/>
  <c r="O608" i="2"/>
  <c r="L542" i="2"/>
  <c r="M542" i="2"/>
  <c r="N542" i="2"/>
  <c r="O542" i="2"/>
  <c r="L543" i="2"/>
  <c r="M543" i="2"/>
  <c r="N543" i="2"/>
  <c r="O543" i="2"/>
  <c r="L544" i="2"/>
  <c r="M544" i="2"/>
  <c r="N544" i="2"/>
  <c r="O544" i="2"/>
  <c r="L545" i="2"/>
  <c r="M545" i="2"/>
  <c r="N545" i="2"/>
  <c r="O545" i="2"/>
  <c r="L546" i="2"/>
  <c r="M546" i="2"/>
  <c r="N546" i="2"/>
  <c r="O546" i="2"/>
  <c r="L547" i="2"/>
  <c r="M547" i="2"/>
  <c r="N547" i="2"/>
  <c r="O547" i="2"/>
  <c r="L548" i="2"/>
  <c r="M548" i="2"/>
  <c r="N548" i="2"/>
  <c r="O548" i="2"/>
  <c r="L549" i="2"/>
  <c r="M549" i="2"/>
  <c r="N549" i="2"/>
  <c r="O549" i="2"/>
  <c r="L550" i="2"/>
  <c r="M550" i="2"/>
  <c r="N550" i="2"/>
  <c r="O550" i="2"/>
  <c r="L551" i="2"/>
  <c r="M551" i="2"/>
  <c r="N551" i="2"/>
  <c r="O551" i="2"/>
  <c r="L552" i="2"/>
  <c r="M552" i="2"/>
  <c r="N552" i="2"/>
  <c r="O552" i="2"/>
  <c r="L553" i="2"/>
  <c r="M553" i="2"/>
  <c r="N553" i="2"/>
  <c r="O553" i="2"/>
  <c r="L554" i="2"/>
  <c r="M554" i="2"/>
  <c r="N554" i="2"/>
  <c r="O554" i="2"/>
  <c r="L555" i="2"/>
  <c r="M555" i="2"/>
  <c r="N555" i="2"/>
  <c r="O555" i="2"/>
  <c r="L556" i="2"/>
  <c r="M556" i="2"/>
  <c r="N556" i="2"/>
  <c r="O556" i="2"/>
  <c r="L557" i="2"/>
  <c r="M557" i="2"/>
  <c r="N557" i="2"/>
  <c r="O557" i="2"/>
  <c r="L558" i="2"/>
  <c r="M558" i="2"/>
  <c r="N558" i="2"/>
  <c r="O558" i="2"/>
  <c r="L559" i="2"/>
  <c r="M559" i="2"/>
  <c r="N559" i="2"/>
  <c r="O559" i="2"/>
  <c r="L560" i="2"/>
  <c r="M560" i="2"/>
  <c r="N560" i="2"/>
  <c r="O560" i="2"/>
  <c r="L561" i="2"/>
  <c r="M561" i="2"/>
  <c r="N561" i="2"/>
  <c r="O561" i="2"/>
  <c r="L562" i="2"/>
  <c r="M562" i="2"/>
  <c r="N562" i="2"/>
  <c r="O562" i="2"/>
  <c r="L563" i="2"/>
  <c r="M563" i="2"/>
  <c r="N563" i="2"/>
  <c r="O563" i="2"/>
  <c r="L564" i="2"/>
  <c r="M564" i="2"/>
  <c r="N564" i="2"/>
  <c r="O564" i="2"/>
  <c r="L565" i="2"/>
  <c r="M565" i="2"/>
  <c r="N565" i="2"/>
  <c r="O565" i="2"/>
  <c r="L566" i="2"/>
  <c r="M566" i="2"/>
  <c r="N566" i="2"/>
  <c r="O566" i="2"/>
  <c r="L567" i="2"/>
  <c r="M567" i="2"/>
  <c r="N567" i="2"/>
  <c r="O567" i="2"/>
  <c r="L568" i="2"/>
  <c r="M568" i="2"/>
  <c r="N568" i="2"/>
  <c r="O568" i="2"/>
  <c r="L570" i="2"/>
  <c r="M570" i="2"/>
  <c r="N570" i="2"/>
  <c r="O570" i="2"/>
  <c r="L571" i="2"/>
  <c r="M571" i="2"/>
  <c r="N571" i="2"/>
  <c r="O571" i="2"/>
  <c r="L572" i="2"/>
  <c r="M572" i="2"/>
  <c r="N572" i="2"/>
  <c r="O572" i="2"/>
  <c r="L506" i="2"/>
  <c r="M506" i="2"/>
  <c r="N506" i="2"/>
  <c r="O506" i="2"/>
  <c r="L507" i="2"/>
  <c r="M507" i="2"/>
  <c r="N507" i="2"/>
  <c r="O507" i="2"/>
  <c r="L508" i="2"/>
  <c r="M508" i="2"/>
  <c r="N508" i="2"/>
  <c r="O508" i="2"/>
  <c r="L509" i="2"/>
  <c r="M509" i="2"/>
  <c r="N509" i="2"/>
  <c r="O509" i="2"/>
  <c r="L510" i="2"/>
  <c r="M510" i="2"/>
  <c r="N510" i="2"/>
  <c r="O510" i="2"/>
  <c r="L511" i="2"/>
  <c r="M511" i="2"/>
  <c r="N511" i="2"/>
  <c r="O511" i="2"/>
  <c r="L512" i="2"/>
  <c r="M512" i="2"/>
  <c r="N512" i="2"/>
  <c r="O512" i="2"/>
  <c r="L513" i="2"/>
  <c r="M513" i="2"/>
  <c r="N513" i="2"/>
  <c r="O513" i="2"/>
  <c r="L514" i="2"/>
  <c r="M514" i="2"/>
  <c r="N514" i="2"/>
  <c r="O514" i="2"/>
  <c r="L515" i="2"/>
  <c r="M515" i="2"/>
  <c r="N515" i="2"/>
  <c r="O515" i="2"/>
  <c r="L516" i="2"/>
  <c r="M516" i="2"/>
  <c r="N516" i="2"/>
  <c r="O516" i="2"/>
  <c r="L517" i="2"/>
  <c r="M517" i="2"/>
  <c r="N517" i="2"/>
  <c r="O517" i="2"/>
  <c r="L518" i="2"/>
  <c r="M518" i="2"/>
  <c r="N518" i="2"/>
  <c r="O518" i="2"/>
  <c r="L519" i="2"/>
  <c r="M519" i="2"/>
  <c r="N519" i="2"/>
  <c r="O519" i="2"/>
  <c r="L520" i="2"/>
  <c r="M520" i="2"/>
  <c r="N520" i="2"/>
  <c r="O520" i="2"/>
  <c r="L521" i="2"/>
  <c r="M521" i="2"/>
  <c r="N521" i="2"/>
  <c r="O521" i="2"/>
  <c r="L522" i="2"/>
  <c r="M522" i="2"/>
  <c r="N522" i="2"/>
  <c r="O522" i="2"/>
  <c r="L523" i="2"/>
  <c r="M523" i="2"/>
  <c r="N523" i="2"/>
  <c r="O523" i="2"/>
  <c r="L524" i="2"/>
  <c r="M524" i="2"/>
  <c r="N524" i="2"/>
  <c r="O524" i="2"/>
  <c r="L525" i="2"/>
  <c r="M525" i="2"/>
  <c r="N525" i="2"/>
  <c r="O525" i="2"/>
  <c r="L526" i="2"/>
  <c r="M526" i="2"/>
  <c r="N526" i="2"/>
  <c r="O526" i="2"/>
  <c r="L527" i="2"/>
  <c r="M527" i="2"/>
  <c r="N527" i="2"/>
  <c r="O527" i="2"/>
  <c r="L528" i="2"/>
  <c r="M528" i="2"/>
  <c r="N528" i="2"/>
  <c r="O528" i="2"/>
  <c r="L529" i="2"/>
  <c r="M529" i="2"/>
  <c r="N529" i="2"/>
  <c r="O529" i="2"/>
  <c r="L530" i="2"/>
  <c r="M530" i="2"/>
  <c r="N530" i="2"/>
  <c r="O530" i="2"/>
  <c r="L531" i="2"/>
  <c r="M531" i="2"/>
  <c r="N531" i="2"/>
  <c r="O531" i="2"/>
  <c r="L532" i="2"/>
  <c r="M532" i="2"/>
  <c r="N532" i="2"/>
  <c r="O532" i="2"/>
  <c r="L534" i="2"/>
  <c r="M534" i="2"/>
  <c r="N534" i="2"/>
  <c r="O534" i="2"/>
  <c r="L535" i="2"/>
  <c r="M535" i="2"/>
  <c r="N535" i="2"/>
  <c r="O535" i="2"/>
  <c r="L536" i="2"/>
  <c r="M536" i="2"/>
  <c r="N536" i="2"/>
  <c r="O536" i="2"/>
  <c r="L470" i="2"/>
  <c r="M470" i="2"/>
  <c r="N470" i="2"/>
  <c r="O470" i="2"/>
  <c r="L471" i="2"/>
  <c r="M471" i="2"/>
  <c r="N471" i="2"/>
  <c r="O471" i="2"/>
  <c r="L472" i="2"/>
  <c r="M472" i="2"/>
  <c r="N472" i="2"/>
  <c r="O472" i="2"/>
  <c r="L473" i="2"/>
  <c r="M473" i="2"/>
  <c r="N473" i="2"/>
  <c r="O473" i="2"/>
  <c r="L474" i="2"/>
  <c r="M474" i="2"/>
  <c r="N474" i="2"/>
  <c r="O474" i="2"/>
  <c r="L475" i="2"/>
  <c r="M475" i="2"/>
  <c r="N475" i="2"/>
  <c r="O475" i="2"/>
  <c r="L476" i="2"/>
  <c r="M476" i="2"/>
  <c r="N476" i="2"/>
  <c r="O476" i="2"/>
  <c r="L477" i="2"/>
  <c r="M477" i="2"/>
  <c r="N477" i="2"/>
  <c r="O477" i="2"/>
  <c r="L478" i="2"/>
  <c r="M478" i="2"/>
  <c r="N478" i="2"/>
  <c r="O478" i="2"/>
  <c r="L479" i="2"/>
  <c r="M479" i="2"/>
  <c r="N479" i="2"/>
  <c r="O479" i="2"/>
  <c r="L480" i="2"/>
  <c r="M480" i="2"/>
  <c r="N480" i="2"/>
  <c r="O480" i="2"/>
  <c r="L481" i="2"/>
  <c r="M481" i="2"/>
  <c r="N481" i="2"/>
  <c r="O481" i="2"/>
  <c r="L482" i="2"/>
  <c r="M482" i="2"/>
  <c r="N482" i="2"/>
  <c r="O482" i="2"/>
  <c r="L483" i="2"/>
  <c r="M483" i="2"/>
  <c r="N483" i="2"/>
  <c r="O483" i="2"/>
  <c r="L484" i="2"/>
  <c r="M484" i="2"/>
  <c r="N484" i="2"/>
  <c r="O484" i="2"/>
  <c r="L485" i="2"/>
  <c r="M485" i="2"/>
  <c r="N485" i="2"/>
  <c r="O485" i="2"/>
  <c r="L486" i="2"/>
  <c r="M486" i="2"/>
  <c r="N486" i="2"/>
  <c r="O486" i="2"/>
  <c r="L487" i="2"/>
  <c r="M487" i="2"/>
  <c r="N487" i="2"/>
  <c r="O487" i="2"/>
  <c r="L488" i="2"/>
  <c r="M488" i="2"/>
  <c r="N488" i="2"/>
  <c r="O488" i="2"/>
  <c r="L489" i="2"/>
  <c r="M489" i="2"/>
  <c r="N489" i="2"/>
  <c r="O489" i="2"/>
  <c r="L490" i="2"/>
  <c r="M490" i="2"/>
  <c r="N490" i="2"/>
  <c r="O490" i="2"/>
  <c r="L491" i="2"/>
  <c r="M491" i="2"/>
  <c r="N491" i="2"/>
  <c r="O491" i="2"/>
  <c r="L492" i="2"/>
  <c r="M492" i="2"/>
  <c r="N492" i="2"/>
  <c r="O492" i="2"/>
  <c r="L493" i="2"/>
  <c r="M493" i="2"/>
  <c r="N493" i="2"/>
  <c r="O493" i="2"/>
  <c r="L494" i="2"/>
  <c r="M494" i="2"/>
  <c r="N494" i="2"/>
  <c r="O494" i="2"/>
  <c r="L495" i="2"/>
  <c r="M495" i="2"/>
  <c r="N495" i="2"/>
  <c r="O495" i="2"/>
  <c r="L496" i="2"/>
  <c r="M496" i="2"/>
  <c r="N496" i="2"/>
  <c r="O496" i="2"/>
  <c r="L498" i="2"/>
  <c r="M498" i="2"/>
  <c r="N498" i="2"/>
  <c r="O498" i="2"/>
  <c r="L499" i="2"/>
  <c r="M499" i="2"/>
  <c r="N499" i="2"/>
  <c r="O499" i="2"/>
  <c r="L500" i="2"/>
  <c r="M500" i="2"/>
  <c r="N500" i="2"/>
  <c r="O500" i="2"/>
  <c r="L434" i="2"/>
  <c r="M434" i="2"/>
  <c r="N434" i="2"/>
  <c r="O434" i="2"/>
  <c r="L435" i="2"/>
  <c r="M435" i="2"/>
  <c r="N435" i="2"/>
  <c r="O435" i="2"/>
  <c r="L436" i="2"/>
  <c r="M436" i="2"/>
  <c r="N436" i="2"/>
  <c r="O436" i="2"/>
  <c r="L437" i="2"/>
  <c r="M437" i="2"/>
  <c r="N437" i="2"/>
  <c r="O437" i="2"/>
  <c r="L438" i="2"/>
  <c r="M438" i="2"/>
  <c r="N438" i="2"/>
  <c r="O438" i="2"/>
  <c r="L439" i="2"/>
  <c r="M439" i="2"/>
  <c r="N439" i="2"/>
  <c r="O439" i="2"/>
  <c r="L440" i="2"/>
  <c r="M440" i="2"/>
  <c r="N440" i="2"/>
  <c r="O440" i="2"/>
  <c r="L441" i="2"/>
  <c r="M441" i="2"/>
  <c r="N441" i="2"/>
  <c r="O441" i="2"/>
  <c r="L442" i="2"/>
  <c r="M442" i="2"/>
  <c r="N442" i="2"/>
  <c r="O442" i="2"/>
  <c r="L443" i="2"/>
  <c r="M443" i="2"/>
  <c r="N443" i="2"/>
  <c r="O443" i="2"/>
  <c r="L444" i="2"/>
  <c r="M444" i="2"/>
  <c r="N444" i="2"/>
  <c r="O444" i="2"/>
  <c r="L445" i="2"/>
  <c r="M445" i="2"/>
  <c r="N445" i="2"/>
  <c r="O445" i="2"/>
  <c r="L446" i="2"/>
  <c r="M446" i="2"/>
  <c r="N446" i="2"/>
  <c r="O446" i="2"/>
  <c r="L447" i="2"/>
  <c r="M447" i="2"/>
  <c r="N447" i="2"/>
  <c r="O447" i="2"/>
  <c r="L448" i="2"/>
  <c r="M448" i="2"/>
  <c r="N448" i="2"/>
  <c r="O448" i="2"/>
  <c r="L449" i="2"/>
  <c r="M449" i="2"/>
  <c r="N449" i="2"/>
  <c r="O449" i="2"/>
  <c r="L450" i="2"/>
  <c r="M450" i="2"/>
  <c r="N450" i="2"/>
  <c r="O450" i="2"/>
  <c r="L451" i="2"/>
  <c r="M451" i="2"/>
  <c r="N451" i="2"/>
  <c r="O451" i="2"/>
  <c r="L452" i="2"/>
  <c r="M452" i="2"/>
  <c r="N452" i="2"/>
  <c r="O452" i="2"/>
  <c r="L453" i="2"/>
  <c r="M453" i="2"/>
  <c r="N453" i="2"/>
  <c r="O453" i="2"/>
  <c r="L454" i="2"/>
  <c r="M454" i="2"/>
  <c r="N454" i="2"/>
  <c r="O454" i="2"/>
  <c r="L455" i="2"/>
  <c r="M455" i="2"/>
  <c r="N455" i="2"/>
  <c r="O455" i="2"/>
  <c r="L456" i="2"/>
  <c r="M456" i="2"/>
  <c r="N456" i="2"/>
  <c r="O456" i="2"/>
  <c r="L457" i="2"/>
  <c r="M457" i="2"/>
  <c r="N457" i="2"/>
  <c r="O457" i="2"/>
  <c r="L458" i="2"/>
  <c r="M458" i="2"/>
  <c r="N458" i="2"/>
  <c r="O458" i="2"/>
  <c r="L459" i="2"/>
  <c r="M459" i="2"/>
  <c r="N459" i="2"/>
  <c r="O459" i="2"/>
  <c r="L460" i="2"/>
  <c r="M460" i="2"/>
  <c r="N460" i="2"/>
  <c r="O460" i="2"/>
  <c r="L462" i="2"/>
  <c r="M462" i="2"/>
  <c r="N462" i="2"/>
  <c r="O462" i="2"/>
  <c r="L463" i="2"/>
  <c r="M463" i="2"/>
  <c r="N463" i="2"/>
  <c r="O463" i="2"/>
  <c r="L464" i="2"/>
  <c r="M464" i="2"/>
  <c r="N464" i="2"/>
  <c r="O464" i="2"/>
  <c r="L398" i="2"/>
  <c r="M398" i="2"/>
  <c r="N398" i="2"/>
  <c r="O398" i="2"/>
  <c r="L399" i="2"/>
  <c r="M399" i="2"/>
  <c r="N399" i="2"/>
  <c r="O399" i="2"/>
  <c r="L400" i="2"/>
  <c r="M400" i="2"/>
  <c r="N400" i="2"/>
  <c r="O400" i="2"/>
  <c r="L401" i="2"/>
  <c r="M401" i="2"/>
  <c r="N401" i="2"/>
  <c r="O401" i="2"/>
  <c r="L402" i="2"/>
  <c r="M402" i="2"/>
  <c r="N402" i="2"/>
  <c r="O402" i="2"/>
  <c r="L403" i="2"/>
  <c r="M403" i="2"/>
  <c r="N403" i="2"/>
  <c r="O403" i="2"/>
  <c r="L404" i="2"/>
  <c r="M404" i="2"/>
  <c r="N404" i="2"/>
  <c r="O404" i="2"/>
  <c r="L405" i="2"/>
  <c r="M405" i="2"/>
  <c r="N405" i="2"/>
  <c r="O405" i="2"/>
  <c r="L406" i="2"/>
  <c r="M406" i="2"/>
  <c r="N406" i="2"/>
  <c r="O406" i="2"/>
  <c r="L407" i="2"/>
  <c r="M407" i="2"/>
  <c r="N407" i="2"/>
  <c r="O407" i="2"/>
  <c r="L408" i="2"/>
  <c r="M408" i="2"/>
  <c r="N408" i="2"/>
  <c r="O408" i="2"/>
  <c r="L409" i="2"/>
  <c r="M409" i="2"/>
  <c r="N409" i="2"/>
  <c r="O409" i="2"/>
  <c r="L410" i="2"/>
  <c r="M410" i="2"/>
  <c r="N410" i="2"/>
  <c r="O410" i="2"/>
  <c r="L411" i="2"/>
  <c r="M411" i="2"/>
  <c r="N411" i="2"/>
  <c r="O411" i="2"/>
  <c r="L412" i="2"/>
  <c r="M412" i="2"/>
  <c r="N412" i="2"/>
  <c r="O412" i="2"/>
  <c r="L413" i="2"/>
  <c r="M413" i="2"/>
  <c r="N413" i="2"/>
  <c r="O413" i="2"/>
  <c r="L414" i="2"/>
  <c r="M414" i="2"/>
  <c r="N414" i="2"/>
  <c r="O414" i="2"/>
  <c r="L415" i="2"/>
  <c r="M415" i="2"/>
  <c r="N415" i="2"/>
  <c r="O415" i="2"/>
  <c r="L416" i="2"/>
  <c r="M416" i="2"/>
  <c r="N416" i="2"/>
  <c r="O416" i="2"/>
  <c r="L417" i="2"/>
  <c r="M417" i="2"/>
  <c r="N417" i="2"/>
  <c r="O417" i="2"/>
  <c r="L418" i="2"/>
  <c r="M418" i="2"/>
  <c r="N418" i="2"/>
  <c r="O418" i="2"/>
  <c r="L419" i="2"/>
  <c r="M419" i="2"/>
  <c r="N419" i="2"/>
  <c r="O419" i="2"/>
  <c r="L420" i="2"/>
  <c r="M420" i="2"/>
  <c r="N420" i="2"/>
  <c r="O420" i="2"/>
  <c r="L421" i="2"/>
  <c r="M421" i="2"/>
  <c r="N421" i="2"/>
  <c r="O421" i="2"/>
  <c r="L422" i="2"/>
  <c r="M422" i="2"/>
  <c r="N422" i="2"/>
  <c r="O422" i="2"/>
  <c r="L423" i="2"/>
  <c r="M423" i="2"/>
  <c r="N423" i="2"/>
  <c r="O423" i="2"/>
  <c r="L424" i="2"/>
  <c r="M424" i="2"/>
  <c r="N424" i="2"/>
  <c r="O424" i="2"/>
  <c r="L426" i="2"/>
  <c r="M426" i="2"/>
  <c r="N426" i="2"/>
  <c r="O426" i="2"/>
  <c r="L427" i="2"/>
  <c r="M427" i="2"/>
  <c r="N427" i="2"/>
  <c r="O427" i="2"/>
  <c r="L428" i="2"/>
  <c r="M428" i="2"/>
  <c r="N428" i="2"/>
  <c r="O428" i="2"/>
  <c r="L362" i="2"/>
  <c r="M362" i="2"/>
  <c r="N362" i="2"/>
  <c r="O362" i="2"/>
  <c r="L363" i="2"/>
  <c r="M363" i="2"/>
  <c r="N363" i="2"/>
  <c r="O363" i="2"/>
  <c r="L364" i="2"/>
  <c r="M364" i="2"/>
  <c r="N364" i="2"/>
  <c r="O364" i="2"/>
  <c r="L365" i="2"/>
  <c r="M365" i="2"/>
  <c r="N365" i="2"/>
  <c r="O365" i="2"/>
  <c r="L366" i="2"/>
  <c r="M366" i="2"/>
  <c r="N366" i="2"/>
  <c r="O366" i="2"/>
  <c r="L367" i="2"/>
  <c r="M367" i="2"/>
  <c r="N367" i="2"/>
  <c r="O367" i="2"/>
  <c r="L368" i="2"/>
  <c r="M368" i="2"/>
  <c r="N368" i="2"/>
  <c r="O368" i="2"/>
  <c r="L369" i="2"/>
  <c r="M369" i="2"/>
  <c r="N369" i="2"/>
  <c r="O369" i="2"/>
  <c r="L370" i="2"/>
  <c r="M370" i="2"/>
  <c r="N370" i="2"/>
  <c r="O370" i="2"/>
  <c r="L371" i="2"/>
  <c r="M371" i="2"/>
  <c r="N371" i="2"/>
  <c r="O371" i="2"/>
  <c r="L372" i="2"/>
  <c r="M372" i="2"/>
  <c r="N372" i="2"/>
  <c r="O372" i="2"/>
  <c r="L373" i="2"/>
  <c r="M373" i="2"/>
  <c r="N373" i="2"/>
  <c r="O373" i="2"/>
  <c r="L374" i="2"/>
  <c r="M374" i="2"/>
  <c r="N374" i="2"/>
  <c r="O374" i="2"/>
  <c r="L375" i="2"/>
  <c r="M375" i="2"/>
  <c r="N375" i="2"/>
  <c r="O375" i="2"/>
  <c r="L376" i="2"/>
  <c r="M376" i="2"/>
  <c r="N376" i="2"/>
  <c r="O376" i="2"/>
  <c r="L377" i="2"/>
  <c r="M377" i="2"/>
  <c r="N377" i="2"/>
  <c r="O377" i="2"/>
  <c r="L378" i="2"/>
  <c r="M378" i="2"/>
  <c r="N378" i="2"/>
  <c r="O378" i="2"/>
  <c r="L379" i="2"/>
  <c r="M379" i="2"/>
  <c r="N379" i="2"/>
  <c r="O379" i="2"/>
  <c r="L380" i="2"/>
  <c r="M380" i="2"/>
  <c r="N380" i="2"/>
  <c r="O380" i="2"/>
  <c r="L381" i="2"/>
  <c r="M381" i="2"/>
  <c r="N381" i="2"/>
  <c r="O381" i="2"/>
  <c r="L382" i="2"/>
  <c r="M382" i="2"/>
  <c r="N382" i="2"/>
  <c r="O382" i="2"/>
  <c r="L383" i="2"/>
  <c r="M383" i="2"/>
  <c r="N383" i="2"/>
  <c r="O383" i="2"/>
  <c r="L384" i="2"/>
  <c r="M384" i="2"/>
  <c r="N384" i="2"/>
  <c r="O384" i="2"/>
  <c r="L385" i="2"/>
  <c r="M385" i="2"/>
  <c r="N385" i="2"/>
  <c r="O385" i="2"/>
  <c r="L386" i="2"/>
  <c r="M386" i="2"/>
  <c r="N386" i="2"/>
  <c r="O386" i="2"/>
  <c r="L387" i="2"/>
  <c r="M387" i="2"/>
  <c r="N387" i="2"/>
  <c r="O387" i="2"/>
  <c r="L388" i="2"/>
  <c r="M388" i="2"/>
  <c r="N388" i="2"/>
  <c r="O388" i="2"/>
  <c r="L390" i="2"/>
  <c r="M390" i="2"/>
  <c r="N390" i="2"/>
  <c r="O390" i="2"/>
  <c r="L391" i="2"/>
  <c r="M391" i="2"/>
  <c r="N391" i="2"/>
  <c r="O391" i="2"/>
  <c r="L392" i="2"/>
  <c r="M392" i="2"/>
  <c r="N392" i="2"/>
  <c r="O392" i="2"/>
  <c r="L326" i="2"/>
  <c r="M326" i="2"/>
  <c r="N326" i="2"/>
  <c r="O326" i="2"/>
  <c r="L327" i="2"/>
  <c r="M327" i="2"/>
  <c r="N327" i="2"/>
  <c r="O327" i="2"/>
  <c r="L328" i="2"/>
  <c r="M328" i="2"/>
  <c r="N328" i="2"/>
  <c r="O328" i="2"/>
  <c r="L329" i="2"/>
  <c r="M329" i="2"/>
  <c r="N329" i="2"/>
  <c r="O329" i="2"/>
  <c r="L330" i="2"/>
  <c r="M330" i="2"/>
  <c r="N330" i="2"/>
  <c r="O330" i="2"/>
  <c r="L331" i="2"/>
  <c r="M331" i="2"/>
  <c r="N331" i="2"/>
  <c r="O331" i="2"/>
  <c r="L332" i="2"/>
  <c r="M332" i="2"/>
  <c r="N332" i="2"/>
  <c r="O332" i="2"/>
  <c r="L333" i="2"/>
  <c r="M333" i="2"/>
  <c r="N333" i="2"/>
  <c r="O333" i="2"/>
  <c r="L334" i="2"/>
  <c r="M334" i="2"/>
  <c r="N334" i="2"/>
  <c r="O334" i="2"/>
  <c r="L335" i="2"/>
  <c r="M335" i="2"/>
  <c r="N335" i="2"/>
  <c r="O335" i="2"/>
  <c r="L336" i="2"/>
  <c r="M336" i="2"/>
  <c r="N336" i="2"/>
  <c r="O336" i="2"/>
  <c r="L337" i="2"/>
  <c r="M337" i="2"/>
  <c r="N337" i="2"/>
  <c r="O337" i="2"/>
  <c r="L338" i="2"/>
  <c r="M338" i="2"/>
  <c r="N338" i="2"/>
  <c r="O338" i="2"/>
  <c r="L339" i="2"/>
  <c r="M339" i="2"/>
  <c r="N339" i="2"/>
  <c r="O339" i="2"/>
  <c r="L340" i="2"/>
  <c r="M340" i="2"/>
  <c r="N340" i="2"/>
  <c r="O340" i="2"/>
  <c r="L341" i="2"/>
  <c r="M341" i="2"/>
  <c r="N341" i="2"/>
  <c r="O341" i="2"/>
  <c r="L342" i="2"/>
  <c r="M342" i="2"/>
  <c r="N342" i="2"/>
  <c r="O342" i="2"/>
  <c r="L343" i="2"/>
  <c r="M343" i="2"/>
  <c r="N343" i="2"/>
  <c r="O343" i="2"/>
  <c r="L344" i="2"/>
  <c r="M344" i="2"/>
  <c r="N344" i="2"/>
  <c r="O344" i="2"/>
  <c r="L345" i="2"/>
  <c r="M345" i="2"/>
  <c r="N345" i="2"/>
  <c r="O345" i="2"/>
  <c r="L346" i="2"/>
  <c r="M346" i="2"/>
  <c r="N346" i="2"/>
  <c r="O346" i="2"/>
  <c r="L347" i="2"/>
  <c r="M347" i="2"/>
  <c r="N347" i="2"/>
  <c r="O347" i="2"/>
  <c r="L348" i="2"/>
  <c r="M348" i="2"/>
  <c r="N348" i="2"/>
  <c r="O348" i="2"/>
  <c r="L349" i="2"/>
  <c r="M349" i="2"/>
  <c r="N349" i="2"/>
  <c r="O349" i="2"/>
  <c r="L350" i="2"/>
  <c r="M350" i="2"/>
  <c r="N350" i="2"/>
  <c r="O350" i="2"/>
  <c r="L351" i="2"/>
  <c r="M351" i="2"/>
  <c r="N351" i="2"/>
  <c r="O351" i="2"/>
  <c r="L352" i="2"/>
  <c r="M352" i="2"/>
  <c r="N352" i="2"/>
  <c r="O352" i="2"/>
  <c r="L354" i="2"/>
  <c r="M354" i="2"/>
  <c r="N354" i="2"/>
  <c r="O354" i="2"/>
  <c r="L355" i="2"/>
  <c r="M355" i="2"/>
  <c r="N355" i="2"/>
  <c r="O355" i="2"/>
  <c r="L356" i="2"/>
  <c r="M356" i="2"/>
  <c r="N356" i="2"/>
  <c r="O356" i="2"/>
  <c r="L290" i="2"/>
  <c r="M290" i="2"/>
  <c r="N290" i="2"/>
  <c r="O290" i="2"/>
  <c r="L291" i="2"/>
  <c r="M291" i="2"/>
  <c r="N291" i="2"/>
  <c r="O291" i="2"/>
  <c r="L292" i="2"/>
  <c r="M292" i="2"/>
  <c r="N292" i="2"/>
  <c r="O292" i="2"/>
  <c r="L293" i="2"/>
  <c r="M293" i="2"/>
  <c r="N293" i="2"/>
  <c r="O293" i="2"/>
  <c r="L294" i="2"/>
  <c r="M294" i="2"/>
  <c r="N294" i="2"/>
  <c r="O294" i="2"/>
  <c r="L295" i="2"/>
  <c r="M295" i="2"/>
  <c r="N295" i="2"/>
  <c r="O295" i="2"/>
  <c r="L296" i="2"/>
  <c r="M296" i="2"/>
  <c r="N296" i="2"/>
  <c r="O296" i="2"/>
  <c r="L297" i="2"/>
  <c r="M297" i="2"/>
  <c r="N297" i="2"/>
  <c r="O297" i="2"/>
  <c r="L298" i="2"/>
  <c r="M298" i="2"/>
  <c r="N298" i="2"/>
  <c r="O298" i="2"/>
  <c r="L299" i="2"/>
  <c r="M299" i="2"/>
  <c r="N299" i="2"/>
  <c r="O299" i="2"/>
  <c r="L300" i="2"/>
  <c r="M300" i="2"/>
  <c r="N300" i="2"/>
  <c r="O300" i="2"/>
  <c r="L301" i="2"/>
  <c r="M301" i="2"/>
  <c r="N301" i="2"/>
  <c r="O301" i="2"/>
  <c r="L302" i="2"/>
  <c r="M302" i="2"/>
  <c r="N302" i="2"/>
  <c r="O302" i="2"/>
  <c r="L303" i="2"/>
  <c r="M303" i="2"/>
  <c r="N303" i="2"/>
  <c r="O303" i="2"/>
  <c r="L304" i="2"/>
  <c r="M304" i="2"/>
  <c r="N304" i="2"/>
  <c r="O304" i="2"/>
  <c r="L305" i="2"/>
  <c r="M305" i="2"/>
  <c r="N305" i="2"/>
  <c r="O305" i="2"/>
  <c r="L306" i="2"/>
  <c r="M306" i="2"/>
  <c r="N306" i="2"/>
  <c r="O306" i="2"/>
  <c r="L307" i="2"/>
  <c r="M307" i="2"/>
  <c r="N307" i="2"/>
  <c r="O307" i="2"/>
  <c r="L308" i="2"/>
  <c r="M308" i="2"/>
  <c r="N308" i="2"/>
  <c r="O308" i="2"/>
  <c r="L309" i="2"/>
  <c r="M309" i="2"/>
  <c r="N309" i="2"/>
  <c r="O309" i="2"/>
  <c r="L310" i="2"/>
  <c r="M310" i="2"/>
  <c r="N310" i="2"/>
  <c r="O310" i="2"/>
  <c r="L311" i="2"/>
  <c r="M311" i="2"/>
  <c r="N311" i="2"/>
  <c r="O311" i="2"/>
  <c r="L312" i="2"/>
  <c r="M312" i="2"/>
  <c r="N312" i="2"/>
  <c r="O312" i="2"/>
  <c r="L313" i="2"/>
  <c r="M313" i="2"/>
  <c r="N313" i="2"/>
  <c r="O313" i="2"/>
  <c r="L314" i="2"/>
  <c r="M314" i="2"/>
  <c r="N314" i="2"/>
  <c r="O314" i="2"/>
  <c r="L315" i="2"/>
  <c r="M315" i="2"/>
  <c r="N315" i="2"/>
  <c r="O315" i="2"/>
  <c r="L316" i="2"/>
  <c r="M316" i="2"/>
  <c r="N316" i="2"/>
  <c r="O316" i="2"/>
  <c r="L318" i="2"/>
  <c r="M318" i="2"/>
  <c r="N318" i="2"/>
  <c r="O318" i="2"/>
  <c r="L319" i="2"/>
  <c r="M319" i="2"/>
  <c r="N319" i="2"/>
  <c r="O319" i="2"/>
  <c r="L255" i="2"/>
  <c r="M255" i="2"/>
  <c r="N255" i="2"/>
  <c r="O255" i="2"/>
  <c r="L256" i="2"/>
  <c r="M256" i="2"/>
  <c r="N256" i="2"/>
  <c r="O256" i="2"/>
  <c r="L257" i="2"/>
  <c r="M257" i="2"/>
  <c r="N257" i="2"/>
  <c r="O257" i="2"/>
  <c r="L258" i="2"/>
  <c r="M258" i="2"/>
  <c r="N258" i="2"/>
  <c r="O258" i="2"/>
  <c r="L259" i="2"/>
  <c r="M259" i="2"/>
  <c r="N259" i="2"/>
  <c r="O259" i="2"/>
  <c r="L260" i="2"/>
  <c r="M260" i="2"/>
  <c r="N260" i="2"/>
  <c r="O260" i="2"/>
  <c r="L261" i="2"/>
  <c r="M261" i="2"/>
  <c r="N261" i="2"/>
  <c r="O261" i="2"/>
  <c r="L262" i="2"/>
  <c r="M262" i="2"/>
  <c r="N262" i="2"/>
  <c r="O262" i="2"/>
  <c r="L263" i="2"/>
  <c r="M263" i="2"/>
  <c r="N263" i="2"/>
  <c r="O263" i="2"/>
  <c r="L264" i="2"/>
  <c r="M264" i="2"/>
  <c r="N264" i="2"/>
  <c r="O264" i="2"/>
  <c r="L265" i="2"/>
  <c r="M265" i="2"/>
  <c r="N265" i="2"/>
  <c r="O265" i="2"/>
  <c r="L266" i="2"/>
  <c r="M266" i="2"/>
  <c r="N266" i="2"/>
  <c r="O266" i="2"/>
  <c r="L267" i="2"/>
  <c r="M267" i="2"/>
  <c r="N267" i="2"/>
  <c r="O267" i="2"/>
  <c r="L268" i="2"/>
  <c r="M268" i="2"/>
  <c r="N268" i="2"/>
  <c r="O268" i="2"/>
  <c r="L269" i="2"/>
  <c r="M269" i="2"/>
  <c r="N269" i="2"/>
  <c r="O269" i="2"/>
  <c r="L270" i="2"/>
  <c r="M270" i="2"/>
  <c r="N270" i="2"/>
  <c r="O270" i="2"/>
  <c r="L271" i="2"/>
  <c r="M271" i="2"/>
  <c r="N271" i="2"/>
  <c r="O271" i="2"/>
  <c r="L272" i="2"/>
  <c r="M272" i="2"/>
  <c r="N272" i="2"/>
  <c r="O272" i="2"/>
  <c r="L273" i="2"/>
  <c r="M273" i="2"/>
  <c r="N273" i="2"/>
  <c r="O273" i="2"/>
  <c r="L274" i="2"/>
  <c r="M274" i="2"/>
  <c r="N274" i="2"/>
  <c r="O274" i="2"/>
  <c r="L275" i="2"/>
  <c r="M275" i="2"/>
  <c r="N275" i="2"/>
  <c r="O275" i="2"/>
  <c r="L276" i="2"/>
  <c r="M276" i="2"/>
  <c r="N276" i="2"/>
  <c r="O276" i="2"/>
  <c r="L277" i="2"/>
  <c r="M277" i="2"/>
  <c r="N277" i="2"/>
  <c r="O277" i="2"/>
  <c r="L278" i="2"/>
  <c r="M278" i="2"/>
  <c r="N278" i="2"/>
  <c r="O278" i="2"/>
  <c r="L279" i="2"/>
  <c r="M279" i="2"/>
  <c r="N279" i="2"/>
  <c r="O279" i="2"/>
  <c r="L280" i="2"/>
  <c r="M280" i="2"/>
  <c r="N280" i="2"/>
  <c r="O280" i="2"/>
  <c r="L282" i="2"/>
  <c r="M282" i="2"/>
  <c r="N282" i="2"/>
  <c r="O282" i="2"/>
  <c r="L283" i="2"/>
  <c r="M283" i="2"/>
  <c r="N283" i="2"/>
  <c r="O283" i="2"/>
  <c r="L284" i="2"/>
  <c r="M284" i="2"/>
  <c r="N284" i="2"/>
  <c r="O284" i="2"/>
  <c r="L254" i="2"/>
  <c r="L286" i="2" s="1"/>
  <c r="M254" i="2"/>
  <c r="M286" i="2" s="1"/>
  <c r="N254" i="2"/>
  <c r="N286" i="2" s="1"/>
  <c r="O254" i="2"/>
  <c r="O286" i="2" s="1"/>
  <c r="O322" i="2" l="1"/>
  <c r="O358" i="2"/>
  <c r="O394" i="2"/>
  <c r="O430" i="2"/>
  <c r="O466" i="2"/>
  <c r="O502" i="2"/>
  <c r="O538" i="2"/>
  <c r="O574" i="2"/>
  <c r="O646" i="2"/>
  <c r="O682" i="2"/>
  <c r="O718" i="2"/>
  <c r="O754" i="2"/>
  <c r="O790" i="2"/>
  <c r="O826" i="2"/>
  <c r="O862" i="2"/>
  <c r="O898" i="2"/>
  <c r="O934" i="2"/>
  <c r="O970" i="2"/>
  <c r="O1006" i="2"/>
  <c r="N322" i="2"/>
  <c r="N358" i="2"/>
  <c r="N394" i="2"/>
  <c r="N430" i="2"/>
  <c r="N466" i="2"/>
  <c r="N502" i="2"/>
  <c r="N538" i="2"/>
  <c r="N574" i="2"/>
  <c r="N646" i="2"/>
  <c r="N682" i="2"/>
  <c r="N718" i="2"/>
  <c r="N754" i="2"/>
  <c r="N790" i="2"/>
  <c r="N826" i="2"/>
  <c r="N862" i="2"/>
  <c r="N898" i="2"/>
  <c r="N934" i="2"/>
  <c r="N970" i="2"/>
  <c r="N1006" i="2"/>
  <c r="M322" i="2"/>
  <c r="M358" i="2"/>
  <c r="M394" i="2"/>
  <c r="M430" i="2"/>
  <c r="M466" i="2"/>
  <c r="M502" i="2"/>
  <c r="M538" i="2"/>
  <c r="M574" i="2"/>
  <c r="M646" i="2"/>
  <c r="M682" i="2"/>
  <c r="M718" i="2"/>
  <c r="M754" i="2"/>
  <c r="M790" i="2"/>
  <c r="M826" i="2"/>
  <c r="M862" i="2"/>
  <c r="M898" i="2"/>
  <c r="M934" i="2"/>
  <c r="M970" i="2"/>
  <c r="M1006" i="2"/>
  <c r="L322" i="2"/>
  <c r="L358" i="2"/>
  <c r="L394" i="2"/>
  <c r="L430" i="2"/>
  <c r="L466" i="2"/>
  <c r="L502" i="2"/>
  <c r="L538" i="2"/>
  <c r="L574" i="2"/>
  <c r="L646" i="2"/>
  <c r="L682" i="2"/>
  <c r="L718" i="2"/>
  <c r="L754" i="2"/>
  <c r="L790" i="2"/>
  <c r="L826" i="2"/>
  <c r="L862" i="2"/>
  <c r="L898" i="2"/>
  <c r="L934" i="2"/>
  <c r="L970" i="2"/>
  <c r="L1006" i="2"/>
  <c r="D608" i="2"/>
  <c r="E608" i="2"/>
  <c r="F608" i="2"/>
  <c r="G608" i="2"/>
  <c r="H608" i="2"/>
  <c r="I608" i="2"/>
  <c r="J608" i="2"/>
  <c r="K608" i="2"/>
  <c r="D572" i="2"/>
  <c r="E572" i="2"/>
  <c r="F572" i="2"/>
  <c r="G572" i="2"/>
  <c r="H572" i="2"/>
  <c r="I572" i="2"/>
  <c r="J572" i="2"/>
  <c r="K572" i="2"/>
  <c r="Y572" i="2" l="1"/>
  <c r="Y608" i="2"/>
  <c r="D1004" i="2"/>
  <c r="E1004" i="2"/>
  <c r="F1004" i="2"/>
  <c r="G1004" i="2"/>
  <c r="H1004" i="2"/>
  <c r="I1004" i="2"/>
  <c r="J1004" i="2"/>
  <c r="K1004" i="2"/>
  <c r="D968" i="2"/>
  <c r="E968" i="2"/>
  <c r="F968" i="2"/>
  <c r="G968" i="2"/>
  <c r="H968" i="2"/>
  <c r="I968" i="2"/>
  <c r="J968" i="2"/>
  <c r="K968" i="2"/>
  <c r="D932" i="2"/>
  <c r="E932" i="2"/>
  <c r="F932" i="2"/>
  <c r="G932" i="2"/>
  <c r="H932" i="2"/>
  <c r="I932" i="2"/>
  <c r="J932" i="2"/>
  <c r="K932" i="2"/>
  <c r="D896" i="2"/>
  <c r="E896" i="2"/>
  <c r="F896" i="2"/>
  <c r="G896" i="2"/>
  <c r="H896" i="2"/>
  <c r="I896" i="2"/>
  <c r="J896" i="2"/>
  <c r="K896" i="2"/>
  <c r="D860" i="2"/>
  <c r="E860" i="2"/>
  <c r="F860" i="2"/>
  <c r="G860" i="2"/>
  <c r="H860" i="2"/>
  <c r="I860" i="2"/>
  <c r="J860" i="2"/>
  <c r="K860" i="2"/>
  <c r="D824" i="2"/>
  <c r="E824" i="2"/>
  <c r="F824" i="2"/>
  <c r="G824" i="2"/>
  <c r="H824" i="2"/>
  <c r="I824" i="2"/>
  <c r="J824" i="2"/>
  <c r="K824" i="2"/>
  <c r="D788" i="2"/>
  <c r="E788" i="2"/>
  <c r="F788" i="2"/>
  <c r="G788" i="2"/>
  <c r="H788" i="2"/>
  <c r="I788" i="2"/>
  <c r="J788" i="2"/>
  <c r="K788" i="2"/>
  <c r="D752" i="2"/>
  <c r="E752" i="2"/>
  <c r="F752" i="2"/>
  <c r="G752" i="2"/>
  <c r="H752" i="2"/>
  <c r="I752" i="2"/>
  <c r="J752" i="2"/>
  <c r="K752" i="2"/>
  <c r="D716" i="2"/>
  <c r="E716" i="2"/>
  <c r="F716" i="2"/>
  <c r="G716" i="2"/>
  <c r="H716" i="2"/>
  <c r="I716" i="2"/>
  <c r="J716" i="2"/>
  <c r="K716" i="2"/>
  <c r="D680" i="2"/>
  <c r="E680" i="2"/>
  <c r="F680" i="2"/>
  <c r="G680" i="2"/>
  <c r="H680" i="2"/>
  <c r="I680" i="2"/>
  <c r="J680" i="2"/>
  <c r="K680" i="2"/>
  <c r="D644" i="2"/>
  <c r="E644" i="2"/>
  <c r="F644" i="2"/>
  <c r="G644" i="2"/>
  <c r="H644" i="2"/>
  <c r="I644" i="2"/>
  <c r="J644" i="2"/>
  <c r="K644" i="2"/>
  <c r="D639" i="2"/>
  <c r="E639" i="2"/>
  <c r="F639" i="2"/>
  <c r="G639" i="2"/>
  <c r="D603" i="2"/>
  <c r="E603" i="2"/>
  <c r="F603" i="2"/>
  <c r="G603" i="2"/>
  <c r="D567" i="2"/>
  <c r="E567" i="2"/>
  <c r="F567" i="2"/>
  <c r="G567" i="2"/>
  <c r="D536" i="2"/>
  <c r="E536" i="2"/>
  <c r="F536" i="2"/>
  <c r="G536" i="2"/>
  <c r="H536" i="2"/>
  <c r="I536" i="2"/>
  <c r="J536" i="2"/>
  <c r="K536" i="2"/>
  <c r="D500" i="2"/>
  <c r="E500" i="2"/>
  <c r="F500" i="2"/>
  <c r="G500" i="2"/>
  <c r="H500" i="2"/>
  <c r="I500" i="2"/>
  <c r="J500" i="2"/>
  <c r="K500" i="2"/>
  <c r="D531" i="2"/>
  <c r="E531" i="2"/>
  <c r="F531" i="2"/>
  <c r="G531" i="2"/>
  <c r="D495" i="2"/>
  <c r="E495" i="2"/>
  <c r="F495" i="2"/>
  <c r="G495" i="2"/>
  <c r="D464" i="2"/>
  <c r="E464" i="2"/>
  <c r="F464" i="2"/>
  <c r="G464" i="2"/>
  <c r="H464" i="2"/>
  <c r="I464" i="2"/>
  <c r="J464" i="2"/>
  <c r="K464" i="2"/>
  <c r="D428" i="2"/>
  <c r="E428" i="2"/>
  <c r="F428" i="2"/>
  <c r="G428" i="2"/>
  <c r="H428" i="2"/>
  <c r="I428" i="2"/>
  <c r="J428" i="2"/>
  <c r="K428" i="2"/>
  <c r="D392" i="2"/>
  <c r="E392" i="2"/>
  <c r="F392" i="2"/>
  <c r="G392" i="2"/>
  <c r="H392" i="2"/>
  <c r="I392" i="2"/>
  <c r="J392" i="2"/>
  <c r="K392" i="2"/>
  <c r="D356" i="2"/>
  <c r="E356" i="2"/>
  <c r="F356" i="2"/>
  <c r="G356" i="2"/>
  <c r="H356" i="2"/>
  <c r="I356" i="2"/>
  <c r="J356" i="2"/>
  <c r="K356" i="2"/>
  <c r="D284" i="2"/>
  <c r="E284" i="2"/>
  <c r="F284" i="2"/>
  <c r="G284" i="2"/>
  <c r="H284" i="2"/>
  <c r="I284" i="2"/>
  <c r="J284" i="2"/>
  <c r="K284" i="2"/>
  <c r="Y428" i="2" l="1"/>
  <c r="Y464" i="2"/>
  <c r="Y536" i="2"/>
  <c r="Y644" i="2"/>
  <c r="Y680" i="2"/>
  <c r="Y716" i="2"/>
  <c r="Y752" i="2"/>
  <c r="Y788" i="2"/>
  <c r="Y824" i="2"/>
  <c r="Y860" i="2"/>
  <c r="Y896" i="2"/>
  <c r="Y932" i="2"/>
  <c r="Y968" i="2"/>
  <c r="Y1004" i="2"/>
  <c r="Y284" i="2"/>
  <c r="Y356" i="2"/>
  <c r="Y392" i="2"/>
  <c r="Y500" i="2"/>
  <c r="Z136" i="2" l="1"/>
  <c r="Z43" i="2"/>
  <c r="Z59" i="2"/>
  <c r="Z44" i="2"/>
  <c r="Z60" i="2"/>
  <c r="Z45" i="2"/>
  <c r="Z61" i="2"/>
  <c r="Z58" i="2"/>
  <c r="Z50" i="2"/>
  <c r="Z47" i="2"/>
  <c r="Z63" i="2"/>
  <c r="Z48" i="2"/>
  <c r="Z49" i="2"/>
  <c r="Z64" i="2"/>
  <c r="Z54" i="2"/>
  <c r="Z66" i="2"/>
  <c r="Z51" i="2"/>
  <c r="Z67" i="2"/>
  <c r="Z52" i="2"/>
  <c r="Z68" i="2"/>
  <c r="Z53" i="2"/>
  <c r="Z38" i="2"/>
  <c r="Z46" i="2"/>
  <c r="Z55" i="2"/>
  <c r="Z57" i="2"/>
  <c r="Z40" i="2"/>
  <c r="Z42" i="2"/>
  <c r="Z41" i="2"/>
  <c r="Z56" i="2"/>
  <c r="Z62" i="2"/>
  <c r="Z39" i="2"/>
  <c r="Z81" i="2"/>
  <c r="Z97" i="2"/>
  <c r="Z82" i="2"/>
  <c r="Z98" i="2"/>
  <c r="Z91" i="2"/>
  <c r="Z88" i="2"/>
  <c r="Z92" i="2"/>
  <c r="Z80" i="2"/>
  <c r="Z85" i="2"/>
  <c r="Z100" i="2"/>
  <c r="Z86" i="2"/>
  <c r="Z102" i="2"/>
  <c r="Z99" i="2"/>
  <c r="Z104" i="2"/>
  <c r="Z96" i="2"/>
  <c r="Z89" i="2"/>
  <c r="Z74" i="2"/>
  <c r="Z90" i="2"/>
  <c r="Z75" i="2"/>
  <c r="Z87" i="2"/>
  <c r="Z76" i="2"/>
  <c r="Z79" i="2"/>
  <c r="Z77" i="2"/>
  <c r="Z83" i="2"/>
  <c r="Z93" i="2"/>
  <c r="Z103" i="2"/>
  <c r="Z78" i="2"/>
  <c r="Z84" i="2"/>
  <c r="Z94" i="2"/>
  <c r="Z95" i="2"/>
  <c r="Z116" i="2"/>
  <c r="Z132" i="2"/>
  <c r="Z127" i="2"/>
  <c r="Z121" i="2"/>
  <c r="Z114" i="2"/>
  <c r="Z130" i="2"/>
  <c r="Z123" i="2"/>
  <c r="Z120" i="2"/>
  <c r="Z135" i="2"/>
  <c r="Z125" i="2"/>
  <c r="Z110" i="2"/>
  <c r="Z118" i="2"/>
  <c r="Z134" i="2"/>
  <c r="Z131" i="2"/>
  <c r="Z124" i="2"/>
  <c r="Z140" i="2"/>
  <c r="Z113" i="2"/>
  <c r="Z129" i="2"/>
  <c r="Z119" i="2"/>
  <c r="Z122" i="2"/>
  <c r="Z138" i="2"/>
  <c r="Z117" i="2"/>
  <c r="Z111" i="2"/>
  <c r="Z112" i="2"/>
  <c r="Z133" i="2"/>
  <c r="Z128" i="2"/>
  <c r="Z139" i="2"/>
  <c r="Z115" i="2"/>
  <c r="Z126" i="2"/>
  <c r="Z148" i="2"/>
  <c r="Z164" i="2"/>
  <c r="Z147" i="2"/>
  <c r="Z153" i="2"/>
  <c r="Z169" i="2"/>
  <c r="Z159" i="2"/>
  <c r="Z158" i="2"/>
  <c r="Z174" i="2"/>
  <c r="Z152" i="2"/>
  <c r="Z168" i="2"/>
  <c r="Z163" i="2"/>
  <c r="Z157" i="2"/>
  <c r="Z172" i="2"/>
  <c r="Z171" i="2"/>
  <c r="Z162" i="2"/>
  <c r="Z155" i="2"/>
  <c r="Z156" i="2"/>
  <c r="Z175" i="2"/>
  <c r="Z161" i="2"/>
  <c r="Z146" i="2"/>
  <c r="Z150" i="2"/>
  <c r="Z166" i="2"/>
  <c r="Z167" i="2"/>
  <c r="Z165" i="2"/>
  <c r="Z160" i="2"/>
  <c r="Z151" i="2"/>
  <c r="Z176" i="2"/>
  <c r="Z154" i="2"/>
  <c r="Z170" i="2"/>
  <c r="Z149" i="2"/>
  <c r="Z197" i="2"/>
  <c r="Z182" i="2"/>
  <c r="Z186" i="2"/>
  <c r="Z202" i="2"/>
  <c r="Z192" i="2"/>
  <c r="Z191" i="2"/>
  <c r="Z207" i="2"/>
  <c r="Z185" i="2"/>
  <c r="Z201" i="2"/>
  <c r="Z188" i="2"/>
  <c r="Z190" i="2"/>
  <c r="Z206" i="2"/>
  <c r="Z204" i="2"/>
  <c r="Z195" i="2"/>
  <c r="Z211" i="2"/>
  <c r="Z189" i="2"/>
  <c r="Z205" i="2"/>
  <c r="Z200" i="2"/>
  <c r="Z194" i="2"/>
  <c r="Z210" i="2"/>
  <c r="Z183" i="2"/>
  <c r="Z199" i="2"/>
  <c r="Z196" i="2"/>
  <c r="Z212" i="2"/>
  <c r="Z203" i="2"/>
  <c r="Z198" i="2"/>
  <c r="Z193" i="2"/>
  <c r="Z184" i="2"/>
  <c r="Z208" i="2"/>
  <c r="Z187" i="2"/>
  <c r="Z231" i="2"/>
  <c r="Z247" i="2"/>
  <c r="Z244" i="2"/>
  <c r="Z246" i="2"/>
  <c r="Z232" i="2"/>
  <c r="Z248" i="2"/>
  <c r="Z218" i="2"/>
  <c r="Z219" i="2"/>
  <c r="Z235" i="2"/>
  <c r="Z221" i="2"/>
  <c r="Z222" i="2"/>
  <c r="Z220" i="2"/>
  <c r="Z236" i="2"/>
  <c r="Z225" i="2"/>
  <c r="Z226" i="2"/>
  <c r="Z223" i="2"/>
  <c r="Z239" i="2"/>
  <c r="Z229" i="2"/>
  <c r="Z230" i="2"/>
  <c r="Z224" i="2"/>
  <c r="Z240" i="2"/>
  <c r="Z233" i="2"/>
  <c r="Z234" i="2"/>
  <c r="Z243" i="2"/>
  <c r="Z237" i="2"/>
  <c r="Z241" i="2"/>
  <c r="Z238" i="2"/>
  <c r="Z242" i="2"/>
  <c r="Z227" i="2"/>
  <c r="Z228" i="2"/>
  <c r="Z6" i="2"/>
  <c r="Z22" i="2"/>
  <c r="Z7" i="2"/>
  <c r="Z23" i="2"/>
  <c r="Z9" i="2"/>
  <c r="Z25" i="2"/>
  <c r="Z32" i="2"/>
  <c r="Z10" i="2"/>
  <c r="Z26" i="2"/>
  <c r="Z11" i="2"/>
  <c r="Z27" i="2"/>
  <c r="Z13" i="2"/>
  <c r="Z28" i="2"/>
  <c r="Z12" i="2"/>
  <c r="Z8" i="2"/>
  <c r="Z14" i="2"/>
  <c r="Z30" i="2"/>
  <c r="Z15" i="2"/>
  <c r="Z31" i="2"/>
  <c r="Z17" i="2"/>
  <c r="Z2" i="2"/>
  <c r="Z4" i="2"/>
  <c r="Z24" i="2"/>
  <c r="Z18" i="2"/>
  <c r="Z21" i="2"/>
  <c r="Z5" i="2"/>
  <c r="Z3" i="2"/>
  <c r="Z16" i="2"/>
  <c r="Z19" i="2"/>
  <c r="Z20" i="2"/>
  <c r="E1003" i="2"/>
  <c r="F1003" i="2"/>
  <c r="G1003" i="2"/>
  <c r="H1003" i="2"/>
  <c r="I1003" i="2"/>
  <c r="J1003" i="2"/>
  <c r="K1003" i="2"/>
  <c r="D1003" i="2"/>
  <c r="E967" i="2"/>
  <c r="F967" i="2"/>
  <c r="G967" i="2"/>
  <c r="H967" i="2"/>
  <c r="I967" i="2"/>
  <c r="J967" i="2"/>
  <c r="K967" i="2"/>
  <c r="D967" i="2"/>
  <c r="E931" i="2"/>
  <c r="F931" i="2"/>
  <c r="G931" i="2"/>
  <c r="H931" i="2"/>
  <c r="I931" i="2"/>
  <c r="J931" i="2"/>
  <c r="K931" i="2"/>
  <c r="D931" i="2"/>
  <c r="E895" i="2"/>
  <c r="F895" i="2"/>
  <c r="G895" i="2"/>
  <c r="H895" i="2"/>
  <c r="I895" i="2"/>
  <c r="J895" i="2"/>
  <c r="K895" i="2"/>
  <c r="D895" i="2"/>
  <c r="E859" i="2"/>
  <c r="F859" i="2"/>
  <c r="G859" i="2"/>
  <c r="H859" i="2"/>
  <c r="I859" i="2"/>
  <c r="J859" i="2"/>
  <c r="K859" i="2"/>
  <c r="D859" i="2"/>
  <c r="E823" i="2"/>
  <c r="F823" i="2"/>
  <c r="G823" i="2"/>
  <c r="H823" i="2"/>
  <c r="I823" i="2"/>
  <c r="J823" i="2"/>
  <c r="K823" i="2"/>
  <c r="D823" i="2"/>
  <c r="E787" i="2"/>
  <c r="F787" i="2"/>
  <c r="G787" i="2"/>
  <c r="H787" i="2"/>
  <c r="I787" i="2"/>
  <c r="J787" i="2"/>
  <c r="K787" i="2"/>
  <c r="D787" i="2"/>
  <c r="E751" i="2"/>
  <c r="F751" i="2"/>
  <c r="G751" i="2"/>
  <c r="H751" i="2"/>
  <c r="I751" i="2"/>
  <c r="J751" i="2"/>
  <c r="K751" i="2"/>
  <c r="D751" i="2"/>
  <c r="E715" i="2"/>
  <c r="F715" i="2"/>
  <c r="G715" i="2"/>
  <c r="H715" i="2"/>
  <c r="I715" i="2"/>
  <c r="J715" i="2"/>
  <c r="K715" i="2"/>
  <c r="D715" i="2"/>
  <c r="E679" i="2"/>
  <c r="F679" i="2"/>
  <c r="G679" i="2"/>
  <c r="H679" i="2"/>
  <c r="I679" i="2"/>
  <c r="J679" i="2"/>
  <c r="K679" i="2"/>
  <c r="D679" i="2"/>
  <c r="E643" i="2"/>
  <c r="F643" i="2"/>
  <c r="G643" i="2"/>
  <c r="H643" i="2"/>
  <c r="I643" i="2"/>
  <c r="J643" i="2"/>
  <c r="K643" i="2"/>
  <c r="D643" i="2"/>
  <c r="E607" i="2"/>
  <c r="F607" i="2"/>
  <c r="G607" i="2"/>
  <c r="H607" i="2"/>
  <c r="I607" i="2"/>
  <c r="J607" i="2"/>
  <c r="K607" i="2"/>
  <c r="D607" i="2"/>
  <c r="E571" i="2"/>
  <c r="F571" i="2"/>
  <c r="G571" i="2"/>
  <c r="H571" i="2"/>
  <c r="I571" i="2"/>
  <c r="J571" i="2"/>
  <c r="K571" i="2"/>
  <c r="D571" i="2"/>
  <c r="E535" i="2"/>
  <c r="F535" i="2"/>
  <c r="G535" i="2"/>
  <c r="H535" i="2"/>
  <c r="I535" i="2"/>
  <c r="J535" i="2"/>
  <c r="K535" i="2"/>
  <c r="D535" i="2"/>
  <c r="E499" i="2"/>
  <c r="F499" i="2"/>
  <c r="G499" i="2"/>
  <c r="H499" i="2"/>
  <c r="I499" i="2"/>
  <c r="J499" i="2"/>
  <c r="K499" i="2"/>
  <c r="D499" i="2"/>
  <c r="E463" i="2"/>
  <c r="F463" i="2"/>
  <c r="G463" i="2"/>
  <c r="H463" i="2"/>
  <c r="I463" i="2"/>
  <c r="J463" i="2"/>
  <c r="K463" i="2"/>
  <c r="D463" i="2"/>
  <c r="E427" i="2"/>
  <c r="F427" i="2"/>
  <c r="G427" i="2"/>
  <c r="H427" i="2"/>
  <c r="I427" i="2"/>
  <c r="J427" i="2"/>
  <c r="K427" i="2"/>
  <c r="D427" i="2"/>
  <c r="E391" i="2"/>
  <c r="F391" i="2"/>
  <c r="G391" i="2"/>
  <c r="H391" i="2"/>
  <c r="I391" i="2"/>
  <c r="J391" i="2"/>
  <c r="K391" i="2"/>
  <c r="D391" i="2"/>
  <c r="E355" i="2"/>
  <c r="F355" i="2"/>
  <c r="G355" i="2"/>
  <c r="H355" i="2"/>
  <c r="I355" i="2"/>
  <c r="J355" i="2"/>
  <c r="K355" i="2"/>
  <c r="D355" i="2"/>
  <c r="E319" i="2"/>
  <c r="F319" i="2"/>
  <c r="G319" i="2"/>
  <c r="H319" i="2"/>
  <c r="I319" i="2"/>
  <c r="J319" i="2"/>
  <c r="K319" i="2"/>
  <c r="D319" i="2"/>
  <c r="E283" i="2"/>
  <c r="F283" i="2"/>
  <c r="G283" i="2"/>
  <c r="H283" i="2"/>
  <c r="I283" i="2"/>
  <c r="J283" i="2"/>
  <c r="K283" i="2"/>
  <c r="D283" i="2"/>
  <c r="Y283" i="2" l="1"/>
  <c r="Y319" i="2"/>
  <c r="Y355" i="2"/>
  <c r="Y391" i="2"/>
  <c r="Y427" i="2"/>
  <c r="Y463" i="2"/>
  <c r="Y499" i="2"/>
  <c r="Y535" i="2"/>
  <c r="Y571" i="2"/>
  <c r="Y607" i="2"/>
  <c r="Y643" i="2"/>
  <c r="Y679" i="2"/>
  <c r="Y715" i="2"/>
  <c r="Y751" i="2"/>
  <c r="Y787" i="2"/>
  <c r="Y823" i="2"/>
  <c r="Y859" i="2"/>
  <c r="Y895" i="2"/>
  <c r="Y931" i="2"/>
  <c r="Y967" i="2"/>
  <c r="Y1003" i="2"/>
  <c r="K1002" i="2"/>
  <c r="J1002" i="2"/>
  <c r="I1002" i="2"/>
  <c r="H1002" i="2"/>
  <c r="G1002" i="2"/>
  <c r="F1002" i="2"/>
  <c r="E1002" i="2"/>
  <c r="D1002" i="2"/>
  <c r="K1000" i="2"/>
  <c r="J1000" i="2"/>
  <c r="I1000" i="2"/>
  <c r="H1000" i="2"/>
  <c r="G1000" i="2"/>
  <c r="F1000" i="2"/>
  <c r="E1000" i="2"/>
  <c r="D1000" i="2"/>
  <c r="K999" i="2"/>
  <c r="J999" i="2"/>
  <c r="I999" i="2"/>
  <c r="H999" i="2"/>
  <c r="G999" i="2"/>
  <c r="F999" i="2"/>
  <c r="E999" i="2"/>
  <c r="D999" i="2"/>
  <c r="K998" i="2"/>
  <c r="J998" i="2"/>
  <c r="I998" i="2"/>
  <c r="H998" i="2"/>
  <c r="G998" i="2"/>
  <c r="F998" i="2"/>
  <c r="E998" i="2"/>
  <c r="D998" i="2"/>
  <c r="K997" i="2"/>
  <c r="J997" i="2"/>
  <c r="I997" i="2"/>
  <c r="H997" i="2"/>
  <c r="G997" i="2"/>
  <c r="F997" i="2"/>
  <c r="E997" i="2"/>
  <c r="D997" i="2"/>
  <c r="K996" i="2"/>
  <c r="J996" i="2"/>
  <c r="I996" i="2"/>
  <c r="H996" i="2"/>
  <c r="G996" i="2"/>
  <c r="F996" i="2"/>
  <c r="E996" i="2"/>
  <c r="D996" i="2"/>
  <c r="K995" i="2"/>
  <c r="J995" i="2"/>
  <c r="I995" i="2"/>
  <c r="H995" i="2"/>
  <c r="G995" i="2"/>
  <c r="F995" i="2"/>
  <c r="E995" i="2"/>
  <c r="D995" i="2"/>
  <c r="K994" i="2"/>
  <c r="J994" i="2"/>
  <c r="I994" i="2"/>
  <c r="H994" i="2"/>
  <c r="G994" i="2"/>
  <c r="F994" i="2"/>
  <c r="E994" i="2"/>
  <c r="D994" i="2"/>
  <c r="K993" i="2"/>
  <c r="J993" i="2"/>
  <c r="I993" i="2"/>
  <c r="H993" i="2"/>
  <c r="G993" i="2"/>
  <c r="F993" i="2"/>
  <c r="E993" i="2"/>
  <c r="D993" i="2"/>
  <c r="K992" i="2"/>
  <c r="J992" i="2"/>
  <c r="I992" i="2"/>
  <c r="H992" i="2"/>
  <c r="G992" i="2"/>
  <c r="F992" i="2"/>
  <c r="E992" i="2"/>
  <c r="D992" i="2"/>
  <c r="K991" i="2"/>
  <c r="J991" i="2"/>
  <c r="I991" i="2"/>
  <c r="H991" i="2"/>
  <c r="G991" i="2"/>
  <c r="F991" i="2"/>
  <c r="E991" i="2"/>
  <c r="D991" i="2"/>
  <c r="K990" i="2"/>
  <c r="J990" i="2"/>
  <c r="I990" i="2"/>
  <c r="H990" i="2"/>
  <c r="G990" i="2"/>
  <c r="F990" i="2"/>
  <c r="E990" i="2"/>
  <c r="D990" i="2"/>
  <c r="K989" i="2"/>
  <c r="J989" i="2"/>
  <c r="I989" i="2"/>
  <c r="H989" i="2"/>
  <c r="G989" i="2"/>
  <c r="F989" i="2"/>
  <c r="E989" i="2"/>
  <c r="D989" i="2"/>
  <c r="K988" i="2"/>
  <c r="J988" i="2"/>
  <c r="I988" i="2"/>
  <c r="H988" i="2"/>
  <c r="G988" i="2"/>
  <c r="F988" i="2"/>
  <c r="E988" i="2"/>
  <c r="D988" i="2"/>
  <c r="K987" i="2"/>
  <c r="J987" i="2"/>
  <c r="I987" i="2"/>
  <c r="H987" i="2"/>
  <c r="G987" i="2"/>
  <c r="F987" i="2"/>
  <c r="E987" i="2"/>
  <c r="D987" i="2"/>
  <c r="K986" i="2"/>
  <c r="J986" i="2"/>
  <c r="I986" i="2"/>
  <c r="H986" i="2"/>
  <c r="G986" i="2"/>
  <c r="F986" i="2"/>
  <c r="E986" i="2"/>
  <c r="D986" i="2"/>
  <c r="K985" i="2"/>
  <c r="J985" i="2"/>
  <c r="I985" i="2"/>
  <c r="H985" i="2"/>
  <c r="G985" i="2"/>
  <c r="F985" i="2"/>
  <c r="E985" i="2"/>
  <c r="D985" i="2"/>
  <c r="K984" i="2"/>
  <c r="J984" i="2"/>
  <c r="I984" i="2"/>
  <c r="H984" i="2"/>
  <c r="G984" i="2"/>
  <c r="F984" i="2"/>
  <c r="E984" i="2"/>
  <c r="D984" i="2"/>
  <c r="K983" i="2"/>
  <c r="J983" i="2"/>
  <c r="I983" i="2"/>
  <c r="H983" i="2"/>
  <c r="G983" i="2"/>
  <c r="F983" i="2"/>
  <c r="E983" i="2"/>
  <c r="D983" i="2"/>
  <c r="K982" i="2"/>
  <c r="J982" i="2"/>
  <c r="I982" i="2"/>
  <c r="H982" i="2"/>
  <c r="G982" i="2"/>
  <c r="F982" i="2"/>
  <c r="E982" i="2"/>
  <c r="D982" i="2"/>
  <c r="K981" i="2"/>
  <c r="J981" i="2"/>
  <c r="I981" i="2"/>
  <c r="H981" i="2"/>
  <c r="G981" i="2"/>
  <c r="F981" i="2"/>
  <c r="E981" i="2"/>
  <c r="D981" i="2"/>
  <c r="K980" i="2"/>
  <c r="J980" i="2"/>
  <c r="I980" i="2"/>
  <c r="H980" i="2"/>
  <c r="G980" i="2"/>
  <c r="F980" i="2"/>
  <c r="E980" i="2"/>
  <c r="D980" i="2"/>
  <c r="K979" i="2"/>
  <c r="J979" i="2"/>
  <c r="I979" i="2"/>
  <c r="H979" i="2"/>
  <c r="G979" i="2"/>
  <c r="F979" i="2"/>
  <c r="E979" i="2"/>
  <c r="D979" i="2"/>
  <c r="K978" i="2"/>
  <c r="J978" i="2"/>
  <c r="I978" i="2"/>
  <c r="H978" i="2"/>
  <c r="G978" i="2"/>
  <c r="F978" i="2"/>
  <c r="E978" i="2"/>
  <c r="D978" i="2"/>
  <c r="K977" i="2"/>
  <c r="J977" i="2"/>
  <c r="I977" i="2"/>
  <c r="H977" i="2"/>
  <c r="G977" i="2"/>
  <c r="F977" i="2"/>
  <c r="E977" i="2"/>
  <c r="D977" i="2"/>
  <c r="K976" i="2"/>
  <c r="J976" i="2"/>
  <c r="I976" i="2"/>
  <c r="H976" i="2"/>
  <c r="G976" i="2"/>
  <c r="F976" i="2"/>
  <c r="E976" i="2"/>
  <c r="D976" i="2"/>
  <c r="K975" i="2"/>
  <c r="J975" i="2"/>
  <c r="I975" i="2"/>
  <c r="H975" i="2"/>
  <c r="G975" i="2"/>
  <c r="F975" i="2"/>
  <c r="E975" i="2"/>
  <c r="D975" i="2"/>
  <c r="K974" i="2"/>
  <c r="K1006" i="2" s="1"/>
  <c r="J974" i="2"/>
  <c r="J1006" i="2" s="1"/>
  <c r="I974" i="2"/>
  <c r="I1006" i="2" s="1"/>
  <c r="H974" i="2"/>
  <c r="H1006" i="2" s="1"/>
  <c r="G974" i="2"/>
  <c r="G1006" i="2" s="1"/>
  <c r="F974" i="2"/>
  <c r="F1006" i="2" s="1"/>
  <c r="E974" i="2"/>
  <c r="E1006" i="2" s="1"/>
  <c r="D974" i="2"/>
  <c r="D1006" i="2" s="1"/>
  <c r="K966" i="2"/>
  <c r="J966" i="2"/>
  <c r="I966" i="2"/>
  <c r="H966" i="2"/>
  <c r="G966" i="2"/>
  <c r="F966" i="2"/>
  <c r="E966" i="2"/>
  <c r="D966" i="2"/>
  <c r="K964" i="2"/>
  <c r="J964" i="2"/>
  <c r="I964" i="2"/>
  <c r="H964" i="2"/>
  <c r="G964" i="2"/>
  <c r="F964" i="2"/>
  <c r="E964" i="2"/>
  <c r="D964" i="2"/>
  <c r="K963" i="2"/>
  <c r="J963" i="2"/>
  <c r="I963" i="2"/>
  <c r="H963" i="2"/>
  <c r="G963" i="2"/>
  <c r="F963" i="2"/>
  <c r="E963" i="2"/>
  <c r="D963" i="2"/>
  <c r="K962" i="2"/>
  <c r="J962" i="2"/>
  <c r="I962" i="2"/>
  <c r="H962" i="2"/>
  <c r="G962" i="2"/>
  <c r="F962" i="2"/>
  <c r="E962" i="2"/>
  <c r="D962" i="2"/>
  <c r="K961" i="2"/>
  <c r="J961" i="2"/>
  <c r="I961" i="2"/>
  <c r="H961" i="2"/>
  <c r="G961" i="2"/>
  <c r="F961" i="2"/>
  <c r="E961" i="2"/>
  <c r="D961" i="2"/>
  <c r="K960" i="2"/>
  <c r="J960" i="2"/>
  <c r="I960" i="2"/>
  <c r="H960" i="2"/>
  <c r="G960" i="2"/>
  <c r="F960" i="2"/>
  <c r="E960" i="2"/>
  <c r="D960" i="2"/>
  <c r="K959" i="2"/>
  <c r="J959" i="2"/>
  <c r="I959" i="2"/>
  <c r="H959" i="2"/>
  <c r="G959" i="2"/>
  <c r="F959" i="2"/>
  <c r="E959" i="2"/>
  <c r="D959" i="2"/>
  <c r="K958" i="2"/>
  <c r="J958" i="2"/>
  <c r="I958" i="2"/>
  <c r="H958" i="2"/>
  <c r="G958" i="2"/>
  <c r="F958" i="2"/>
  <c r="E958" i="2"/>
  <c r="D958" i="2"/>
  <c r="K957" i="2"/>
  <c r="J957" i="2"/>
  <c r="I957" i="2"/>
  <c r="H957" i="2"/>
  <c r="G957" i="2"/>
  <c r="F957" i="2"/>
  <c r="E957" i="2"/>
  <c r="D957" i="2"/>
  <c r="K956" i="2"/>
  <c r="J956" i="2"/>
  <c r="I956" i="2"/>
  <c r="H956" i="2"/>
  <c r="G956" i="2"/>
  <c r="F956" i="2"/>
  <c r="E956" i="2"/>
  <c r="D956" i="2"/>
  <c r="K955" i="2"/>
  <c r="J955" i="2"/>
  <c r="I955" i="2"/>
  <c r="H955" i="2"/>
  <c r="G955" i="2"/>
  <c r="F955" i="2"/>
  <c r="E955" i="2"/>
  <c r="D955" i="2"/>
  <c r="K954" i="2"/>
  <c r="J954" i="2"/>
  <c r="I954" i="2"/>
  <c r="H954" i="2"/>
  <c r="G954" i="2"/>
  <c r="F954" i="2"/>
  <c r="E954" i="2"/>
  <c r="D954" i="2"/>
  <c r="K953" i="2"/>
  <c r="J953" i="2"/>
  <c r="I953" i="2"/>
  <c r="H953" i="2"/>
  <c r="G953" i="2"/>
  <c r="F953" i="2"/>
  <c r="E953" i="2"/>
  <c r="D953" i="2"/>
  <c r="K952" i="2"/>
  <c r="J952" i="2"/>
  <c r="I952" i="2"/>
  <c r="H952" i="2"/>
  <c r="G952" i="2"/>
  <c r="F952" i="2"/>
  <c r="E952" i="2"/>
  <c r="D952" i="2"/>
  <c r="K951" i="2"/>
  <c r="J951" i="2"/>
  <c r="I951" i="2"/>
  <c r="H951" i="2"/>
  <c r="G951" i="2"/>
  <c r="F951" i="2"/>
  <c r="E951" i="2"/>
  <c r="D951" i="2"/>
  <c r="K950" i="2"/>
  <c r="J950" i="2"/>
  <c r="I950" i="2"/>
  <c r="H950" i="2"/>
  <c r="G950" i="2"/>
  <c r="F950" i="2"/>
  <c r="E950" i="2"/>
  <c r="D950" i="2"/>
  <c r="K949" i="2"/>
  <c r="J949" i="2"/>
  <c r="I949" i="2"/>
  <c r="H949" i="2"/>
  <c r="G949" i="2"/>
  <c r="F949" i="2"/>
  <c r="E949" i="2"/>
  <c r="D949" i="2"/>
  <c r="K948" i="2"/>
  <c r="J948" i="2"/>
  <c r="I948" i="2"/>
  <c r="H948" i="2"/>
  <c r="G948" i="2"/>
  <c r="F948" i="2"/>
  <c r="E948" i="2"/>
  <c r="D948" i="2"/>
  <c r="K947" i="2"/>
  <c r="J947" i="2"/>
  <c r="I947" i="2"/>
  <c r="H947" i="2"/>
  <c r="G947" i="2"/>
  <c r="F947" i="2"/>
  <c r="E947" i="2"/>
  <c r="D947" i="2"/>
  <c r="K946" i="2"/>
  <c r="J946" i="2"/>
  <c r="I946" i="2"/>
  <c r="H946" i="2"/>
  <c r="G946" i="2"/>
  <c r="F946" i="2"/>
  <c r="E946" i="2"/>
  <c r="D946" i="2"/>
  <c r="K945" i="2"/>
  <c r="J945" i="2"/>
  <c r="I945" i="2"/>
  <c r="H945" i="2"/>
  <c r="G945" i="2"/>
  <c r="F945" i="2"/>
  <c r="E945" i="2"/>
  <c r="D945" i="2"/>
  <c r="K944" i="2"/>
  <c r="J944" i="2"/>
  <c r="I944" i="2"/>
  <c r="H944" i="2"/>
  <c r="G944" i="2"/>
  <c r="F944" i="2"/>
  <c r="E944" i="2"/>
  <c r="D944" i="2"/>
  <c r="K943" i="2"/>
  <c r="J943" i="2"/>
  <c r="I943" i="2"/>
  <c r="H943" i="2"/>
  <c r="G943" i="2"/>
  <c r="F943" i="2"/>
  <c r="E943" i="2"/>
  <c r="D943" i="2"/>
  <c r="K942" i="2"/>
  <c r="J942" i="2"/>
  <c r="I942" i="2"/>
  <c r="H942" i="2"/>
  <c r="G942" i="2"/>
  <c r="F942" i="2"/>
  <c r="E942" i="2"/>
  <c r="D942" i="2"/>
  <c r="K941" i="2"/>
  <c r="J941" i="2"/>
  <c r="I941" i="2"/>
  <c r="H941" i="2"/>
  <c r="G941" i="2"/>
  <c r="F941" i="2"/>
  <c r="E941" i="2"/>
  <c r="D941" i="2"/>
  <c r="K940" i="2"/>
  <c r="J940" i="2"/>
  <c r="I940" i="2"/>
  <c r="H940" i="2"/>
  <c r="G940" i="2"/>
  <c r="F940" i="2"/>
  <c r="E940" i="2"/>
  <c r="D940" i="2"/>
  <c r="K939" i="2"/>
  <c r="J939" i="2"/>
  <c r="I939" i="2"/>
  <c r="H939" i="2"/>
  <c r="G939" i="2"/>
  <c r="F939" i="2"/>
  <c r="E939" i="2"/>
  <c r="D939" i="2"/>
  <c r="K938" i="2"/>
  <c r="K970" i="2" s="1"/>
  <c r="J938" i="2"/>
  <c r="J970" i="2" s="1"/>
  <c r="I938" i="2"/>
  <c r="I970" i="2" s="1"/>
  <c r="H938" i="2"/>
  <c r="H970" i="2" s="1"/>
  <c r="G938" i="2"/>
  <c r="G970" i="2" s="1"/>
  <c r="F938" i="2"/>
  <c r="F970" i="2" s="1"/>
  <c r="E938" i="2"/>
  <c r="E970" i="2" s="1"/>
  <c r="D938" i="2"/>
  <c r="D970" i="2" s="1"/>
  <c r="K930" i="2"/>
  <c r="J930" i="2"/>
  <c r="I930" i="2"/>
  <c r="H930" i="2"/>
  <c r="G930" i="2"/>
  <c r="F930" i="2"/>
  <c r="E930" i="2"/>
  <c r="D930" i="2"/>
  <c r="K928" i="2"/>
  <c r="J928" i="2"/>
  <c r="I928" i="2"/>
  <c r="H928" i="2"/>
  <c r="G928" i="2"/>
  <c r="F928" i="2"/>
  <c r="E928" i="2"/>
  <c r="D928" i="2"/>
  <c r="K927" i="2"/>
  <c r="J927" i="2"/>
  <c r="I927" i="2"/>
  <c r="H927" i="2"/>
  <c r="G927" i="2"/>
  <c r="F927" i="2"/>
  <c r="E927" i="2"/>
  <c r="D927" i="2"/>
  <c r="K926" i="2"/>
  <c r="J926" i="2"/>
  <c r="I926" i="2"/>
  <c r="H926" i="2"/>
  <c r="G926" i="2"/>
  <c r="F926" i="2"/>
  <c r="E926" i="2"/>
  <c r="D926" i="2"/>
  <c r="K925" i="2"/>
  <c r="J925" i="2"/>
  <c r="I925" i="2"/>
  <c r="H925" i="2"/>
  <c r="G925" i="2"/>
  <c r="F925" i="2"/>
  <c r="E925" i="2"/>
  <c r="D925" i="2"/>
  <c r="K924" i="2"/>
  <c r="J924" i="2"/>
  <c r="I924" i="2"/>
  <c r="H924" i="2"/>
  <c r="G924" i="2"/>
  <c r="F924" i="2"/>
  <c r="E924" i="2"/>
  <c r="D924" i="2"/>
  <c r="K923" i="2"/>
  <c r="J923" i="2"/>
  <c r="I923" i="2"/>
  <c r="H923" i="2"/>
  <c r="G923" i="2"/>
  <c r="F923" i="2"/>
  <c r="E923" i="2"/>
  <c r="D923" i="2"/>
  <c r="K922" i="2"/>
  <c r="J922" i="2"/>
  <c r="I922" i="2"/>
  <c r="H922" i="2"/>
  <c r="G922" i="2"/>
  <c r="F922" i="2"/>
  <c r="E922" i="2"/>
  <c r="D922" i="2"/>
  <c r="K921" i="2"/>
  <c r="J921" i="2"/>
  <c r="I921" i="2"/>
  <c r="H921" i="2"/>
  <c r="G921" i="2"/>
  <c r="F921" i="2"/>
  <c r="E921" i="2"/>
  <c r="D921" i="2"/>
  <c r="K920" i="2"/>
  <c r="J920" i="2"/>
  <c r="I920" i="2"/>
  <c r="H920" i="2"/>
  <c r="G920" i="2"/>
  <c r="F920" i="2"/>
  <c r="E920" i="2"/>
  <c r="D920" i="2"/>
  <c r="K919" i="2"/>
  <c r="J919" i="2"/>
  <c r="I919" i="2"/>
  <c r="H919" i="2"/>
  <c r="G919" i="2"/>
  <c r="F919" i="2"/>
  <c r="E919" i="2"/>
  <c r="D919" i="2"/>
  <c r="K918" i="2"/>
  <c r="J918" i="2"/>
  <c r="I918" i="2"/>
  <c r="H918" i="2"/>
  <c r="G918" i="2"/>
  <c r="F918" i="2"/>
  <c r="E918" i="2"/>
  <c r="D918" i="2"/>
  <c r="K917" i="2"/>
  <c r="J917" i="2"/>
  <c r="I917" i="2"/>
  <c r="H917" i="2"/>
  <c r="G917" i="2"/>
  <c r="F917" i="2"/>
  <c r="E917" i="2"/>
  <c r="D917" i="2"/>
  <c r="K916" i="2"/>
  <c r="J916" i="2"/>
  <c r="I916" i="2"/>
  <c r="H916" i="2"/>
  <c r="G916" i="2"/>
  <c r="F916" i="2"/>
  <c r="E916" i="2"/>
  <c r="D916" i="2"/>
  <c r="K915" i="2"/>
  <c r="J915" i="2"/>
  <c r="I915" i="2"/>
  <c r="H915" i="2"/>
  <c r="G915" i="2"/>
  <c r="F915" i="2"/>
  <c r="E915" i="2"/>
  <c r="D915" i="2"/>
  <c r="K914" i="2"/>
  <c r="J914" i="2"/>
  <c r="I914" i="2"/>
  <c r="H914" i="2"/>
  <c r="G914" i="2"/>
  <c r="F914" i="2"/>
  <c r="E914" i="2"/>
  <c r="D914" i="2"/>
  <c r="K913" i="2"/>
  <c r="J913" i="2"/>
  <c r="I913" i="2"/>
  <c r="H913" i="2"/>
  <c r="G913" i="2"/>
  <c r="F913" i="2"/>
  <c r="E913" i="2"/>
  <c r="D913" i="2"/>
  <c r="K912" i="2"/>
  <c r="J912" i="2"/>
  <c r="I912" i="2"/>
  <c r="H912" i="2"/>
  <c r="G912" i="2"/>
  <c r="F912" i="2"/>
  <c r="E912" i="2"/>
  <c r="D912" i="2"/>
  <c r="K911" i="2"/>
  <c r="J911" i="2"/>
  <c r="I911" i="2"/>
  <c r="H911" i="2"/>
  <c r="G911" i="2"/>
  <c r="F911" i="2"/>
  <c r="E911" i="2"/>
  <c r="D911" i="2"/>
  <c r="K910" i="2"/>
  <c r="J910" i="2"/>
  <c r="I910" i="2"/>
  <c r="H910" i="2"/>
  <c r="G910" i="2"/>
  <c r="F910" i="2"/>
  <c r="E910" i="2"/>
  <c r="D910" i="2"/>
  <c r="K909" i="2"/>
  <c r="J909" i="2"/>
  <c r="I909" i="2"/>
  <c r="H909" i="2"/>
  <c r="G909" i="2"/>
  <c r="F909" i="2"/>
  <c r="E909" i="2"/>
  <c r="D909" i="2"/>
  <c r="K908" i="2"/>
  <c r="J908" i="2"/>
  <c r="I908" i="2"/>
  <c r="H908" i="2"/>
  <c r="G908" i="2"/>
  <c r="F908" i="2"/>
  <c r="E908" i="2"/>
  <c r="D908" i="2"/>
  <c r="K907" i="2"/>
  <c r="J907" i="2"/>
  <c r="I907" i="2"/>
  <c r="H907" i="2"/>
  <c r="G907" i="2"/>
  <c r="F907" i="2"/>
  <c r="E907" i="2"/>
  <c r="D907" i="2"/>
  <c r="K906" i="2"/>
  <c r="J906" i="2"/>
  <c r="I906" i="2"/>
  <c r="H906" i="2"/>
  <c r="G906" i="2"/>
  <c r="F906" i="2"/>
  <c r="E906" i="2"/>
  <c r="D906" i="2"/>
  <c r="K905" i="2"/>
  <c r="J905" i="2"/>
  <c r="I905" i="2"/>
  <c r="H905" i="2"/>
  <c r="G905" i="2"/>
  <c r="F905" i="2"/>
  <c r="E905" i="2"/>
  <c r="D905" i="2"/>
  <c r="K904" i="2"/>
  <c r="J904" i="2"/>
  <c r="I904" i="2"/>
  <c r="H904" i="2"/>
  <c r="G904" i="2"/>
  <c r="F904" i="2"/>
  <c r="E904" i="2"/>
  <c r="D904" i="2"/>
  <c r="K903" i="2"/>
  <c r="J903" i="2"/>
  <c r="I903" i="2"/>
  <c r="H903" i="2"/>
  <c r="G903" i="2"/>
  <c r="F903" i="2"/>
  <c r="E903" i="2"/>
  <c r="D903" i="2"/>
  <c r="K902" i="2"/>
  <c r="K934" i="2" s="1"/>
  <c r="J902" i="2"/>
  <c r="J934" i="2" s="1"/>
  <c r="I902" i="2"/>
  <c r="I934" i="2" s="1"/>
  <c r="H902" i="2"/>
  <c r="H934" i="2" s="1"/>
  <c r="G902" i="2"/>
  <c r="G934" i="2" s="1"/>
  <c r="F902" i="2"/>
  <c r="F934" i="2" s="1"/>
  <c r="E902" i="2"/>
  <c r="E934" i="2" s="1"/>
  <c r="D902" i="2"/>
  <c r="D934" i="2" s="1"/>
  <c r="K894" i="2"/>
  <c r="J894" i="2"/>
  <c r="I894" i="2"/>
  <c r="H894" i="2"/>
  <c r="G894" i="2"/>
  <c r="F894" i="2"/>
  <c r="E894" i="2"/>
  <c r="D894" i="2"/>
  <c r="K892" i="2"/>
  <c r="J892" i="2"/>
  <c r="I892" i="2"/>
  <c r="H892" i="2"/>
  <c r="G892" i="2"/>
  <c r="F892" i="2"/>
  <c r="E892" i="2"/>
  <c r="D892" i="2"/>
  <c r="K891" i="2"/>
  <c r="J891" i="2"/>
  <c r="I891" i="2"/>
  <c r="H891" i="2"/>
  <c r="G891" i="2"/>
  <c r="F891" i="2"/>
  <c r="E891" i="2"/>
  <c r="D891" i="2"/>
  <c r="K890" i="2"/>
  <c r="J890" i="2"/>
  <c r="I890" i="2"/>
  <c r="H890" i="2"/>
  <c r="G890" i="2"/>
  <c r="F890" i="2"/>
  <c r="E890" i="2"/>
  <c r="D890" i="2"/>
  <c r="K889" i="2"/>
  <c r="J889" i="2"/>
  <c r="I889" i="2"/>
  <c r="H889" i="2"/>
  <c r="G889" i="2"/>
  <c r="F889" i="2"/>
  <c r="E889" i="2"/>
  <c r="D889" i="2"/>
  <c r="K888" i="2"/>
  <c r="J888" i="2"/>
  <c r="I888" i="2"/>
  <c r="H888" i="2"/>
  <c r="G888" i="2"/>
  <c r="F888" i="2"/>
  <c r="E888" i="2"/>
  <c r="D888" i="2"/>
  <c r="K887" i="2"/>
  <c r="J887" i="2"/>
  <c r="I887" i="2"/>
  <c r="H887" i="2"/>
  <c r="G887" i="2"/>
  <c r="F887" i="2"/>
  <c r="E887" i="2"/>
  <c r="D887" i="2"/>
  <c r="K886" i="2"/>
  <c r="J886" i="2"/>
  <c r="I886" i="2"/>
  <c r="H886" i="2"/>
  <c r="G886" i="2"/>
  <c r="F886" i="2"/>
  <c r="E886" i="2"/>
  <c r="D886" i="2"/>
  <c r="K885" i="2"/>
  <c r="J885" i="2"/>
  <c r="I885" i="2"/>
  <c r="H885" i="2"/>
  <c r="G885" i="2"/>
  <c r="F885" i="2"/>
  <c r="E885" i="2"/>
  <c r="D885" i="2"/>
  <c r="K884" i="2"/>
  <c r="J884" i="2"/>
  <c r="I884" i="2"/>
  <c r="H884" i="2"/>
  <c r="G884" i="2"/>
  <c r="F884" i="2"/>
  <c r="E884" i="2"/>
  <c r="D884" i="2"/>
  <c r="K883" i="2"/>
  <c r="J883" i="2"/>
  <c r="I883" i="2"/>
  <c r="H883" i="2"/>
  <c r="G883" i="2"/>
  <c r="F883" i="2"/>
  <c r="E883" i="2"/>
  <c r="D883" i="2"/>
  <c r="K882" i="2"/>
  <c r="J882" i="2"/>
  <c r="I882" i="2"/>
  <c r="H882" i="2"/>
  <c r="G882" i="2"/>
  <c r="F882" i="2"/>
  <c r="E882" i="2"/>
  <c r="D882" i="2"/>
  <c r="K881" i="2"/>
  <c r="J881" i="2"/>
  <c r="I881" i="2"/>
  <c r="H881" i="2"/>
  <c r="G881" i="2"/>
  <c r="F881" i="2"/>
  <c r="E881" i="2"/>
  <c r="D881" i="2"/>
  <c r="K880" i="2"/>
  <c r="J880" i="2"/>
  <c r="I880" i="2"/>
  <c r="H880" i="2"/>
  <c r="G880" i="2"/>
  <c r="F880" i="2"/>
  <c r="E880" i="2"/>
  <c r="D880" i="2"/>
  <c r="K879" i="2"/>
  <c r="J879" i="2"/>
  <c r="I879" i="2"/>
  <c r="H879" i="2"/>
  <c r="G879" i="2"/>
  <c r="F879" i="2"/>
  <c r="E879" i="2"/>
  <c r="D879" i="2"/>
  <c r="K878" i="2"/>
  <c r="J878" i="2"/>
  <c r="I878" i="2"/>
  <c r="H878" i="2"/>
  <c r="G878" i="2"/>
  <c r="F878" i="2"/>
  <c r="E878" i="2"/>
  <c r="D878" i="2"/>
  <c r="K877" i="2"/>
  <c r="J877" i="2"/>
  <c r="I877" i="2"/>
  <c r="H877" i="2"/>
  <c r="G877" i="2"/>
  <c r="F877" i="2"/>
  <c r="E877" i="2"/>
  <c r="D877" i="2"/>
  <c r="K876" i="2"/>
  <c r="J876" i="2"/>
  <c r="I876" i="2"/>
  <c r="H876" i="2"/>
  <c r="G876" i="2"/>
  <c r="F876" i="2"/>
  <c r="E876" i="2"/>
  <c r="D876" i="2"/>
  <c r="K875" i="2"/>
  <c r="J875" i="2"/>
  <c r="I875" i="2"/>
  <c r="H875" i="2"/>
  <c r="G875" i="2"/>
  <c r="F875" i="2"/>
  <c r="E875" i="2"/>
  <c r="D875" i="2"/>
  <c r="K874" i="2"/>
  <c r="J874" i="2"/>
  <c r="I874" i="2"/>
  <c r="H874" i="2"/>
  <c r="G874" i="2"/>
  <c r="F874" i="2"/>
  <c r="E874" i="2"/>
  <c r="D874" i="2"/>
  <c r="K873" i="2"/>
  <c r="J873" i="2"/>
  <c r="I873" i="2"/>
  <c r="H873" i="2"/>
  <c r="G873" i="2"/>
  <c r="F873" i="2"/>
  <c r="E873" i="2"/>
  <c r="D873" i="2"/>
  <c r="K872" i="2"/>
  <c r="J872" i="2"/>
  <c r="I872" i="2"/>
  <c r="H872" i="2"/>
  <c r="G872" i="2"/>
  <c r="F872" i="2"/>
  <c r="E872" i="2"/>
  <c r="D872" i="2"/>
  <c r="K871" i="2"/>
  <c r="J871" i="2"/>
  <c r="I871" i="2"/>
  <c r="H871" i="2"/>
  <c r="G871" i="2"/>
  <c r="F871" i="2"/>
  <c r="E871" i="2"/>
  <c r="D871" i="2"/>
  <c r="K870" i="2"/>
  <c r="J870" i="2"/>
  <c r="I870" i="2"/>
  <c r="H870" i="2"/>
  <c r="G870" i="2"/>
  <c r="F870" i="2"/>
  <c r="E870" i="2"/>
  <c r="D870" i="2"/>
  <c r="K869" i="2"/>
  <c r="J869" i="2"/>
  <c r="I869" i="2"/>
  <c r="H869" i="2"/>
  <c r="G869" i="2"/>
  <c r="F869" i="2"/>
  <c r="E869" i="2"/>
  <c r="D869" i="2"/>
  <c r="K868" i="2"/>
  <c r="J868" i="2"/>
  <c r="I868" i="2"/>
  <c r="H868" i="2"/>
  <c r="G868" i="2"/>
  <c r="F868" i="2"/>
  <c r="E868" i="2"/>
  <c r="D868" i="2"/>
  <c r="K867" i="2"/>
  <c r="J867" i="2"/>
  <c r="I867" i="2"/>
  <c r="H867" i="2"/>
  <c r="G867" i="2"/>
  <c r="F867" i="2"/>
  <c r="E867" i="2"/>
  <c r="D867" i="2"/>
  <c r="K866" i="2"/>
  <c r="K898" i="2" s="1"/>
  <c r="J866" i="2"/>
  <c r="J898" i="2" s="1"/>
  <c r="I866" i="2"/>
  <c r="I898" i="2" s="1"/>
  <c r="H866" i="2"/>
  <c r="H898" i="2" s="1"/>
  <c r="G866" i="2"/>
  <c r="G898" i="2" s="1"/>
  <c r="F866" i="2"/>
  <c r="F898" i="2" s="1"/>
  <c r="E866" i="2"/>
  <c r="E898" i="2" s="1"/>
  <c r="D866" i="2"/>
  <c r="D898" i="2" s="1"/>
  <c r="K858" i="2"/>
  <c r="J858" i="2"/>
  <c r="I858" i="2"/>
  <c r="H858" i="2"/>
  <c r="G858" i="2"/>
  <c r="F858" i="2"/>
  <c r="E858" i="2"/>
  <c r="D858" i="2"/>
  <c r="K856" i="2"/>
  <c r="J856" i="2"/>
  <c r="I856" i="2"/>
  <c r="H856" i="2"/>
  <c r="G856" i="2"/>
  <c r="F856" i="2"/>
  <c r="E856" i="2"/>
  <c r="D856" i="2"/>
  <c r="K855" i="2"/>
  <c r="J855" i="2"/>
  <c r="I855" i="2"/>
  <c r="H855" i="2"/>
  <c r="G855" i="2"/>
  <c r="F855" i="2"/>
  <c r="E855" i="2"/>
  <c r="D855" i="2"/>
  <c r="K854" i="2"/>
  <c r="J854" i="2"/>
  <c r="I854" i="2"/>
  <c r="H854" i="2"/>
  <c r="G854" i="2"/>
  <c r="F854" i="2"/>
  <c r="E854" i="2"/>
  <c r="D854" i="2"/>
  <c r="K853" i="2"/>
  <c r="J853" i="2"/>
  <c r="I853" i="2"/>
  <c r="H853" i="2"/>
  <c r="G853" i="2"/>
  <c r="F853" i="2"/>
  <c r="E853" i="2"/>
  <c r="D853" i="2"/>
  <c r="K852" i="2"/>
  <c r="J852" i="2"/>
  <c r="I852" i="2"/>
  <c r="H852" i="2"/>
  <c r="G852" i="2"/>
  <c r="F852" i="2"/>
  <c r="E852" i="2"/>
  <c r="D852" i="2"/>
  <c r="K851" i="2"/>
  <c r="J851" i="2"/>
  <c r="I851" i="2"/>
  <c r="H851" i="2"/>
  <c r="G851" i="2"/>
  <c r="F851" i="2"/>
  <c r="E851" i="2"/>
  <c r="D851" i="2"/>
  <c r="K850" i="2"/>
  <c r="J850" i="2"/>
  <c r="I850" i="2"/>
  <c r="H850" i="2"/>
  <c r="G850" i="2"/>
  <c r="F850" i="2"/>
  <c r="E850" i="2"/>
  <c r="D850" i="2"/>
  <c r="K849" i="2"/>
  <c r="J849" i="2"/>
  <c r="I849" i="2"/>
  <c r="H849" i="2"/>
  <c r="G849" i="2"/>
  <c r="F849" i="2"/>
  <c r="E849" i="2"/>
  <c r="D849" i="2"/>
  <c r="K848" i="2"/>
  <c r="J848" i="2"/>
  <c r="I848" i="2"/>
  <c r="H848" i="2"/>
  <c r="G848" i="2"/>
  <c r="F848" i="2"/>
  <c r="E848" i="2"/>
  <c r="D848" i="2"/>
  <c r="K847" i="2"/>
  <c r="J847" i="2"/>
  <c r="I847" i="2"/>
  <c r="H847" i="2"/>
  <c r="G847" i="2"/>
  <c r="F847" i="2"/>
  <c r="E847" i="2"/>
  <c r="D847" i="2"/>
  <c r="K846" i="2"/>
  <c r="J846" i="2"/>
  <c r="I846" i="2"/>
  <c r="H846" i="2"/>
  <c r="G846" i="2"/>
  <c r="F846" i="2"/>
  <c r="E846" i="2"/>
  <c r="D846" i="2"/>
  <c r="K845" i="2"/>
  <c r="J845" i="2"/>
  <c r="I845" i="2"/>
  <c r="H845" i="2"/>
  <c r="G845" i="2"/>
  <c r="F845" i="2"/>
  <c r="E845" i="2"/>
  <c r="D845" i="2"/>
  <c r="K844" i="2"/>
  <c r="J844" i="2"/>
  <c r="I844" i="2"/>
  <c r="H844" i="2"/>
  <c r="G844" i="2"/>
  <c r="F844" i="2"/>
  <c r="E844" i="2"/>
  <c r="D844" i="2"/>
  <c r="K843" i="2"/>
  <c r="J843" i="2"/>
  <c r="I843" i="2"/>
  <c r="H843" i="2"/>
  <c r="G843" i="2"/>
  <c r="F843" i="2"/>
  <c r="E843" i="2"/>
  <c r="D843" i="2"/>
  <c r="K842" i="2"/>
  <c r="J842" i="2"/>
  <c r="I842" i="2"/>
  <c r="H842" i="2"/>
  <c r="G842" i="2"/>
  <c r="F842" i="2"/>
  <c r="E842" i="2"/>
  <c r="D842" i="2"/>
  <c r="K841" i="2"/>
  <c r="J841" i="2"/>
  <c r="I841" i="2"/>
  <c r="H841" i="2"/>
  <c r="G841" i="2"/>
  <c r="F841" i="2"/>
  <c r="E841" i="2"/>
  <c r="D841" i="2"/>
  <c r="K840" i="2"/>
  <c r="J840" i="2"/>
  <c r="I840" i="2"/>
  <c r="H840" i="2"/>
  <c r="G840" i="2"/>
  <c r="F840" i="2"/>
  <c r="E840" i="2"/>
  <c r="D840" i="2"/>
  <c r="K839" i="2"/>
  <c r="J839" i="2"/>
  <c r="I839" i="2"/>
  <c r="H839" i="2"/>
  <c r="G839" i="2"/>
  <c r="F839" i="2"/>
  <c r="E839" i="2"/>
  <c r="D839" i="2"/>
  <c r="K838" i="2"/>
  <c r="J838" i="2"/>
  <c r="I838" i="2"/>
  <c r="H838" i="2"/>
  <c r="G838" i="2"/>
  <c r="F838" i="2"/>
  <c r="E838" i="2"/>
  <c r="D838" i="2"/>
  <c r="K837" i="2"/>
  <c r="J837" i="2"/>
  <c r="I837" i="2"/>
  <c r="H837" i="2"/>
  <c r="G837" i="2"/>
  <c r="F837" i="2"/>
  <c r="E837" i="2"/>
  <c r="D837" i="2"/>
  <c r="K836" i="2"/>
  <c r="J836" i="2"/>
  <c r="I836" i="2"/>
  <c r="H836" i="2"/>
  <c r="G836" i="2"/>
  <c r="F836" i="2"/>
  <c r="E836" i="2"/>
  <c r="D836" i="2"/>
  <c r="K835" i="2"/>
  <c r="J835" i="2"/>
  <c r="I835" i="2"/>
  <c r="H835" i="2"/>
  <c r="G835" i="2"/>
  <c r="F835" i="2"/>
  <c r="E835" i="2"/>
  <c r="D835" i="2"/>
  <c r="K834" i="2"/>
  <c r="J834" i="2"/>
  <c r="I834" i="2"/>
  <c r="H834" i="2"/>
  <c r="G834" i="2"/>
  <c r="F834" i="2"/>
  <c r="E834" i="2"/>
  <c r="D834" i="2"/>
  <c r="K833" i="2"/>
  <c r="J833" i="2"/>
  <c r="I833" i="2"/>
  <c r="H833" i="2"/>
  <c r="G833" i="2"/>
  <c r="F833" i="2"/>
  <c r="E833" i="2"/>
  <c r="D833" i="2"/>
  <c r="K832" i="2"/>
  <c r="J832" i="2"/>
  <c r="I832" i="2"/>
  <c r="H832" i="2"/>
  <c r="G832" i="2"/>
  <c r="F832" i="2"/>
  <c r="E832" i="2"/>
  <c r="D832" i="2"/>
  <c r="K831" i="2"/>
  <c r="J831" i="2"/>
  <c r="I831" i="2"/>
  <c r="H831" i="2"/>
  <c r="G831" i="2"/>
  <c r="F831" i="2"/>
  <c r="E831" i="2"/>
  <c r="D831" i="2"/>
  <c r="K830" i="2"/>
  <c r="K862" i="2" s="1"/>
  <c r="J830" i="2"/>
  <c r="J862" i="2" s="1"/>
  <c r="I830" i="2"/>
  <c r="I862" i="2" s="1"/>
  <c r="H830" i="2"/>
  <c r="H862" i="2" s="1"/>
  <c r="G830" i="2"/>
  <c r="G862" i="2" s="1"/>
  <c r="F830" i="2"/>
  <c r="F862" i="2" s="1"/>
  <c r="E830" i="2"/>
  <c r="E862" i="2" s="1"/>
  <c r="D830" i="2"/>
  <c r="D862" i="2" s="1"/>
  <c r="K822" i="2"/>
  <c r="J822" i="2"/>
  <c r="I822" i="2"/>
  <c r="H822" i="2"/>
  <c r="G822" i="2"/>
  <c r="F822" i="2"/>
  <c r="E822" i="2"/>
  <c r="D822" i="2"/>
  <c r="K820" i="2"/>
  <c r="J820" i="2"/>
  <c r="I820" i="2"/>
  <c r="H820" i="2"/>
  <c r="G820" i="2"/>
  <c r="F820" i="2"/>
  <c r="E820" i="2"/>
  <c r="D820" i="2"/>
  <c r="K819" i="2"/>
  <c r="J819" i="2"/>
  <c r="I819" i="2"/>
  <c r="H819" i="2"/>
  <c r="G819" i="2"/>
  <c r="F819" i="2"/>
  <c r="E819" i="2"/>
  <c r="D819" i="2"/>
  <c r="K818" i="2"/>
  <c r="J818" i="2"/>
  <c r="I818" i="2"/>
  <c r="H818" i="2"/>
  <c r="G818" i="2"/>
  <c r="F818" i="2"/>
  <c r="E818" i="2"/>
  <c r="D818" i="2"/>
  <c r="K817" i="2"/>
  <c r="J817" i="2"/>
  <c r="I817" i="2"/>
  <c r="H817" i="2"/>
  <c r="G817" i="2"/>
  <c r="F817" i="2"/>
  <c r="E817" i="2"/>
  <c r="D817" i="2"/>
  <c r="K816" i="2"/>
  <c r="J816" i="2"/>
  <c r="I816" i="2"/>
  <c r="H816" i="2"/>
  <c r="G816" i="2"/>
  <c r="F816" i="2"/>
  <c r="E816" i="2"/>
  <c r="D816" i="2"/>
  <c r="K815" i="2"/>
  <c r="J815" i="2"/>
  <c r="I815" i="2"/>
  <c r="H815" i="2"/>
  <c r="G815" i="2"/>
  <c r="F815" i="2"/>
  <c r="E815" i="2"/>
  <c r="D815" i="2"/>
  <c r="K814" i="2"/>
  <c r="J814" i="2"/>
  <c r="I814" i="2"/>
  <c r="H814" i="2"/>
  <c r="G814" i="2"/>
  <c r="F814" i="2"/>
  <c r="E814" i="2"/>
  <c r="D814" i="2"/>
  <c r="K813" i="2"/>
  <c r="J813" i="2"/>
  <c r="I813" i="2"/>
  <c r="H813" i="2"/>
  <c r="G813" i="2"/>
  <c r="F813" i="2"/>
  <c r="E813" i="2"/>
  <c r="D813" i="2"/>
  <c r="K812" i="2"/>
  <c r="J812" i="2"/>
  <c r="I812" i="2"/>
  <c r="H812" i="2"/>
  <c r="G812" i="2"/>
  <c r="F812" i="2"/>
  <c r="E812" i="2"/>
  <c r="D812" i="2"/>
  <c r="K811" i="2"/>
  <c r="J811" i="2"/>
  <c r="I811" i="2"/>
  <c r="H811" i="2"/>
  <c r="G811" i="2"/>
  <c r="F811" i="2"/>
  <c r="E811" i="2"/>
  <c r="D811" i="2"/>
  <c r="K810" i="2"/>
  <c r="J810" i="2"/>
  <c r="I810" i="2"/>
  <c r="H810" i="2"/>
  <c r="G810" i="2"/>
  <c r="F810" i="2"/>
  <c r="E810" i="2"/>
  <c r="D810" i="2"/>
  <c r="K809" i="2"/>
  <c r="J809" i="2"/>
  <c r="I809" i="2"/>
  <c r="H809" i="2"/>
  <c r="G809" i="2"/>
  <c r="F809" i="2"/>
  <c r="E809" i="2"/>
  <c r="D809" i="2"/>
  <c r="K808" i="2"/>
  <c r="J808" i="2"/>
  <c r="I808" i="2"/>
  <c r="H808" i="2"/>
  <c r="G808" i="2"/>
  <c r="F808" i="2"/>
  <c r="E808" i="2"/>
  <c r="D808" i="2"/>
  <c r="K807" i="2"/>
  <c r="J807" i="2"/>
  <c r="I807" i="2"/>
  <c r="H807" i="2"/>
  <c r="G807" i="2"/>
  <c r="F807" i="2"/>
  <c r="E807" i="2"/>
  <c r="D807" i="2"/>
  <c r="K806" i="2"/>
  <c r="J806" i="2"/>
  <c r="I806" i="2"/>
  <c r="H806" i="2"/>
  <c r="G806" i="2"/>
  <c r="F806" i="2"/>
  <c r="E806" i="2"/>
  <c r="D806" i="2"/>
  <c r="K805" i="2"/>
  <c r="J805" i="2"/>
  <c r="I805" i="2"/>
  <c r="H805" i="2"/>
  <c r="G805" i="2"/>
  <c r="F805" i="2"/>
  <c r="E805" i="2"/>
  <c r="D805" i="2"/>
  <c r="K804" i="2"/>
  <c r="J804" i="2"/>
  <c r="I804" i="2"/>
  <c r="H804" i="2"/>
  <c r="G804" i="2"/>
  <c r="F804" i="2"/>
  <c r="E804" i="2"/>
  <c r="D804" i="2"/>
  <c r="K803" i="2"/>
  <c r="J803" i="2"/>
  <c r="I803" i="2"/>
  <c r="H803" i="2"/>
  <c r="G803" i="2"/>
  <c r="F803" i="2"/>
  <c r="E803" i="2"/>
  <c r="D803" i="2"/>
  <c r="K802" i="2"/>
  <c r="J802" i="2"/>
  <c r="I802" i="2"/>
  <c r="H802" i="2"/>
  <c r="G802" i="2"/>
  <c r="F802" i="2"/>
  <c r="E802" i="2"/>
  <c r="D802" i="2"/>
  <c r="K801" i="2"/>
  <c r="J801" i="2"/>
  <c r="I801" i="2"/>
  <c r="H801" i="2"/>
  <c r="G801" i="2"/>
  <c r="F801" i="2"/>
  <c r="E801" i="2"/>
  <c r="D801" i="2"/>
  <c r="K800" i="2"/>
  <c r="J800" i="2"/>
  <c r="I800" i="2"/>
  <c r="H800" i="2"/>
  <c r="G800" i="2"/>
  <c r="F800" i="2"/>
  <c r="E800" i="2"/>
  <c r="D800" i="2"/>
  <c r="K799" i="2"/>
  <c r="J799" i="2"/>
  <c r="I799" i="2"/>
  <c r="H799" i="2"/>
  <c r="G799" i="2"/>
  <c r="F799" i="2"/>
  <c r="E799" i="2"/>
  <c r="D799" i="2"/>
  <c r="K798" i="2"/>
  <c r="J798" i="2"/>
  <c r="I798" i="2"/>
  <c r="H798" i="2"/>
  <c r="G798" i="2"/>
  <c r="F798" i="2"/>
  <c r="E798" i="2"/>
  <c r="D798" i="2"/>
  <c r="K797" i="2"/>
  <c r="J797" i="2"/>
  <c r="I797" i="2"/>
  <c r="H797" i="2"/>
  <c r="G797" i="2"/>
  <c r="F797" i="2"/>
  <c r="E797" i="2"/>
  <c r="D797" i="2"/>
  <c r="K796" i="2"/>
  <c r="J796" i="2"/>
  <c r="I796" i="2"/>
  <c r="H796" i="2"/>
  <c r="G796" i="2"/>
  <c r="F796" i="2"/>
  <c r="E796" i="2"/>
  <c r="D796" i="2"/>
  <c r="K795" i="2"/>
  <c r="J795" i="2"/>
  <c r="I795" i="2"/>
  <c r="H795" i="2"/>
  <c r="G795" i="2"/>
  <c r="F795" i="2"/>
  <c r="E795" i="2"/>
  <c r="D795" i="2"/>
  <c r="K794" i="2"/>
  <c r="K826" i="2" s="1"/>
  <c r="J794" i="2"/>
  <c r="J826" i="2" s="1"/>
  <c r="I794" i="2"/>
  <c r="I826" i="2" s="1"/>
  <c r="H794" i="2"/>
  <c r="H826" i="2" s="1"/>
  <c r="G794" i="2"/>
  <c r="G826" i="2" s="1"/>
  <c r="F794" i="2"/>
  <c r="F826" i="2" s="1"/>
  <c r="E794" i="2"/>
  <c r="E826" i="2" s="1"/>
  <c r="D794" i="2"/>
  <c r="D826" i="2" s="1"/>
  <c r="K786" i="2"/>
  <c r="J786" i="2"/>
  <c r="I786" i="2"/>
  <c r="H786" i="2"/>
  <c r="G786" i="2"/>
  <c r="F786" i="2"/>
  <c r="E786" i="2"/>
  <c r="D786" i="2"/>
  <c r="K784" i="2"/>
  <c r="J784" i="2"/>
  <c r="I784" i="2"/>
  <c r="H784" i="2"/>
  <c r="G784" i="2"/>
  <c r="F784" i="2"/>
  <c r="E784" i="2"/>
  <c r="D784" i="2"/>
  <c r="K783" i="2"/>
  <c r="J783" i="2"/>
  <c r="I783" i="2"/>
  <c r="H783" i="2"/>
  <c r="G783" i="2"/>
  <c r="F783" i="2"/>
  <c r="E783" i="2"/>
  <c r="D783" i="2"/>
  <c r="K782" i="2"/>
  <c r="J782" i="2"/>
  <c r="I782" i="2"/>
  <c r="H782" i="2"/>
  <c r="G782" i="2"/>
  <c r="F782" i="2"/>
  <c r="E782" i="2"/>
  <c r="D782" i="2"/>
  <c r="K781" i="2"/>
  <c r="J781" i="2"/>
  <c r="I781" i="2"/>
  <c r="H781" i="2"/>
  <c r="G781" i="2"/>
  <c r="F781" i="2"/>
  <c r="E781" i="2"/>
  <c r="D781" i="2"/>
  <c r="K780" i="2"/>
  <c r="J780" i="2"/>
  <c r="I780" i="2"/>
  <c r="H780" i="2"/>
  <c r="G780" i="2"/>
  <c r="F780" i="2"/>
  <c r="E780" i="2"/>
  <c r="D780" i="2"/>
  <c r="K779" i="2"/>
  <c r="J779" i="2"/>
  <c r="I779" i="2"/>
  <c r="H779" i="2"/>
  <c r="G779" i="2"/>
  <c r="F779" i="2"/>
  <c r="E779" i="2"/>
  <c r="D779" i="2"/>
  <c r="K778" i="2"/>
  <c r="J778" i="2"/>
  <c r="I778" i="2"/>
  <c r="H778" i="2"/>
  <c r="G778" i="2"/>
  <c r="F778" i="2"/>
  <c r="E778" i="2"/>
  <c r="D778" i="2"/>
  <c r="K777" i="2"/>
  <c r="J777" i="2"/>
  <c r="I777" i="2"/>
  <c r="H777" i="2"/>
  <c r="G777" i="2"/>
  <c r="F777" i="2"/>
  <c r="E777" i="2"/>
  <c r="D777" i="2"/>
  <c r="K776" i="2"/>
  <c r="J776" i="2"/>
  <c r="I776" i="2"/>
  <c r="H776" i="2"/>
  <c r="G776" i="2"/>
  <c r="F776" i="2"/>
  <c r="E776" i="2"/>
  <c r="D776" i="2"/>
  <c r="K775" i="2"/>
  <c r="J775" i="2"/>
  <c r="I775" i="2"/>
  <c r="H775" i="2"/>
  <c r="G775" i="2"/>
  <c r="F775" i="2"/>
  <c r="E775" i="2"/>
  <c r="D775" i="2"/>
  <c r="K774" i="2"/>
  <c r="J774" i="2"/>
  <c r="I774" i="2"/>
  <c r="H774" i="2"/>
  <c r="G774" i="2"/>
  <c r="F774" i="2"/>
  <c r="E774" i="2"/>
  <c r="D774" i="2"/>
  <c r="K773" i="2"/>
  <c r="J773" i="2"/>
  <c r="I773" i="2"/>
  <c r="H773" i="2"/>
  <c r="G773" i="2"/>
  <c r="F773" i="2"/>
  <c r="E773" i="2"/>
  <c r="D773" i="2"/>
  <c r="K772" i="2"/>
  <c r="J772" i="2"/>
  <c r="I772" i="2"/>
  <c r="H772" i="2"/>
  <c r="G772" i="2"/>
  <c r="F772" i="2"/>
  <c r="E772" i="2"/>
  <c r="D772" i="2"/>
  <c r="K771" i="2"/>
  <c r="J771" i="2"/>
  <c r="I771" i="2"/>
  <c r="H771" i="2"/>
  <c r="G771" i="2"/>
  <c r="F771" i="2"/>
  <c r="E771" i="2"/>
  <c r="D771" i="2"/>
  <c r="K770" i="2"/>
  <c r="J770" i="2"/>
  <c r="I770" i="2"/>
  <c r="H770" i="2"/>
  <c r="G770" i="2"/>
  <c r="F770" i="2"/>
  <c r="E770" i="2"/>
  <c r="D770" i="2"/>
  <c r="K769" i="2"/>
  <c r="J769" i="2"/>
  <c r="I769" i="2"/>
  <c r="H769" i="2"/>
  <c r="G769" i="2"/>
  <c r="F769" i="2"/>
  <c r="E769" i="2"/>
  <c r="D769" i="2"/>
  <c r="K768" i="2"/>
  <c r="J768" i="2"/>
  <c r="I768" i="2"/>
  <c r="H768" i="2"/>
  <c r="G768" i="2"/>
  <c r="F768" i="2"/>
  <c r="E768" i="2"/>
  <c r="D768" i="2"/>
  <c r="K767" i="2"/>
  <c r="J767" i="2"/>
  <c r="I767" i="2"/>
  <c r="H767" i="2"/>
  <c r="G767" i="2"/>
  <c r="F767" i="2"/>
  <c r="E767" i="2"/>
  <c r="D767" i="2"/>
  <c r="K766" i="2"/>
  <c r="J766" i="2"/>
  <c r="I766" i="2"/>
  <c r="H766" i="2"/>
  <c r="G766" i="2"/>
  <c r="F766" i="2"/>
  <c r="E766" i="2"/>
  <c r="D766" i="2"/>
  <c r="K765" i="2"/>
  <c r="J765" i="2"/>
  <c r="I765" i="2"/>
  <c r="H765" i="2"/>
  <c r="G765" i="2"/>
  <c r="F765" i="2"/>
  <c r="E765" i="2"/>
  <c r="D765" i="2"/>
  <c r="K764" i="2"/>
  <c r="J764" i="2"/>
  <c r="I764" i="2"/>
  <c r="H764" i="2"/>
  <c r="G764" i="2"/>
  <c r="F764" i="2"/>
  <c r="E764" i="2"/>
  <c r="D764" i="2"/>
  <c r="K763" i="2"/>
  <c r="J763" i="2"/>
  <c r="I763" i="2"/>
  <c r="H763" i="2"/>
  <c r="G763" i="2"/>
  <c r="F763" i="2"/>
  <c r="E763" i="2"/>
  <c r="D763" i="2"/>
  <c r="K762" i="2"/>
  <c r="J762" i="2"/>
  <c r="I762" i="2"/>
  <c r="H762" i="2"/>
  <c r="G762" i="2"/>
  <c r="F762" i="2"/>
  <c r="E762" i="2"/>
  <c r="D762" i="2"/>
  <c r="K761" i="2"/>
  <c r="J761" i="2"/>
  <c r="I761" i="2"/>
  <c r="H761" i="2"/>
  <c r="G761" i="2"/>
  <c r="F761" i="2"/>
  <c r="E761" i="2"/>
  <c r="D761" i="2"/>
  <c r="K760" i="2"/>
  <c r="J760" i="2"/>
  <c r="I760" i="2"/>
  <c r="H760" i="2"/>
  <c r="G760" i="2"/>
  <c r="F760" i="2"/>
  <c r="E760" i="2"/>
  <c r="D760" i="2"/>
  <c r="K759" i="2"/>
  <c r="J759" i="2"/>
  <c r="I759" i="2"/>
  <c r="H759" i="2"/>
  <c r="G759" i="2"/>
  <c r="F759" i="2"/>
  <c r="E759" i="2"/>
  <c r="D759" i="2"/>
  <c r="K758" i="2"/>
  <c r="K790" i="2" s="1"/>
  <c r="J758" i="2"/>
  <c r="J790" i="2" s="1"/>
  <c r="I758" i="2"/>
  <c r="I790" i="2" s="1"/>
  <c r="H758" i="2"/>
  <c r="H790" i="2" s="1"/>
  <c r="G758" i="2"/>
  <c r="G790" i="2" s="1"/>
  <c r="F758" i="2"/>
  <c r="F790" i="2" s="1"/>
  <c r="E758" i="2"/>
  <c r="E790" i="2" s="1"/>
  <c r="D758" i="2"/>
  <c r="D790" i="2" s="1"/>
  <c r="K750" i="2"/>
  <c r="J750" i="2"/>
  <c r="I750" i="2"/>
  <c r="H750" i="2"/>
  <c r="G750" i="2"/>
  <c r="F750" i="2"/>
  <c r="E750" i="2"/>
  <c r="D750" i="2"/>
  <c r="K748" i="2"/>
  <c r="J748" i="2"/>
  <c r="I748" i="2"/>
  <c r="H748" i="2"/>
  <c r="G748" i="2"/>
  <c r="F748" i="2"/>
  <c r="E748" i="2"/>
  <c r="D748" i="2"/>
  <c r="K747" i="2"/>
  <c r="J747" i="2"/>
  <c r="I747" i="2"/>
  <c r="H747" i="2"/>
  <c r="G747" i="2"/>
  <c r="F747" i="2"/>
  <c r="E747" i="2"/>
  <c r="D747" i="2"/>
  <c r="K746" i="2"/>
  <c r="J746" i="2"/>
  <c r="I746" i="2"/>
  <c r="H746" i="2"/>
  <c r="G746" i="2"/>
  <c r="F746" i="2"/>
  <c r="E746" i="2"/>
  <c r="D746" i="2"/>
  <c r="K745" i="2"/>
  <c r="J745" i="2"/>
  <c r="I745" i="2"/>
  <c r="H745" i="2"/>
  <c r="G745" i="2"/>
  <c r="F745" i="2"/>
  <c r="E745" i="2"/>
  <c r="D745" i="2"/>
  <c r="K744" i="2"/>
  <c r="J744" i="2"/>
  <c r="I744" i="2"/>
  <c r="H744" i="2"/>
  <c r="G744" i="2"/>
  <c r="F744" i="2"/>
  <c r="E744" i="2"/>
  <c r="D744" i="2"/>
  <c r="K743" i="2"/>
  <c r="J743" i="2"/>
  <c r="I743" i="2"/>
  <c r="H743" i="2"/>
  <c r="G743" i="2"/>
  <c r="F743" i="2"/>
  <c r="E743" i="2"/>
  <c r="D743" i="2"/>
  <c r="K742" i="2"/>
  <c r="J742" i="2"/>
  <c r="I742" i="2"/>
  <c r="H742" i="2"/>
  <c r="G742" i="2"/>
  <c r="F742" i="2"/>
  <c r="E742" i="2"/>
  <c r="D742" i="2"/>
  <c r="K741" i="2"/>
  <c r="J741" i="2"/>
  <c r="I741" i="2"/>
  <c r="H741" i="2"/>
  <c r="G741" i="2"/>
  <c r="F741" i="2"/>
  <c r="E741" i="2"/>
  <c r="D741" i="2"/>
  <c r="K740" i="2"/>
  <c r="J740" i="2"/>
  <c r="I740" i="2"/>
  <c r="H740" i="2"/>
  <c r="G740" i="2"/>
  <c r="F740" i="2"/>
  <c r="E740" i="2"/>
  <c r="D740" i="2"/>
  <c r="K739" i="2"/>
  <c r="J739" i="2"/>
  <c r="I739" i="2"/>
  <c r="H739" i="2"/>
  <c r="G739" i="2"/>
  <c r="F739" i="2"/>
  <c r="E739" i="2"/>
  <c r="D739" i="2"/>
  <c r="K738" i="2"/>
  <c r="J738" i="2"/>
  <c r="I738" i="2"/>
  <c r="H738" i="2"/>
  <c r="G738" i="2"/>
  <c r="F738" i="2"/>
  <c r="E738" i="2"/>
  <c r="D738" i="2"/>
  <c r="K737" i="2"/>
  <c r="J737" i="2"/>
  <c r="I737" i="2"/>
  <c r="H737" i="2"/>
  <c r="G737" i="2"/>
  <c r="F737" i="2"/>
  <c r="E737" i="2"/>
  <c r="D737" i="2"/>
  <c r="K736" i="2"/>
  <c r="J736" i="2"/>
  <c r="I736" i="2"/>
  <c r="H736" i="2"/>
  <c r="G736" i="2"/>
  <c r="F736" i="2"/>
  <c r="E736" i="2"/>
  <c r="D736" i="2"/>
  <c r="K735" i="2"/>
  <c r="J735" i="2"/>
  <c r="I735" i="2"/>
  <c r="H735" i="2"/>
  <c r="G735" i="2"/>
  <c r="F735" i="2"/>
  <c r="E735" i="2"/>
  <c r="D735" i="2"/>
  <c r="K734" i="2"/>
  <c r="J734" i="2"/>
  <c r="I734" i="2"/>
  <c r="H734" i="2"/>
  <c r="G734" i="2"/>
  <c r="F734" i="2"/>
  <c r="E734" i="2"/>
  <c r="D734" i="2"/>
  <c r="K733" i="2"/>
  <c r="J733" i="2"/>
  <c r="I733" i="2"/>
  <c r="H733" i="2"/>
  <c r="G733" i="2"/>
  <c r="F733" i="2"/>
  <c r="E733" i="2"/>
  <c r="D733" i="2"/>
  <c r="K732" i="2"/>
  <c r="J732" i="2"/>
  <c r="I732" i="2"/>
  <c r="H732" i="2"/>
  <c r="G732" i="2"/>
  <c r="F732" i="2"/>
  <c r="E732" i="2"/>
  <c r="D732" i="2"/>
  <c r="K731" i="2"/>
  <c r="J731" i="2"/>
  <c r="I731" i="2"/>
  <c r="H731" i="2"/>
  <c r="G731" i="2"/>
  <c r="F731" i="2"/>
  <c r="E731" i="2"/>
  <c r="D731" i="2"/>
  <c r="K730" i="2"/>
  <c r="J730" i="2"/>
  <c r="I730" i="2"/>
  <c r="H730" i="2"/>
  <c r="G730" i="2"/>
  <c r="F730" i="2"/>
  <c r="E730" i="2"/>
  <c r="D730" i="2"/>
  <c r="K729" i="2"/>
  <c r="J729" i="2"/>
  <c r="I729" i="2"/>
  <c r="H729" i="2"/>
  <c r="G729" i="2"/>
  <c r="F729" i="2"/>
  <c r="E729" i="2"/>
  <c r="D729" i="2"/>
  <c r="K728" i="2"/>
  <c r="J728" i="2"/>
  <c r="I728" i="2"/>
  <c r="H728" i="2"/>
  <c r="G728" i="2"/>
  <c r="F728" i="2"/>
  <c r="E728" i="2"/>
  <c r="D728" i="2"/>
  <c r="K727" i="2"/>
  <c r="J727" i="2"/>
  <c r="I727" i="2"/>
  <c r="H727" i="2"/>
  <c r="G727" i="2"/>
  <c r="F727" i="2"/>
  <c r="E727" i="2"/>
  <c r="D727" i="2"/>
  <c r="K726" i="2"/>
  <c r="J726" i="2"/>
  <c r="I726" i="2"/>
  <c r="H726" i="2"/>
  <c r="G726" i="2"/>
  <c r="F726" i="2"/>
  <c r="E726" i="2"/>
  <c r="D726" i="2"/>
  <c r="K725" i="2"/>
  <c r="J725" i="2"/>
  <c r="I725" i="2"/>
  <c r="H725" i="2"/>
  <c r="G725" i="2"/>
  <c r="F725" i="2"/>
  <c r="E725" i="2"/>
  <c r="D725" i="2"/>
  <c r="K724" i="2"/>
  <c r="J724" i="2"/>
  <c r="I724" i="2"/>
  <c r="H724" i="2"/>
  <c r="G724" i="2"/>
  <c r="F724" i="2"/>
  <c r="E724" i="2"/>
  <c r="D724" i="2"/>
  <c r="K723" i="2"/>
  <c r="J723" i="2"/>
  <c r="I723" i="2"/>
  <c r="H723" i="2"/>
  <c r="G723" i="2"/>
  <c r="F723" i="2"/>
  <c r="E723" i="2"/>
  <c r="D723" i="2"/>
  <c r="K722" i="2"/>
  <c r="K754" i="2" s="1"/>
  <c r="J722" i="2"/>
  <c r="J754" i="2" s="1"/>
  <c r="I722" i="2"/>
  <c r="I754" i="2" s="1"/>
  <c r="H722" i="2"/>
  <c r="H754" i="2" s="1"/>
  <c r="G722" i="2"/>
  <c r="G754" i="2" s="1"/>
  <c r="F722" i="2"/>
  <c r="F754" i="2" s="1"/>
  <c r="E722" i="2"/>
  <c r="E754" i="2" s="1"/>
  <c r="D722" i="2"/>
  <c r="D754" i="2" s="1"/>
  <c r="K714" i="2"/>
  <c r="J714" i="2"/>
  <c r="I714" i="2"/>
  <c r="H714" i="2"/>
  <c r="G714" i="2"/>
  <c r="F714" i="2"/>
  <c r="E714" i="2"/>
  <c r="D714" i="2"/>
  <c r="K712" i="2"/>
  <c r="J712" i="2"/>
  <c r="I712" i="2"/>
  <c r="H712" i="2"/>
  <c r="G712" i="2"/>
  <c r="F712" i="2"/>
  <c r="E712" i="2"/>
  <c r="D712" i="2"/>
  <c r="K711" i="2"/>
  <c r="J711" i="2"/>
  <c r="I711" i="2"/>
  <c r="H711" i="2"/>
  <c r="G711" i="2"/>
  <c r="F711" i="2"/>
  <c r="E711" i="2"/>
  <c r="D711" i="2"/>
  <c r="K710" i="2"/>
  <c r="J710" i="2"/>
  <c r="I710" i="2"/>
  <c r="H710" i="2"/>
  <c r="G710" i="2"/>
  <c r="F710" i="2"/>
  <c r="E710" i="2"/>
  <c r="D710" i="2"/>
  <c r="K709" i="2"/>
  <c r="J709" i="2"/>
  <c r="I709" i="2"/>
  <c r="H709" i="2"/>
  <c r="G709" i="2"/>
  <c r="F709" i="2"/>
  <c r="E709" i="2"/>
  <c r="D709" i="2"/>
  <c r="K708" i="2"/>
  <c r="J708" i="2"/>
  <c r="I708" i="2"/>
  <c r="H708" i="2"/>
  <c r="G708" i="2"/>
  <c r="F708" i="2"/>
  <c r="E708" i="2"/>
  <c r="D708" i="2"/>
  <c r="K707" i="2"/>
  <c r="J707" i="2"/>
  <c r="I707" i="2"/>
  <c r="H707" i="2"/>
  <c r="G707" i="2"/>
  <c r="F707" i="2"/>
  <c r="E707" i="2"/>
  <c r="D707" i="2"/>
  <c r="K706" i="2"/>
  <c r="J706" i="2"/>
  <c r="I706" i="2"/>
  <c r="H706" i="2"/>
  <c r="G706" i="2"/>
  <c r="F706" i="2"/>
  <c r="E706" i="2"/>
  <c r="D706" i="2"/>
  <c r="K705" i="2"/>
  <c r="J705" i="2"/>
  <c r="I705" i="2"/>
  <c r="H705" i="2"/>
  <c r="G705" i="2"/>
  <c r="F705" i="2"/>
  <c r="E705" i="2"/>
  <c r="D705" i="2"/>
  <c r="K704" i="2"/>
  <c r="J704" i="2"/>
  <c r="I704" i="2"/>
  <c r="H704" i="2"/>
  <c r="G704" i="2"/>
  <c r="F704" i="2"/>
  <c r="E704" i="2"/>
  <c r="D704" i="2"/>
  <c r="K703" i="2"/>
  <c r="J703" i="2"/>
  <c r="I703" i="2"/>
  <c r="H703" i="2"/>
  <c r="G703" i="2"/>
  <c r="F703" i="2"/>
  <c r="E703" i="2"/>
  <c r="D703" i="2"/>
  <c r="K702" i="2"/>
  <c r="J702" i="2"/>
  <c r="I702" i="2"/>
  <c r="H702" i="2"/>
  <c r="G702" i="2"/>
  <c r="F702" i="2"/>
  <c r="E702" i="2"/>
  <c r="D702" i="2"/>
  <c r="K701" i="2"/>
  <c r="J701" i="2"/>
  <c r="I701" i="2"/>
  <c r="H701" i="2"/>
  <c r="G701" i="2"/>
  <c r="F701" i="2"/>
  <c r="E701" i="2"/>
  <c r="D701" i="2"/>
  <c r="K700" i="2"/>
  <c r="J700" i="2"/>
  <c r="I700" i="2"/>
  <c r="H700" i="2"/>
  <c r="G700" i="2"/>
  <c r="F700" i="2"/>
  <c r="E700" i="2"/>
  <c r="D700" i="2"/>
  <c r="K699" i="2"/>
  <c r="J699" i="2"/>
  <c r="I699" i="2"/>
  <c r="H699" i="2"/>
  <c r="G699" i="2"/>
  <c r="F699" i="2"/>
  <c r="E699" i="2"/>
  <c r="D699" i="2"/>
  <c r="K698" i="2"/>
  <c r="J698" i="2"/>
  <c r="I698" i="2"/>
  <c r="H698" i="2"/>
  <c r="G698" i="2"/>
  <c r="F698" i="2"/>
  <c r="E698" i="2"/>
  <c r="D698" i="2"/>
  <c r="K697" i="2"/>
  <c r="J697" i="2"/>
  <c r="I697" i="2"/>
  <c r="H697" i="2"/>
  <c r="G697" i="2"/>
  <c r="F697" i="2"/>
  <c r="E697" i="2"/>
  <c r="D697" i="2"/>
  <c r="K696" i="2"/>
  <c r="J696" i="2"/>
  <c r="I696" i="2"/>
  <c r="H696" i="2"/>
  <c r="G696" i="2"/>
  <c r="F696" i="2"/>
  <c r="E696" i="2"/>
  <c r="D696" i="2"/>
  <c r="K695" i="2"/>
  <c r="J695" i="2"/>
  <c r="I695" i="2"/>
  <c r="H695" i="2"/>
  <c r="G695" i="2"/>
  <c r="F695" i="2"/>
  <c r="E695" i="2"/>
  <c r="D695" i="2"/>
  <c r="K694" i="2"/>
  <c r="J694" i="2"/>
  <c r="I694" i="2"/>
  <c r="H694" i="2"/>
  <c r="G694" i="2"/>
  <c r="F694" i="2"/>
  <c r="E694" i="2"/>
  <c r="D694" i="2"/>
  <c r="K693" i="2"/>
  <c r="J693" i="2"/>
  <c r="I693" i="2"/>
  <c r="H693" i="2"/>
  <c r="G693" i="2"/>
  <c r="F693" i="2"/>
  <c r="E693" i="2"/>
  <c r="D693" i="2"/>
  <c r="K692" i="2"/>
  <c r="J692" i="2"/>
  <c r="I692" i="2"/>
  <c r="H692" i="2"/>
  <c r="G692" i="2"/>
  <c r="F692" i="2"/>
  <c r="E692" i="2"/>
  <c r="D692" i="2"/>
  <c r="K691" i="2"/>
  <c r="J691" i="2"/>
  <c r="I691" i="2"/>
  <c r="H691" i="2"/>
  <c r="G691" i="2"/>
  <c r="F691" i="2"/>
  <c r="E691" i="2"/>
  <c r="D691" i="2"/>
  <c r="K690" i="2"/>
  <c r="J690" i="2"/>
  <c r="I690" i="2"/>
  <c r="H690" i="2"/>
  <c r="G690" i="2"/>
  <c r="F690" i="2"/>
  <c r="E690" i="2"/>
  <c r="D690" i="2"/>
  <c r="K689" i="2"/>
  <c r="J689" i="2"/>
  <c r="I689" i="2"/>
  <c r="H689" i="2"/>
  <c r="G689" i="2"/>
  <c r="F689" i="2"/>
  <c r="E689" i="2"/>
  <c r="D689" i="2"/>
  <c r="K688" i="2"/>
  <c r="J688" i="2"/>
  <c r="I688" i="2"/>
  <c r="H688" i="2"/>
  <c r="G688" i="2"/>
  <c r="F688" i="2"/>
  <c r="E688" i="2"/>
  <c r="D688" i="2"/>
  <c r="K687" i="2"/>
  <c r="J687" i="2"/>
  <c r="I687" i="2"/>
  <c r="H687" i="2"/>
  <c r="G687" i="2"/>
  <c r="F687" i="2"/>
  <c r="E687" i="2"/>
  <c r="D687" i="2"/>
  <c r="K686" i="2"/>
  <c r="K718" i="2" s="1"/>
  <c r="J686" i="2"/>
  <c r="J718" i="2" s="1"/>
  <c r="I686" i="2"/>
  <c r="I718" i="2" s="1"/>
  <c r="H686" i="2"/>
  <c r="H718" i="2" s="1"/>
  <c r="G686" i="2"/>
  <c r="G718" i="2" s="1"/>
  <c r="F686" i="2"/>
  <c r="F718" i="2" s="1"/>
  <c r="E686" i="2"/>
  <c r="E718" i="2" s="1"/>
  <c r="D686" i="2"/>
  <c r="D718" i="2" s="1"/>
  <c r="K678" i="2"/>
  <c r="J678" i="2"/>
  <c r="I678" i="2"/>
  <c r="H678" i="2"/>
  <c r="G678" i="2"/>
  <c r="F678" i="2"/>
  <c r="E678" i="2"/>
  <c r="D678" i="2"/>
  <c r="K676" i="2"/>
  <c r="J676" i="2"/>
  <c r="I676" i="2"/>
  <c r="H676" i="2"/>
  <c r="G676" i="2"/>
  <c r="F676" i="2"/>
  <c r="E676" i="2"/>
  <c r="D676" i="2"/>
  <c r="K675" i="2"/>
  <c r="J675" i="2"/>
  <c r="I675" i="2"/>
  <c r="H675" i="2"/>
  <c r="G675" i="2"/>
  <c r="F675" i="2"/>
  <c r="E675" i="2"/>
  <c r="D675" i="2"/>
  <c r="K674" i="2"/>
  <c r="J674" i="2"/>
  <c r="I674" i="2"/>
  <c r="H674" i="2"/>
  <c r="G674" i="2"/>
  <c r="F674" i="2"/>
  <c r="E674" i="2"/>
  <c r="D674" i="2"/>
  <c r="K673" i="2"/>
  <c r="J673" i="2"/>
  <c r="I673" i="2"/>
  <c r="H673" i="2"/>
  <c r="G673" i="2"/>
  <c r="F673" i="2"/>
  <c r="E673" i="2"/>
  <c r="D673" i="2"/>
  <c r="K672" i="2"/>
  <c r="J672" i="2"/>
  <c r="I672" i="2"/>
  <c r="H672" i="2"/>
  <c r="G672" i="2"/>
  <c r="F672" i="2"/>
  <c r="E672" i="2"/>
  <c r="D672" i="2"/>
  <c r="K671" i="2"/>
  <c r="J671" i="2"/>
  <c r="I671" i="2"/>
  <c r="H671" i="2"/>
  <c r="G671" i="2"/>
  <c r="F671" i="2"/>
  <c r="E671" i="2"/>
  <c r="D671" i="2"/>
  <c r="K670" i="2"/>
  <c r="J670" i="2"/>
  <c r="I670" i="2"/>
  <c r="H670" i="2"/>
  <c r="G670" i="2"/>
  <c r="F670" i="2"/>
  <c r="E670" i="2"/>
  <c r="D670" i="2"/>
  <c r="K669" i="2"/>
  <c r="J669" i="2"/>
  <c r="I669" i="2"/>
  <c r="H669" i="2"/>
  <c r="G669" i="2"/>
  <c r="F669" i="2"/>
  <c r="E669" i="2"/>
  <c r="D669" i="2"/>
  <c r="K668" i="2"/>
  <c r="J668" i="2"/>
  <c r="I668" i="2"/>
  <c r="H668" i="2"/>
  <c r="G668" i="2"/>
  <c r="F668" i="2"/>
  <c r="E668" i="2"/>
  <c r="D668" i="2"/>
  <c r="K667" i="2"/>
  <c r="J667" i="2"/>
  <c r="I667" i="2"/>
  <c r="H667" i="2"/>
  <c r="G667" i="2"/>
  <c r="F667" i="2"/>
  <c r="E667" i="2"/>
  <c r="D667" i="2"/>
  <c r="K666" i="2"/>
  <c r="J666" i="2"/>
  <c r="I666" i="2"/>
  <c r="H666" i="2"/>
  <c r="G666" i="2"/>
  <c r="F666" i="2"/>
  <c r="E666" i="2"/>
  <c r="D666" i="2"/>
  <c r="K665" i="2"/>
  <c r="J665" i="2"/>
  <c r="I665" i="2"/>
  <c r="H665" i="2"/>
  <c r="G665" i="2"/>
  <c r="F665" i="2"/>
  <c r="E665" i="2"/>
  <c r="D665" i="2"/>
  <c r="K664" i="2"/>
  <c r="J664" i="2"/>
  <c r="I664" i="2"/>
  <c r="H664" i="2"/>
  <c r="G664" i="2"/>
  <c r="F664" i="2"/>
  <c r="E664" i="2"/>
  <c r="D664" i="2"/>
  <c r="K663" i="2"/>
  <c r="J663" i="2"/>
  <c r="I663" i="2"/>
  <c r="H663" i="2"/>
  <c r="G663" i="2"/>
  <c r="F663" i="2"/>
  <c r="E663" i="2"/>
  <c r="D663" i="2"/>
  <c r="K662" i="2"/>
  <c r="J662" i="2"/>
  <c r="I662" i="2"/>
  <c r="H662" i="2"/>
  <c r="G662" i="2"/>
  <c r="F662" i="2"/>
  <c r="E662" i="2"/>
  <c r="D662" i="2"/>
  <c r="K661" i="2"/>
  <c r="J661" i="2"/>
  <c r="I661" i="2"/>
  <c r="H661" i="2"/>
  <c r="G661" i="2"/>
  <c r="F661" i="2"/>
  <c r="E661" i="2"/>
  <c r="D661" i="2"/>
  <c r="K660" i="2"/>
  <c r="J660" i="2"/>
  <c r="I660" i="2"/>
  <c r="H660" i="2"/>
  <c r="G660" i="2"/>
  <c r="F660" i="2"/>
  <c r="E660" i="2"/>
  <c r="D660" i="2"/>
  <c r="K659" i="2"/>
  <c r="J659" i="2"/>
  <c r="I659" i="2"/>
  <c r="H659" i="2"/>
  <c r="G659" i="2"/>
  <c r="F659" i="2"/>
  <c r="E659" i="2"/>
  <c r="D659" i="2"/>
  <c r="K658" i="2"/>
  <c r="J658" i="2"/>
  <c r="I658" i="2"/>
  <c r="H658" i="2"/>
  <c r="G658" i="2"/>
  <c r="F658" i="2"/>
  <c r="E658" i="2"/>
  <c r="D658" i="2"/>
  <c r="K657" i="2"/>
  <c r="J657" i="2"/>
  <c r="I657" i="2"/>
  <c r="H657" i="2"/>
  <c r="G657" i="2"/>
  <c r="F657" i="2"/>
  <c r="E657" i="2"/>
  <c r="D657" i="2"/>
  <c r="K656" i="2"/>
  <c r="J656" i="2"/>
  <c r="I656" i="2"/>
  <c r="H656" i="2"/>
  <c r="G656" i="2"/>
  <c r="F656" i="2"/>
  <c r="E656" i="2"/>
  <c r="D656" i="2"/>
  <c r="K655" i="2"/>
  <c r="J655" i="2"/>
  <c r="I655" i="2"/>
  <c r="H655" i="2"/>
  <c r="G655" i="2"/>
  <c r="F655" i="2"/>
  <c r="E655" i="2"/>
  <c r="D655" i="2"/>
  <c r="K654" i="2"/>
  <c r="J654" i="2"/>
  <c r="I654" i="2"/>
  <c r="H654" i="2"/>
  <c r="G654" i="2"/>
  <c r="F654" i="2"/>
  <c r="E654" i="2"/>
  <c r="D654" i="2"/>
  <c r="K653" i="2"/>
  <c r="J653" i="2"/>
  <c r="I653" i="2"/>
  <c r="H653" i="2"/>
  <c r="G653" i="2"/>
  <c r="F653" i="2"/>
  <c r="E653" i="2"/>
  <c r="D653" i="2"/>
  <c r="K652" i="2"/>
  <c r="J652" i="2"/>
  <c r="I652" i="2"/>
  <c r="H652" i="2"/>
  <c r="G652" i="2"/>
  <c r="F652" i="2"/>
  <c r="E652" i="2"/>
  <c r="D652" i="2"/>
  <c r="K651" i="2"/>
  <c r="J651" i="2"/>
  <c r="I651" i="2"/>
  <c r="H651" i="2"/>
  <c r="G651" i="2"/>
  <c r="F651" i="2"/>
  <c r="E651" i="2"/>
  <c r="D651" i="2"/>
  <c r="K650" i="2"/>
  <c r="K682" i="2" s="1"/>
  <c r="J650" i="2"/>
  <c r="J682" i="2" s="1"/>
  <c r="I650" i="2"/>
  <c r="I682" i="2" s="1"/>
  <c r="H650" i="2"/>
  <c r="H682" i="2" s="1"/>
  <c r="G650" i="2"/>
  <c r="G682" i="2" s="1"/>
  <c r="F650" i="2"/>
  <c r="F682" i="2" s="1"/>
  <c r="E650" i="2"/>
  <c r="E682" i="2" s="1"/>
  <c r="D650" i="2"/>
  <c r="D682" i="2" s="1"/>
  <c r="K642" i="2"/>
  <c r="J642" i="2"/>
  <c r="I642" i="2"/>
  <c r="H642" i="2"/>
  <c r="G642" i="2"/>
  <c r="F642" i="2"/>
  <c r="E642" i="2"/>
  <c r="D642" i="2"/>
  <c r="K640" i="2"/>
  <c r="J640" i="2"/>
  <c r="I640" i="2"/>
  <c r="H640" i="2"/>
  <c r="G640" i="2"/>
  <c r="F640" i="2"/>
  <c r="E640" i="2"/>
  <c r="D640" i="2"/>
  <c r="K639" i="2"/>
  <c r="J639" i="2"/>
  <c r="I639" i="2"/>
  <c r="H639" i="2"/>
  <c r="K638" i="2"/>
  <c r="J638" i="2"/>
  <c r="I638" i="2"/>
  <c r="H638" i="2"/>
  <c r="G638" i="2"/>
  <c r="F638" i="2"/>
  <c r="E638" i="2"/>
  <c r="D638" i="2"/>
  <c r="K637" i="2"/>
  <c r="J637" i="2"/>
  <c r="I637" i="2"/>
  <c r="H637" i="2"/>
  <c r="G637" i="2"/>
  <c r="F637" i="2"/>
  <c r="E637" i="2"/>
  <c r="D637" i="2"/>
  <c r="K636" i="2"/>
  <c r="J636" i="2"/>
  <c r="I636" i="2"/>
  <c r="H636" i="2"/>
  <c r="G636" i="2"/>
  <c r="F636" i="2"/>
  <c r="E636" i="2"/>
  <c r="D636" i="2"/>
  <c r="K635" i="2"/>
  <c r="J635" i="2"/>
  <c r="I635" i="2"/>
  <c r="H635" i="2"/>
  <c r="G635" i="2"/>
  <c r="F635" i="2"/>
  <c r="E635" i="2"/>
  <c r="D635" i="2"/>
  <c r="K634" i="2"/>
  <c r="J634" i="2"/>
  <c r="I634" i="2"/>
  <c r="H634" i="2"/>
  <c r="G634" i="2"/>
  <c r="F634" i="2"/>
  <c r="E634" i="2"/>
  <c r="D634" i="2"/>
  <c r="K633" i="2"/>
  <c r="J633" i="2"/>
  <c r="I633" i="2"/>
  <c r="H633" i="2"/>
  <c r="G633" i="2"/>
  <c r="F633" i="2"/>
  <c r="E633" i="2"/>
  <c r="D633" i="2"/>
  <c r="K632" i="2"/>
  <c r="J632" i="2"/>
  <c r="I632" i="2"/>
  <c r="H632" i="2"/>
  <c r="G632" i="2"/>
  <c r="F632" i="2"/>
  <c r="E632" i="2"/>
  <c r="D632" i="2"/>
  <c r="K631" i="2"/>
  <c r="J631" i="2"/>
  <c r="I631" i="2"/>
  <c r="H631" i="2"/>
  <c r="G631" i="2"/>
  <c r="F631" i="2"/>
  <c r="E631" i="2"/>
  <c r="D631" i="2"/>
  <c r="K630" i="2"/>
  <c r="J630" i="2"/>
  <c r="I630" i="2"/>
  <c r="H630" i="2"/>
  <c r="G630" i="2"/>
  <c r="F630" i="2"/>
  <c r="E630" i="2"/>
  <c r="D630" i="2"/>
  <c r="K629" i="2"/>
  <c r="J629" i="2"/>
  <c r="I629" i="2"/>
  <c r="H629" i="2"/>
  <c r="G629" i="2"/>
  <c r="F629" i="2"/>
  <c r="E629" i="2"/>
  <c r="D629" i="2"/>
  <c r="K628" i="2"/>
  <c r="J628" i="2"/>
  <c r="I628" i="2"/>
  <c r="H628" i="2"/>
  <c r="G628" i="2"/>
  <c r="F628" i="2"/>
  <c r="E628" i="2"/>
  <c r="D628" i="2"/>
  <c r="K627" i="2"/>
  <c r="J627" i="2"/>
  <c r="I627" i="2"/>
  <c r="H627" i="2"/>
  <c r="G627" i="2"/>
  <c r="F627" i="2"/>
  <c r="E627" i="2"/>
  <c r="D627" i="2"/>
  <c r="K626" i="2"/>
  <c r="J626" i="2"/>
  <c r="I626" i="2"/>
  <c r="H626" i="2"/>
  <c r="G626" i="2"/>
  <c r="F626" i="2"/>
  <c r="E626" i="2"/>
  <c r="D626" i="2"/>
  <c r="K625" i="2"/>
  <c r="J625" i="2"/>
  <c r="I625" i="2"/>
  <c r="H625" i="2"/>
  <c r="G625" i="2"/>
  <c r="F625" i="2"/>
  <c r="E625" i="2"/>
  <c r="D625" i="2"/>
  <c r="K624" i="2"/>
  <c r="J624" i="2"/>
  <c r="I624" i="2"/>
  <c r="H624" i="2"/>
  <c r="G624" i="2"/>
  <c r="F624" i="2"/>
  <c r="E624" i="2"/>
  <c r="D624" i="2"/>
  <c r="K623" i="2"/>
  <c r="J623" i="2"/>
  <c r="I623" i="2"/>
  <c r="H623" i="2"/>
  <c r="G623" i="2"/>
  <c r="F623" i="2"/>
  <c r="E623" i="2"/>
  <c r="D623" i="2"/>
  <c r="K622" i="2"/>
  <c r="J622" i="2"/>
  <c r="I622" i="2"/>
  <c r="H622" i="2"/>
  <c r="G622" i="2"/>
  <c r="F622" i="2"/>
  <c r="E622" i="2"/>
  <c r="D622" i="2"/>
  <c r="K621" i="2"/>
  <c r="J621" i="2"/>
  <c r="I621" i="2"/>
  <c r="H621" i="2"/>
  <c r="G621" i="2"/>
  <c r="F621" i="2"/>
  <c r="E621" i="2"/>
  <c r="D621" i="2"/>
  <c r="K620" i="2"/>
  <c r="J620" i="2"/>
  <c r="I620" i="2"/>
  <c r="H620" i="2"/>
  <c r="G620" i="2"/>
  <c r="F620" i="2"/>
  <c r="E620" i="2"/>
  <c r="D620" i="2"/>
  <c r="K619" i="2"/>
  <c r="J619" i="2"/>
  <c r="I619" i="2"/>
  <c r="H619" i="2"/>
  <c r="G619" i="2"/>
  <c r="F619" i="2"/>
  <c r="E619" i="2"/>
  <c r="D619" i="2"/>
  <c r="K618" i="2"/>
  <c r="J618" i="2"/>
  <c r="I618" i="2"/>
  <c r="H618" i="2"/>
  <c r="G618" i="2"/>
  <c r="F618" i="2"/>
  <c r="E618" i="2"/>
  <c r="D618" i="2"/>
  <c r="K617" i="2"/>
  <c r="J617" i="2"/>
  <c r="I617" i="2"/>
  <c r="H617" i="2"/>
  <c r="G617" i="2"/>
  <c r="F617" i="2"/>
  <c r="E617" i="2"/>
  <c r="D617" i="2"/>
  <c r="K616" i="2"/>
  <c r="J616" i="2"/>
  <c r="I616" i="2"/>
  <c r="H616" i="2"/>
  <c r="G616" i="2"/>
  <c r="F616" i="2"/>
  <c r="E616" i="2"/>
  <c r="D616" i="2"/>
  <c r="K615" i="2"/>
  <c r="J615" i="2"/>
  <c r="I615" i="2"/>
  <c r="H615" i="2"/>
  <c r="G615" i="2"/>
  <c r="F615" i="2"/>
  <c r="E615" i="2"/>
  <c r="D615" i="2"/>
  <c r="K614" i="2"/>
  <c r="K646" i="2" s="1"/>
  <c r="J614" i="2"/>
  <c r="J646" i="2" s="1"/>
  <c r="I614" i="2"/>
  <c r="I646" i="2" s="1"/>
  <c r="H614" i="2"/>
  <c r="H646" i="2" s="1"/>
  <c r="G614" i="2"/>
  <c r="G646" i="2" s="1"/>
  <c r="F614" i="2"/>
  <c r="F646" i="2" s="1"/>
  <c r="E614" i="2"/>
  <c r="E646" i="2" s="1"/>
  <c r="D614" i="2"/>
  <c r="D646" i="2" s="1"/>
  <c r="K606" i="2"/>
  <c r="J606" i="2"/>
  <c r="I606" i="2"/>
  <c r="H606" i="2"/>
  <c r="G606" i="2"/>
  <c r="F606" i="2"/>
  <c r="E606" i="2"/>
  <c r="D606" i="2"/>
  <c r="K604" i="2"/>
  <c r="J604" i="2"/>
  <c r="I604" i="2"/>
  <c r="H604" i="2"/>
  <c r="G604" i="2"/>
  <c r="F604" i="2"/>
  <c r="E604" i="2"/>
  <c r="D604" i="2"/>
  <c r="K603" i="2"/>
  <c r="J603" i="2"/>
  <c r="I603" i="2"/>
  <c r="H603" i="2"/>
  <c r="K602" i="2"/>
  <c r="J602" i="2"/>
  <c r="I602" i="2"/>
  <c r="H602" i="2"/>
  <c r="G602" i="2"/>
  <c r="F602" i="2"/>
  <c r="E602" i="2"/>
  <c r="D602" i="2"/>
  <c r="K601" i="2"/>
  <c r="J601" i="2"/>
  <c r="I601" i="2"/>
  <c r="H601" i="2"/>
  <c r="G601" i="2"/>
  <c r="F601" i="2"/>
  <c r="E601" i="2"/>
  <c r="D601" i="2"/>
  <c r="K600" i="2"/>
  <c r="J600" i="2"/>
  <c r="I600" i="2"/>
  <c r="H600" i="2"/>
  <c r="G600" i="2"/>
  <c r="F600" i="2"/>
  <c r="E600" i="2"/>
  <c r="D600" i="2"/>
  <c r="K599" i="2"/>
  <c r="J599" i="2"/>
  <c r="I599" i="2"/>
  <c r="H599" i="2"/>
  <c r="G599" i="2"/>
  <c r="F599" i="2"/>
  <c r="E599" i="2"/>
  <c r="D599" i="2"/>
  <c r="K598" i="2"/>
  <c r="J598" i="2"/>
  <c r="I598" i="2"/>
  <c r="H598" i="2"/>
  <c r="G598" i="2"/>
  <c r="F598" i="2"/>
  <c r="E598" i="2"/>
  <c r="D598" i="2"/>
  <c r="K597" i="2"/>
  <c r="J597" i="2"/>
  <c r="I597" i="2"/>
  <c r="H597" i="2"/>
  <c r="G597" i="2"/>
  <c r="F597" i="2"/>
  <c r="E597" i="2"/>
  <c r="D597" i="2"/>
  <c r="K596" i="2"/>
  <c r="J596" i="2"/>
  <c r="I596" i="2"/>
  <c r="H596" i="2"/>
  <c r="G596" i="2"/>
  <c r="F596" i="2"/>
  <c r="E596" i="2"/>
  <c r="D596" i="2"/>
  <c r="K595" i="2"/>
  <c r="J595" i="2"/>
  <c r="I595" i="2"/>
  <c r="H595" i="2"/>
  <c r="G595" i="2"/>
  <c r="F595" i="2"/>
  <c r="E595" i="2"/>
  <c r="D595" i="2"/>
  <c r="K594" i="2"/>
  <c r="J594" i="2"/>
  <c r="I594" i="2"/>
  <c r="H594" i="2"/>
  <c r="G594" i="2"/>
  <c r="F594" i="2"/>
  <c r="E594" i="2"/>
  <c r="D594" i="2"/>
  <c r="K593" i="2"/>
  <c r="J593" i="2"/>
  <c r="I593" i="2"/>
  <c r="H593" i="2"/>
  <c r="G593" i="2"/>
  <c r="F593" i="2"/>
  <c r="E593" i="2"/>
  <c r="D593" i="2"/>
  <c r="K592" i="2"/>
  <c r="J592" i="2"/>
  <c r="I592" i="2"/>
  <c r="H592" i="2"/>
  <c r="G592" i="2"/>
  <c r="F592" i="2"/>
  <c r="E592" i="2"/>
  <c r="D592" i="2"/>
  <c r="K591" i="2"/>
  <c r="J591" i="2"/>
  <c r="I591" i="2"/>
  <c r="H591" i="2"/>
  <c r="G591" i="2"/>
  <c r="F591" i="2"/>
  <c r="E591" i="2"/>
  <c r="D591" i="2"/>
  <c r="K590" i="2"/>
  <c r="J590" i="2"/>
  <c r="I590" i="2"/>
  <c r="H590" i="2"/>
  <c r="G590" i="2"/>
  <c r="F590" i="2"/>
  <c r="E590" i="2"/>
  <c r="D590" i="2"/>
  <c r="K589" i="2"/>
  <c r="J589" i="2"/>
  <c r="I589" i="2"/>
  <c r="H589" i="2"/>
  <c r="G589" i="2"/>
  <c r="F589" i="2"/>
  <c r="E589" i="2"/>
  <c r="D589" i="2"/>
  <c r="K588" i="2"/>
  <c r="J588" i="2"/>
  <c r="I588" i="2"/>
  <c r="H588" i="2"/>
  <c r="G588" i="2"/>
  <c r="F588" i="2"/>
  <c r="E588" i="2"/>
  <c r="D588" i="2"/>
  <c r="K587" i="2"/>
  <c r="J587" i="2"/>
  <c r="I587" i="2"/>
  <c r="H587" i="2"/>
  <c r="G587" i="2"/>
  <c r="F587" i="2"/>
  <c r="E587" i="2"/>
  <c r="D587" i="2"/>
  <c r="K586" i="2"/>
  <c r="J586" i="2"/>
  <c r="I586" i="2"/>
  <c r="H586" i="2"/>
  <c r="G586" i="2"/>
  <c r="F586" i="2"/>
  <c r="E586" i="2"/>
  <c r="D586" i="2"/>
  <c r="K585" i="2"/>
  <c r="J585" i="2"/>
  <c r="I585" i="2"/>
  <c r="H585" i="2"/>
  <c r="G585" i="2"/>
  <c r="F585" i="2"/>
  <c r="E585" i="2"/>
  <c r="D585" i="2"/>
  <c r="K584" i="2"/>
  <c r="J584" i="2"/>
  <c r="I584" i="2"/>
  <c r="H584" i="2"/>
  <c r="G584" i="2"/>
  <c r="F584" i="2"/>
  <c r="E584" i="2"/>
  <c r="D584" i="2"/>
  <c r="K583" i="2"/>
  <c r="J583" i="2"/>
  <c r="I583" i="2"/>
  <c r="H583" i="2"/>
  <c r="G583" i="2"/>
  <c r="F583" i="2"/>
  <c r="E583" i="2"/>
  <c r="D583" i="2"/>
  <c r="K582" i="2"/>
  <c r="J582" i="2"/>
  <c r="I582" i="2"/>
  <c r="H582" i="2"/>
  <c r="G582" i="2"/>
  <c r="F582" i="2"/>
  <c r="E582" i="2"/>
  <c r="D582" i="2"/>
  <c r="K581" i="2"/>
  <c r="J581" i="2"/>
  <c r="I581" i="2"/>
  <c r="H581" i="2"/>
  <c r="G581" i="2"/>
  <c r="F581" i="2"/>
  <c r="E581" i="2"/>
  <c r="D581" i="2"/>
  <c r="K580" i="2"/>
  <c r="J580" i="2"/>
  <c r="I580" i="2"/>
  <c r="H580" i="2"/>
  <c r="G580" i="2"/>
  <c r="F580" i="2"/>
  <c r="E580" i="2"/>
  <c r="D580" i="2"/>
  <c r="K579" i="2"/>
  <c r="J579" i="2"/>
  <c r="I579" i="2"/>
  <c r="H579" i="2"/>
  <c r="G579" i="2"/>
  <c r="F579" i="2"/>
  <c r="E579" i="2"/>
  <c r="D579" i="2"/>
  <c r="K578" i="2"/>
  <c r="J578" i="2"/>
  <c r="I578" i="2"/>
  <c r="H578" i="2"/>
  <c r="G578" i="2"/>
  <c r="F578" i="2"/>
  <c r="E578" i="2"/>
  <c r="D578" i="2"/>
  <c r="K570" i="2"/>
  <c r="J570" i="2"/>
  <c r="I570" i="2"/>
  <c r="H570" i="2"/>
  <c r="G570" i="2"/>
  <c r="F570" i="2"/>
  <c r="E570" i="2"/>
  <c r="D570" i="2"/>
  <c r="K568" i="2"/>
  <c r="J568" i="2"/>
  <c r="I568" i="2"/>
  <c r="H568" i="2"/>
  <c r="G568" i="2"/>
  <c r="F568" i="2"/>
  <c r="E568" i="2"/>
  <c r="D568" i="2"/>
  <c r="K567" i="2"/>
  <c r="J567" i="2"/>
  <c r="I567" i="2"/>
  <c r="H567" i="2"/>
  <c r="K566" i="2"/>
  <c r="J566" i="2"/>
  <c r="I566" i="2"/>
  <c r="H566" i="2"/>
  <c r="G566" i="2"/>
  <c r="F566" i="2"/>
  <c r="E566" i="2"/>
  <c r="D566" i="2"/>
  <c r="K565" i="2"/>
  <c r="J565" i="2"/>
  <c r="I565" i="2"/>
  <c r="H565" i="2"/>
  <c r="G565" i="2"/>
  <c r="F565" i="2"/>
  <c r="E565" i="2"/>
  <c r="D565" i="2"/>
  <c r="K564" i="2"/>
  <c r="J564" i="2"/>
  <c r="I564" i="2"/>
  <c r="H564" i="2"/>
  <c r="G564" i="2"/>
  <c r="F564" i="2"/>
  <c r="E564" i="2"/>
  <c r="D564" i="2"/>
  <c r="K563" i="2"/>
  <c r="J563" i="2"/>
  <c r="I563" i="2"/>
  <c r="H563" i="2"/>
  <c r="G563" i="2"/>
  <c r="F563" i="2"/>
  <c r="E563" i="2"/>
  <c r="D563" i="2"/>
  <c r="K562" i="2"/>
  <c r="J562" i="2"/>
  <c r="I562" i="2"/>
  <c r="H562" i="2"/>
  <c r="G562" i="2"/>
  <c r="F562" i="2"/>
  <c r="E562" i="2"/>
  <c r="D562" i="2"/>
  <c r="K561" i="2"/>
  <c r="J561" i="2"/>
  <c r="I561" i="2"/>
  <c r="H561" i="2"/>
  <c r="G561" i="2"/>
  <c r="F561" i="2"/>
  <c r="E561" i="2"/>
  <c r="D561" i="2"/>
  <c r="K560" i="2"/>
  <c r="J560" i="2"/>
  <c r="I560" i="2"/>
  <c r="H560" i="2"/>
  <c r="G560" i="2"/>
  <c r="F560" i="2"/>
  <c r="E560" i="2"/>
  <c r="D560" i="2"/>
  <c r="K559" i="2"/>
  <c r="J559" i="2"/>
  <c r="I559" i="2"/>
  <c r="H559" i="2"/>
  <c r="G559" i="2"/>
  <c r="F559" i="2"/>
  <c r="E559" i="2"/>
  <c r="D559" i="2"/>
  <c r="K558" i="2"/>
  <c r="J558" i="2"/>
  <c r="I558" i="2"/>
  <c r="H558" i="2"/>
  <c r="G558" i="2"/>
  <c r="F558" i="2"/>
  <c r="E558" i="2"/>
  <c r="D558" i="2"/>
  <c r="K557" i="2"/>
  <c r="J557" i="2"/>
  <c r="I557" i="2"/>
  <c r="H557" i="2"/>
  <c r="G557" i="2"/>
  <c r="F557" i="2"/>
  <c r="E557" i="2"/>
  <c r="D557" i="2"/>
  <c r="K556" i="2"/>
  <c r="J556" i="2"/>
  <c r="I556" i="2"/>
  <c r="H556" i="2"/>
  <c r="G556" i="2"/>
  <c r="F556" i="2"/>
  <c r="E556" i="2"/>
  <c r="D556" i="2"/>
  <c r="K555" i="2"/>
  <c r="J555" i="2"/>
  <c r="I555" i="2"/>
  <c r="H555" i="2"/>
  <c r="G555" i="2"/>
  <c r="F555" i="2"/>
  <c r="E555" i="2"/>
  <c r="D555" i="2"/>
  <c r="K554" i="2"/>
  <c r="J554" i="2"/>
  <c r="I554" i="2"/>
  <c r="H554" i="2"/>
  <c r="G554" i="2"/>
  <c r="F554" i="2"/>
  <c r="E554" i="2"/>
  <c r="D554" i="2"/>
  <c r="K553" i="2"/>
  <c r="J553" i="2"/>
  <c r="I553" i="2"/>
  <c r="H553" i="2"/>
  <c r="G553" i="2"/>
  <c r="F553" i="2"/>
  <c r="E553" i="2"/>
  <c r="D553" i="2"/>
  <c r="K552" i="2"/>
  <c r="J552" i="2"/>
  <c r="I552" i="2"/>
  <c r="H552" i="2"/>
  <c r="G552" i="2"/>
  <c r="F552" i="2"/>
  <c r="E552" i="2"/>
  <c r="D552" i="2"/>
  <c r="K551" i="2"/>
  <c r="J551" i="2"/>
  <c r="I551" i="2"/>
  <c r="H551" i="2"/>
  <c r="G551" i="2"/>
  <c r="F551" i="2"/>
  <c r="E551" i="2"/>
  <c r="D551" i="2"/>
  <c r="K550" i="2"/>
  <c r="J550" i="2"/>
  <c r="I550" i="2"/>
  <c r="H550" i="2"/>
  <c r="G550" i="2"/>
  <c r="F550" i="2"/>
  <c r="E550" i="2"/>
  <c r="D550" i="2"/>
  <c r="K549" i="2"/>
  <c r="J549" i="2"/>
  <c r="I549" i="2"/>
  <c r="H549" i="2"/>
  <c r="G549" i="2"/>
  <c r="F549" i="2"/>
  <c r="E549" i="2"/>
  <c r="D549" i="2"/>
  <c r="K548" i="2"/>
  <c r="J548" i="2"/>
  <c r="I548" i="2"/>
  <c r="H548" i="2"/>
  <c r="G548" i="2"/>
  <c r="F548" i="2"/>
  <c r="E548" i="2"/>
  <c r="D548" i="2"/>
  <c r="K547" i="2"/>
  <c r="J547" i="2"/>
  <c r="I547" i="2"/>
  <c r="H547" i="2"/>
  <c r="G547" i="2"/>
  <c r="F547" i="2"/>
  <c r="E547" i="2"/>
  <c r="D547" i="2"/>
  <c r="K546" i="2"/>
  <c r="J546" i="2"/>
  <c r="I546" i="2"/>
  <c r="H546" i="2"/>
  <c r="G546" i="2"/>
  <c r="F546" i="2"/>
  <c r="E546" i="2"/>
  <c r="D546" i="2"/>
  <c r="K545" i="2"/>
  <c r="J545" i="2"/>
  <c r="I545" i="2"/>
  <c r="H545" i="2"/>
  <c r="G545" i="2"/>
  <c r="F545" i="2"/>
  <c r="E545" i="2"/>
  <c r="D545" i="2"/>
  <c r="K544" i="2"/>
  <c r="J544" i="2"/>
  <c r="I544" i="2"/>
  <c r="H544" i="2"/>
  <c r="G544" i="2"/>
  <c r="F544" i="2"/>
  <c r="E544" i="2"/>
  <c r="D544" i="2"/>
  <c r="K543" i="2"/>
  <c r="J543" i="2"/>
  <c r="I543" i="2"/>
  <c r="H543" i="2"/>
  <c r="G543" i="2"/>
  <c r="F543" i="2"/>
  <c r="E543" i="2"/>
  <c r="D543" i="2"/>
  <c r="K542" i="2"/>
  <c r="K574" i="2" s="1"/>
  <c r="J542" i="2"/>
  <c r="J574" i="2" s="1"/>
  <c r="I542" i="2"/>
  <c r="I574" i="2" s="1"/>
  <c r="H542" i="2"/>
  <c r="H574" i="2" s="1"/>
  <c r="G542" i="2"/>
  <c r="G574" i="2" s="1"/>
  <c r="F542" i="2"/>
  <c r="F574" i="2" s="1"/>
  <c r="E542" i="2"/>
  <c r="E574" i="2" s="1"/>
  <c r="D542" i="2"/>
  <c r="D574" i="2" s="1"/>
  <c r="K534" i="2"/>
  <c r="J534" i="2"/>
  <c r="I534" i="2"/>
  <c r="H534" i="2"/>
  <c r="G534" i="2"/>
  <c r="F534" i="2"/>
  <c r="E534" i="2"/>
  <c r="D534" i="2"/>
  <c r="K532" i="2"/>
  <c r="J532" i="2"/>
  <c r="I532" i="2"/>
  <c r="H532" i="2"/>
  <c r="G532" i="2"/>
  <c r="F532" i="2"/>
  <c r="E532" i="2"/>
  <c r="D532" i="2"/>
  <c r="K531" i="2"/>
  <c r="J531" i="2"/>
  <c r="I531" i="2"/>
  <c r="H531" i="2"/>
  <c r="K530" i="2"/>
  <c r="J530" i="2"/>
  <c r="I530" i="2"/>
  <c r="H530" i="2"/>
  <c r="G530" i="2"/>
  <c r="F530" i="2"/>
  <c r="E530" i="2"/>
  <c r="D530" i="2"/>
  <c r="K529" i="2"/>
  <c r="J529" i="2"/>
  <c r="I529" i="2"/>
  <c r="H529" i="2"/>
  <c r="G529" i="2"/>
  <c r="F529" i="2"/>
  <c r="E529" i="2"/>
  <c r="D529" i="2"/>
  <c r="K528" i="2"/>
  <c r="J528" i="2"/>
  <c r="I528" i="2"/>
  <c r="H528" i="2"/>
  <c r="G528" i="2"/>
  <c r="F528" i="2"/>
  <c r="E528" i="2"/>
  <c r="D528" i="2"/>
  <c r="K527" i="2"/>
  <c r="J527" i="2"/>
  <c r="I527" i="2"/>
  <c r="H527" i="2"/>
  <c r="G527" i="2"/>
  <c r="F527" i="2"/>
  <c r="E527" i="2"/>
  <c r="D527" i="2"/>
  <c r="K526" i="2"/>
  <c r="J526" i="2"/>
  <c r="I526" i="2"/>
  <c r="H526" i="2"/>
  <c r="G526" i="2"/>
  <c r="F526" i="2"/>
  <c r="E526" i="2"/>
  <c r="D526" i="2"/>
  <c r="K525" i="2"/>
  <c r="J525" i="2"/>
  <c r="I525" i="2"/>
  <c r="H525" i="2"/>
  <c r="G525" i="2"/>
  <c r="F525" i="2"/>
  <c r="E525" i="2"/>
  <c r="D525" i="2"/>
  <c r="K524" i="2"/>
  <c r="J524" i="2"/>
  <c r="I524" i="2"/>
  <c r="H524" i="2"/>
  <c r="G524" i="2"/>
  <c r="F524" i="2"/>
  <c r="E524" i="2"/>
  <c r="D524" i="2"/>
  <c r="K523" i="2"/>
  <c r="J523" i="2"/>
  <c r="I523" i="2"/>
  <c r="H523" i="2"/>
  <c r="G523" i="2"/>
  <c r="F523" i="2"/>
  <c r="E523" i="2"/>
  <c r="D523" i="2"/>
  <c r="K522" i="2"/>
  <c r="J522" i="2"/>
  <c r="I522" i="2"/>
  <c r="H522" i="2"/>
  <c r="G522" i="2"/>
  <c r="F522" i="2"/>
  <c r="E522" i="2"/>
  <c r="D522" i="2"/>
  <c r="K521" i="2"/>
  <c r="J521" i="2"/>
  <c r="I521" i="2"/>
  <c r="H521" i="2"/>
  <c r="G521" i="2"/>
  <c r="F521" i="2"/>
  <c r="E521" i="2"/>
  <c r="D521" i="2"/>
  <c r="K520" i="2"/>
  <c r="J520" i="2"/>
  <c r="I520" i="2"/>
  <c r="H520" i="2"/>
  <c r="G520" i="2"/>
  <c r="F520" i="2"/>
  <c r="E520" i="2"/>
  <c r="D520" i="2"/>
  <c r="K519" i="2"/>
  <c r="J519" i="2"/>
  <c r="I519" i="2"/>
  <c r="H519" i="2"/>
  <c r="G519" i="2"/>
  <c r="F519" i="2"/>
  <c r="E519" i="2"/>
  <c r="D519" i="2"/>
  <c r="K518" i="2"/>
  <c r="J518" i="2"/>
  <c r="I518" i="2"/>
  <c r="H518" i="2"/>
  <c r="G518" i="2"/>
  <c r="F518" i="2"/>
  <c r="E518" i="2"/>
  <c r="D518" i="2"/>
  <c r="K517" i="2"/>
  <c r="J517" i="2"/>
  <c r="I517" i="2"/>
  <c r="H517" i="2"/>
  <c r="G517" i="2"/>
  <c r="F517" i="2"/>
  <c r="E517" i="2"/>
  <c r="D517" i="2"/>
  <c r="K516" i="2"/>
  <c r="J516" i="2"/>
  <c r="I516" i="2"/>
  <c r="H516" i="2"/>
  <c r="G516" i="2"/>
  <c r="F516" i="2"/>
  <c r="E516" i="2"/>
  <c r="D516" i="2"/>
  <c r="K515" i="2"/>
  <c r="J515" i="2"/>
  <c r="I515" i="2"/>
  <c r="H515" i="2"/>
  <c r="G515" i="2"/>
  <c r="F515" i="2"/>
  <c r="E515" i="2"/>
  <c r="D515" i="2"/>
  <c r="K514" i="2"/>
  <c r="J514" i="2"/>
  <c r="I514" i="2"/>
  <c r="H514" i="2"/>
  <c r="G514" i="2"/>
  <c r="F514" i="2"/>
  <c r="E514" i="2"/>
  <c r="D514" i="2"/>
  <c r="K513" i="2"/>
  <c r="J513" i="2"/>
  <c r="I513" i="2"/>
  <c r="H513" i="2"/>
  <c r="G513" i="2"/>
  <c r="F513" i="2"/>
  <c r="E513" i="2"/>
  <c r="D513" i="2"/>
  <c r="K512" i="2"/>
  <c r="J512" i="2"/>
  <c r="I512" i="2"/>
  <c r="H512" i="2"/>
  <c r="G512" i="2"/>
  <c r="F512" i="2"/>
  <c r="E512" i="2"/>
  <c r="D512" i="2"/>
  <c r="K511" i="2"/>
  <c r="J511" i="2"/>
  <c r="I511" i="2"/>
  <c r="H511" i="2"/>
  <c r="G511" i="2"/>
  <c r="F511" i="2"/>
  <c r="E511" i="2"/>
  <c r="D511" i="2"/>
  <c r="K510" i="2"/>
  <c r="J510" i="2"/>
  <c r="I510" i="2"/>
  <c r="H510" i="2"/>
  <c r="G510" i="2"/>
  <c r="F510" i="2"/>
  <c r="E510" i="2"/>
  <c r="D510" i="2"/>
  <c r="K509" i="2"/>
  <c r="J509" i="2"/>
  <c r="I509" i="2"/>
  <c r="H509" i="2"/>
  <c r="G509" i="2"/>
  <c r="F509" i="2"/>
  <c r="E509" i="2"/>
  <c r="D509" i="2"/>
  <c r="K508" i="2"/>
  <c r="J508" i="2"/>
  <c r="I508" i="2"/>
  <c r="H508" i="2"/>
  <c r="G508" i="2"/>
  <c r="F508" i="2"/>
  <c r="E508" i="2"/>
  <c r="D508" i="2"/>
  <c r="K507" i="2"/>
  <c r="J507" i="2"/>
  <c r="I507" i="2"/>
  <c r="H507" i="2"/>
  <c r="G507" i="2"/>
  <c r="F507" i="2"/>
  <c r="E507" i="2"/>
  <c r="D507" i="2"/>
  <c r="K506" i="2"/>
  <c r="K538" i="2" s="1"/>
  <c r="J506" i="2"/>
  <c r="J538" i="2" s="1"/>
  <c r="I506" i="2"/>
  <c r="I538" i="2" s="1"/>
  <c r="H506" i="2"/>
  <c r="H538" i="2" s="1"/>
  <c r="G506" i="2"/>
  <c r="G538" i="2" s="1"/>
  <c r="F506" i="2"/>
  <c r="F538" i="2" s="1"/>
  <c r="E506" i="2"/>
  <c r="E538" i="2" s="1"/>
  <c r="D506" i="2"/>
  <c r="D538" i="2" s="1"/>
  <c r="K498" i="2"/>
  <c r="J498" i="2"/>
  <c r="I498" i="2"/>
  <c r="H498" i="2"/>
  <c r="G498" i="2"/>
  <c r="F498" i="2"/>
  <c r="E498" i="2"/>
  <c r="D498" i="2"/>
  <c r="K496" i="2"/>
  <c r="J496" i="2"/>
  <c r="I496" i="2"/>
  <c r="H496" i="2"/>
  <c r="G496" i="2"/>
  <c r="F496" i="2"/>
  <c r="E496" i="2"/>
  <c r="D496" i="2"/>
  <c r="K495" i="2"/>
  <c r="J495" i="2"/>
  <c r="I495" i="2"/>
  <c r="H495" i="2"/>
  <c r="K494" i="2"/>
  <c r="J494" i="2"/>
  <c r="I494" i="2"/>
  <c r="H494" i="2"/>
  <c r="G494" i="2"/>
  <c r="F494" i="2"/>
  <c r="E494" i="2"/>
  <c r="D494" i="2"/>
  <c r="K493" i="2"/>
  <c r="J493" i="2"/>
  <c r="I493" i="2"/>
  <c r="H493" i="2"/>
  <c r="G493" i="2"/>
  <c r="F493" i="2"/>
  <c r="E493" i="2"/>
  <c r="D493" i="2"/>
  <c r="K492" i="2"/>
  <c r="J492" i="2"/>
  <c r="I492" i="2"/>
  <c r="H492" i="2"/>
  <c r="G492" i="2"/>
  <c r="F492" i="2"/>
  <c r="E492" i="2"/>
  <c r="D492" i="2"/>
  <c r="K491" i="2"/>
  <c r="J491" i="2"/>
  <c r="I491" i="2"/>
  <c r="H491" i="2"/>
  <c r="G491" i="2"/>
  <c r="F491" i="2"/>
  <c r="E491" i="2"/>
  <c r="D491" i="2"/>
  <c r="K490" i="2"/>
  <c r="J490" i="2"/>
  <c r="I490" i="2"/>
  <c r="H490" i="2"/>
  <c r="G490" i="2"/>
  <c r="F490" i="2"/>
  <c r="E490" i="2"/>
  <c r="D490" i="2"/>
  <c r="K489" i="2"/>
  <c r="J489" i="2"/>
  <c r="I489" i="2"/>
  <c r="H489" i="2"/>
  <c r="G489" i="2"/>
  <c r="F489" i="2"/>
  <c r="E489" i="2"/>
  <c r="D489" i="2"/>
  <c r="K488" i="2"/>
  <c r="J488" i="2"/>
  <c r="I488" i="2"/>
  <c r="H488" i="2"/>
  <c r="G488" i="2"/>
  <c r="F488" i="2"/>
  <c r="E488" i="2"/>
  <c r="D488" i="2"/>
  <c r="K487" i="2"/>
  <c r="J487" i="2"/>
  <c r="I487" i="2"/>
  <c r="H487" i="2"/>
  <c r="G487" i="2"/>
  <c r="F487" i="2"/>
  <c r="E487" i="2"/>
  <c r="D487" i="2"/>
  <c r="K486" i="2"/>
  <c r="J486" i="2"/>
  <c r="I486" i="2"/>
  <c r="H486" i="2"/>
  <c r="G486" i="2"/>
  <c r="F486" i="2"/>
  <c r="E486" i="2"/>
  <c r="D486" i="2"/>
  <c r="K485" i="2"/>
  <c r="J485" i="2"/>
  <c r="I485" i="2"/>
  <c r="H485" i="2"/>
  <c r="G485" i="2"/>
  <c r="F485" i="2"/>
  <c r="E485" i="2"/>
  <c r="D485" i="2"/>
  <c r="K484" i="2"/>
  <c r="J484" i="2"/>
  <c r="I484" i="2"/>
  <c r="H484" i="2"/>
  <c r="G484" i="2"/>
  <c r="F484" i="2"/>
  <c r="E484" i="2"/>
  <c r="D484" i="2"/>
  <c r="K483" i="2"/>
  <c r="J483" i="2"/>
  <c r="I483" i="2"/>
  <c r="H483" i="2"/>
  <c r="G483" i="2"/>
  <c r="F483" i="2"/>
  <c r="E483" i="2"/>
  <c r="D483" i="2"/>
  <c r="K482" i="2"/>
  <c r="J482" i="2"/>
  <c r="I482" i="2"/>
  <c r="H482" i="2"/>
  <c r="G482" i="2"/>
  <c r="F482" i="2"/>
  <c r="E482" i="2"/>
  <c r="D482" i="2"/>
  <c r="K481" i="2"/>
  <c r="J481" i="2"/>
  <c r="I481" i="2"/>
  <c r="H481" i="2"/>
  <c r="G481" i="2"/>
  <c r="F481" i="2"/>
  <c r="E481" i="2"/>
  <c r="D481" i="2"/>
  <c r="K480" i="2"/>
  <c r="J480" i="2"/>
  <c r="I480" i="2"/>
  <c r="H480" i="2"/>
  <c r="G480" i="2"/>
  <c r="F480" i="2"/>
  <c r="E480" i="2"/>
  <c r="D480" i="2"/>
  <c r="K479" i="2"/>
  <c r="J479" i="2"/>
  <c r="I479" i="2"/>
  <c r="H479" i="2"/>
  <c r="G479" i="2"/>
  <c r="F479" i="2"/>
  <c r="E479" i="2"/>
  <c r="D479" i="2"/>
  <c r="K478" i="2"/>
  <c r="J478" i="2"/>
  <c r="I478" i="2"/>
  <c r="H478" i="2"/>
  <c r="G478" i="2"/>
  <c r="F478" i="2"/>
  <c r="E478" i="2"/>
  <c r="D478" i="2"/>
  <c r="K477" i="2"/>
  <c r="J477" i="2"/>
  <c r="I477" i="2"/>
  <c r="H477" i="2"/>
  <c r="G477" i="2"/>
  <c r="F477" i="2"/>
  <c r="E477" i="2"/>
  <c r="D477" i="2"/>
  <c r="K476" i="2"/>
  <c r="J476" i="2"/>
  <c r="I476" i="2"/>
  <c r="H476" i="2"/>
  <c r="G476" i="2"/>
  <c r="F476" i="2"/>
  <c r="E476" i="2"/>
  <c r="D476" i="2"/>
  <c r="K475" i="2"/>
  <c r="J475" i="2"/>
  <c r="I475" i="2"/>
  <c r="H475" i="2"/>
  <c r="G475" i="2"/>
  <c r="F475" i="2"/>
  <c r="E475" i="2"/>
  <c r="D475" i="2"/>
  <c r="K474" i="2"/>
  <c r="J474" i="2"/>
  <c r="I474" i="2"/>
  <c r="H474" i="2"/>
  <c r="G474" i="2"/>
  <c r="F474" i="2"/>
  <c r="E474" i="2"/>
  <c r="D474" i="2"/>
  <c r="K473" i="2"/>
  <c r="J473" i="2"/>
  <c r="I473" i="2"/>
  <c r="H473" i="2"/>
  <c r="G473" i="2"/>
  <c r="F473" i="2"/>
  <c r="E473" i="2"/>
  <c r="D473" i="2"/>
  <c r="K472" i="2"/>
  <c r="J472" i="2"/>
  <c r="I472" i="2"/>
  <c r="H472" i="2"/>
  <c r="G472" i="2"/>
  <c r="F472" i="2"/>
  <c r="E472" i="2"/>
  <c r="D472" i="2"/>
  <c r="K471" i="2"/>
  <c r="J471" i="2"/>
  <c r="I471" i="2"/>
  <c r="H471" i="2"/>
  <c r="G471" i="2"/>
  <c r="F471" i="2"/>
  <c r="E471" i="2"/>
  <c r="D471" i="2"/>
  <c r="K470" i="2"/>
  <c r="K502" i="2" s="1"/>
  <c r="J470" i="2"/>
  <c r="J502" i="2" s="1"/>
  <c r="I470" i="2"/>
  <c r="I502" i="2" s="1"/>
  <c r="H470" i="2"/>
  <c r="H502" i="2" s="1"/>
  <c r="G470" i="2"/>
  <c r="G502" i="2" s="1"/>
  <c r="F470" i="2"/>
  <c r="F502" i="2" s="1"/>
  <c r="E470" i="2"/>
  <c r="E502" i="2" s="1"/>
  <c r="D470" i="2"/>
  <c r="D502" i="2" s="1"/>
  <c r="K462" i="2"/>
  <c r="J462" i="2"/>
  <c r="I462" i="2"/>
  <c r="H462" i="2"/>
  <c r="G462" i="2"/>
  <c r="F462" i="2"/>
  <c r="E462" i="2"/>
  <c r="D462" i="2"/>
  <c r="K460" i="2"/>
  <c r="J460" i="2"/>
  <c r="I460" i="2"/>
  <c r="H460" i="2"/>
  <c r="G460" i="2"/>
  <c r="F460" i="2"/>
  <c r="E460" i="2"/>
  <c r="D460" i="2"/>
  <c r="K459" i="2"/>
  <c r="J459" i="2"/>
  <c r="I459" i="2"/>
  <c r="H459" i="2"/>
  <c r="G459" i="2"/>
  <c r="F459" i="2"/>
  <c r="E459" i="2"/>
  <c r="D459" i="2"/>
  <c r="K458" i="2"/>
  <c r="J458" i="2"/>
  <c r="I458" i="2"/>
  <c r="H458" i="2"/>
  <c r="G458" i="2"/>
  <c r="F458" i="2"/>
  <c r="E458" i="2"/>
  <c r="D458" i="2"/>
  <c r="K457" i="2"/>
  <c r="J457" i="2"/>
  <c r="I457" i="2"/>
  <c r="H457" i="2"/>
  <c r="G457" i="2"/>
  <c r="F457" i="2"/>
  <c r="E457" i="2"/>
  <c r="D457" i="2"/>
  <c r="K456" i="2"/>
  <c r="J456" i="2"/>
  <c r="I456" i="2"/>
  <c r="H456" i="2"/>
  <c r="G456" i="2"/>
  <c r="F456" i="2"/>
  <c r="E456" i="2"/>
  <c r="D456" i="2"/>
  <c r="K455" i="2"/>
  <c r="J455" i="2"/>
  <c r="I455" i="2"/>
  <c r="H455" i="2"/>
  <c r="G455" i="2"/>
  <c r="F455" i="2"/>
  <c r="E455" i="2"/>
  <c r="D455" i="2"/>
  <c r="K454" i="2"/>
  <c r="J454" i="2"/>
  <c r="I454" i="2"/>
  <c r="H454" i="2"/>
  <c r="G454" i="2"/>
  <c r="F454" i="2"/>
  <c r="E454" i="2"/>
  <c r="D454" i="2"/>
  <c r="K453" i="2"/>
  <c r="J453" i="2"/>
  <c r="I453" i="2"/>
  <c r="H453" i="2"/>
  <c r="G453" i="2"/>
  <c r="F453" i="2"/>
  <c r="E453" i="2"/>
  <c r="D453" i="2"/>
  <c r="K452" i="2"/>
  <c r="J452" i="2"/>
  <c r="I452" i="2"/>
  <c r="H452" i="2"/>
  <c r="G452" i="2"/>
  <c r="F452" i="2"/>
  <c r="E452" i="2"/>
  <c r="D452" i="2"/>
  <c r="K451" i="2"/>
  <c r="J451" i="2"/>
  <c r="I451" i="2"/>
  <c r="H451" i="2"/>
  <c r="G451" i="2"/>
  <c r="F451" i="2"/>
  <c r="E451" i="2"/>
  <c r="D451" i="2"/>
  <c r="K450" i="2"/>
  <c r="J450" i="2"/>
  <c r="I450" i="2"/>
  <c r="H450" i="2"/>
  <c r="G450" i="2"/>
  <c r="F450" i="2"/>
  <c r="E450" i="2"/>
  <c r="D450" i="2"/>
  <c r="K449" i="2"/>
  <c r="J449" i="2"/>
  <c r="I449" i="2"/>
  <c r="H449" i="2"/>
  <c r="G449" i="2"/>
  <c r="F449" i="2"/>
  <c r="E449" i="2"/>
  <c r="D449" i="2"/>
  <c r="K448" i="2"/>
  <c r="J448" i="2"/>
  <c r="I448" i="2"/>
  <c r="H448" i="2"/>
  <c r="G448" i="2"/>
  <c r="F448" i="2"/>
  <c r="E448" i="2"/>
  <c r="D448" i="2"/>
  <c r="K447" i="2"/>
  <c r="J447" i="2"/>
  <c r="I447" i="2"/>
  <c r="H447" i="2"/>
  <c r="G447" i="2"/>
  <c r="F447" i="2"/>
  <c r="E447" i="2"/>
  <c r="D447" i="2"/>
  <c r="K446" i="2"/>
  <c r="J446" i="2"/>
  <c r="I446" i="2"/>
  <c r="H446" i="2"/>
  <c r="G446" i="2"/>
  <c r="F446" i="2"/>
  <c r="E446" i="2"/>
  <c r="D446" i="2"/>
  <c r="K445" i="2"/>
  <c r="J445" i="2"/>
  <c r="I445" i="2"/>
  <c r="H445" i="2"/>
  <c r="G445" i="2"/>
  <c r="F445" i="2"/>
  <c r="E445" i="2"/>
  <c r="D445" i="2"/>
  <c r="K444" i="2"/>
  <c r="J444" i="2"/>
  <c r="I444" i="2"/>
  <c r="H444" i="2"/>
  <c r="G444" i="2"/>
  <c r="F444" i="2"/>
  <c r="E444" i="2"/>
  <c r="D444" i="2"/>
  <c r="K443" i="2"/>
  <c r="J443" i="2"/>
  <c r="I443" i="2"/>
  <c r="H443" i="2"/>
  <c r="G443" i="2"/>
  <c r="F443" i="2"/>
  <c r="E443" i="2"/>
  <c r="D443" i="2"/>
  <c r="K442" i="2"/>
  <c r="J442" i="2"/>
  <c r="I442" i="2"/>
  <c r="H442" i="2"/>
  <c r="G442" i="2"/>
  <c r="F442" i="2"/>
  <c r="E442" i="2"/>
  <c r="D442" i="2"/>
  <c r="K441" i="2"/>
  <c r="J441" i="2"/>
  <c r="I441" i="2"/>
  <c r="H441" i="2"/>
  <c r="G441" i="2"/>
  <c r="F441" i="2"/>
  <c r="E441" i="2"/>
  <c r="D441" i="2"/>
  <c r="K440" i="2"/>
  <c r="J440" i="2"/>
  <c r="I440" i="2"/>
  <c r="H440" i="2"/>
  <c r="G440" i="2"/>
  <c r="F440" i="2"/>
  <c r="E440" i="2"/>
  <c r="D440" i="2"/>
  <c r="K439" i="2"/>
  <c r="J439" i="2"/>
  <c r="I439" i="2"/>
  <c r="H439" i="2"/>
  <c r="G439" i="2"/>
  <c r="F439" i="2"/>
  <c r="E439" i="2"/>
  <c r="D439" i="2"/>
  <c r="K438" i="2"/>
  <c r="J438" i="2"/>
  <c r="I438" i="2"/>
  <c r="H438" i="2"/>
  <c r="G438" i="2"/>
  <c r="F438" i="2"/>
  <c r="E438" i="2"/>
  <c r="D438" i="2"/>
  <c r="K437" i="2"/>
  <c r="J437" i="2"/>
  <c r="I437" i="2"/>
  <c r="H437" i="2"/>
  <c r="G437" i="2"/>
  <c r="F437" i="2"/>
  <c r="E437" i="2"/>
  <c r="D437" i="2"/>
  <c r="K436" i="2"/>
  <c r="J436" i="2"/>
  <c r="I436" i="2"/>
  <c r="H436" i="2"/>
  <c r="G436" i="2"/>
  <c r="F436" i="2"/>
  <c r="E436" i="2"/>
  <c r="D436" i="2"/>
  <c r="K435" i="2"/>
  <c r="J435" i="2"/>
  <c r="I435" i="2"/>
  <c r="H435" i="2"/>
  <c r="G435" i="2"/>
  <c r="F435" i="2"/>
  <c r="E435" i="2"/>
  <c r="D435" i="2"/>
  <c r="K434" i="2"/>
  <c r="K466" i="2" s="1"/>
  <c r="J434" i="2"/>
  <c r="J466" i="2" s="1"/>
  <c r="I434" i="2"/>
  <c r="I466" i="2" s="1"/>
  <c r="H434" i="2"/>
  <c r="H466" i="2" s="1"/>
  <c r="G434" i="2"/>
  <c r="G466" i="2" s="1"/>
  <c r="F434" i="2"/>
  <c r="F466" i="2" s="1"/>
  <c r="E434" i="2"/>
  <c r="E466" i="2" s="1"/>
  <c r="D434" i="2"/>
  <c r="D466" i="2" s="1"/>
  <c r="K426" i="2"/>
  <c r="J426" i="2"/>
  <c r="I426" i="2"/>
  <c r="H426" i="2"/>
  <c r="G426" i="2"/>
  <c r="F426" i="2"/>
  <c r="E426" i="2"/>
  <c r="D426" i="2"/>
  <c r="K424" i="2"/>
  <c r="J424" i="2"/>
  <c r="I424" i="2"/>
  <c r="H424" i="2"/>
  <c r="G424" i="2"/>
  <c r="F424" i="2"/>
  <c r="E424" i="2"/>
  <c r="D424" i="2"/>
  <c r="K423" i="2"/>
  <c r="J423" i="2"/>
  <c r="I423" i="2"/>
  <c r="H423" i="2"/>
  <c r="G423" i="2"/>
  <c r="F423" i="2"/>
  <c r="E423" i="2"/>
  <c r="D423" i="2"/>
  <c r="K422" i="2"/>
  <c r="J422" i="2"/>
  <c r="I422" i="2"/>
  <c r="H422" i="2"/>
  <c r="G422" i="2"/>
  <c r="F422" i="2"/>
  <c r="E422" i="2"/>
  <c r="D422" i="2"/>
  <c r="K421" i="2"/>
  <c r="J421" i="2"/>
  <c r="I421" i="2"/>
  <c r="H421" i="2"/>
  <c r="G421" i="2"/>
  <c r="F421" i="2"/>
  <c r="E421" i="2"/>
  <c r="D421" i="2"/>
  <c r="K420" i="2"/>
  <c r="J420" i="2"/>
  <c r="I420" i="2"/>
  <c r="H420" i="2"/>
  <c r="G420" i="2"/>
  <c r="F420" i="2"/>
  <c r="E420" i="2"/>
  <c r="D420" i="2"/>
  <c r="K419" i="2"/>
  <c r="J419" i="2"/>
  <c r="I419" i="2"/>
  <c r="H419" i="2"/>
  <c r="G419" i="2"/>
  <c r="F419" i="2"/>
  <c r="E419" i="2"/>
  <c r="D419" i="2"/>
  <c r="K418" i="2"/>
  <c r="J418" i="2"/>
  <c r="I418" i="2"/>
  <c r="H418" i="2"/>
  <c r="G418" i="2"/>
  <c r="F418" i="2"/>
  <c r="E418" i="2"/>
  <c r="D418" i="2"/>
  <c r="K417" i="2"/>
  <c r="J417" i="2"/>
  <c r="I417" i="2"/>
  <c r="H417" i="2"/>
  <c r="G417" i="2"/>
  <c r="F417" i="2"/>
  <c r="E417" i="2"/>
  <c r="D417" i="2"/>
  <c r="K416" i="2"/>
  <c r="J416" i="2"/>
  <c r="I416" i="2"/>
  <c r="H416" i="2"/>
  <c r="G416" i="2"/>
  <c r="F416" i="2"/>
  <c r="E416" i="2"/>
  <c r="D416" i="2"/>
  <c r="K415" i="2"/>
  <c r="J415" i="2"/>
  <c r="I415" i="2"/>
  <c r="H415" i="2"/>
  <c r="G415" i="2"/>
  <c r="F415" i="2"/>
  <c r="E415" i="2"/>
  <c r="D415" i="2"/>
  <c r="K414" i="2"/>
  <c r="J414" i="2"/>
  <c r="I414" i="2"/>
  <c r="H414" i="2"/>
  <c r="G414" i="2"/>
  <c r="F414" i="2"/>
  <c r="E414" i="2"/>
  <c r="D414" i="2"/>
  <c r="K413" i="2"/>
  <c r="J413" i="2"/>
  <c r="I413" i="2"/>
  <c r="H413" i="2"/>
  <c r="G413" i="2"/>
  <c r="F413" i="2"/>
  <c r="E413" i="2"/>
  <c r="D413" i="2"/>
  <c r="K412" i="2"/>
  <c r="J412" i="2"/>
  <c r="I412" i="2"/>
  <c r="H412" i="2"/>
  <c r="G412" i="2"/>
  <c r="F412" i="2"/>
  <c r="E412" i="2"/>
  <c r="D412" i="2"/>
  <c r="K411" i="2"/>
  <c r="J411" i="2"/>
  <c r="I411" i="2"/>
  <c r="H411" i="2"/>
  <c r="G411" i="2"/>
  <c r="F411" i="2"/>
  <c r="E411" i="2"/>
  <c r="D411" i="2"/>
  <c r="K410" i="2"/>
  <c r="J410" i="2"/>
  <c r="I410" i="2"/>
  <c r="H410" i="2"/>
  <c r="G410" i="2"/>
  <c r="F410" i="2"/>
  <c r="E410" i="2"/>
  <c r="D410" i="2"/>
  <c r="K409" i="2"/>
  <c r="J409" i="2"/>
  <c r="I409" i="2"/>
  <c r="H409" i="2"/>
  <c r="G409" i="2"/>
  <c r="F409" i="2"/>
  <c r="E409" i="2"/>
  <c r="D409" i="2"/>
  <c r="K408" i="2"/>
  <c r="J408" i="2"/>
  <c r="I408" i="2"/>
  <c r="H408" i="2"/>
  <c r="G408" i="2"/>
  <c r="F408" i="2"/>
  <c r="E408" i="2"/>
  <c r="D408" i="2"/>
  <c r="K407" i="2"/>
  <c r="J407" i="2"/>
  <c r="I407" i="2"/>
  <c r="H407" i="2"/>
  <c r="G407" i="2"/>
  <c r="F407" i="2"/>
  <c r="E407" i="2"/>
  <c r="D407" i="2"/>
  <c r="K406" i="2"/>
  <c r="J406" i="2"/>
  <c r="I406" i="2"/>
  <c r="H406" i="2"/>
  <c r="G406" i="2"/>
  <c r="F406" i="2"/>
  <c r="E406" i="2"/>
  <c r="D406" i="2"/>
  <c r="K405" i="2"/>
  <c r="J405" i="2"/>
  <c r="I405" i="2"/>
  <c r="H405" i="2"/>
  <c r="G405" i="2"/>
  <c r="F405" i="2"/>
  <c r="E405" i="2"/>
  <c r="D405" i="2"/>
  <c r="K404" i="2"/>
  <c r="J404" i="2"/>
  <c r="I404" i="2"/>
  <c r="H404" i="2"/>
  <c r="G404" i="2"/>
  <c r="F404" i="2"/>
  <c r="E404" i="2"/>
  <c r="D404" i="2"/>
  <c r="K403" i="2"/>
  <c r="J403" i="2"/>
  <c r="I403" i="2"/>
  <c r="H403" i="2"/>
  <c r="G403" i="2"/>
  <c r="F403" i="2"/>
  <c r="E403" i="2"/>
  <c r="D403" i="2"/>
  <c r="K402" i="2"/>
  <c r="J402" i="2"/>
  <c r="I402" i="2"/>
  <c r="H402" i="2"/>
  <c r="G402" i="2"/>
  <c r="F402" i="2"/>
  <c r="E402" i="2"/>
  <c r="D402" i="2"/>
  <c r="K401" i="2"/>
  <c r="J401" i="2"/>
  <c r="I401" i="2"/>
  <c r="H401" i="2"/>
  <c r="G401" i="2"/>
  <c r="F401" i="2"/>
  <c r="E401" i="2"/>
  <c r="D401" i="2"/>
  <c r="K400" i="2"/>
  <c r="J400" i="2"/>
  <c r="I400" i="2"/>
  <c r="H400" i="2"/>
  <c r="G400" i="2"/>
  <c r="F400" i="2"/>
  <c r="E400" i="2"/>
  <c r="D400" i="2"/>
  <c r="K399" i="2"/>
  <c r="J399" i="2"/>
  <c r="I399" i="2"/>
  <c r="H399" i="2"/>
  <c r="G399" i="2"/>
  <c r="F399" i="2"/>
  <c r="E399" i="2"/>
  <c r="D399" i="2"/>
  <c r="K398" i="2"/>
  <c r="K430" i="2" s="1"/>
  <c r="J398" i="2"/>
  <c r="J430" i="2" s="1"/>
  <c r="I398" i="2"/>
  <c r="I430" i="2" s="1"/>
  <c r="H398" i="2"/>
  <c r="H430" i="2" s="1"/>
  <c r="G398" i="2"/>
  <c r="G430" i="2" s="1"/>
  <c r="F398" i="2"/>
  <c r="F430" i="2" s="1"/>
  <c r="E398" i="2"/>
  <c r="E430" i="2" s="1"/>
  <c r="D398" i="2"/>
  <c r="D430" i="2" s="1"/>
  <c r="K390" i="2"/>
  <c r="J390" i="2"/>
  <c r="I390" i="2"/>
  <c r="H390" i="2"/>
  <c r="G390" i="2"/>
  <c r="F390" i="2"/>
  <c r="E390" i="2"/>
  <c r="D390" i="2"/>
  <c r="K388" i="2"/>
  <c r="J388" i="2"/>
  <c r="I388" i="2"/>
  <c r="H388" i="2"/>
  <c r="G388" i="2"/>
  <c r="F388" i="2"/>
  <c r="E388" i="2"/>
  <c r="D388" i="2"/>
  <c r="K387" i="2"/>
  <c r="J387" i="2"/>
  <c r="I387" i="2"/>
  <c r="H387" i="2"/>
  <c r="G387" i="2"/>
  <c r="F387" i="2"/>
  <c r="E387" i="2"/>
  <c r="D387" i="2"/>
  <c r="K386" i="2"/>
  <c r="J386" i="2"/>
  <c r="I386" i="2"/>
  <c r="H386" i="2"/>
  <c r="G386" i="2"/>
  <c r="F386" i="2"/>
  <c r="E386" i="2"/>
  <c r="D386" i="2"/>
  <c r="K385" i="2"/>
  <c r="J385" i="2"/>
  <c r="I385" i="2"/>
  <c r="H385" i="2"/>
  <c r="G385" i="2"/>
  <c r="F385" i="2"/>
  <c r="E385" i="2"/>
  <c r="D385" i="2"/>
  <c r="K384" i="2"/>
  <c r="J384" i="2"/>
  <c r="I384" i="2"/>
  <c r="H384" i="2"/>
  <c r="G384" i="2"/>
  <c r="F384" i="2"/>
  <c r="E384" i="2"/>
  <c r="D384" i="2"/>
  <c r="K383" i="2"/>
  <c r="J383" i="2"/>
  <c r="I383" i="2"/>
  <c r="H383" i="2"/>
  <c r="G383" i="2"/>
  <c r="F383" i="2"/>
  <c r="E383" i="2"/>
  <c r="D383" i="2"/>
  <c r="K382" i="2"/>
  <c r="J382" i="2"/>
  <c r="I382" i="2"/>
  <c r="H382" i="2"/>
  <c r="G382" i="2"/>
  <c r="F382" i="2"/>
  <c r="E382" i="2"/>
  <c r="D382" i="2"/>
  <c r="K381" i="2"/>
  <c r="J381" i="2"/>
  <c r="I381" i="2"/>
  <c r="H381" i="2"/>
  <c r="G381" i="2"/>
  <c r="F381" i="2"/>
  <c r="E381" i="2"/>
  <c r="D381" i="2"/>
  <c r="K380" i="2"/>
  <c r="J380" i="2"/>
  <c r="I380" i="2"/>
  <c r="H380" i="2"/>
  <c r="G380" i="2"/>
  <c r="F380" i="2"/>
  <c r="E380" i="2"/>
  <c r="D380" i="2"/>
  <c r="K379" i="2"/>
  <c r="J379" i="2"/>
  <c r="I379" i="2"/>
  <c r="H379" i="2"/>
  <c r="G379" i="2"/>
  <c r="F379" i="2"/>
  <c r="E379" i="2"/>
  <c r="D379" i="2"/>
  <c r="K378" i="2"/>
  <c r="J378" i="2"/>
  <c r="I378" i="2"/>
  <c r="H378" i="2"/>
  <c r="G378" i="2"/>
  <c r="F378" i="2"/>
  <c r="E378" i="2"/>
  <c r="D378" i="2"/>
  <c r="K377" i="2"/>
  <c r="J377" i="2"/>
  <c r="I377" i="2"/>
  <c r="H377" i="2"/>
  <c r="G377" i="2"/>
  <c r="F377" i="2"/>
  <c r="E377" i="2"/>
  <c r="D377" i="2"/>
  <c r="K376" i="2"/>
  <c r="J376" i="2"/>
  <c r="I376" i="2"/>
  <c r="H376" i="2"/>
  <c r="G376" i="2"/>
  <c r="F376" i="2"/>
  <c r="E376" i="2"/>
  <c r="D376" i="2"/>
  <c r="K375" i="2"/>
  <c r="J375" i="2"/>
  <c r="I375" i="2"/>
  <c r="H375" i="2"/>
  <c r="G375" i="2"/>
  <c r="F375" i="2"/>
  <c r="E375" i="2"/>
  <c r="D375" i="2"/>
  <c r="K374" i="2"/>
  <c r="J374" i="2"/>
  <c r="I374" i="2"/>
  <c r="H374" i="2"/>
  <c r="G374" i="2"/>
  <c r="F374" i="2"/>
  <c r="E374" i="2"/>
  <c r="D374" i="2"/>
  <c r="K373" i="2"/>
  <c r="J373" i="2"/>
  <c r="I373" i="2"/>
  <c r="H373" i="2"/>
  <c r="G373" i="2"/>
  <c r="F373" i="2"/>
  <c r="E373" i="2"/>
  <c r="D373" i="2"/>
  <c r="K372" i="2"/>
  <c r="J372" i="2"/>
  <c r="I372" i="2"/>
  <c r="H372" i="2"/>
  <c r="G372" i="2"/>
  <c r="F372" i="2"/>
  <c r="E372" i="2"/>
  <c r="D372" i="2"/>
  <c r="K371" i="2"/>
  <c r="J371" i="2"/>
  <c r="I371" i="2"/>
  <c r="H371" i="2"/>
  <c r="G371" i="2"/>
  <c r="F371" i="2"/>
  <c r="E371" i="2"/>
  <c r="D371" i="2"/>
  <c r="K370" i="2"/>
  <c r="J370" i="2"/>
  <c r="I370" i="2"/>
  <c r="H370" i="2"/>
  <c r="G370" i="2"/>
  <c r="F370" i="2"/>
  <c r="E370" i="2"/>
  <c r="D370" i="2"/>
  <c r="K369" i="2"/>
  <c r="J369" i="2"/>
  <c r="I369" i="2"/>
  <c r="H369" i="2"/>
  <c r="G369" i="2"/>
  <c r="F369" i="2"/>
  <c r="E369" i="2"/>
  <c r="D369" i="2"/>
  <c r="K368" i="2"/>
  <c r="J368" i="2"/>
  <c r="I368" i="2"/>
  <c r="H368" i="2"/>
  <c r="G368" i="2"/>
  <c r="F368" i="2"/>
  <c r="E368" i="2"/>
  <c r="D368" i="2"/>
  <c r="K367" i="2"/>
  <c r="J367" i="2"/>
  <c r="I367" i="2"/>
  <c r="H367" i="2"/>
  <c r="G367" i="2"/>
  <c r="F367" i="2"/>
  <c r="E367" i="2"/>
  <c r="D367" i="2"/>
  <c r="K366" i="2"/>
  <c r="J366" i="2"/>
  <c r="I366" i="2"/>
  <c r="H366" i="2"/>
  <c r="G366" i="2"/>
  <c r="F366" i="2"/>
  <c r="E366" i="2"/>
  <c r="D366" i="2"/>
  <c r="K365" i="2"/>
  <c r="J365" i="2"/>
  <c r="I365" i="2"/>
  <c r="H365" i="2"/>
  <c r="G365" i="2"/>
  <c r="F365" i="2"/>
  <c r="E365" i="2"/>
  <c r="D365" i="2"/>
  <c r="K364" i="2"/>
  <c r="J364" i="2"/>
  <c r="I364" i="2"/>
  <c r="H364" i="2"/>
  <c r="G364" i="2"/>
  <c r="F364" i="2"/>
  <c r="E364" i="2"/>
  <c r="D364" i="2"/>
  <c r="K363" i="2"/>
  <c r="J363" i="2"/>
  <c r="I363" i="2"/>
  <c r="H363" i="2"/>
  <c r="G363" i="2"/>
  <c r="F363" i="2"/>
  <c r="E363" i="2"/>
  <c r="D363" i="2"/>
  <c r="K362" i="2"/>
  <c r="K394" i="2" s="1"/>
  <c r="J362" i="2"/>
  <c r="J394" i="2" s="1"/>
  <c r="I362" i="2"/>
  <c r="I394" i="2" s="1"/>
  <c r="H362" i="2"/>
  <c r="H394" i="2" s="1"/>
  <c r="G362" i="2"/>
  <c r="G394" i="2" s="1"/>
  <c r="F362" i="2"/>
  <c r="F394" i="2" s="1"/>
  <c r="E362" i="2"/>
  <c r="E394" i="2" s="1"/>
  <c r="D362" i="2"/>
  <c r="D394" i="2" s="1"/>
  <c r="K354" i="2"/>
  <c r="J354" i="2"/>
  <c r="I354" i="2"/>
  <c r="H354" i="2"/>
  <c r="G354" i="2"/>
  <c r="F354" i="2"/>
  <c r="E354" i="2"/>
  <c r="D354" i="2"/>
  <c r="K352" i="2"/>
  <c r="J352" i="2"/>
  <c r="I352" i="2"/>
  <c r="H352" i="2"/>
  <c r="G352" i="2"/>
  <c r="F352" i="2"/>
  <c r="E352" i="2"/>
  <c r="D352" i="2"/>
  <c r="K351" i="2"/>
  <c r="J351" i="2"/>
  <c r="I351" i="2"/>
  <c r="H351" i="2"/>
  <c r="G351" i="2"/>
  <c r="F351" i="2"/>
  <c r="E351" i="2"/>
  <c r="D351" i="2"/>
  <c r="K350" i="2"/>
  <c r="J350" i="2"/>
  <c r="I350" i="2"/>
  <c r="H350" i="2"/>
  <c r="G350" i="2"/>
  <c r="F350" i="2"/>
  <c r="E350" i="2"/>
  <c r="D350" i="2"/>
  <c r="K349" i="2"/>
  <c r="J349" i="2"/>
  <c r="I349" i="2"/>
  <c r="H349" i="2"/>
  <c r="G349" i="2"/>
  <c r="F349" i="2"/>
  <c r="E349" i="2"/>
  <c r="D349" i="2"/>
  <c r="K348" i="2"/>
  <c r="J348" i="2"/>
  <c r="I348" i="2"/>
  <c r="H348" i="2"/>
  <c r="G348" i="2"/>
  <c r="F348" i="2"/>
  <c r="E348" i="2"/>
  <c r="D348" i="2"/>
  <c r="K347" i="2"/>
  <c r="J347" i="2"/>
  <c r="I347" i="2"/>
  <c r="H347" i="2"/>
  <c r="G347" i="2"/>
  <c r="F347" i="2"/>
  <c r="E347" i="2"/>
  <c r="D347" i="2"/>
  <c r="K346" i="2"/>
  <c r="J346" i="2"/>
  <c r="I346" i="2"/>
  <c r="H346" i="2"/>
  <c r="G346" i="2"/>
  <c r="F346" i="2"/>
  <c r="E346" i="2"/>
  <c r="D346" i="2"/>
  <c r="K345" i="2"/>
  <c r="J345" i="2"/>
  <c r="I345" i="2"/>
  <c r="H345" i="2"/>
  <c r="G345" i="2"/>
  <c r="F345" i="2"/>
  <c r="E345" i="2"/>
  <c r="D345" i="2"/>
  <c r="K344" i="2"/>
  <c r="J344" i="2"/>
  <c r="I344" i="2"/>
  <c r="H344" i="2"/>
  <c r="G344" i="2"/>
  <c r="F344" i="2"/>
  <c r="E344" i="2"/>
  <c r="D344" i="2"/>
  <c r="K343" i="2"/>
  <c r="J343" i="2"/>
  <c r="I343" i="2"/>
  <c r="H343" i="2"/>
  <c r="G343" i="2"/>
  <c r="F343" i="2"/>
  <c r="E343" i="2"/>
  <c r="D343" i="2"/>
  <c r="K342" i="2"/>
  <c r="J342" i="2"/>
  <c r="I342" i="2"/>
  <c r="H342" i="2"/>
  <c r="G342" i="2"/>
  <c r="F342" i="2"/>
  <c r="E342" i="2"/>
  <c r="D342" i="2"/>
  <c r="K341" i="2"/>
  <c r="J341" i="2"/>
  <c r="I341" i="2"/>
  <c r="H341" i="2"/>
  <c r="G341" i="2"/>
  <c r="F341" i="2"/>
  <c r="E341" i="2"/>
  <c r="D341" i="2"/>
  <c r="K340" i="2"/>
  <c r="J340" i="2"/>
  <c r="I340" i="2"/>
  <c r="H340" i="2"/>
  <c r="G340" i="2"/>
  <c r="F340" i="2"/>
  <c r="E340" i="2"/>
  <c r="D340" i="2"/>
  <c r="K339" i="2"/>
  <c r="J339" i="2"/>
  <c r="I339" i="2"/>
  <c r="H339" i="2"/>
  <c r="G339" i="2"/>
  <c r="F339" i="2"/>
  <c r="E339" i="2"/>
  <c r="D339" i="2"/>
  <c r="K338" i="2"/>
  <c r="J338" i="2"/>
  <c r="I338" i="2"/>
  <c r="H338" i="2"/>
  <c r="G338" i="2"/>
  <c r="F338" i="2"/>
  <c r="E338" i="2"/>
  <c r="D338" i="2"/>
  <c r="K337" i="2"/>
  <c r="J337" i="2"/>
  <c r="I337" i="2"/>
  <c r="H337" i="2"/>
  <c r="G337" i="2"/>
  <c r="F337" i="2"/>
  <c r="E337" i="2"/>
  <c r="D337" i="2"/>
  <c r="K336" i="2"/>
  <c r="J336" i="2"/>
  <c r="I336" i="2"/>
  <c r="H336" i="2"/>
  <c r="G336" i="2"/>
  <c r="F336" i="2"/>
  <c r="E336" i="2"/>
  <c r="D336" i="2"/>
  <c r="K335" i="2"/>
  <c r="J335" i="2"/>
  <c r="I335" i="2"/>
  <c r="H335" i="2"/>
  <c r="G335" i="2"/>
  <c r="F335" i="2"/>
  <c r="E335" i="2"/>
  <c r="D335" i="2"/>
  <c r="K334" i="2"/>
  <c r="J334" i="2"/>
  <c r="I334" i="2"/>
  <c r="H334" i="2"/>
  <c r="G334" i="2"/>
  <c r="F334" i="2"/>
  <c r="E334" i="2"/>
  <c r="D334" i="2"/>
  <c r="K333" i="2"/>
  <c r="J333" i="2"/>
  <c r="I333" i="2"/>
  <c r="H333" i="2"/>
  <c r="G333" i="2"/>
  <c r="F333" i="2"/>
  <c r="E333" i="2"/>
  <c r="D333" i="2"/>
  <c r="K332" i="2"/>
  <c r="J332" i="2"/>
  <c r="I332" i="2"/>
  <c r="H332" i="2"/>
  <c r="G332" i="2"/>
  <c r="F332" i="2"/>
  <c r="E332" i="2"/>
  <c r="D332" i="2"/>
  <c r="K331" i="2"/>
  <c r="J331" i="2"/>
  <c r="I331" i="2"/>
  <c r="H331" i="2"/>
  <c r="G331" i="2"/>
  <c r="F331" i="2"/>
  <c r="E331" i="2"/>
  <c r="D331" i="2"/>
  <c r="K330" i="2"/>
  <c r="J330" i="2"/>
  <c r="I330" i="2"/>
  <c r="H330" i="2"/>
  <c r="G330" i="2"/>
  <c r="F330" i="2"/>
  <c r="E330" i="2"/>
  <c r="D330" i="2"/>
  <c r="K329" i="2"/>
  <c r="J329" i="2"/>
  <c r="I329" i="2"/>
  <c r="H329" i="2"/>
  <c r="G329" i="2"/>
  <c r="F329" i="2"/>
  <c r="E329" i="2"/>
  <c r="D329" i="2"/>
  <c r="K328" i="2"/>
  <c r="J328" i="2"/>
  <c r="I328" i="2"/>
  <c r="H328" i="2"/>
  <c r="G328" i="2"/>
  <c r="F328" i="2"/>
  <c r="E328" i="2"/>
  <c r="D328" i="2"/>
  <c r="K327" i="2"/>
  <c r="J327" i="2"/>
  <c r="I327" i="2"/>
  <c r="H327" i="2"/>
  <c r="G327" i="2"/>
  <c r="F327" i="2"/>
  <c r="E327" i="2"/>
  <c r="D327" i="2"/>
  <c r="K326" i="2"/>
  <c r="K358" i="2" s="1"/>
  <c r="J326" i="2"/>
  <c r="J358" i="2" s="1"/>
  <c r="I326" i="2"/>
  <c r="I358" i="2" s="1"/>
  <c r="H326" i="2"/>
  <c r="H358" i="2" s="1"/>
  <c r="G326" i="2"/>
  <c r="G358" i="2" s="1"/>
  <c r="F326" i="2"/>
  <c r="F358" i="2" s="1"/>
  <c r="E326" i="2"/>
  <c r="E358" i="2" s="1"/>
  <c r="D326" i="2"/>
  <c r="D358" i="2" s="1"/>
  <c r="K318" i="2"/>
  <c r="J318" i="2"/>
  <c r="I318" i="2"/>
  <c r="H318" i="2"/>
  <c r="G318" i="2"/>
  <c r="F318" i="2"/>
  <c r="E318" i="2"/>
  <c r="D318" i="2"/>
  <c r="K316" i="2"/>
  <c r="J316" i="2"/>
  <c r="I316" i="2"/>
  <c r="H316" i="2"/>
  <c r="G316" i="2"/>
  <c r="F316" i="2"/>
  <c r="E316" i="2"/>
  <c r="D316" i="2"/>
  <c r="K315" i="2"/>
  <c r="J315" i="2"/>
  <c r="I315" i="2"/>
  <c r="H315" i="2"/>
  <c r="G315" i="2"/>
  <c r="F315" i="2"/>
  <c r="E315" i="2"/>
  <c r="D315" i="2"/>
  <c r="K314" i="2"/>
  <c r="J314" i="2"/>
  <c r="I314" i="2"/>
  <c r="H314" i="2"/>
  <c r="G314" i="2"/>
  <c r="F314" i="2"/>
  <c r="E314" i="2"/>
  <c r="D314" i="2"/>
  <c r="K313" i="2"/>
  <c r="J313" i="2"/>
  <c r="I313" i="2"/>
  <c r="H313" i="2"/>
  <c r="G313" i="2"/>
  <c r="F313" i="2"/>
  <c r="E313" i="2"/>
  <c r="D313" i="2"/>
  <c r="K312" i="2"/>
  <c r="J312" i="2"/>
  <c r="I312" i="2"/>
  <c r="H312" i="2"/>
  <c r="G312" i="2"/>
  <c r="F312" i="2"/>
  <c r="E312" i="2"/>
  <c r="D312" i="2"/>
  <c r="K311" i="2"/>
  <c r="J311" i="2"/>
  <c r="I311" i="2"/>
  <c r="H311" i="2"/>
  <c r="G311" i="2"/>
  <c r="F311" i="2"/>
  <c r="E311" i="2"/>
  <c r="D311" i="2"/>
  <c r="K310" i="2"/>
  <c r="J310" i="2"/>
  <c r="I310" i="2"/>
  <c r="H310" i="2"/>
  <c r="G310" i="2"/>
  <c r="F310" i="2"/>
  <c r="E310" i="2"/>
  <c r="D310" i="2"/>
  <c r="K309" i="2"/>
  <c r="J309" i="2"/>
  <c r="I309" i="2"/>
  <c r="H309" i="2"/>
  <c r="G309" i="2"/>
  <c r="F309" i="2"/>
  <c r="E309" i="2"/>
  <c r="D309" i="2"/>
  <c r="K308" i="2"/>
  <c r="J308" i="2"/>
  <c r="I308" i="2"/>
  <c r="H308" i="2"/>
  <c r="G308" i="2"/>
  <c r="F308" i="2"/>
  <c r="E308" i="2"/>
  <c r="D308" i="2"/>
  <c r="K307" i="2"/>
  <c r="J307" i="2"/>
  <c r="I307" i="2"/>
  <c r="H307" i="2"/>
  <c r="G307" i="2"/>
  <c r="F307" i="2"/>
  <c r="E307" i="2"/>
  <c r="D307" i="2"/>
  <c r="K306" i="2"/>
  <c r="J306" i="2"/>
  <c r="I306" i="2"/>
  <c r="H306" i="2"/>
  <c r="G306" i="2"/>
  <c r="F306" i="2"/>
  <c r="E306" i="2"/>
  <c r="D306" i="2"/>
  <c r="K305" i="2"/>
  <c r="J305" i="2"/>
  <c r="I305" i="2"/>
  <c r="H305" i="2"/>
  <c r="G305" i="2"/>
  <c r="F305" i="2"/>
  <c r="E305" i="2"/>
  <c r="D305" i="2"/>
  <c r="K304" i="2"/>
  <c r="J304" i="2"/>
  <c r="I304" i="2"/>
  <c r="H304" i="2"/>
  <c r="G304" i="2"/>
  <c r="F304" i="2"/>
  <c r="E304" i="2"/>
  <c r="D304" i="2"/>
  <c r="K303" i="2"/>
  <c r="J303" i="2"/>
  <c r="I303" i="2"/>
  <c r="H303" i="2"/>
  <c r="G303" i="2"/>
  <c r="F303" i="2"/>
  <c r="E303" i="2"/>
  <c r="D303" i="2"/>
  <c r="K302" i="2"/>
  <c r="J302" i="2"/>
  <c r="I302" i="2"/>
  <c r="H302" i="2"/>
  <c r="G302" i="2"/>
  <c r="F302" i="2"/>
  <c r="E302" i="2"/>
  <c r="D302" i="2"/>
  <c r="K301" i="2"/>
  <c r="J301" i="2"/>
  <c r="I301" i="2"/>
  <c r="H301" i="2"/>
  <c r="G301" i="2"/>
  <c r="F301" i="2"/>
  <c r="E301" i="2"/>
  <c r="D301" i="2"/>
  <c r="K300" i="2"/>
  <c r="J300" i="2"/>
  <c r="I300" i="2"/>
  <c r="H300" i="2"/>
  <c r="G300" i="2"/>
  <c r="F300" i="2"/>
  <c r="E300" i="2"/>
  <c r="D300" i="2"/>
  <c r="K299" i="2"/>
  <c r="J299" i="2"/>
  <c r="I299" i="2"/>
  <c r="H299" i="2"/>
  <c r="G299" i="2"/>
  <c r="F299" i="2"/>
  <c r="E299" i="2"/>
  <c r="D299" i="2"/>
  <c r="K298" i="2"/>
  <c r="J298" i="2"/>
  <c r="I298" i="2"/>
  <c r="H298" i="2"/>
  <c r="G298" i="2"/>
  <c r="F298" i="2"/>
  <c r="E298" i="2"/>
  <c r="D298" i="2"/>
  <c r="K297" i="2"/>
  <c r="J297" i="2"/>
  <c r="I297" i="2"/>
  <c r="H297" i="2"/>
  <c r="G297" i="2"/>
  <c r="F297" i="2"/>
  <c r="E297" i="2"/>
  <c r="D297" i="2"/>
  <c r="K296" i="2"/>
  <c r="J296" i="2"/>
  <c r="I296" i="2"/>
  <c r="H296" i="2"/>
  <c r="G296" i="2"/>
  <c r="F296" i="2"/>
  <c r="E296" i="2"/>
  <c r="D296" i="2"/>
  <c r="K295" i="2"/>
  <c r="J295" i="2"/>
  <c r="I295" i="2"/>
  <c r="H295" i="2"/>
  <c r="G295" i="2"/>
  <c r="F295" i="2"/>
  <c r="E295" i="2"/>
  <c r="D295" i="2"/>
  <c r="K294" i="2"/>
  <c r="J294" i="2"/>
  <c r="I294" i="2"/>
  <c r="H294" i="2"/>
  <c r="G294" i="2"/>
  <c r="F294" i="2"/>
  <c r="E294" i="2"/>
  <c r="D294" i="2"/>
  <c r="K293" i="2"/>
  <c r="J293" i="2"/>
  <c r="I293" i="2"/>
  <c r="H293" i="2"/>
  <c r="G293" i="2"/>
  <c r="F293" i="2"/>
  <c r="E293" i="2"/>
  <c r="D293" i="2"/>
  <c r="K292" i="2"/>
  <c r="J292" i="2"/>
  <c r="I292" i="2"/>
  <c r="H292" i="2"/>
  <c r="G292" i="2"/>
  <c r="F292" i="2"/>
  <c r="E292" i="2"/>
  <c r="D292" i="2"/>
  <c r="K291" i="2"/>
  <c r="J291" i="2"/>
  <c r="I291" i="2"/>
  <c r="H291" i="2"/>
  <c r="G291" i="2"/>
  <c r="F291" i="2"/>
  <c r="E291" i="2"/>
  <c r="D291" i="2"/>
  <c r="K290" i="2"/>
  <c r="J290" i="2"/>
  <c r="J322" i="2" s="1"/>
  <c r="I290" i="2"/>
  <c r="I322" i="2" s="1"/>
  <c r="H290" i="2"/>
  <c r="H322" i="2" s="1"/>
  <c r="G290" i="2"/>
  <c r="G322" i="2" s="1"/>
  <c r="F290" i="2"/>
  <c r="F322" i="2" s="1"/>
  <c r="E290" i="2"/>
  <c r="E322" i="2" s="1"/>
  <c r="D290" i="2"/>
  <c r="D322" i="2" s="1"/>
  <c r="K282" i="2"/>
  <c r="J282" i="2"/>
  <c r="I282" i="2"/>
  <c r="H282" i="2"/>
  <c r="G282" i="2"/>
  <c r="F282" i="2"/>
  <c r="E282" i="2"/>
  <c r="D282" i="2"/>
  <c r="K280" i="2"/>
  <c r="J280" i="2"/>
  <c r="I280" i="2"/>
  <c r="H280" i="2"/>
  <c r="G280" i="2"/>
  <c r="F280" i="2"/>
  <c r="E280" i="2"/>
  <c r="D280" i="2"/>
  <c r="K279" i="2"/>
  <c r="J279" i="2"/>
  <c r="I279" i="2"/>
  <c r="H279" i="2"/>
  <c r="K278" i="2"/>
  <c r="J278" i="2"/>
  <c r="I278" i="2"/>
  <c r="H278" i="2"/>
  <c r="G278" i="2"/>
  <c r="F278" i="2"/>
  <c r="E278" i="2"/>
  <c r="D278" i="2"/>
  <c r="K277" i="2"/>
  <c r="J277" i="2"/>
  <c r="I277" i="2"/>
  <c r="H277" i="2"/>
  <c r="G277" i="2"/>
  <c r="F277" i="2"/>
  <c r="E277" i="2"/>
  <c r="D277" i="2"/>
  <c r="K276" i="2"/>
  <c r="J276" i="2"/>
  <c r="I276" i="2"/>
  <c r="H276" i="2"/>
  <c r="G276" i="2"/>
  <c r="F276" i="2"/>
  <c r="E276" i="2"/>
  <c r="D276" i="2"/>
  <c r="K275" i="2"/>
  <c r="J275" i="2"/>
  <c r="I275" i="2"/>
  <c r="H275" i="2"/>
  <c r="G275" i="2"/>
  <c r="F275" i="2"/>
  <c r="E275" i="2"/>
  <c r="D275" i="2"/>
  <c r="K274" i="2"/>
  <c r="J274" i="2"/>
  <c r="I274" i="2"/>
  <c r="H274" i="2"/>
  <c r="G274" i="2"/>
  <c r="F274" i="2"/>
  <c r="E274" i="2"/>
  <c r="D274" i="2"/>
  <c r="K273" i="2"/>
  <c r="J273" i="2"/>
  <c r="I273" i="2"/>
  <c r="H273" i="2"/>
  <c r="G273" i="2"/>
  <c r="F273" i="2"/>
  <c r="E273" i="2"/>
  <c r="D273" i="2"/>
  <c r="K272" i="2"/>
  <c r="J272" i="2"/>
  <c r="I272" i="2"/>
  <c r="H272" i="2"/>
  <c r="G272" i="2"/>
  <c r="F272" i="2"/>
  <c r="E272" i="2"/>
  <c r="D272" i="2"/>
  <c r="K271" i="2"/>
  <c r="J271" i="2"/>
  <c r="I271" i="2"/>
  <c r="H271" i="2"/>
  <c r="G271" i="2"/>
  <c r="F271" i="2"/>
  <c r="E271" i="2"/>
  <c r="D271" i="2"/>
  <c r="K270" i="2"/>
  <c r="J270" i="2"/>
  <c r="I270" i="2"/>
  <c r="H270" i="2"/>
  <c r="G270" i="2"/>
  <c r="F270" i="2"/>
  <c r="E270" i="2"/>
  <c r="D270" i="2"/>
  <c r="K269" i="2"/>
  <c r="J269" i="2"/>
  <c r="I269" i="2"/>
  <c r="H269" i="2"/>
  <c r="G269" i="2"/>
  <c r="F269" i="2"/>
  <c r="E269" i="2"/>
  <c r="D269" i="2"/>
  <c r="K268" i="2"/>
  <c r="J268" i="2"/>
  <c r="I268" i="2"/>
  <c r="H268" i="2"/>
  <c r="G268" i="2"/>
  <c r="G279" i="2" s="1"/>
  <c r="F268" i="2"/>
  <c r="F279" i="2" s="1"/>
  <c r="E268" i="2"/>
  <c r="D268" i="2"/>
  <c r="K267" i="2"/>
  <c r="J267" i="2"/>
  <c r="I267" i="2"/>
  <c r="H267" i="2"/>
  <c r="G267" i="2"/>
  <c r="F267" i="2"/>
  <c r="E267" i="2"/>
  <c r="D267" i="2"/>
  <c r="K266" i="2"/>
  <c r="J266" i="2"/>
  <c r="I266" i="2"/>
  <c r="H266" i="2"/>
  <c r="G266" i="2"/>
  <c r="F266" i="2"/>
  <c r="E266" i="2"/>
  <c r="D266" i="2"/>
  <c r="K265" i="2"/>
  <c r="J265" i="2"/>
  <c r="I265" i="2"/>
  <c r="H265" i="2"/>
  <c r="G265" i="2"/>
  <c r="F265" i="2"/>
  <c r="E265" i="2"/>
  <c r="D265" i="2"/>
  <c r="K264" i="2"/>
  <c r="J264" i="2"/>
  <c r="I264" i="2"/>
  <c r="H264" i="2"/>
  <c r="G264" i="2"/>
  <c r="F264" i="2"/>
  <c r="E264" i="2"/>
  <c r="D264" i="2"/>
  <c r="K263" i="2"/>
  <c r="J263" i="2"/>
  <c r="I263" i="2"/>
  <c r="H263" i="2"/>
  <c r="G263" i="2"/>
  <c r="F263" i="2"/>
  <c r="E263" i="2"/>
  <c r="D263" i="2"/>
  <c r="K262" i="2"/>
  <c r="J262" i="2"/>
  <c r="I262" i="2"/>
  <c r="H262" i="2"/>
  <c r="G262" i="2"/>
  <c r="F262" i="2"/>
  <c r="E262" i="2"/>
  <c r="D262" i="2"/>
  <c r="K261" i="2"/>
  <c r="J261" i="2"/>
  <c r="I261" i="2"/>
  <c r="H261" i="2"/>
  <c r="G261" i="2"/>
  <c r="F261" i="2"/>
  <c r="E261" i="2"/>
  <c r="D261" i="2"/>
  <c r="K260" i="2"/>
  <c r="J260" i="2"/>
  <c r="I260" i="2"/>
  <c r="H260" i="2"/>
  <c r="G260" i="2"/>
  <c r="F260" i="2"/>
  <c r="E260" i="2"/>
  <c r="D260" i="2"/>
  <c r="K259" i="2"/>
  <c r="J259" i="2"/>
  <c r="I259" i="2"/>
  <c r="H259" i="2"/>
  <c r="G259" i="2"/>
  <c r="F259" i="2"/>
  <c r="E259" i="2"/>
  <c r="D259" i="2"/>
  <c r="K258" i="2"/>
  <c r="J258" i="2"/>
  <c r="I258" i="2"/>
  <c r="H258" i="2"/>
  <c r="G258" i="2"/>
  <c r="F258" i="2"/>
  <c r="E258" i="2"/>
  <c r="D258" i="2"/>
  <c r="K257" i="2"/>
  <c r="J257" i="2"/>
  <c r="I257" i="2"/>
  <c r="H257" i="2"/>
  <c r="G257" i="2"/>
  <c r="F257" i="2"/>
  <c r="E257" i="2"/>
  <c r="D257" i="2"/>
  <c r="K256" i="2"/>
  <c r="J256" i="2"/>
  <c r="I256" i="2"/>
  <c r="H256" i="2"/>
  <c r="G256" i="2"/>
  <c r="F256" i="2"/>
  <c r="E256" i="2"/>
  <c r="D256" i="2"/>
  <c r="K255" i="2"/>
  <c r="J255" i="2"/>
  <c r="I255" i="2"/>
  <c r="H255" i="2"/>
  <c r="G255" i="2"/>
  <c r="F255" i="2"/>
  <c r="E255" i="2"/>
  <c r="D255" i="2"/>
  <c r="K254" i="2"/>
  <c r="K286" i="2" s="1"/>
  <c r="J254" i="2"/>
  <c r="J286" i="2" s="1"/>
  <c r="I254" i="2"/>
  <c r="I286" i="2" s="1"/>
  <c r="H254" i="2"/>
  <c r="H286" i="2" s="1"/>
  <c r="G254" i="2"/>
  <c r="G286" i="2" s="1"/>
  <c r="F254" i="2"/>
  <c r="F286" i="2" s="1"/>
  <c r="E254" i="2"/>
  <c r="D254" i="2"/>
  <c r="E286" i="2" l="1"/>
  <c r="K322" i="2"/>
  <c r="E279" i="2"/>
  <c r="Y254" i="2"/>
  <c r="Y255" i="2"/>
  <c r="Y256" i="2"/>
  <c r="Y257" i="2"/>
  <c r="Y258" i="2"/>
  <c r="Y259" i="2"/>
  <c r="Y260" i="2"/>
  <c r="Y261" i="2"/>
  <c r="Y262" i="2"/>
  <c r="Y263" i="2"/>
  <c r="Y264" i="2"/>
  <c r="Y265" i="2"/>
  <c r="Y266" i="2"/>
  <c r="Y267" i="2"/>
  <c r="Y268" i="2"/>
  <c r="Y269" i="2"/>
  <c r="Y270" i="2"/>
  <c r="Y271" i="2"/>
  <c r="Y272" i="2"/>
  <c r="Y273" i="2"/>
  <c r="Y274" i="2"/>
  <c r="Y275" i="2"/>
  <c r="Y276" i="2"/>
  <c r="Y277" i="2"/>
  <c r="Y278" i="2"/>
  <c r="Y280" i="2"/>
  <c r="Y282" i="2"/>
  <c r="Y290" i="2"/>
  <c r="Y291" i="2"/>
  <c r="Y292" i="2"/>
  <c r="Y293" i="2"/>
  <c r="Y294" i="2"/>
  <c r="Y295" i="2"/>
  <c r="Y296" i="2"/>
  <c r="Y297" i="2"/>
  <c r="Y298" i="2"/>
  <c r="Y299" i="2"/>
  <c r="Y300" i="2"/>
  <c r="Y301" i="2"/>
  <c r="Y302" i="2"/>
  <c r="Y303" i="2"/>
  <c r="Y304" i="2"/>
  <c r="Y305" i="2"/>
  <c r="Y306" i="2"/>
  <c r="Y307" i="2"/>
  <c r="Y308" i="2"/>
  <c r="Y309" i="2"/>
  <c r="Y310" i="2"/>
  <c r="Y311" i="2"/>
  <c r="Y312" i="2"/>
  <c r="Y313" i="2"/>
  <c r="Y314" i="2"/>
  <c r="Y315" i="2"/>
  <c r="Y316" i="2"/>
  <c r="Y318" i="2"/>
  <c r="Y326" i="2"/>
  <c r="Y327" i="2"/>
  <c r="Y328" i="2"/>
  <c r="Y329" i="2"/>
  <c r="Y330" i="2"/>
  <c r="Y331" i="2"/>
  <c r="Y332" i="2"/>
  <c r="Y333" i="2"/>
  <c r="Y334" i="2"/>
  <c r="Y335" i="2"/>
  <c r="Y336" i="2"/>
  <c r="Y337" i="2"/>
  <c r="Y338" i="2"/>
  <c r="Y339" i="2"/>
  <c r="Y340" i="2"/>
  <c r="Y341" i="2"/>
  <c r="Y342" i="2"/>
  <c r="Y343" i="2"/>
  <c r="Y344" i="2"/>
  <c r="Y345" i="2"/>
  <c r="Y346" i="2"/>
  <c r="Y347" i="2"/>
  <c r="Y348" i="2"/>
  <c r="Y349" i="2"/>
  <c r="Y350" i="2"/>
  <c r="Y351" i="2"/>
  <c r="Y352" i="2"/>
  <c r="Y354" i="2"/>
  <c r="Y362" i="2"/>
  <c r="Y363" i="2"/>
  <c r="Y364" i="2"/>
  <c r="Y365" i="2"/>
  <c r="Y366" i="2"/>
  <c r="Y367" i="2"/>
  <c r="Y368" i="2"/>
  <c r="Y369" i="2"/>
  <c r="Y370" i="2"/>
  <c r="Y371" i="2"/>
  <c r="Y372" i="2"/>
  <c r="Y373" i="2"/>
  <c r="Y374" i="2"/>
  <c r="Y375" i="2"/>
  <c r="Y376" i="2"/>
  <c r="Y377" i="2"/>
  <c r="Y378" i="2"/>
  <c r="Y379" i="2"/>
  <c r="Y380" i="2"/>
  <c r="Y381" i="2"/>
  <c r="Y382" i="2"/>
  <c r="Y383" i="2"/>
  <c r="Y384" i="2"/>
  <c r="Y385" i="2"/>
  <c r="Y386" i="2"/>
  <c r="Y387" i="2"/>
  <c r="Y388" i="2"/>
  <c r="Y390" i="2"/>
  <c r="Y398" i="2"/>
  <c r="Y399" i="2"/>
  <c r="Y400" i="2"/>
  <c r="Y401" i="2"/>
  <c r="Y402" i="2"/>
  <c r="Y403" i="2"/>
  <c r="Y404" i="2"/>
  <c r="Y405" i="2"/>
  <c r="Y406" i="2"/>
  <c r="Y407" i="2"/>
  <c r="Y408" i="2"/>
  <c r="Y409" i="2"/>
  <c r="Y410" i="2"/>
  <c r="Y411" i="2"/>
  <c r="Y412" i="2"/>
  <c r="Y413" i="2"/>
  <c r="Y414" i="2"/>
  <c r="Y415" i="2"/>
  <c r="Y416" i="2"/>
  <c r="Y417" i="2"/>
  <c r="Y418" i="2"/>
  <c r="Y419" i="2"/>
  <c r="Y420" i="2"/>
  <c r="Y421" i="2"/>
  <c r="Y422" i="2"/>
  <c r="Y423" i="2"/>
  <c r="Y424" i="2"/>
  <c r="Y426" i="2"/>
  <c r="Y434" i="2"/>
  <c r="Y435" i="2"/>
  <c r="Y436" i="2"/>
  <c r="Y437" i="2"/>
  <c r="Y438" i="2"/>
  <c r="Y439" i="2"/>
  <c r="Y440" i="2"/>
  <c r="Y441" i="2"/>
  <c r="Y442" i="2"/>
  <c r="Y443" i="2"/>
  <c r="Y444" i="2"/>
  <c r="Y445" i="2"/>
  <c r="Y446" i="2"/>
  <c r="Y447" i="2"/>
  <c r="Y448" i="2"/>
  <c r="Y449" i="2"/>
  <c r="Y450" i="2"/>
  <c r="Y451" i="2"/>
  <c r="Y452" i="2"/>
  <c r="Y453" i="2"/>
  <c r="Y454" i="2"/>
  <c r="Y455" i="2"/>
  <c r="Y456" i="2"/>
  <c r="Y457" i="2"/>
  <c r="Y458" i="2"/>
  <c r="Y459" i="2"/>
  <c r="Y460" i="2"/>
  <c r="Y462" i="2"/>
  <c r="Y470" i="2"/>
  <c r="Y471" i="2"/>
  <c r="Y472" i="2"/>
  <c r="Y473" i="2"/>
  <c r="Y474" i="2"/>
  <c r="Y475" i="2"/>
  <c r="Y476" i="2"/>
  <c r="Y477" i="2"/>
  <c r="Y478" i="2"/>
  <c r="Y479" i="2"/>
  <c r="Y480" i="2"/>
  <c r="Y481" i="2"/>
  <c r="Y482" i="2"/>
  <c r="Y483" i="2"/>
  <c r="Y484" i="2"/>
  <c r="Y485" i="2"/>
  <c r="Y486" i="2"/>
  <c r="Y487" i="2"/>
  <c r="Y488" i="2"/>
  <c r="Y489" i="2"/>
  <c r="Y490" i="2"/>
  <c r="Y491" i="2"/>
  <c r="Y492" i="2"/>
  <c r="Y493" i="2"/>
  <c r="Y494" i="2"/>
  <c r="Y495" i="2"/>
  <c r="Y496" i="2"/>
  <c r="Y498" i="2"/>
  <c r="Y506" i="2"/>
  <c r="Y507" i="2"/>
  <c r="Y508" i="2"/>
  <c r="Y509" i="2"/>
  <c r="Y510" i="2"/>
  <c r="Y511" i="2"/>
  <c r="Y512" i="2"/>
  <c r="Y513" i="2"/>
  <c r="Y514" i="2"/>
  <c r="Y515" i="2"/>
  <c r="Y516" i="2"/>
  <c r="Y517" i="2"/>
  <c r="Y518" i="2"/>
  <c r="Y519" i="2"/>
  <c r="Y520" i="2"/>
  <c r="Y521" i="2"/>
  <c r="Y522" i="2"/>
  <c r="Y523" i="2"/>
  <c r="Y524" i="2"/>
  <c r="Y525" i="2"/>
  <c r="Y526" i="2"/>
  <c r="Y527" i="2"/>
  <c r="Y528" i="2"/>
  <c r="Y529" i="2"/>
  <c r="Y530" i="2"/>
  <c r="Y531" i="2"/>
  <c r="Y532" i="2"/>
  <c r="Y534" i="2"/>
  <c r="Y542" i="2"/>
  <c r="Y543" i="2"/>
  <c r="Y544" i="2"/>
  <c r="Y545" i="2"/>
  <c r="Y546" i="2"/>
  <c r="Y547" i="2"/>
  <c r="Y548" i="2"/>
  <c r="Y549" i="2"/>
  <c r="Y550" i="2"/>
  <c r="Y551" i="2"/>
  <c r="Y552" i="2"/>
  <c r="Y553" i="2"/>
  <c r="Y554" i="2"/>
  <c r="Y555" i="2"/>
  <c r="Y556" i="2"/>
  <c r="Y557" i="2"/>
  <c r="Y558" i="2"/>
  <c r="Y559" i="2"/>
  <c r="Y560" i="2"/>
  <c r="Y561" i="2"/>
  <c r="Y562" i="2"/>
  <c r="Y563" i="2"/>
  <c r="Y564" i="2"/>
  <c r="Y565" i="2"/>
  <c r="Y566" i="2"/>
  <c r="Y567" i="2"/>
  <c r="Y568" i="2"/>
  <c r="Y570" i="2"/>
  <c r="Y578" i="2"/>
  <c r="Y579" i="2"/>
  <c r="Y580" i="2"/>
  <c r="Y581" i="2"/>
  <c r="Y582" i="2"/>
  <c r="Y583" i="2"/>
  <c r="Y584" i="2"/>
  <c r="Y585" i="2"/>
  <c r="Y586" i="2"/>
  <c r="Y587" i="2"/>
  <c r="Y588" i="2"/>
  <c r="Y589" i="2"/>
  <c r="Y590" i="2"/>
  <c r="Y591" i="2"/>
  <c r="Y592" i="2"/>
  <c r="Y593" i="2"/>
  <c r="Y594" i="2"/>
  <c r="Y595" i="2"/>
  <c r="Y596" i="2"/>
  <c r="Y597" i="2"/>
  <c r="Y598" i="2"/>
  <c r="Y599" i="2"/>
  <c r="Y600" i="2"/>
  <c r="Y601" i="2"/>
  <c r="Y602" i="2"/>
  <c r="Y603" i="2"/>
  <c r="Y604" i="2"/>
  <c r="Y606" i="2"/>
  <c r="Y614" i="2"/>
  <c r="Y615" i="2"/>
  <c r="Y616" i="2"/>
  <c r="Y617" i="2"/>
  <c r="Y618" i="2"/>
  <c r="Y619" i="2"/>
  <c r="Y620" i="2"/>
  <c r="Y621" i="2"/>
  <c r="Y622" i="2"/>
  <c r="Y623" i="2"/>
  <c r="Y624" i="2"/>
  <c r="Y625" i="2"/>
  <c r="Y626" i="2"/>
  <c r="Y627" i="2"/>
  <c r="Y628" i="2"/>
  <c r="Y629" i="2"/>
  <c r="Y630" i="2"/>
  <c r="Y631" i="2"/>
  <c r="Y632" i="2"/>
  <c r="Y633" i="2"/>
  <c r="Y634" i="2"/>
  <c r="Y635" i="2"/>
  <c r="Y636" i="2"/>
  <c r="Y637" i="2"/>
  <c r="Y638" i="2"/>
  <c r="Y639" i="2"/>
  <c r="Y640" i="2"/>
  <c r="Y642" i="2"/>
  <c r="Y650" i="2"/>
  <c r="Y651" i="2"/>
  <c r="Y652" i="2"/>
  <c r="Y653" i="2"/>
  <c r="Y654" i="2"/>
  <c r="Y655" i="2"/>
  <c r="Y656" i="2"/>
  <c r="Y657" i="2"/>
  <c r="Y658" i="2"/>
  <c r="Y659" i="2"/>
  <c r="Y660" i="2"/>
  <c r="Y661" i="2"/>
  <c r="Y662" i="2"/>
  <c r="Y663" i="2"/>
  <c r="Y664" i="2"/>
  <c r="Y665" i="2"/>
  <c r="Y666" i="2"/>
  <c r="Y667" i="2"/>
  <c r="Y668" i="2"/>
  <c r="Y669" i="2"/>
  <c r="Y670" i="2"/>
  <c r="Y671" i="2"/>
  <c r="Y672" i="2"/>
  <c r="Y673" i="2"/>
  <c r="Y674" i="2"/>
  <c r="Y675" i="2"/>
  <c r="Y676" i="2"/>
  <c r="Y678" i="2"/>
  <c r="Y686" i="2"/>
  <c r="Y687" i="2"/>
  <c r="Y688" i="2"/>
  <c r="Y689" i="2"/>
  <c r="Y690" i="2"/>
  <c r="Y691" i="2"/>
  <c r="Y692" i="2"/>
  <c r="Y693" i="2"/>
  <c r="Y694" i="2"/>
  <c r="Y695" i="2"/>
  <c r="Y696" i="2"/>
  <c r="Y697" i="2"/>
  <c r="Y698" i="2"/>
  <c r="Y699" i="2"/>
  <c r="Y700" i="2"/>
  <c r="Y701" i="2"/>
  <c r="Y702" i="2"/>
  <c r="Y703" i="2"/>
  <c r="Y704" i="2"/>
  <c r="Y705" i="2"/>
  <c r="Y706" i="2"/>
  <c r="Y707" i="2"/>
  <c r="Y708" i="2"/>
  <c r="Y709" i="2"/>
  <c r="Y710" i="2"/>
  <c r="Y711" i="2"/>
  <c r="Y712" i="2"/>
  <c r="Y714" i="2"/>
  <c r="Y722" i="2"/>
  <c r="Y723" i="2"/>
  <c r="Y724" i="2"/>
  <c r="Y725" i="2"/>
  <c r="Y726" i="2"/>
  <c r="Y727" i="2"/>
  <c r="Y728" i="2"/>
  <c r="Y729" i="2"/>
  <c r="Y730" i="2"/>
  <c r="Y731" i="2"/>
  <c r="Y732" i="2"/>
  <c r="Y733" i="2"/>
  <c r="Y734" i="2"/>
  <c r="Y735" i="2"/>
  <c r="Y736" i="2"/>
  <c r="Y737" i="2"/>
  <c r="Y738" i="2"/>
  <c r="Y739" i="2"/>
  <c r="Y740" i="2"/>
  <c r="Y741" i="2"/>
  <c r="Y742" i="2"/>
  <c r="Y743" i="2"/>
  <c r="Y744" i="2"/>
  <c r="Y745" i="2"/>
  <c r="Y746" i="2"/>
  <c r="Y747" i="2"/>
  <c r="Y748" i="2"/>
  <c r="Y750" i="2"/>
  <c r="Y758" i="2"/>
  <c r="Y759" i="2"/>
  <c r="Y760" i="2"/>
  <c r="Y761" i="2"/>
  <c r="Y762" i="2"/>
  <c r="Y763" i="2"/>
  <c r="Y764" i="2"/>
  <c r="Y765" i="2"/>
  <c r="Y766" i="2"/>
  <c r="Y767" i="2"/>
  <c r="Y768" i="2"/>
  <c r="Y769" i="2"/>
  <c r="Y770" i="2"/>
  <c r="Y771" i="2"/>
  <c r="Y772" i="2"/>
  <c r="Y773" i="2"/>
  <c r="Y774" i="2"/>
  <c r="Y775" i="2"/>
  <c r="Y776" i="2"/>
  <c r="Y777" i="2"/>
  <c r="Y778" i="2"/>
  <c r="Y779" i="2"/>
  <c r="Y780" i="2"/>
  <c r="Y781" i="2"/>
  <c r="Y782" i="2"/>
  <c r="Y783" i="2"/>
  <c r="Y784" i="2"/>
  <c r="Y786" i="2"/>
  <c r="Y794" i="2"/>
  <c r="Y795" i="2"/>
  <c r="Y796" i="2"/>
  <c r="Y797" i="2"/>
  <c r="Y798" i="2"/>
  <c r="Y799" i="2"/>
  <c r="Y800" i="2"/>
  <c r="Y801" i="2"/>
  <c r="Y802" i="2"/>
  <c r="Y803" i="2"/>
  <c r="Y804" i="2"/>
  <c r="Y805" i="2"/>
  <c r="Y806" i="2"/>
  <c r="Y807" i="2"/>
  <c r="Y808" i="2"/>
  <c r="Y809" i="2"/>
  <c r="Y810" i="2"/>
  <c r="Y811" i="2"/>
  <c r="Y812" i="2"/>
  <c r="Y813" i="2"/>
  <c r="Y814" i="2"/>
  <c r="Y815" i="2"/>
  <c r="Y816" i="2"/>
  <c r="Y817" i="2"/>
  <c r="Y818" i="2"/>
  <c r="Y819" i="2"/>
  <c r="Y820" i="2"/>
  <c r="Y822" i="2"/>
  <c r="Y830" i="2"/>
  <c r="Y831" i="2"/>
  <c r="Y832" i="2"/>
  <c r="Y833" i="2"/>
  <c r="Y834" i="2"/>
  <c r="Y835" i="2"/>
  <c r="Y836" i="2"/>
  <c r="Y837" i="2"/>
  <c r="Y838" i="2"/>
  <c r="Y839" i="2"/>
  <c r="Y840" i="2"/>
  <c r="Y841" i="2"/>
  <c r="Y842" i="2"/>
  <c r="Y843" i="2"/>
  <c r="Y844" i="2"/>
  <c r="Y845" i="2"/>
  <c r="Y846" i="2"/>
  <c r="Y847" i="2"/>
  <c r="Y848" i="2"/>
  <c r="Y849" i="2"/>
  <c r="Y850" i="2"/>
  <c r="Y851" i="2"/>
  <c r="Y852" i="2"/>
  <c r="Y853" i="2"/>
  <c r="Y854" i="2"/>
  <c r="Y855" i="2"/>
  <c r="Y856" i="2"/>
  <c r="Y858" i="2"/>
  <c r="Y866" i="2"/>
  <c r="Y867" i="2"/>
  <c r="Y868" i="2"/>
  <c r="Y869" i="2"/>
  <c r="Y870" i="2"/>
  <c r="Y871" i="2"/>
  <c r="Y872" i="2"/>
  <c r="Y873" i="2"/>
  <c r="Y874" i="2"/>
  <c r="Y875" i="2"/>
  <c r="Y876" i="2"/>
  <c r="Y877" i="2"/>
  <c r="Y878" i="2"/>
  <c r="Y879" i="2"/>
  <c r="Y880" i="2"/>
  <c r="Y881" i="2"/>
  <c r="Y882" i="2"/>
  <c r="Y883" i="2"/>
  <c r="Y884" i="2"/>
  <c r="Y885" i="2"/>
  <c r="Y886" i="2"/>
  <c r="Y887" i="2"/>
  <c r="Y888" i="2"/>
  <c r="Y889" i="2"/>
  <c r="Y890" i="2"/>
  <c r="Y891" i="2"/>
  <c r="Y892" i="2"/>
  <c r="Y894" i="2"/>
  <c r="Y902" i="2"/>
  <c r="Y903" i="2"/>
  <c r="Y904" i="2"/>
  <c r="Y905" i="2"/>
  <c r="Y906" i="2"/>
  <c r="Y907" i="2"/>
  <c r="Y908" i="2"/>
  <c r="Y909" i="2"/>
  <c r="Y910" i="2"/>
  <c r="Y911" i="2"/>
  <c r="Y912" i="2"/>
  <c r="Y913" i="2"/>
  <c r="Y914" i="2"/>
  <c r="Y915" i="2"/>
  <c r="Y916" i="2"/>
  <c r="Y917" i="2"/>
  <c r="Y918" i="2"/>
  <c r="Y919" i="2"/>
  <c r="Y920" i="2"/>
  <c r="Y921" i="2"/>
  <c r="Y922" i="2"/>
  <c r="Y923" i="2"/>
  <c r="Y924" i="2"/>
  <c r="Y925" i="2"/>
  <c r="Y926" i="2"/>
  <c r="Y927" i="2"/>
  <c r="Y928" i="2"/>
  <c r="Y930" i="2"/>
  <c r="Y938" i="2"/>
  <c r="Y939" i="2"/>
  <c r="Y940" i="2"/>
  <c r="Y941" i="2"/>
  <c r="Y942" i="2"/>
  <c r="Y943" i="2"/>
  <c r="Y944" i="2"/>
  <c r="Y945" i="2"/>
  <c r="Y946" i="2"/>
  <c r="Y947" i="2"/>
  <c r="Y948" i="2"/>
  <c r="Y949" i="2"/>
  <c r="Y950" i="2"/>
  <c r="Y951" i="2"/>
  <c r="Y952" i="2"/>
  <c r="Y953" i="2"/>
  <c r="Y954" i="2"/>
  <c r="Y955" i="2"/>
  <c r="Y956" i="2"/>
  <c r="Y957" i="2"/>
  <c r="Y958" i="2"/>
  <c r="Y959" i="2"/>
  <c r="Y960" i="2"/>
  <c r="Y961" i="2"/>
  <c r="Y962" i="2"/>
  <c r="Y963" i="2"/>
  <c r="Y964" i="2"/>
  <c r="Y966" i="2"/>
  <c r="Y974" i="2"/>
  <c r="Y975" i="2"/>
  <c r="Y976" i="2"/>
  <c r="Y977" i="2"/>
  <c r="Y978" i="2"/>
  <c r="Y979" i="2"/>
  <c r="Y980" i="2"/>
  <c r="Y981" i="2"/>
  <c r="Y982" i="2"/>
  <c r="Y983" i="2"/>
  <c r="Y984" i="2"/>
  <c r="Y985" i="2"/>
  <c r="Y986" i="2"/>
  <c r="Y987" i="2"/>
  <c r="Y988" i="2"/>
  <c r="Y989" i="2"/>
  <c r="Y990" i="2"/>
  <c r="Y991" i="2"/>
  <c r="Y992" i="2"/>
  <c r="Y993" i="2"/>
  <c r="Y994" i="2"/>
  <c r="Y995" i="2"/>
  <c r="Y996" i="2"/>
  <c r="Y997" i="2"/>
  <c r="Y998" i="2"/>
  <c r="Y999" i="2"/>
  <c r="Y1000" i="2"/>
  <c r="Y1002" i="2"/>
  <c r="D279" i="2"/>
  <c r="Y279" i="2" s="1"/>
  <c r="D286" i="2" l="1"/>
  <c r="Z594" i="2"/>
  <c r="Z579" i="2"/>
  <c r="Z582" i="2"/>
  <c r="Z598" i="2"/>
  <c r="Z583" i="2"/>
  <c r="Z599" i="2"/>
  <c r="Z584" i="2"/>
  <c r="Z600" i="2"/>
  <c r="Z586" i="2"/>
  <c r="Z602" i="2"/>
  <c r="Z587" i="2"/>
  <c r="Z603" i="2"/>
  <c r="Z588" i="2"/>
  <c r="Z593" i="2"/>
  <c r="Z601" i="2"/>
  <c r="Z606" i="2"/>
  <c r="Z580" i="2"/>
  <c r="Z604" i="2"/>
  <c r="Z597" i="2"/>
  <c r="Z591" i="2"/>
  <c r="Z592" i="2"/>
  <c r="Z585" i="2"/>
  <c r="Z595" i="2"/>
  <c r="Z596" i="2"/>
  <c r="Z578" i="2"/>
  <c r="Z589" i="2"/>
  <c r="Z581" i="2"/>
  <c r="Z590" i="2"/>
  <c r="Z607" i="2"/>
  <c r="Z608" i="2"/>
  <c r="Z738" i="2"/>
  <c r="Z726" i="2"/>
  <c r="Z742" i="2"/>
  <c r="Z732" i="2"/>
  <c r="Z727" i="2"/>
  <c r="Z743" i="2"/>
  <c r="Z736" i="2"/>
  <c r="Z741" i="2"/>
  <c r="Z725" i="2"/>
  <c r="Z730" i="2"/>
  <c r="Z746" i="2"/>
  <c r="Z740" i="2"/>
  <c r="Z731" i="2"/>
  <c r="Z747" i="2"/>
  <c r="Z744" i="2"/>
  <c r="Z745" i="2"/>
  <c r="Z729" i="2"/>
  <c r="Z734" i="2"/>
  <c r="Z723" i="2"/>
  <c r="Z728" i="2"/>
  <c r="Z722" i="2"/>
  <c r="Z750" i="2"/>
  <c r="Z735" i="2"/>
  <c r="Z733" i="2"/>
  <c r="Z724" i="2"/>
  <c r="Z739" i="2"/>
  <c r="Z748" i="2"/>
  <c r="Z737" i="2"/>
  <c r="Z751" i="2"/>
  <c r="Z752" i="2"/>
  <c r="Z442" i="2"/>
  <c r="Z458" i="2"/>
  <c r="Z443" i="2"/>
  <c r="Z459" i="2"/>
  <c r="Z441" i="2"/>
  <c r="Z457" i="2"/>
  <c r="Z440" i="2"/>
  <c r="Z448" i="2"/>
  <c r="Z446" i="2"/>
  <c r="Z462" i="2"/>
  <c r="Z447" i="2"/>
  <c r="Z463" i="2"/>
  <c r="Z445" i="2"/>
  <c r="Z460" i="2"/>
  <c r="Z456" i="2"/>
  <c r="Z450" i="2"/>
  <c r="Z435" i="2"/>
  <c r="Z451" i="2"/>
  <c r="Z436" i="2"/>
  <c r="Z449" i="2"/>
  <c r="Z434" i="2"/>
  <c r="Z444" i="2"/>
  <c r="Z438" i="2"/>
  <c r="Z437" i="2"/>
  <c r="Z454" i="2"/>
  <c r="Z453" i="2"/>
  <c r="Z439" i="2"/>
  <c r="Z452" i="2"/>
  <c r="Z455" i="2"/>
  <c r="Z464" i="2"/>
  <c r="Z551" i="2"/>
  <c r="Z547" i="2"/>
  <c r="Z567" i="2"/>
  <c r="Z552" i="2"/>
  <c r="Z557" i="2"/>
  <c r="Z542" i="2"/>
  <c r="Z558" i="2"/>
  <c r="Z555" i="2"/>
  <c r="Z571" i="2"/>
  <c r="Z556" i="2"/>
  <c r="Z545" i="2"/>
  <c r="Z561" i="2"/>
  <c r="Z554" i="2"/>
  <c r="Z550" i="2"/>
  <c r="Z559" i="2"/>
  <c r="Z544" i="2"/>
  <c r="Z560" i="2"/>
  <c r="Z549" i="2"/>
  <c r="Z565" i="2"/>
  <c r="Z570" i="2"/>
  <c r="Z546" i="2"/>
  <c r="Z563" i="2"/>
  <c r="Z568" i="2"/>
  <c r="Z548" i="2"/>
  <c r="Z566" i="2"/>
  <c r="Z543" i="2"/>
  <c r="Z564" i="2"/>
  <c r="Z562" i="2"/>
  <c r="Z553" i="2"/>
  <c r="Z572" i="2"/>
  <c r="Z975" i="2"/>
  <c r="Z991" i="2"/>
  <c r="Z986" i="2"/>
  <c r="Z984" i="2"/>
  <c r="Z982" i="2"/>
  <c r="Z985" i="2"/>
  <c r="Z1000" i="2"/>
  <c r="Z1002" i="2"/>
  <c r="Z979" i="2"/>
  <c r="Z995" i="2"/>
  <c r="Z994" i="2"/>
  <c r="Z988" i="2"/>
  <c r="Z998" i="2"/>
  <c r="Z989" i="2"/>
  <c r="Z974" i="2"/>
  <c r="Z983" i="2"/>
  <c r="Z999" i="2"/>
  <c r="Z976" i="2"/>
  <c r="Z992" i="2"/>
  <c r="Z977" i="2"/>
  <c r="Z993" i="2"/>
  <c r="Z978" i="2"/>
  <c r="Z1003" i="2"/>
  <c r="Z997" i="2"/>
  <c r="Z980" i="2"/>
  <c r="Z990" i="2"/>
  <c r="Z996" i="2"/>
  <c r="Z981" i="2"/>
  <c r="Z987" i="2"/>
  <c r="Z1004" i="2"/>
  <c r="Z839" i="2"/>
  <c r="Z843" i="2"/>
  <c r="Z835" i="2"/>
  <c r="Z859" i="2"/>
  <c r="Z836" i="2"/>
  <c r="Z852" i="2"/>
  <c r="Z854" i="2"/>
  <c r="Z845" i="2"/>
  <c r="Z830" i="2"/>
  <c r="Z847" i="2"/>
  <c r="Z842" i="2"/>
  <c r="Z840" i="2"/>
  <c r="Z833" i="2"/>
  <c r="Z849" i="2"/>
  <c r="Z838" i="2"/>
  <c r="Z851" i="2"/>
  <c r="Z858" i="2"/>
  <c r="Z844" i="2"/>
  <c r="Z834" i="2"/>
  <c r="Z837" i="2"/>
  <c r="Z853" i="2"/>
  <c r="Z850" i="2"/>
  <c r="Z831" i="2"/>
  <c r="Z846" i="2"/>
  <c r="Z855" i="2"/>
  <c r="Z841" i="2"/>
  <c r="Z832" i="2"/>
  <c r="Z856" i="2"/>
  <c r="Z848" i="2"/>
  <c r="Z860" i="2"/>
  <c r="Z699" i="2"/>
  <c r="Z715" i="2"/>
  <c r="Z712" i="2"/>
  <c r="Z700" i="2"/>
  <c r="Z693" i="2"/>
  <c r="Z698" i="2"/>
  <c r="Z702" i="2"/>
  <c r="Z687" i="2"/>
  <c r="Z703" i="2"/>
  <c r="Z689" i="2"/>
  <c r="Z688" i="2"/>
  <c r="Z704" i="2"/>
  <c r="Z701" i="2"/>
  <c r="Z714" i="2"/>
  <c r="Z690" i="2"/>
  <c r="Z691" i="2"/>
  <c r="Z707" i="2"/>
  <c r="Z697" i="2"/>
  <c r="Z692" i="2"/>
  <c r="Z708" i="2"/>
  <c r="Z709" i="2"/>
  <c r="Z706" i="2"/>
  <c r="Z710" i="2"/>
  <c r="Z711" i="2"/>
  <c r="Z686" i="2"/>
  <c r="Z705" i="2"/>
  <c r="Z694" i="2"/>
  <c r="Z695" i="2"/>
  <c r="Z696" i="2"/>
  <c r="Z716" i="2"/>
  <c r="Z407" i="2"/>
  <c r="Z423" i="2"/>
  <c r="Z408" i="2"/>
  <c r="Z414" i="2"/>
  <c r="Z401" i="2"/>
  <c r="Z421" i="2"/>
  <c r="Z424" i="2"/>
  <c r="Z411" i="2"/>
  <c r="Z427" i="2"/>
  <c r="Z412" i="2"/>
  <c r="Z402" i="2"/>
  <c r="Z418" i="2"/>
  <c r="Z417" i="2"/>
  <c r="Z398" i="2"/>
  <c r="Z403" i="2"/>
  <c r="Z404" i="2"/>
  <c r="Z410" i="2"/>
  <c r="Z405" i="2"/>
  <c r="Z399" i="2"/>
  <c r="Z415" i="2"/>
  <c r="Z400" i="2"/>
  <c r="Z416" i="2"/>
  <c r="Z406" i="2"/>
  <c r="Z422" i="2"/>
  <c r="Z413" i="2"/>
  <c r="Z409" i="2"/>
  <c r="Z419" i="2"/>
  <c r="Z420" i="2"/>
  <c r="Z426" i="2"/>
  <c r="Z428" i="2"/>
  <c r="Z329" i="2"/>
  <c r="Z345" i="2"/>
  <c r="Z330" i="2"/>
  <c r="Z346" i="2"/>
  <c r="Z332" i="2"/>
  <c r="Z348" i="2"/>
  <c r="Z343" i="2"/>
  <c r="Z355" i="2"/>
  <c r="Z333" i="2"/>
  <c r="Z349" i="2"/>
  <c r="Z334" i="2"/>
  <c r="Z350" i="2"/>
  <c r="Z336" i="2"/>
  <c r="Z335" i="2"/>
  <c r="Z327" i="2"/>
  <c r="Z337" i="2"/>
  <c r="Z352" i="2"/>
  <c r="Z338" i="2"/>
  <c r="Z354" i="2"/>
  <c r="Z340" i="2"/>
  <c r="Z331" i="2"/>
  <c r="Z351" i="2"/>
  <c r="Z341" i="2"/>
  <c r="Z344" i="2"/>
  <c r="Z326" i="2"/>
  <c r="Z347" i="2"/>
  <c r="Z342" i="2"/>
  <c r="Z339" i="2"/>
  <c r="Z328" i="2"/>
  <c r="Z356" i="2"/>
  <c r="Z874" i="2"/>
  <c r="Z890" i="2"/>
  <c r="Z866" i="2"/>
  <c r="Z879" i="2"/>
  <c r="Z895" i="2"/>
  <c r="Z872" i="2"/>
  <c r="Z888" i="2"/>
  <c r="Z892" i="2"/>
  <c r="Z878" i="2"/>
  <c r="Z894" i="2"/>
  <c r="Z867" i="2"/>
  <c r="Z883" i="2"/>
  <c r="Z877" i="2"/>
  <c r="Z876" i="2"/>
  <c r="Z882" i="2"/>
  <c r="Z873" i="2"/>
  <c r="Z871" i="2"/>
  <c r="Z887" i="2"/>
  <c r="Z889" i="2"/>
  <c r="Z880" i="2"/>
  <c r="Z869" i="2"/>
  <c r="Z870" i="2"/>
  <c r="Z891" i="2"/>
  <c r="Z886" i="2"/>
  <c r="Z868" i="2"/>
  <c r="Z885" i="2"/>
  <c r="Z884" i="2"/>
  <c r="Z875" i="2"/>
  <c r="Z881" i="2"/>
  <c r="Z896" i="2"/>
  <c r="Z520" i="2"/>
  <c r="Z509" i="2"/>
  <c r="Z525" i="2"/>
  <c r="Z510" i="2"/>
  <c r="Z526" i="2"/>
  <c r="Z535" i="2"/>
  <c r="Z511" i="2"/>
  <c r="Z508" i="2"/>
  <c r="Z524" i="2"/>
  <c r="Z513" i="2"/>
  <c r="Z529" i="2"/>
  <c r="Z514" i="2"/>
  <c r="Z530" i="2"/>
  <c r="Z507" i="2"/>
  <c r="Z527" i="2"/>
  <c r="Z512" i="2"/>
  <c r="Z528" i="2"/>
  <c r="Z517" i="2"/>
  <c r="Z532" i="2"/>
  <c r="Z518" i="2"/>
  <c r="Z534" i="2"/>
  <c r="Z523" i="2"/>
  <c r="Z515" i="2"/>
  <c r="Z521" i="2"/>
  <c r="Z531" i="2"/>
  <c r="Z506" i="2"/>
  <c r="Z516" i="2"/>
  <c r="Z522" i="2"/>
  <c r="Z519" i="2"/>
  <c r="Z536" i="2"/>
  <c r="Z948" i="2"/>
  <c r="Z941" i="2"/>
  <c r="Z957" i="2"/>
  <c r="Z947" i="2"/>
  <c r="Z950" i="2"/>
  <c r="Z966" i="2"/>
  <c r="Z952" i="2"/>
  <c r="Z939" i="2"/>
  <c r="Z945" i="2"/>
  <c r="Z961" i="2"/>
  <c r="Z959" i="2"/>
  <c r="Z954" i="2"/>
  <c r="Z943" i="2"/>
  <c r="Z940" i="2"/>
  <c r="Z956" i="2"/>
  <c r="Z955" i="2"/>
  <c r="Z949" i="2"/>
  <c r="Z964" i="2"/>
  <c r="Z942" i="2"/>
  <c r="Z958" i="2"/>
  <c r="Z951" i="2"/>
  <c r="Z953" i="2"/>
  <c r="Z963" i="2"/>
  <c r="Z944" i="2"/>
  <c r="Z938" i="2"/>
  <c r="Z960" i="2"/>
  <c r="Z946" i="2"/>
  <c r="Z967" i="2"/>
  <c r="Z962" i="2"/>
  <c r="Z968" i="2"/>
  <c r="Z796" i="2"/>
  <c r="Z812" i="2"/>
  <c r="Z815" i="2"/>
  <c r="Z809" i="2"/>
  <c r="Z794" i="2"/>
  <c r="Z798" i="2"/>
  <c r="Z814" i="2"/>
  <c r="Z807" i="2"/>
  <c r="Z800" i="2"/>
  <c r="Z816" i="2"/>
  <c r="Z797" i="2"/>
  <c r="Z813" i="2"/>
  <c r="Z799" i="2"/>
  <c r="Z802" i="2"/>
  <c r="Z818" i="2"/>
  <c r="Z819" i="2"/>
  <c r="Z804" i="2"/>
  <c r="Z801" i="2"/>
  <c r="Z817" i="2"/>
  <c r="Z811" i="2"/>
  <c r="Z806" i="2"/>
  <c r="Z822" i="2"/>
  <c r="Z803" i="2"/>
  <c r="Z810" i="2"/>
  <c r="Z805" i="2"/>
  <c r="Z795" i="2"/>
  <c r="Z820" i="2"/>
  <c r="Z808" i="2"/>
  <c r="Z823" i="2"/>
  <c r="Z824" i="2"/>
  <c r="Z652" i="2"/>
  <c r="Z668" i="2"/>
  <c r="Z662" i="2"/>
  <c r="Z657" i="2"/>
  <c r="Z673" i="2"/>
  <c r="Z666" i="2"/>
  <c r="Z655" i="2"/>
  <c r="Z671" i="2"/>
  <c r="Z656" i="2"/>
  <c r="Z672" i="2"/>
  <c r="Z670" i="2"/>
  <c r="Z661" i="2"/>
  <c r="Z676" i="2"/>
  <c r="Z674" i="2"/>
  <c r="Z659" i="2"/>
  <c r="Z675" i="2"/>
  <c r="Z660" i="2"/>
  <c r="Z678" i="2"/>
  <c r="Z665" i="2"/>
  <c r="Z650" i="2"/>
  <c r="Z663" i="2"/>
  <c r="Z651" i="2"/>
  <c r="Z653" i="2"/>
  <c r="Z667" i="2"/>
  <c r="Z669" i="2"/>
  <c r="Z679" i="2"/>
  <c r="Z664" i="2"/>
  <c r="Z658" i="2"/>
  <c r="Z654" i="2"/>
  <c r="Z680" i="2"/>
  <c r="Z376" i="2"/>
  <c r="Z365" i="2"/>
  <c r="Z381" i="2"/>
  <c r="Z363" i="2"/>
  <c r="Z379" i="2"/>
  <c r="Z366" i="2"/>
  <c r="Z374" i="2"/>
  <c r="Z364" i="2"/>
  <c r="Z380" i="2"/>
  <c r="Z369" i="2"/>
  <c r="Z385" i="2"/>
  <c r="Z367" i="2"/>
  <c r="Z383" i="2"/>
  <c r="Z382" i="2"/>
  <c r="Z390" i="2"/>
  <c r="Z368" i="2"/>
  <c r="Z384" i="2"/>
  <c r="Z373" i="2"/>
  <c r="Z388" i="2"/>
  <c r="Z371" i="2"/>
  <c r="Z387" i="2"/>
  <c r="Z370" i="2"/>
  <c r="Z378" i="2"/>
  <c r="Z362" i="2"/>
  <c r="Z386" i="2"/>
  <c r="Z372" i="2"/>
  <c r="Z375" i="2"/>
  <c r="Z377" i="2"/>
  <c r="Z391" i="2"/>
  <c r="Z392" i="2"/>
  <c r="Z294" i="2"/>
  <c r="Z293" i="2"/>
  <c r="Z296" i="2"/>
  <c r="Z310" i="2"/>
  <c r="Z297" i="2"/>
  <c r="Z312" i="2"/>
  <c r="Z295" i="2"/>
  <c r="Z309" i="2"/>
  <c r="Z308" i="2"/>
  <c r="Z313" i="2"/>
  <c r="Z304" i="2"/>
  <c r="Z311" i="2"/>
  <c r="Z298" i="2"/>
  <c r="Z292" i="2"/>
  <c r="Z319" i="2"/>
  <c r="Z300" i="2"/>
  <c r="Z299" i="2"/>
  <c r="Z307" i="2"/>
  <c r="Z303" i="2"/>
  <c r="Z316" i="2"/>
  <c r="Z314" i="2"/>
  <c r="Z306" i="2"/>
  <c r="Z302" i="2"/>
  <c r="Z291" i="2"/>
  <c r="Z290" i="2"/>
  <c r="Z318" i="2"/>
  <c r="Z301" i="2"/>
  <c r="Z305" i="2"/>
  <c r="Z315" i="2"/>
  <c r="Z267" i="2"/>
  <c r="Z283" i="2"/>
  <c r="Z268" i="2"/>
  <c r="Z258" i="2"/>
  <c r="Z274" i="2"/>
  <c r="Z277" i="2"/>
  <c r="Z269" i="2"/>
  <c r="Z255" i="2"/>
  <c r="Z271" i="2"/>
  <c r="Z256" i="2"/>
  <c r="Z272" i="2"/>
  <c r="Z262" i="2"/>
  <c r="Z278" i="2"/>
  <c r="Z280" i="2"/>
  <c r="Z254" i="2"/>
  <c r="Z259" i="2"/>
  <c r="Z275" i="2"/>
  <c r="Z260" i="2"/>
  <c r="Z276" i="2"/>
  <c r="Z266" i="2"/>
  <c r="Z282" i="2"/>
  <c r="Z273" i="2"/>
  <c r="Z257" i="2"/>
  <c r="Z264" i="2"/>
  <c r="Z263" i="2"/>
  <c r="Z270" i="2"/>
  <c r="Z279" i="2"/>
  <c r="Z261" i="2"/>
  <c r="Z265" i="2"/>
  <c r="Z284" i="2"/>
  <c r="Z625" i="2"/>
  <c r="Z640" i="2"/>
  <c r="Z626" i="2"/>
  <c r="Z642" i="2"/>
  <c r="Z627" i="2"/>
  <c r="Z643" i="2"/>
  <c r="Z636" i="2"/>
  <c r="Z629" i="2"/>
  <c r="Z614" i="2"/>
  <c r="Z630" i="2"/>
  <c r="Z615" i="2"/>
  <c r="Z631" i="2"/>
  <c r="Z624" i="2"/>
  <c r="Z616" i="2"/>
  <c r="Z617" i="2"/>
  <c r="Z633" i="2"/>
  <c r="Z618" i="2"/>
  <c r="Z634" i="2"/>
  <c r="Z619" i="2"/>
  <c r="Z635" i="2"/>
  <c r="Z632" i="2"/>
  <c r="Z621" i="2"/>
  <c r="Z623" i="2"/>
  <c r="Z637" i="2"/>
  <c r="Z639" i="2"/>
  <c r="Z622" i="2"/>
  <c r="Z628" i="2"/>
  <c r="Z620" i="2"/>
  <c r="Z638" i="2"/>
  <c r="Z644" i="2"/>
  <c r="Z473" i="2"/>
  <c r="Z489" i="2"/>
  <c r="Z474" i="2"/>
  <c r="Z490" i="2"/>
  <c r="Z475" i="2"/>
  <c r="Z491" i="2"/>
  <c r="Z480" i="2"/>
  <c r="Z492" i="2"/>
  <c r="Z477" i="2"/>
  <c r="Z493" i="2"/>
  <c r="Z478" i="2"/>
  <c r="Z494" i="2"/>
  <c r="Z479" i="2"/>
  <c r="Z495" i="2"/>
  <c r="Z472" i="2"/>
  <c r="Z481" i="2"/>
  <c r="Z496" i="2"/>
  <c r="Z482" i="2"/>
  <c r="Z498" i="2"/>
  <c r="Z483" i="2"/>
  <c r="Z499" i="2"/>
  <c r="Z488" i="2"/>
  <c r="Z471" i="2"/>
  <c r="Z476" i="2"/>
  <c r="Z485" i="2"/>
  <c r="Z487" i="2"/>
  <c r="Z486" i="2"/>
  <c r="Z470" i="2"/>
  <c r="Z484" i="2"/>
  <c r="Z500" i="2"/>
  <c r="Z905" i="2"/>
  <c r="Z921" i="2"/>
  <c r="Z912" i="2"/>
  <c r="Z914" i="2"/>
  <c r="Z930" i="2"/>
  <c r="Z903" i="2"/>
  <c r="Z919" i="2"/>
  <c r="Z908" i="2"/>
  <c r="Z909" i="2"/>
  <c r="Z925" i="2"/>
  <c r="Z924" i="2"/>
  <c r="Z918" i="2"/>
  <c r="Z904" i="2"/>
  <c r="Z907" i="2"/>
  <c r="Z923" i="2"/>
  <c r="Z920" i="2"/>
  <c r="Z913" i="2"/>
  <c r="Z928" i="2"/>
  <c r="Z906" i="2"/>
  <c r="Z922" i="2"/>
  <c r="Z916" i="2"/>
  <c r="Z911" i="2"/>
  <c r="Z927" i="2"/>
  <c r="Z910" i="2"/>
  <c r="Z931" i="2"/>
  <c r="Z926" i="2"/>
  <c r="Z917" i="2"/>
  <c r="Z915" i="2"/>
  <c r="Z902" i="2"/>
  <c r="Z932" i="2"/>
  <c r="Z769" i="2"/>
  <c r="Z784" i="2"/>
  <c r="Z775" i="2"/>
  <c r="Z770" i="2"/>
  <c r="Z786" i="2"/>
  <c r="Z787" i="2"/>
  <c r="Z780" i="2"/>
  <c r="Z773" i="2"/>
  <c r="Z758" i="2"/>
  <c r="Z783" i="2"/>
  <c r="Z774" i="2"/>
  <c r="Z763" i="2"/>
  <c r="Z768" i="2"/>
  <c r="Z772" i="2"/>
  <c r="Z761" i="2"/>
  <c r="Z777" i="2"/>
  <c r="Z759" i="2"/>
  <c r="Z762" i="2"/>
  <c r="Z778" i="2"/>
  <c r="Z771" i="2"/>
  <c r="Z760" i="2"/>
  <c r="Z766" i="2"/>
  <c r="Z764" i="2"/>
  <c r="Z765" i="2"/>
  <c r="Z782" i="2"/>
  <c r="Z781" i="2"/>
  <c r="Z779" i="2"/>
  <c r="Z776" i="2"/>
  <c r="Z767" i="2"/>
  <c r="Z788" i="2"/>
</calcChain>
</file>

<file path=xl/sharedStrings.xml><?xml version="1.0" encoding="utf-8"?>
<sst xmlns="http://schemas.openxmlformats.org/spreadsheetml/2006/main" count="1766" uniqueCount="710">
  <si>
    <t>VP1 44</t>
  </si>
  <si>
    <t>VP1 45</t>
  </si>
  <si>
    <t>VP1 46</t>
  </si>
  <si>
    <t>VP1 47</t>
  </si>
  <si>
    <t>VP1 48</t>
  </si>
  <si>
    <t>VP1 49</t>
  </si>
  <si>
    <t>VP1 50</t>
  </si>
  <si>
    <t>VP1 51</t>
  </si>
  <si>
    <t>VP2 44</t>
  </si>
  <si>
    <t>VP2 45</t>
  </si>
  <si>
    <t>VP2 46</t>
  </si>
  <si>
    <t>VP2 47</t>
  </si>
  <si>
    <t>VP2 48</t>
  </si>
  <si>
    <t>VP2 49</t>
  </si>
  <si>
    <t>VP2 50</t>
  </si>
  <si>
    <t>VP2 51</t>
  </si>
  <si>
    <t>RH1 44</t>
  </si>
  <si>
    <t>RH1 45</t>
  </si>
  <si>
    <t>RH1 46</t>
  </si>
  <si>
    <t>RH1 47</t>
  </si>
  <si>
    <t>RH1 48</t>
  </si>
  <si>
    <t>RH1 49</t>
  </si>
  <si>
    <t>RH1 50</t>
  </si>
  <si>
    <t>RH1 51</t>
  </si>
  <si>
    <t>RH2 44</t>
  </si>
  <si>
    <t>RH2 45</t>
  </si>
  <si>
    <t>RH2 46</t>
  </si>
  <si>
    <t>RH2 47</t>
  </si>
  <si>
    <t>RH2 48</t>
  </si>
  <si>
    <t>RH2 49</t>
  </si>
  <si>
    <t>RH2 50</t>
  </si>
  <si>
    <t>RH2 51</t>
  </si>
  <si>
    <t>TIME</t>
  </si>
  <si>
    <t>BSS 44</t>
  </si>
  <si>
    <t>BSS 45</t>
  </si>
  <si>
    <t>BSS 46</t>
  </si>
  <si>
    <t>BSS 47</t>
  </si>
  <si>
    <t>BSS 48</t>
  </si>
  <si>
    <t>BSS 49</t>
  </si>
  <si>
    <t>BSS 50</t>
  </si>
  <si>
    <t>BSS 51</t>
  </si>
  <si>
    <t>Z10</t>
  </si>
  <si>
    <t>Z11</t>
  </si>
  <si>
    <t>1985-86</t>
  </si>
  <si>
    <t>1986-87</t>
  </si>
  <si>
    <t>1987-88</t>
  </si>
  <si>
    <t>1988-89</t>
  </si>
  <si>
    <t>1989-90</t>
  </si>
  <si>
    <t>1990-91</t>
  </si>
  <si>
    <t>1991-92</t>
  </si>
  <si>
    <t>1992-93</t>
  </si>
  <si>
    <t>1993-94</t>
  </si>
  <si>
    <t>1994-95</t>
  </si>
  <si>
    <t>1995-96</t>
  </si>
  <si>
    <t>1996-97</t>
  </si>
  <si>
    <t>1997-98</t>
  </si>
  <si>
    <t>1998-99</t>
  </si>
  <si>
    <t>1999-2000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</si>
  <si>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</si>
  <si>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</si>
  <si>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</si>
  <si>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</si>
  <si>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</si>
  <si>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</si>
  <si>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</si>
  <si>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</si>
  <si>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</si>
  <si>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</si>
  <si>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</si>
  <si>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</si>
  <si>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</si>
  <si>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CORR</t>
  </si>
  <si>
    <t>MAXT 44</t>
  </si>
  <si>
    <t>MAXT 45</t>
  </si>
  <si>
    <t>MAXT 46</t>
  </si>
  <si>
    <t>MAXT 47</t>
  </si>
  <si>
    <t>MAXT 48</t>
  </si>
  <si>
    <t>MAXT 49</t>
  </si>
  <si>
    <t>MAXT 50</t>
  </si>
  <si>
    <t>MAXT 51</t>
  </si>
  <si>
    <t>Z20</t>
  </si>
  <si>
    <t>Z21</t>
  </si>
  <si>
    <t>MINT 44</t>
  </si>
  <si>
    <t>MINT 45</t>
  </si>
  <si>
    <t>MINT 46</t>
  </si>
  <si>
    <t>MINT 47</t>
  </si>
  <si>
    <t>MINT 48</t>
  </si>
  <si>
    <t>MINT 49</t>
  </si>
  <si>
    <t>MINT 50</t>
  </si>
  <si>
    <t>MINT 51</t>
  </si>
  <si>
    <t>Z30</t>
  </si>
  <si>
    <t>Z31</t>
  </si>
  <si>
    <t>Z40</t>
  </si>
  <si>
    <t>Z41</t>
  </si>
  <si>
    <t>Z50</t>
  </si>
  <si>
    <t>Z51</t>
  </si>
  <si>
    <t>Z60</t>
  </si>
  <si>
    <t>Z61</t>
  </si>
  <si>
    <t>Z70</t>
  </si>
  <si>
    <t>Z71</t>
  </si>
  <si>
    <t>BSS*MAXT 44</t>
  </si>
  <si>
    <t>BSS*MAXT 45</t>
  </si>
  <si>
    <t>BSS*MAXT 46</t>
  </si>
  <si>
    <t>BSS*MAXT 47</t>
  </si>
  <si>
    <t>BSS*MAXT 48</t>
  </si>
  <si>
    <t>BSS*MAXT 49</t>
  </si>
  <si>
    <t>BSS*MAXT 50</t>
  </si>
  <si>
    <t>BSS*MAXT 51</t>
  </si>
  <si>
    <t>Z120</t>
  </si>
  <si>
    <t>Z121</t>
  </si>
  <si>
    <t>BSS*MINT 44</t>
  </si>
  <si>
    <t>BSS*MINT 45</t>
  </si>
  <si>
    <t>BSS*MINT 46</t>
  </si>
  <si>
    <t>BSS*MINT 47</t>
  </si>
  <si>
    <t>BSS*MINT 48</t>
  </si>
  <si>
    <t>BSS*MINT 49</t>
  </si>
  <si>
    <t>BSS*MINT 50</t>
  </si>
  <si>
    <t>BSS*MINT 51</t>
  </si>
  <si>
    <t>Z130</t>
  </si>
  <si>
    <t>Z131</t>
  </si>
  <si>
    <t>BSS*RH1 44</t>
  </si>
  <si>
    <t>BSS*RH1 45</t>
  </si>
  <si>
    <t>BSS*RH1 46</t>
  </si>
  <si>
    <t>BSS*RH1 47</t>
  </si>
  <si>
    <t>BSS*RH1 48</t>
  </si>
  <si>
    <t>BSS*RH1 49</t>
  </si>
  <si>
    <t>BSS*RH1 50</t>
  </si>
  <si>
    <t>BSS*RH1 51</t>
  </si>
  <si>
    <t>Z140</t>
  </si>
  <si>
    <t>Z141</t>
  </si>
  <si>
    <t>BSS*RH2 44</t>
  </si>
  <si>
    <t>BSS*RH2 45</t>
  </si>
  <si>
    <t>BSS*RH2 46</t>
  </si>
  <si>
    <t>BSS*RH2 47</t>
  </si>
  <si>
    <t>BSS*RH2 48</t>
  </si>
  <si>
    <t>BSS*RH2 49</t>
  </si>
  <si>
    <t>BSS*RH2 50</t>
  </si>
  <si>
    <t>BSS*RH2 51</t>
  </si>
  <si>
    <t>Z150</t>
  </si>
  <si>
    <t>Z151</t>
  </si>
  <si>
    <t>BSS*VP1 44</t>
  </si>
  <si>
    <t>BSS*VP1 45</t>
  </si>
  <si>
    <t>BSS*VP1 46</t>
  </si>
  <si>
    <t>BSS*VP1 47</t>
  </si>
  <si>
    <t>BSS*VP1 48</t>
  </si>
  <si>
    <t>BSS*VP1 49</t>
  </si>
  <si>
    <t>BSS*VP1 50</t>
  </si>
  <si>
    <t>BSS*VP1 51</t>
  </si>
  <si>
    <t>Z160</t>
  </si>
  <si>
    <t>Z161</t>
  </si>
  <si>
    <t>BSS*VP2 44</t>
  </si>
  <si>
    <t>BSS*VP2 45</t>
  </si>
  <si>
    <t>BSS*VP2 46</t>
  </si>
  <si>
    <t>BSS*VP2 47</t>
  </si>
  <si>
    <t>BSS*VP2 48</t>
  </si>
  <si>
    <t>BSS*VP2 49</t>
  </si>
  <si>
    <t>BSS*VP2 50</t>
  </si>
  <si>
    <t>BSS*VP2 51</t>
  </si>
  <si>
    <t>Z170</t>
  </si>
  <si>
    <t>Z171</t>
  </si>
  <si>
    <t>MAXT*MINT 44</t>
  </si>
  <si>
    <t>MAXT*MINT 45</t>
  </si>
  <si>
    <t>MAXT*MINT 46</t>
  </si>
  <si>
    <t>MAXT*MINT 47</t>
  </si>
  <si>
    <t>MAXT*MINT 48</t>
  </si>
  <si>
    <t>MAXT*MINT 49</t>
  </si>
  <si>
    <t>MAXT*MINT 50</t>
  </si>
  <si>
    <t>MAXT*MINT 51</t>
  </si>
  <si>
    <t>Z230</t>
  </si>
  <si>
    <t>Z231</t>
  </si>
  <si>
    <t>MAXT*RH1 44</t>
  </si>
  <si>
    <t>MAXT*RH1 45</t>
  </si>
  <si>
    <t>MAXT*RH1 46</t>
  </si>
  <si>
    <t>MAXT*RH1 47</t>
  </si>
  <si>
    <t>MAXT*RH1 48</t>
  </si>
  <si>
    <t>MAXT*RH1 49</t>
  </si>
  <si>
    <t>MAXT*RH1 50</t>
  </si>
  <si>
    <t>MAXT*RH1 51</t>
  </si>
  <si>
    <t>Z240</t>
  </si>
  <si>
    <t>Z241</t>
  </si>
  <si>
    <t>MAXT*RH2 44</t>
  </si>
  <si>
    <t>MAXT*RH2 45</t>
  </si>
  <si>
    <t>MAXT*RH2 46</t>
  </si>
  <si>
    <t>MAXT*RH2 47</t>
  </si>
  <si>
    <t>MAXT*RH2 48</t>
  </si>
  <si>
    <t>MAXT*RH2 49</t>
  </si>
  <si>
    <t>MAXT*RH2 50</t>
  </si>
  <si>
    <t>MAXT*RH2 51</t>
  </si>
  <si>
    <t>Z250</t>
  </si>
  <si>
    <t>Z251</t>
  </si>
  <si>
    <t>MAXT*VP1 44</t>
  </si>
  <si>
    <t>MAXT*VP1 45</t>
  </si>
  <si>
    <t>MAXT*VP1 46</t>
  </si>
  <si>
    <t>MAXT*VP1 47</t>
  </si>
  <si>
    <t>MAXT*VP1 48</t>
  </si>
  <si>
    <t>MAXT*VP1 49</t>
  </si>
  <si>
    <t>MAXT*VP1 50</t>
  </si>
  <si>
    <t>MAXT*VP1 51</t>
  </si>
  <si>
    <t>Z260</t>
  </si>
  <si>
    <t>Z261</t>
  </si>
  <si>
    <t>MAXT*VP2 44</t>
  </si>
  <si>
    <t>MAXT*VP2 45</t>
  </si>
  <si>
    <t>MAXT*VP2 46</t>
  </si>
  <si>
    <t>MAXT*VP2 47</t>
  </si>
  <si>
    <t>MAXT*VP2 48</t>
  </si>
  <si>
    <t>MAXT*VP2 49</t>
  </si>
  <si>
    <t>MAXT*VP2 50</t>
  </si>
  <si>
    <t>MAXT*VP2 51</t>
  </si>
  <si>
    <t>Z270</t>
  </si>
  <si>
    <t>Z271</t>
  </si>
  <si>
    <t>MINT*RH1 44</t>
  </si>
  <si>
    <t>MINT*RH1 45</t>
  </si>
  <si>
    <t>MINT*RH1 46</t>
  </si>
  <si>
    <t>MINT*RH1 47</t>
  </si>
  <si>
    <t>MINT*RH1 48</t>
  </si>
  <si>
    <t>MINT*RH1 49</t>
  </si>
  <si>
    <t>MINT*RH1 50</t>
  </si>
  <si>
    <t>MINT*RH1 51</t>
  </si>
  <si>
    <t>Z340</t>
  </si>
  <si>
    <t>Z341</t>
  </si>
  <si>
    <t>MINT*RH2 44</t>
  </si>
  <si>
    <t>MINT*RH2 45</t>
  </si>
  <si>
    <t>MINT*RH2 46</t>
  </si>
  <si>
    <t>MINT*RH2 47</t>
  </si>
  <si>
    <t>MINT*RH2 48</t>
  </si>
  <si>
    <t>MINT*RH2 49</t>
  </si>
  <si>
    <t>MINT*RH2 50</t>
  </si>
  <si>
    <t>MINT*RH2 51</t>
  </si>
  <si>
    <t>Z350</t>
  </si>
  <si>
    <t>Z351</t>
  </si>
  <si>
    <t>MINT*VP1 44</t>
  </si>
  <si>
    <t>MINT*VP1 45</t>
  </si>
  <si>
    <t>MINT*VP1 46</t>
  </si>
  <si>
    <t>MINT*VP1 47</t>
  </si>
  <si>
    <t>MINT*VP1 48</t>
  </si>
  <si>
    <t>MINT*VP1 49</t>
  </si>
  <si>
    <t>MINT*VP1 50</t>
  </si>
  <si>
    <t>MINT*VP1 51</t>
  </si>
  <si>
    <t>Z360</t>
  </si>
  <si>
    <t>Z361</t>
  </si>
  <si>
    <t>MINT*VP2 44</t>
  </si>
  <si>
    <t>MINT*VP2 45</t>
  </si>
  <si>
    <t>MINT*VP2 46</t>
  </si>
  <si>
    <t>MINT*VP2 47</t>
  </si>
  <si>
    <t>MINT*VP2 48</t>
  </si>
  <si>
    <t>MINT*VP2 49</t>
  </si>
  <si>
    <t>MINT*VP2 50</t>
  </si>
  <si>
    <t>MINT*VP2 51</t>
  </si>
  <si>
    <t>Z370</t>
  </si>
  <si>
    <t>Z371</t>
  </si>
  <si>
    <t>RH1*RH2 44</t>
  </si>
  <si>
    <t>RH1*RH2 45</t>
  </si>
  <si>
    <t>RH1*RH2 46</t>
  </si>
  <si>
    <t>RH1*RH2 47</t>
  </si>
  <si>
    <t>RH1*RH2 48</t>
  </si>
  <si>
    <t>RH1*RH2 49</t>
  </si>
  <si>
    <t>RH1*RH2 50</t>
  </si>
  <si>
    <t>RH1*RH2 51</t>
  </si>
  <si>
    <t>Z450</t>
  </si>
  <si>
    <t>Z451</t>
  </si>
  <si>
    <t>RH1*VP1 44</t>
  </si>
  <si>
    <t>RH1*VP1 45</t>
  </si>
  <si>
    <t>RH1*VP1 46</t>
  </si>
  <si>
    <t>RH1*VP1 47</t>
  </si>
  <si>
    <t>RH1*VP1 48</t>
  </si>
  <si>
    <t>RH1*VP1 49</t>
  </si>
  <si>
    <t>RH1*VP1 50</t>
  </si>
  <si>
    <t>RH1*VP1 51</t>
  </si>
  <si>
    <t>Z460</t>
  </si>
  <si>
    <t>Z461</t>
  </si>
  <si>
    <t>RH1*VP2 44</t>
  </si>
  <si>
    <t>RH1*VP2 45</t>
  </si>
  <si>
    <t>RH1*VP2 46</t>
  </si>
  <si>
    <t>RH1*VP2 47</t>
  </si>
  <si>
    <t>RH1*VP2 48</t>
  </si>
  <si>
    <t>RH1*VP2 49</t>
  </si>
  <si>
    <t>RH1*VP2 50</t>
  </si>
  <si>
    <t>RH1*VP2 51</t>
  </si>
  <si>
    <t>Z470</t>
  </si>
  <si>
    <t>Z471</t>
  </si>
  <si>
    <t>RH2*VP1 44</t>
  </si>
  <si>
    <t>RH2*VP1 45</t>
  </si>
  <si>
    <t>RH2*VP1 46</t>
  </si>
  <si>
    <t>RH2*VP1 47</t>
  </si>
  <si>
    <t>RH2*VP1 48</t>
  </si>
  <si>
    <t>RH2*VP1 49</t>
  </si>
  <si>
    <t>RH2*VP1 50</t>
  </si>
  <si>
    <t>RH2*VP1 51</t>
  </si>
  <si>
    <t>Z560</t>
  </si>
  <si>
    <t>Z561</t>
  </si>
  <si>
    <t>RH2*VP2 44</t>
  </si>
  <si>
    <t>RH2*VP2 45</t>
  </si>
  <si>
    <t>RH2*VP2 46</t>
  </si>
  <si>
    <t>RH2*VP2 47</t>
  </si>
  <si>
    <t>RH2*VP2 48</t>
  </si>
  <si>
    <t>RH2*VP2 49</t>
  </si>
  <si>
    <t>RH2*VP2 50</t>
  </si>
  <si>
    <t>RH2*VP2 51</t>
  </si>
  <si>
    <t>Z570</t>
  </si>
  <si>
    <t>Z571</t>
  </si>
  <si>
    <t>VP1*VP2 44</t>
  </si>
  <si>
    <t>VP1*VP2 45</t>
  </si>
  <si>
    <t>VP1*VP2 46</t>
  </si>
  <si>
    <t>VP1*VP2 47</t>
  </si>
  <si>
    <t>VP1*VP2 48</t>
  </si>
  <si>
    <t>VP1*VP2 49</t>
  </si>
  <si>
    <t>VP1*VP2 50</t>
  </si>
  <si>
    <t>VP1*VP2 51</t>
  </si>
  <si>
    <t>Z670</t>
  </si>
  <si>
    <t>Z671</t>
  </si>
  <si>
    <t>YIELD</t>
  </si>
  <si>
    <t>O-P</t>
  </si>
  <si>
    <t>PRED</t>
  </si>
  <si>
    <t>ERROR</t>
  </si>
  <si>
    <t>2013-14</t>
  </si>
  <si>
    <t>2014-15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</si>
  <si>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</si>
  <si>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</si>
  <si>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</si>
  <si>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</si>
  <si>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</si>
  <si>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</si>
  <si>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</si>
  <si>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</si>
  <si>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</si>
  <si>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</si>
  <si>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</si>
  <si>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</si>
  <si>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</si>
  <si>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</si>
  <si>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</si>
  <si>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</si>
  <si>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</si>
  <si>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</si>
  <si>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</si>
  <si>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</si>
  <si>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</si>
  <si>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</si>
  <si>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</si>
  <si>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</si>
  <si>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BSS 52</t>
  </si>
  <si>
    <t>MAXT 52</t>
  </si>
  <si>
    <t>MINT 52</t>
  </si>
  <si>
    <t>RH1 52</t>
  </si>
  <si>
    <t>RH2 52</t>
  </si>
  <si>
    <t>VP1 52</t>
  </si>
  <si>
    <t>VP2 52</t>
  </si>
  <si>
    <t>BSS*MAXT 52</t>
  </si>
  <si>
    <t>BSS*MINT 52</t>
  </si>
  <si>
    <t>BSS*RH1 52</t>
  </si>
  <si>
    <t>BSS*RH2 52</t>
  </si>
  <si>
    <t>BSS*VP1 52</t>
  </si>
  <si>
    <t>BSS*VP2 52</t>
  </si>
  <si>
    <t>MAXT*MINT 52</t>
  </si>
  <si>
    <t>MAXT*RH1 52</t>
  </si>
  <si>
    <t>MAXT*RH2 52</t>
  </si>
  <si>
    <t>MAXT*VP1 52</t>
  </si>
  <si>
    <t>MAXT*VP2 52</t>
  </si>
  <si>
    <t>MINT*RH1 52</t>
  </si>
  <si>
    <t>MINT*RH2 52</t>
  </si>
  <si>
    <t>MINT*VP1 52</t>
  </si>
  <si>
    <t>MINT*VP2 52</t>
  </si>
  <si>
    <t>RH1*RH2 52</t>
  </si>
  <si>
    <t>RH1*VP1 52</t>
  </si>
  <si>
    <t>RH1*VP2 52</t>
  </si>
  <si>
    <t>RH2*VP1 52</t>
  </si>
  <si>
    <t>RH2*VP2 52</t>
  </si>
  <si>
    <t>VP1*VP2 52</t>
  </si>
  <si>
    <t>BSS 1</t>
  </si>
  <si>
    <t>BSS 2</t>
  </si>
  <si>
    <t>BSS 3</t>
  </si>
  <si>
    <t>MAXT 1</t>
  </si>
  <si>
    <t>MAXT 2</t>
  </si>
  <si>
    <t>MAXT 3</t>
  </si>
  <si>
    <t>MINT 1</t>
  </si>
  <si>
    <t>MINT 2</t>
  </si>
  <si>
    <t>MINT 3</t>
  </si>
  <si>
    <t>RH1 1</t>
  </si>
  <si>
    <t>RH1 2</t>
  </si>
  <si>
    <t>RH1 3</t>
  </si>
  <si>
    <t>RH2 1</t>
  </si>
  <si>
    <t>RH2 2</t>
  </si>
  <si>
    <t>RH2 3</t>
  </si>
  <si>
    <t>VP1 1</t>
  </si>
  <si>
    <t>VP1 2</t>
  </si>
  <si>
    <t>VP1 3</t>
  </si>
  <si>
    <t>VP2 1</t>
  </si>
  <si>
    <t>VP2 2</t>
  </si>
  <si>
    <t>VP2 3</t>
  </si>
  <si>
    <t>BSS*MAXT 1</t>
  </si>
  <si>
    <t>BSS*MAXT 2</t>
  </si>
  <si>
    <t>BSS*MAXT 3</t>
  </si>
  <si>
    <t>BSS*MINT 1</t>
  </si>
  <si>
    <t>BSS*MINT 2</t>
  </si>
  <si>
    <t>BSS*MINT 3</t>
  </si>
  <si>
    <t>BSS*RH1 1</t>
  </si>
  <si>
    <t>BSS*RH1 2</t>
  </si>
  <si>
    <t>BSS*RH1 3</t>
  </si>
  <si>
    <t>BSS*RH2 1</t>
  </si>
  <si>
    <t>BSS*RH2 2</t>
  </si>
  <si>
    <t>BSS*RH2 3</t>
  </si>
  <si>
    <t>BSS*VP1 1</t>
  </si>
  <si>
    <t>BSS*VP1 2</t>
  </si>
  <si>
    <t>BSS*VP1 3</t>
  </si>
  <si>
    <t>BSS*VP2 1</t>
  </si>
  <si>
    <t>BSS*VP2 2</t>
  </si>
  <si>
    <t>BSS*VP2 3</t>
  </si>
  <si>
    <t>MAXT*MINT 1</t>
  </si>
  <si>
    <t>MAXT*MINT 2</t>
  </si>
  <si>
    <t>MAXT*MINT 3</t>
  </si>
  <si>
    <t>MAXT*RH1 1</t>
  </si>
  <si>
    <t>MAXT*RH1 2</t>
  </si>
  <si>
    <t>MAXT*RH1 3</t>
  </si>
  <si>
    <t>MAXT*RH2 1</t>
  </si>
  <si>
    <t>MAXT*RH2 2</t>
  </si>
  <si>
    <t>MAXT*RH2 3</t>
  </si>
  <si>
    <t>MAXT*VP1 1</t>
  </si>
  <si>
    <t>MAXT*VP1 2</t>
  </si>
  <si>
    <t>MAXT*VP1 3</t>
  </si>
  <si>
    <t>MAXT*VP2 1</t>
  </si>
  <si>
    <t>MAXT*VP2 2</t>
  </si>
  <si>
    <t>MAXT*VP2 3</t>
  </si>
  <si>
    <t>MINT*RH1 1</t>
  </si>
  <si>
    <t>MINT*RH1 2</t>
  </si>
  <si>
    <t>MINT*RH1 3</t>
  </si>
  <si>
    <t>MINT*RH2 1</t>
  </si>
  <si>
    <t>MINT*RH2 2</t>
  </si>
  <si>
    <t>MINT*RH2 3</t>
  </si>
  <si>
    <t>MINT*VP1 1</t>
  </si>
  <si>
    <t>MINT*VP1 2</t>
  </si>
  <si>
    <t>MINT*VP1 3</t>
  </si>
  <si>
    <t>MINT*VP2 1</t>
  </si>
  <si>
    <t>MINT*VP2 2</t>
  </si>
  <si>
    <t>MINT*VP2 3</t>
  </si>
  <si>
    <t>RH1*RH2 1</t>
  </si>
  <si>
    <t>RH1*RH2 2</t>
  </si>
  <si>
    <t>RH1*RH2 3</t>
  </si>
  <si>
    <t>RH1*VP1 1</t>
  </si>
  <si>
    <t>RH1*VP1 2</t>
  </si>
  <si>
    <t>RH1*VP1 3</t>
  </si>
  <si>
    <t>RH1*VP2 1</t>
  </si>
  <si>
    <t>RH1*VP2 2</t>
  </si>
  <si>
    <t>RH1*VP2 3</t>
  </si>
  <si>
    <t>RH2*VP1 1</t>
  </si>
  <si>
    <t>RH2*VP1 2</t>
  </si>
  <si>
    <t>RH2*VP1 3</t>
  </si>
  <si>
    <t>RH2*VP2 1</t>
  </si>
  <si>
    <t>RH2*VP2 2</t>
  </si>
  <si>
    <t>RH2*VP2 3</t>
  </si>
  <si>
    <t>VP1*VP2 1</t>
  </si>
  <si>
    <t>VP1*VP2 2</t>
  </si>
  <si>
    <t>VP1*VP2 3</t>
  </si>
  <si>
    <t>YEAR</t>
  </si>
  <si>
    <t>BSS 4</t>
  </si>
  <si>
    <t>BSS 5</t>
  </si>
  <si>
    <t>BSS 6</t>
  </si>
  <si>
    <t>BSS 7</t>
  </si>
  <si>
    <t>MAXT 4</t>
  </si>
  <si>
    <t>MAXT 5</t>
  </si>
  <si>
    <t>MAXT 6</t>
  </si>
  <si>
    <t>MAXT 7</t>
  </si>
  <si>
    <t>MINT 4</t>
  </si>
  <si>
    <t>MINT 5</t>
  </si>
  <si>
    <t>MINT 6</t>
  </si>
  <si>
    <t>MINT 7</t>
  </si>
  <si>
    <t>RH1 4</t>
  </si>
  <si>
    <t>RH1 5</t>
  </si>
  <si>
    <t>RH1 6</t>
  </si>
  <si>
    <t>RH1 7</t>
  </si>
  <si>
    <t>RH2 4</t>
  </si>
  <si>
    <t>RH2 5</t>
  </si>
  <si>
    <t>RH2 6</t>
  </si>
  <si>
    <t>RH2 7</t>
  </si>
  <si>
    <t>VP1 4</t>
  </si>
  <si>
    <t>VP1 5</t>
  </si>
  <si>
    <t>VP1 6</t>
  </si>
  <si>
    <t>VP1 7</t>
  </si>
  <si>
    <t>VP2 4</t>
  </si>
  <si>
    <t>VP2 5</t>
  </si>
  <si>
    <t>VP2 6</t>
  </si>
  <si>
    <t>VP2 7</t>
  </si>
  <si>
    <t>BSS*MAXT 4</t>
  </si>
  <si>
    <t>BSS*MAXT 5</t>
  </si>
  <si>
    <t>BSS*MAXT 6</t>
  </si>
  <si>
    <t>BSS*MAXT 7</t>
  </si>
  <si>
    <t>BSS*MINT 4</t>
  </si>
  <si>
    <t>BSS*MINT 5</t>
  </si>
  <si>
    <t>BSS*MINT 6</t>
  </si>
  <si>
    <t>BSS*MINT 7</t>
  </si>
  <si>
    <t>BSS*RH1 4</t>
  </si>
  <si>
    <t>BSS*RH1 5</t>
  </si>
  <si>
    <t>BSS*RH1 6</t>
  </si>
  <si>
    <t>BSS*RH1 7</t>
  </si>
  <si>
    <t>BSS*RH2 4</t>
  </si>
  <si>
    <t>BSS*RH2 5</t>
  </si>
  <si>
    <t>BSS*RH2 6</t>
  </si>
  <si>
    <t>BSS*RH2 7</t>
  </si>
  <si>
    <t>BSS*VP1 4</t>
  </si>
  <si>
    <t>BSS*VP1 5</t>
  </si>
  <si>
    <t>BSS*VP1 6</t>
  </si>
  <si>
    <t>BSS*VP1 7</t>
  </si>
  <si>
    <t>BSS*VP2 4</t>
  </si>
  <si>
    <t>BSS*VP2 5</t>
  </si>
  <si>
    <t>BSS*VP2 6</t>
  </si>
  <si>
    <t>BSS*VP2 7</t>
  </si>
  <si>
    <t>MAXT*MINT 4</t>
  </si>
  <si>
    <t>MAXT*MINT 5</t>
  </si>
  <si>
    <t>MAXT*MINT 6</t>
  </si>
  <si>
    <t>MAXT*MINT 7</t>
  </si>
  <si>
    <t>MAXT*RH1 4</t>
  </si>
  <si>
    <t>MAXT*RH1 5</t>
  </si>
  <si>
    <t>MAXT*RH1 6</t>
  </si>
  <si>
    <t>MAXT*RH1 7</t>
  </si>
  <si>
    <t>MAXT*RH2 4</t>
  </si>
  <si>
    <t>MAXT*RH2 5</t>
  </si>
  <si>
    <t>MAXT*RH2 6</t>
  </si>
  <si>
    <t>MAXT*RH2 7</t>
  </si>
  <si>
    <t>MAXT*VP1 4</t>
  </si>
  <si>
    <t>MAXT*VP1 5</t>
  </si>
  <si>
    <t>MAXT*VP1 6</t>
  </si>
  <si>
    <t>MAXT*VP1 7</t>
  </si>
  <si>
    <t>MAXT*VP2 4</t>
  </si>
  <si>
    <t>MAXT*VP2 5</t>
  </si>
  <si>
    <t>MAXT*VP2 6</t>
  </si>
  <si>
    <t>MAXT*VP2 7</t>
  </si>
  <si>
    <t>MINT*RH1 4</t>
  </si>
  <si>
    <t>MINT*RH1 5</t>
  </si>
  <si>
    <t>MINT*RH1 6</t>
  </si>
  <si>
    <t>MINT*RH1 7</t>
  </si>
  <si>
    <t>MINT*RH2 4</t>
  </si>
  <si>
    <t>MINT*RH2 5</t>
  </si>
  <si>
    <t>MINT*RH2 6</t>
  </si>
  <si>
    <t>MINT*RH2 7</t>
  </si>
  <si>
    <t>MINT*VP1 4</t>
  </si>
  <si>
    <t>MINT*VP1 5</t>
  </si>
  <si>
    <t>MINT*VP1 6</t>
  </si>
  <si>
    <t>MINT*VP1 7</t>
  </si>
  <si>
    <t>MINT*VP2 4</t>
  </si>
  <si>
    <t>MINT*VP2 5</t>
  </si>
  <si>
    <t>MINT*VP2 6</t>
  </si>
  <si>
    <t>MINT*VP2 7</t>
  </si>
  <si>
    <t>RH1*RH2 4</t>
  </si>
  <si>
    <t>RH1*RH2 5</t>
  </si>
  <si>
    <t>RH1*RH2 6</t>
  </si>
  <si>
    <t>RH1*RH2 7</t>
  </si>
  <si>
    <t>RH1*VP1 4</t>
  </si>
  <si>
    <t>RH1*VP1 5</t>
  </si>
  <si>
    <t>RH1*VP1 6</t>
  </si>
  <si>
    <t>RH1*VP1 7</t>
  </si>
  <si>
    <t>RH1*VP2 4</t>
  </si>
  <si>
    <t>RH1*VP2 5</t>
  </si>
  <si>
    <t>RH1*VP2 6</t>
  </si>
  <si>
    <t>RH1*VP2 7</t>
  </si>
  <si>
    <t>RH2*VP1 4</t>
  </si>
  <si>
    <t>RH2*VP1 5</t>
  </si>
  <si>
    <t>RH2*VP1 6</t>
  </si>
  <si>
    <t>RH2*VP1 7</t>
  </si>
  <si>
    <t>RH2*VP2 4</t>
  </si>
  <si>
    <t>RH2*VP2 5</t>
  </si>
  <si>
    <t>RH2*VP2 6</t>
  </si>
  <si>
    <t>RH2*VP2 7</t>
  </si>
  <si>
    <t>VP1*VP2 4</t>
  </si>
  <si>
    <t>VP1*VP2 5</t>
  </si>
  <si>
    <t>VP1*VP2 6</t>
  </si>
  <si>
    <t>VP1*VP2 7</t>
  </si>
  <si>
    <t>BSS 8</t>
  </si>
  <si>
    <t>BSS 9</t>
  </si>
  <si>
    <t>BSS 10</t>
  </si>
  <si>
    <t>BSS 11</t>
  </si>
  <si>
    <t>MAXT 8</t>
  </si>
  <si>
    <t>MAXT 9</t>
  </si>
  <si>
    <t>MAXT 10</t>
  </si>
  <si>
    <t>MAXT 11</t>
  </si>
  <si>
    <t>MINT 8</t>
  </si>
  <si>
    <t>MINT 9</t>
  </si>
  <si>
    <t>MINT 10</t>
  </si>
  <si>
    <t>MINT 11</t>
  </si>
  <si>
    <t>RH1 8</t>
  </si>
  <si>
    <t>RH1 9</t>
  </si>
  <si>
    <t>RH1 10</t>
  </si>
  <si>
    <t>RH1 11</t>
  </si>
  <si>
    <t>RH2 8</t>
  </si>
  <si>
    <t>RH2 9</t>
  </si>
  <si>
    <t>RH2 10</t>
  </si>
  <si>
    <t>RH2 11</t>
  </si>
  <si>
    <t>VP1 8</t>
  </si>
  <si>
    <t>VP1 9</t>
  </si>
  <si>
    <t>VP1 10</t>
  </si>
  <si>
    <t>VP1 11</t>
  </si>
  <si>
    <t>VP2 8</t>
  </si>
  <si>
    <t>VP2 9</t>
  </si>
  <si>
    <t>VP2 10</t>
  </si>
  <si>
    <t>VP2 11</t>
  </si>
  <si>
    <t>BSS*MAXT 8</t>
  </si>
  <si>
    <t>BSS*MAXT 9</t>
  </si>
  <si>
    <t>BSS*MAXT 10</t>
  </si>
  <si>
    <t>BSS*MAXT 11</t>
  </si>
  <si>
    <t>BSS*MINT 8</t>
  </si>
  <si>
    <t>BSS*MINT 9</t>
  </si>
  <si>
    <t>BSS*MINT 10</t>
  </si>
  <si>
    <t>BSS*MINT 11</t>
  </si>
  <si>
    <t>BSS*RH1 8</t>
  </si>
  <si>
    <t>BSS*RH1 9</t>
  </si>
  <si>
    <t>BSS*RH1 10</t>
  </si>
  <si>
    <t>BSS*RH1 11</t>
  </si>
  <si>
    <t>BSS*RH2 8</t>
  </si>
  <si>
    <t>BSS*RH2 9</t>
  </si>
  <si>
    <t>BSS*RH2 10</t>
  </si>
  <si>
    <t>BSS*RH2 11</t>
  </si>
  <si>
    <t>BSS*VP1 8</t>
  </si>
  <si>
    <t>BSS*VP1 9</t>
  </si>
  <si>
    <t>BSS*VP1 10</t>
  </si>
  <si>
    <t>BSS*VP1 11</t>
  </si>
  <si>
    <t>BSS*VP2 8</t>
  </si>
  <si>
    <t>BSS*VP2 9</t>
  </si>
  <si>
    <t>BSS*VP2 10</t>
  </si>
  <si>
    <t>BSS*VP2 11</t>
  </si>
  <si>
    <t>MAXT*MINT 8</t>
  </si>
  <si>
    <t>MAXT*MINT 9</t>
  </si>
  <si>
    <t>MAXT*MINT 10</t>
  </si>
  <si>
    <t>MAXT*MINT 11</t>
  </si>
  <si>
    <t>MAXT*RH1 8</t>
  </si>
  <si>
    <t>MAXT*RH1 9</t>
  </si>
  <si>
    <t>MAXT*RH1 10</t>
  </si>
  <si>
    <t>MAXT*RH1 11</t>
  </si>
  <si>
    <t>MAXT*RH2 8</t>
  </si>
  <si>
    <t>MAXT*RH2 9</t>
  </si>
  <si>
    <t>MAXT*RH2 10</t>
  </si>
  <si>
    <t>MAXT*RH2 11</t>
  </si>
  <si>
    <t>MAXT*VP1 8</t>
  </si>
  <si>
    <t>MAXT*VP1 9</t>
  </si>
  <si>
    <t>MAXT*VP1 10</t>
  </si>
  <si>
    <t>MAXT*VP1 11</t>
  </si>
  <si>
    <t>MAXT*VP2 8</t>
  </si>
  <si>
    <t>MAXT*VP2 9</t>
  </si>
  <si>
    <t>MAXT*VP2 10</t>
  </si>
  <si>
    <t>MAXT*VP2 11</t>
  </si>
  <si>
    <t>MINT*RH1 8</t>
  </si>
  <si>
    <t>MINT*RH1 9</t>
  </si>
  <si>
    <t>MINT*RH1 10</t>
  </si>
  <si>
    <t>MINT*RH1 11</t>
  </si>
  <si>
    <t>MINT*RH2 8</t>
  </si>
  <si>
    <t>MINT*RH2 9</t>
  </si>
  <si>
    <t>MINT*RH2 10</t>
  </si>
  <si>
    <t>MINT*RH2 11</t>
  </si>
  <si>
    <t>MINT*VP1 8</t>
  </si>
  <si>
    <t>MINT*VP1 9</t>
  </si>
  <si>
    <t>MINT*VP1 10</t>
  </si>
  <si>
    <t>MINT*VP1 11</t>
  </si>
  <si>
    <t>MINT*VP2 8</t>
  </si>
  <si>
    <t>MINT*VP2 9</t>
  </si>
  <si>
    <t>MINT*VP2 10</t>
  </si>
  <si>
    <t>MINT*VP2 11</t>
  </si>
  <si>
    <t>RH1*RH2 8</t>
  </si>
  <si>
    <t>RH1*RH2 9</t>
  </si>
  <si>
    <t>RH1*RH2 10</t>
  </si>
  <si>
    <t>RH1*RH2 11</t>
  </si>
  <si>
    <t>RH1*VP1 8</t>
  </si>
  <si>
    <t>RH1*VP1 9</t>
  </si>
  <si>
    <t>RH1*VP1 10</t>
  </si>
  <si>
    <t>RH1*VP1 11</t>
  </si>
  <si>
    <t>RH1*VP2 8</t>
  </si>
  <si>
    <t>RH1*VP2 9</t>
  </si>
  <si>
    <t>RH1*VP2 10</t>
  </si>
  <si>
    <t>RH1*VP2 11</t>
  </si>
  <si>
    <t>RH2*VP1 8</t>
  </si>
  <si>
    <t>RH2*VP1 9</t>
  </si>
  <si>
    <t>RH2*VP1 10</t>
  </si>
  <si>
    <t>RH2*VP1 11</t>
  </si>
  <si>
    <t>RH2*VP2 8</t>
  </si>
  <si>
    <t>RH2*VP2 9</t>
  </si>
  <si>
    <t>RH2*VP2 10</t>
  </si>
  <si>
    <t>RH2*VP2 11</t>
  </si>
  <si>
    <t>VP1*VP2 8</t>
  </si>
  <si>
    <t>VP1*VP2 9</t>
  </si>
  <si>
    <t>VP1*VP2 10</t>
  </si>
  <si>
    <t>VP1*VP2 11</t>
  </si>
  <si>
    <t>2015-16</t>
  </si>
  <si>
    <r>
      <rPr>
        <b/>
        <sz val="9"/>
        <color indexed="8"/>
        <rFont val="Arial Bold"/>
      </rPr>
      <t>Model Summary</t>
    </r>
  </si>
  <si>
    <r>
      <rPr>
        <sz val="9"/>
        <color indexed="8"/>
        <rFont val="Arial"/>
      </rPr>
      <t>Model</t>
    </r>
  </si>
  <si>
    <r>
      <rPr>
        <sz val="9"/>
        <color indexed="8"/>
        <rFont val="Arial"/>
      </rPr>
      <t>R</t>
    </r>
  </si>
  <si>
    <r>
      <rPr>
        <sz val="9"/>
        <color indexed="8"/>
        <rFont val="Arial"/>
      </rPr>
      <t>R Square</t>
    </r>
  </si>
  <si>
    <r>
      <rPr>
        <sz val="9"/>
        <color indexed="8"/>
        <rFont val="Arial"/>
      </rPr>
      <t>Adjusted R Square</t>
    </r>
  </si>
  <si>
    <r>
      <rPr>
        <sz val="9"/>
        <color indexed="8"/>
        <rFont val="Arial"/>
      </rPr>
      <t>Std. Error of the Estimate</t>
    </r>
  </si>
  <si>
    <r>
      <rPr>
        <sz val="9"/>
        <color indexed="8"/>
        <rFont val="Arial"/>
      </rPr>
      <t>.854</t>
    </r>
    <r>
      <rPr>
        <vertAlign val="superscript"/>
        <sz val="9"/>
        <color indexed="8"/>
        <rFont val="Arial"/>
      </rPr>
      <t>a</t>
    </r>
  </si>
  <si>
    <r>
      <rPr>
        <sz val="9"/>
        <color indexed="8"/>
        <rFont val="Arial"/>
      </rPr>
      <t>.899</t>
    </r>
    <r>
      <rPr>
        <vertAlign val="superscript"/>
        <sz val="9"/>
        <color indexed="8"/>
        <rFont val="Arial"/>
      </rPr>
      <t>b</t>
    </r>
  </si>
  <si>
    <r>
      <rPr>
        <sz val="9"/>
        <color indexed="8"/>
        <rFont val="Arial"/>
      </rPr>
      <t>.936</t>
    </r>
    <r>
      <rPr>
        <vertAlign val="superscript"/>
        <sz val="9"/>
        <color indexed="8"/>
        <rFont val="Arial"/>
      </rPr>
      <t>c</t>
    </r>
  </si>
  <si>
    <r>
      <rPr>
        <b/>
        <sz val="9"/>
        <color indexed="8"/>
        <rFont val="Arial Bold"/>
      </rPr>
      <t>ANOVA</t>
    </r>
    <r>
      <rPr>
        <b/>
        <vertAlign val="superscript"/>
        <sz val="9"/>
        <color indexed="8"/>
        <rFont val="Arial Bold"/>
      </rPr>
      <t>d</t>
    </r>
  </si>
  <si>
    <r>
      <rPr>
        <sz val="9"/>
        <color indexed="8"/>
        <rFont val="Arial"/>
      </rPr>
      <t>Sum of Squares</t>
    </r>
  </si>
  <si>
    <r>
      <rPr>
        <sz val="9"/>
        <color indexed="8"/>
        <rFont val="Arial"/>
      </rPr>
      <t>df</t>
    </r>
  </si>
  <si>
    <r>
      <rPr>
        <sz val="9"/>
        <color indexed="8"/>
        <rFont val="Arial"/>
      </rPr>
      <t>Mean Square</t>
    </r>
  </si>
  <si>
    <r>
      <rPr>
        <sz val="9"/>
        <color indexed="8"/>
        <rFont val="Arial"/>
      </rPr>
      <t>F</t>
    </r>
  </si>
  <si>
    <r>
      <rPr>
        <sz val="9"/>
        <color indexed="8"/>
        <rFont val="Arial"/>
      </rPr>
      <t>Sig.</t>
    </r>
  </si>
  <si>
    <r>
      <rPr>
        <sz val="9"/>
        <color indexed="8"/>
        <rFont val="Arial"/>
      </rPr>
      <t>Regression</t>
    </r>
  </si>
  <si>
    <r>
      <rPr>
        <sz val="9"/>
        <color indexed="8"/>
        <rFont val="Arial"/>
      </rPr>
      <t>.000</t>
    </r>
    <r>
      <rPr>
        <vertAlign val="superscript"/>
        <sz val="9"/>
        <color indexed="8"/>
        <rFont val="Arial"/>
      </rPr>
      <t>a</t>
    </r>
  </si>
  <si>
    <r>
      <rPr>
        <sz val="9"/>
        <color indexed="8"/>
        <rFont val="Arial"/>
      </rPr>
      <t>Residual</t>
    </r>
  </si>
  <si>
    <r>
      <rPr>
        <sz val="9"/>
        <color indexed="8"/>
        <rFont val="Arial"/>
      </rPr>
      <t>Total</t>
    </r>
  </si>
  <si>
    <r>
      <rPr>
        <sz val="9"/>
        <color indexed="8"/>
        <rFont val="Arial"/>
      </rPr>
      <t>.000</t>
    </r>
    <r>
      <rPr>
        <vertAlign val="superscript"/>
        <sz val="9"/>
        <color indexed="8"/>
        <rFont val="Arial"/>
      </rPr>
      <t>b</t>
    </r>
  </si>
  <si>
    <r>
      <rPr>
        <sz val="9"/>
        <color indexed="8"/>
        <rFont val="Arial"/>
      </rPr>
      <t>.000</t>
    </r>
    <r>
      <rPr>
        <vertAlign val="superscript"/>
        <sz val="9"/>
        <color indexed="8"/>
        <rFont val="Arial"/>
      </rPr>
      <t>c</t>
    </r>
  </si>
  <si>
    <r>
      <rPr>
        <b/>
        <sz val="9"/>
        <color indexed="8"/>
        <rFont val="Arial Bold"/>
      </rPr>
      <t>Coefficients</t>
    </r>
    <r>
      <rPr>
        <b/>
        <vertAlign val="superscript"/>
        <sz val="9"/>
        <color indexed="8"/>
        <rFont val="Arial Bold"/>
      </rPr>
      <t>a</t>
    </r>
  </si>
  <si>
    <r>
      <rPr>
        <sz val="9"/>
        <color indexed="8"/>
        <rFont val="Arial"/>
      </rPr>
      <t>Unstandardized Coefficients</t>
    </r>
  </si>
  <si>
    <r>
      <rPr>
        <sz val="9"/>
        <color indexed="8"/>
        <rFont val="Arial"/>
      </rPr>
      <t>Standardized Coefficients</t>
    </r>
  </si>
  <si>
    <r>
      <rPr>
        <sz val="9"/>
        <color indexed="8"/>
        <rFont val="Arial"/>
      </rPr>
      <t>t</t>
    </r>
  </si>
  <si>
    <r>
      <rPr>
        <sz val="9"/>
        <color indexed="8"/>
        <rFont val="Arial"/>
      </rPr>
      <t>B</t>
    </r>
  </si>
  <si>
    <r>
      <rPr>
        <sz val="9"/>
        <color indexed="8"/>
        <rFont val="Arial"/>
      </rPr>
      <t>Std. Error</t>
    </r>
  </si>
  <si>
    <r>
      <rPr>
        <sz val="9"/>
        <color indexed="8"/>
        <rFont val="Arial"/>
      </rPr>
      <t>Beta</t>
    </r>
  </si>
  <si>
    <r>
      <rPr>
        <sz val="9"/>
        <color indexed="8"/>
        <rFont val="Arial"/>
      </rPr>
      <t>(Constant)</t>
    </r>
  </si>
  <si>
    <r>
      <rPr>
        <sz val="9"/>
        <color indexed="8"/>
        <rFont val="Arial"/>
      </rPr>
      <t>TIME</t>
    </r>
  </si>
  <si>
    <r>
      <rPr>
        <sz val="9"/>
        <color indexed="8"/>
        <rFont val="Arial"/>
      </rPr>
      <t>Z231</t>
    </r>
  </si>
  <si>
    <r>
      <rPr>
        <sz val="9"/>
        <color indexed="8"/>
        <rFont val="Arial"/>
      </rPr>
      <t>Z160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</si>
</sst>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#.000"/>
    <numFmt numFmtId="165" formatCode="0.0"/>
    <numFmt numFmtId="166" formatCode="####.0000000"/>
    <numFmt numFmtId="167" formatCode="###0"/>
  </numFmts>
  <fonts count="19" x14ac:knownFonts="1">
    <font>
      <sz val="11"/>
      <color theme="1"/>
      <name val="Calibri"/>
      <family val="2"/>
      <scheme val="minor"/>
    </font>
    <font>
      <b/>
      <sz val="11"/>
      <color rgb="FFFF3300"/>
      <name val="Calibri"/>
      <family val="2"/>
      <scheme val="minor"/>
    </font>
    <font>
      <sz val="11"/>
      <color rgb="FFFF33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name val="Arial"/>
      <family val="2"/>
    </font>
    <font>
      <b/>
      <sz val="7"/>
      <color indexed="8"/>
      <name val="Arial Bold"/>
    </font>
    <font>
      <sz val="7"/>
      <color indexed="8"/>
      <name val="Arial"/>
      <family val="2"/>
    </font>
    <font>
      <vertAlign val="superscript"/>
      <sz val="7"/>
      <color indexed="8"/>
      <name val="Arial"/>
      <family val="2"/>
    </font>
    <font>
      <b/>
      <vertAlign val="superscript"/>
      <sz val="7"/>
      <color indexed="8"/>
      <name val="Arial Bold"/>
    </font>
    <font>
      <sz val="11"/>
      <name val="Calibri"/>
      <family val="2"/>
      <scheme val="minor"/>
    </font>
    <font>
      <b/>
      <sz val="7"/>
      <name val="Arial Bold"/>
    </font>
    <font>
      <sz val="9"/>
      <name val="Arial Bold"/>
    </font>
    <font>
      <sz val="10"/>
      <name val="Arial"/>
    </font>
    <font>
      <b/>
      <sz val="9"/>
      <color indexed="8"/>
      <name val="Arial Bold"/>
    </font>
    <font>
      <sz val="9"/>
      <color indexed="8"/>
      <name val="Arial"/>
    </font>
    <font>
      <vertAlign val="superscript"/>
      <sz val="9"/>
      <color indexed="8"/>
      <name val="Arial"/>
    </font>
    <font>
      <b/>
      <vertAlign val="superscript"/>
      <sz val="9"/>
      <color indexed="8"/>
      <name val="Arial Bold"/>
    </font>
    <font>
      <sz val="9"/>
      <name val="Arial"/>
      <family val="2"/>
    </font>
    <font>
      <b/>
      <sz val="9"/>
      <name val="Arial"/>
      <family val="2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medium">
        <color indexed="8"/>
      </right>
      <top/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</borders>
  <cellStyleXfs count="3">
    <xf numFmtId="0" fontId="0" fillId="0" borderId="0"/>
    <xf numFmtId="0" fontId="4" fillId="0" borderId="0"/>
    <xf numFmtId="0" fontId="12" fillId="0" borderId="0"/>
  </cellStyleXfs>
  <cellXfs count="109">
    <xf numFmtId="0" fontId="0" fillId="0" borderId="0" xfId="0"/>
    <xf numFmtId="1" fontId="0" fillId="0" borderId="0" xfId="0" applyNumberFormat="1" applyAlignment="1">
      <alignment horizontal="center"/>
    </xf>
    <xf numFmtId="0" fontId="1" fillId="0" borderId="0" xfId="0" applyFont="1" applyFill="1"/>
    <xf numFmtId="0" fontId="2" fillId="0" borderId="0" xfId="0" applyFont="1"/>
    <xf numFmtId="0" fontId="0" fillId="0" borderId="0" xfId="0" applyFill="1" applyBorder="1" applyAlignment="1"/>
    <xf numFmtId="165" fontId="9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/>
    <xf numFmtId="0" fontId="4" fillId="0" borderId="0" xfId="1" applyBorder="1"/>
    <xf numFmtId="0" fontId="6" fillId="0" borderId="0" xfId="1" applyFont="1" applyBorder="1" applyAlignment="1">
      <alignment horizontal="center" wrapText="1"/>
    </xf>
    <xf numFmtId="0" fontId="6" fillId="0" borderId="0" xfId="1" applyFont="1" applyBorder="1" applyAlignment="1">
      <alignment horizontal="left" vertical="top" wrapText="1"/>
    </xf>
    <xf numFmtId="164" fontId="7" fillId="0" borderId="0" xfId="1" applyNumberFormat="1" applyFont="1" applyBorder="1" applyAlignment="1">
      <alignment horizontal="right" vertical="top"/>
    </xf>
    <xf numFmtId="164" fontId="6" fillId="0" borderId="0" xfId="1" applyNumberFormat="1" applyFont="1" applyBorder="1" applyAlignment="1">
      <alignment horizontal="right" vertical="top"/>
    </xf>
    <xf numFmtId="0" fontId="4" fillId="0" borderId="0" xfId="1" applyFont="1" applyBorder="1" applyAlignment="1">
      <alignment horizontal="center" vertical="center"/>
    </xf>
    <xf numFmtId="0" fontId="5" fillId="0" borderId="0" xfId="1" applyFont="1" applyBorder="1" applyAlignment="1">
      <alignment vertical="center"/>
    </xf>
    <xf numFmtId="0" fontId="8" fillId="0" borderId="0" xfId="1" applyFont="1" applyBorder="1" applyAlignment="1">
      <alignment vertical="center"/>
    </xf>
    <xf numFmtId="165" fontId="0" fillId="0" borderId="0" xfId="0" applyNumberFormat="1" applyAlignment="1">
      <alignment horizontal="center"/>
    </xf>
    <xf numFmtId="165" fontId="0" fillId="0" borderId="0" xfId="0" applyNumberFormat="1"/>
    <xf numFmtId="0" fontId="0" fillId="0" borderId="1" xfId="0" applyFill="1" applyBorder="1" applyAlignment="1"/>
    <xf numFmtId="0" fontId="3" fillId="0" borderId="2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Continuous"/>
    </xf>
    <xf numFmtId="1" fontId="0" fillId="0" borderId="0" xfId="0" applyNumberFormat="1"/>
    <xf numFmtId="165" fontId="9" fillId="0" borderId="0" xfId="0" applyNumberFormat="1" applyFont="1" applyAlignment="1">
      <alignment horizontal="right"/>
    </xf>
    <xf numFmtId="165" fontId="0" fillId="0" borderId="0" xfId="0" applyNumberFormat="1" applyAlignment="1">
      <alignment horizontal="right"/>
    </xf>
    <xf numFmtId="1" fontId="4" fillId="0" borderId="0" xfId="0" applyNumberFormat="1" applyFont="1" applyAlignment="1">
      <alignment horizontal="center"/>
    </xf>
    <xf numFmtId="0" fontId="9" fillId="0" borderId="0" xfId="0" applyFont="1"/>
    <xf numFmtId="1" fontId="9" fillId="0" borderId="0" xfId="0" applyNumberFormat="1" applyFont="1" applyAlignment="1">
      <alignment horizontal="center"/>
    </xf>
    <xf numFmtId="165" fontId="9" fillId="0" borderId="0" xfId="0" applyNumberFormat="1" applyFont="1"/>
    <xf numFmtId="0" fontId="9" fillId="0" borderId="0" xfId="0" applyFont="1" applyAlignment="1">
      <alignment horizontal="center"/>
    </xf>
    <xf numFmtId="0" fontId="9" fillId="0" borderId="0" xfId="0" applyFont="1" applyBorder="1"/>
    <xf numFmtId="0" fontId="10" fillId="0" borderId="0" xfId="1" applyFont="1" applyBorder="1" applyAlignment="1">
      <alignment vertical="center"/>
    </xf>
    <xf numFmtId="0" fontId="11" fillId="0" borderId="0" xfId="1" applyFont="1" applyBorder="1" applyAlignment="1">
      <alignment vertical="center" wrapText="1"/>
    </xf>
    <xf numFmtId="0" fontId="12" fillId="0" borderId="0" xfId="2"/>
    <xf numFmtId="0" fontId="14" fillId="0" borderId="3" xfId="2" applyFont="1" applyBorder="1" applyAlignment="1">
      <alignment horizontal="left" wrapText="1"/>
    </xf>
    <xf numFmtId="0" fontId="14" fillId="0" borderId="4" xfId="2" applyFont="1" applyBorder="1" applyAlignment="1">
      <alignment horizontal="center" wrapText="1"/>
    </xf>
    <xf numFmtId="0" fontId="14" fillId="0" borderId="5" xfId="2" applyFont="1" applyBorder="1" applyAlignment="1">
      <alignment horizontal="center" wrapText="1"/>
    </xf>
    <xf numFmtId="0" fontId="14" fillId="0" borderId="6" xfId="2" applyFont="1" applyBorder="1" applyAlignment="1">
      <alignment horizontal="center" wrapText="1"/>
    </xf>
    <xf numFmtId="0" fontId="14" fillId="0" borderId="7" xfId="2" applyFont="1" applyBorder="1" applyAlignment="1">
      <alignment horizontal="left" vertical="top" wrapText="1"/>
    </xf>
    <xf numFmtId="164" fontId="15" fillId="0" borderId="8" xfId="2" applyNumberFormat="1" applyFont="1" applyBorder="1" applyAlignment="1">
      <alignment horizontal="right" vertical="top"/>
    </xf>
    <xf numFmtId="164" fontId="14" fillId="0" borderId="9" xfId="2" applyNumberFormat="1" applyFont="1" applyBorder="1" applyAlignment="1">
      <alignment horizontal="right" vertical="top"/>
    </xf>
    <xf numFmtId="166" fontId="14" fillId="0" borderId="10" xfId="2" applyNumberFormat="1" applyFont="1" applyBorder="1" applyAlignment="1">
      <alignment horizontal="right" vertical="top"/>
    </xf>
    <xf numFmtId="0" fontId="14" fillId="0" borderId="11" xfId="2" applyFont="1" applyBorder="1" applyAlignment="1">
      <alignment horizontal="left" vertical="top" wrapText="1"/>
    </xf>
    <xf numFmtId="164" fontId="15" fillId="0" borderId="12" xfId="2" applyNumberFormat="1" applyFont="1" applyBorder="1" applyAlignment="1">
      <alignment horizontal="right" vertical="top"/>
    </xf>
    <xf numFmtId="164" fontId="14" fillId="0" borderId="13" xfId="2" applyNumberFormat="1" applyFont="1" applyBorder="1" applyAlignment="1">
      <alignment horizontal="right" vertical="top"/>
    </xf>
    <xf numFmtId="166" fontId="14" fillId="0" borderId="14" xfId="2" applyNumberFormat="1" applyFont="1" applyBorder="1" applyAlignment="1">
      <alignment horizontal="right" vertical="top"/>
    </xf>
    <xf numFmtId="0" fontId="14" fillId="0" borderId="15" xfId="2" applyFont="1" applyBorder="1" applyAlignment="1">
      <alignment horizontal="left" vertical="top" wrapText="1"/>
    </xf>
    <xf numFmtId="164" fontId="15" fillId="0" borderId="16" xfId="2" applyNumberFormat="1" applyFont="1" applyBorder="1" applyAlignment="1">
      <alignment horizontal="right" vertical="top"/>
    </xf>
    <xf numFmtId="164" fontId="14" fillId="0" borderId="17" xfId="2" applyNumberFormat="1" applyFont="1" applyBorder="1" applyAlignment="1">
      <alignment horizontal="right" vertical="top"/>
    </xf>
    <xf numFmtId="166" fontId="14" fillId="0" borderId="18" xfId="2" applyNumberFormat="1" applyFont="1" applyBorder="1" applyAlignment="1">
      <alignment horizontal="right" vertical="top"/>
    </xf>
    <xf numFmtId="0" fontId="14" fillId="0" borderId="21" xfId="2" applyFont="1" applyBorder="1" applyAlignment="1">
      <alignment horizontal="left" vertical="top" wrapText="1"/>
    </xf>
    <xf numFmtId="164" fontId="14" fillId="0" borderId="8" xfId="2" applyNumberFormat="1" applyFont="1" applyBorder="1" applyAlignment="1">
      <alignment horizontal="right" vertical="top"/>
    </xf>
    <xf numFmtId="167" fontId="14" fillId="0" borderId="9" xfId="2" applyNumberFormat="1" applyFont="1" applyBorder="1" applyAlignment="1">
      <alignment horizontal="right" vertical="top"/>
    </xf>
    <xf numFmtId="164" fontId="15" fillId="0" borderId="10" xfId="2" applyNumberFormat="1" applyFont="1" applyBorder="1" applyAlignment="1">
      <alignment horizontal="right" vertical="top"/>
    </xf>
    <xf numFmtId="0" fontId="14" fillId="0" borderId="23" xfId="2" applyFont="1" applyBorder="1" applyAlignment="1">
      <alignment horizontal="left" vertical="top" wrapText="1"/>
    </xf>
    <xf numFmtId="164" fontId="14" fillId="0" borderId="12" xfId="2" applyNumberFormat="1" applyFont="1" applyBorder="1" applyAlignment="1">
      <alignment horizontal="right" vertical="top"/>
    </xf>
    <xf numFmtId="167" fontId="14" fillId="0" borderId="13" xfId="2" applyNumberFormat="1" applyFont="1" applyBorder="1" applyAlignment="1">
      <alignment horizontal="right" vertical="top"/>
    </xf>
    <xf numFmtId="0" fontId="12" fillId="0" borderId="13" xfId="2" applyFont="1" applyBorder="1" applyAlignment="1">
      <alignment horizontal="center" vertical="center"/>
    </xf>
    <xf numFmtId="0" fontId="12" fillId="0" borderId="14" xfId="2" applyFont="1" applyBorder="1" applyAlignment="1">
      <alignment horizontal="center" vertical="center"/>
    </xf>
    <xf numFmtId="0" fontId="14" fillId="0" borderId="25" xfId="2" applyFont="1" applyBorder="1" applyAlignment="1">
      <alignment horizontal="left" vertical="top" wrapText="1"/>
    </xf>
    <xf numFmtId="164" fontId="14" fillId="0" borderId="26" xfId="2" applyNumberFormat="1" applyFont="1" applyBorder="1" applyAlignment="1">
      <alignment horizontal="right" vertical="top"/>
    </xf>
    <xf numFmtId="167" fontId="14" fillId="0" borderId="27" xfId="2" applyNumberFormat="1" applyFont="1" applyBorder="1" applyAlignment="1">
      <alignment horizontal="right" vertical="top"/>
    </xf>
    <xf numFmtId="0" fontId="12" fillId="0" borderId="27" xfId="2" applyFont="1" applyBorder="1" applyAlignment="1">
      <alignment horizontal="center" vertical="center"/>
    </xf>
    <xf numFmtId="0" fontId="12" fillId="0" borderId="28" xfId="2" applyFont="1" applyBorder="1" applyAlignment="1">
      <alignment horizontal="center" vertical="center"/>
    </xf>
    <xf numFmtId="0" fontId="14" fillId="0" borderId="30" xfId="2" applyFont="1" applyBorder="1" applyAlignment="1">
      <alignment horizontal="left" vertical="top" wrapText="1"/>
    </xf>
    <xf numFmtId="164" fontId="14" fillId="0" borderId="31" xfId="2" applyNumberFormat="1" applyFont="1" applyBorder="1" applyAlignment="1">
      <alignment horizontal="right" vertical="top"/>
    </xf>
    <xf numFmtId="167" fontId="14" fillId="0" borderId="32" xfId="2" applyNumberFormat="1" applyFont="1" applyBorder="1" applyAlignment="1">
      <alignment horizontal="right" vertical="top"/>
    </xf>
    <xf numFmtId="164" fontId="14" fillId="0" borderId="32" xfId="2" applyNumberFormat="1" applyFont="1" applyBorder="1" applyAlignment="1">
      <alignment horizontal="right" vertical="top"/>
    </xf>
    <xf numFmtId="164" fontId="15" fillId="0" borderId="33" xfId="2" applyNumberFormat="1" applyFont="1" applyBorder="1" applyAlignment="1">
      <alignment horizontal="right" vertical="top"/>
    </xf>
    <xf numFmtId="0" fontId="14" fillId="0" borderId="36" xfId="2" applyFont="1" applyBorder="1" applyAlignment="1">
      <alignment horizontal="left" vertical="top" wrapText="1"/>
    </xf>
    <xf numFmtId="164" fontId="14" fillId="0" borderId="16" xfId="2" applyNumberFormat="1" applyFont="1" applyBorder="1" applyAlignment="1">
      <alignment horizontal="right" vertical="top"/>
    </xf>
    <xf numFmtId="167" fontId="14" fillId="0" borderId="17" xfId="2" applyNumberFormat="1" applyFont="1" applyBorder="1" applyAlignment="1">
      <alignment horizontal="right" vertical="top"/>
    </xf>
    <xf numFmtId="0" fontId="12" fillId="0" borderId="17" xfId="2" applyFont="1" applyBorder="1" applyAlignment="1">
      <alignment horizontal="center" vertical="center"/>
    </xf>
    <xf numFmtId="0" fontId="12" fillId="0" borderId="18" xfId="2" applyFont="1" applyBorder="1" applyAlignment="1">
      <alignment horizontal="center" vertical="center"/>
    </xf>
    <xf numFmtId="0" fontId="14" fillId="0" borderId="39" xfId="2" applyFont="1" applyBorder="1" applyAlignment="1">
      <alignment horizontal="center" wrapText="1"/>
    </xf>
    <xf numFmtId="0" fontId="14" fillId="0" borderId="40" xfId="2" applyFont="1" applyBorder="1" applyAlignment="1">
      <alignment horizontal="center" wrapText="1"/>
    </xf>
    <xf numFmtId="0" fontId="14" fillId="0" borderId="41" xfId="2" applyFont="1" applyBorder="1" applyAlignment="1">
      <alignment horizontal="center" wrapText="1"/>
    </xf>
    <xf numFmtId="0" fontId="12" fillId="0" borderId="9" xfId="2" applyFont="1" applyBorder="1" applyAlignment="1">
      <alignment horizontal="center" vertical="center"/>
    </xf>
    <xf numFmtId="164" fontId="14" fillId="0" borderId="10" xfId="2" applyNumberFormat="1" applyFont="1" applyBorder="1" applyAlignment="1">
      <alignment horizontal="right" vertical="top"/>
    </xf>
    <xf numFmtId="164" fontId="14" fillId="0" borderId="27" xfId="2" applyNumberFormat="1" applyFont="1" applyBorder="1" applyAlignment="1">
      <alignment horizontal="right" vertical="top"/>
    </xf>
    <xf numFmtId="164" fontId="14" fillId="0" borderId="28" xfId="2" applyNumberFormat="1" applyFont="1" applyBorder="1" applyAlignment="1">
      <alignment horizontal="right" vertical="top"/>
    </xf>
    <xf numFmtId="0" fontId="12" fillId="0" borderId="32" xfId="2" applyFont="1" applyBorder="1" applyAlignment="1">
      <alignment horizontal="center" vertical="center"/>
    </xf>
    <xf numFmtId="164" fontId="14" fillId="0" borderId="33" xfId="2" applyNumberFormat="1" applyFont="1" applyBorder="1" applyAlignment="1">
      <alignment horizontal="right" vertical="top"/>
    </xf>
    <xf numFmtId="164" fontId="14" fillId="0" borderId="14" xfId="2" applyNumberFormat="1" applyFont="1" applyBorder="1" applyAlignment="1">
      <alignment horizontal="right" vertical="top"/>
    </xf>
    <xf numFmtId="164" fontId="14" fillId="0" borderId="18" xfId="2" applyNumberFormat="1" applyFont="1" applyBorder="1" applyAlignment="1">
      <alignment horizontal="right" vertical="top"/>
    </xf>
    <xf numFmtId="165" fontId="10" fillId="0" borderId="0" xfId="1" applyNumberFormat="1" applyFont="1" applyBorder="1" applyAlignment="1">
      <alignment vertical="center"/>
    </xf>
    <xf numFmtId="1" fontId="17" fillId="0" borderId="0" xfId="1" applyNumberFormat="1" applyFont="1" applyBorder="1" applyAlignment="1">
      <alignment horizontal="center" vertical="center"/>
    </xf>
    <xf numFmtId="1" fontId="17" fillId="0" borderId="0" xfId="0" applyNumberFormat="1" applyFont="1" applyAlignment="1">
      <alignment horizontal="center"/>
    </xf>
    <xf numFmtId="165" fontId="9" fillId="0" borderId="0" xfId="0" applyNumberFormat="1" applyFont="1" applyBorder="1"/>
    <xf numFmtId="1" fontId="18" fillId="0" borderId="0" xfId="1" applyNumberFormat="1" applyFont="1" applyBorder="1" applyAlignment="1">
      <alignment horizontal="center" vertical="center"/>
    </xf>
    <xf numFmtId="0" fontId="14" fillId="0" borderId="29" xfId="2" applyFont="1" applyBorder="1" applyAlignment="1">
      <alignment horizontal="left" vertical="top" wrapText="1"/>
    </xf>
    <xf numFmtId="0" fontId="16" fillId="0" borderId="22" xfId="2" applyFont="1" applyBorder="1" applyAlignment="1">
      <alignment horizontal="center" vertical="center"/>
    </xf>
    <xf numFmtId="0" fontId="16" fillId="0" borderId="24" xfId="2" applyFont="1" applyBorder="1" applyAlignment="1">
      <alignment horizontal="center" vertical="center"/>
    </xf>
    <xf numFmtId="0" fontId="14" fillId="0" borderId="34" xfId="2" applyFont="1" applyBorder="1" applyAlignment="1">
      <alignment horizontal="left" vertical="top" wrapText="1"/>
    </xf>
    <xf numFmtId="0" fontId="16" fillId="0" borderId="35" xfId="2" applyFont="1" applyBorder="1" applyAlignment="1">
      <alignment horizontal="center" vertical="center"/>
    </xf>
    <xf numFmtId="0" fontId="16" fillId="0" borderId="0" xfId="2" applyFont="1" applyBorder="1" applyAlignment="1">
      <alignment horizontal="center" vertical="center" wrapText="1"/>
    </xf>
    <xf numFmtId="0" fontId="16" fillId="0" borderId="0" xfId="2" applyFont="1" applyBorder="1" applyAlignment="1">
      <alignment horizontal="center" vertical="center"/>
    </xf>
    <xf numFmtId="0" fontId="14" fillId="0" borderId="3" xfId="2" applyFont="1" applyBorder="1" applyAlignment="1">
      <alignment horizontal="left" wrapText="1"/>
    </xf>
    <xf numFmtId="0" fontId="16" fillId="0" borderId="21" xfId="2" applyFont="1" applyBorder="1" applyAlignment="1">
      <alignment horizontal="center" vertical="center"/>
    </xf>
    <xf numFmtId="0" fontId="16" fillId="0" borderId="36" xfId="2" applyFont="1" applyBorder="1" applyAlignment="1">
      <alignment horizontal="center" vertical="center"/>
    </xf>
    <xf numFmtId="0" fontId="14" fillId="0" borderId="37" xfId="2" applyFont="1" applyBorder="1" applyAlignment="1">
      <alignment horizontal="center" wrapText="1"/>
    </xf>
    <xf numFmtId="0" fontId="16" fillId="0" borderId="38" xfId="2" applyFont="1" applyBorder="1" applyAlignment="1">
      <alignment horizontal="center" vertical="center"/>
    </xf>
    <xf numFmtId="0" fontId="14" fillId="0" borderId="5" xfId="2" applyFont="1" applyBorder="1" applyAlignment="1">
      <alignment horizontal="center" wrapText="1"/>
    </xf>
    <xf numFmtId="0" fontId="16" fillId="0" borderId="17" xfId="2" applyFont="1" applyBorder="1" applyAlignment="1">
      <alignment horizontal="center" vertical="center"/>
    </xf>
    <xf numFmtId="0" fontId="14" fillId="0" borderId="6" xfId="2" applyFont="1" applyBorder="1" applyAlignment="1">
      <alignment horizontal="center" wrapText="1"/>
    </xf>
    <xf numFmtId="0" fontId="16" fillId="0" borderId="18" xfId="2" applyFont="1" applyBorder="1" applyAlignment="1">
      <alignment horizontal="center" vertical="center"/>
    </xf>
    <xf numFmtId="0" fontId="14" fillId="0" borderId="20" xfId="2" applyFont="1" applyBorder="1" applyAlignment="1">
      <alignment horizontal="left" vertical="top" wrapText="1"/>
    </xf>
    <xf numFmtId="0" fontId="13" fillId="0" borderId="0" xfId="2" applyFont="1" applyBorder="1" applyAlignment="1">
      <alignment horizontal="center" vertical="center" wrapText="1"/>
    </xf>
    <xf numFmtId="0" fontId="13" fillId="0" borderId="0" xfId="2" applyFont="1" applyBorder="1" applyAlignment="1">
      <alignment horizontal="center" vertical="center"/>
    </xf>
    <xf numFmtId="0" fontId="16" fillId="0" borderId="19" xfId="2" applyFont="1" applyBorder="1" applyAlignment="1">
      <alignment horizontal="center" vertical="center"/>
    </xf>
  </cellXfs>
  <cellStyles count="3">
    <cellStyle name="Normal" xfId="0" builtinId="0"/>
    <cellStyle name="Normal_Sheet1" xfId="2"/>
    <cellStyle name="Normal_VALIDATION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06"/>
  <sheetViews>
    <sheetView topLeftCell="A1005" zoomScale="70" zoomScaleNormal="70" workbookViewId="0">
      <selection activeCell="Y253" sqref="Y253:Z1005"/>
    </sheetView>
  </sheetViews>
  <sheetFormatPr defaultRowHeight="15" x14ac:dyDescent="0.25"/>
  <sheetData>
    <row r="1" spans="1:26" x14ac:dyDescent="0.25">
      <c r="B1" t="s">
        <v>310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340</v>
      </c>
      <c r="M1" t="s">
        <v>368</v>
      </c>
      <c r="N1" t="s">
        <v>369</v>
      </c>
      <c r="O1" t="s">
        <v>370</v>
      </c>
      <c r="P1" s="17" t="s">
        <v>453</v>
      </c>
      <c r="Q1" s="17" t="s">
        <v>454</v>
      </c>
      <c r="R1" s="17" t="s">
        <v>455</v>
      </c>
      <c r="S1" s="17" t="s">
        <v>456</v>
      </c>
      <c r="T1" s="17" t="s">
        <v>565</v>
      </c>
      <c r="U1" s="17" t="s">
        <v>566</v>
      </c>
      <c r="V1" s="17" t="s">
        <v>567</v>
      </c>
      <c r="W1" s="17" t="s">
        <v>568</v>
      </c>
      <c r="X1" s="17"/>
      <c r="Y1" t="s">
        <v>41</v>
      </c>
      <c r="Z1" t="s">
        <v>42</v>
      </c>
    </row>
    <row r="2" spans="1:26" x14ac:dyDescent="0.25">
      <c r="A2" t="s">
        <v>43</v>
      </c>
      <c r="B2" s="1">
        <v>1688</v>
      </c>
      <c r="C2">
        <v>1</v>
      </c>
      <c r="D2" s="17">
        <v>10.571428571428571</v>
      </c>
      <c r="E2" s="17">
        <v>10.257142857142858</v>
      </c>
      <c r="F2" s="17">
        <v>10.171428571428573</v>
      </c>
      <c r="G2" s="17">
        <v>10.042857142857143</v>
      </c>
      <c r="H2" s="17">
        <v>9.7285714285714295</v>
      </c>
      <c r="I2" s="17">
        <v>9.7857142857142829</v>
      </c>
      <c r="J2" s="17">
        <v>8.4285714285714288</v>
      </c>
      <c r="K2" s="17">
        <v>9.6857142857142851</v>
      </c>
      <c r="L2" s="17">
        <v>9.2624999999999993</v>
      </c>
      <c r="M2" s="17">
        <v>8.3285714285714274</v>
      </c>
      <c r="N2" s="17">
        <v>10.085714285714285</v>
      </c>
      <c r="O2" s="17">
        <v>9.5571428571428587</v>
      </c>
      <c r="P2" s="17">
        <v>10.085714285714287</v>
      </c>
      <c r="Q2" s="17">
        <v>10.200000000000001</v>
      </c>
      <c r="R2" s="17">
        <v>8.8571428571428559</v>
      </c>
      <c r="S2" s="17">
        <v>10.514285714285714</v>
      </c>
      <c r="T2" s="17">
        <v>10.557142857142859</v>
      </c>
      <c r="U2" s="17">
        <v>10.842857142857143</v>
      </c>
      <c r="V2" s="17">
        <v>10.871428571428572</v>
      </c>
      <c r="W2" s="17">
        <v>10.62857142857143</v>
      </c>
      <c r="Y2" s="17">
        <f>SUM(D2:W2)</f>
        <v>198.46250000000001</v>
      </c>
      <c r="Z2">
        <f t="shared" ref="Z2:Z28" si="0">SUMPRODUCT($D$34:$W$34,D2:W2)</f>
        <v>-49.632497402811381</v>
      </c>
    </row>
    <row r="3" spans="1:26" x14ac:dyDescent="0.25">
      <c r="A3" t="s">
        <v>44</v>
      </c>
      <c r="B3" s="1">
        <v>1365</v>
      </c>
      <c r="C3">
        <v>2</v>
      </c>
      <c r="D3" s="17">
        <v>10.5</v>
      </c>
      <c r="E3" s="17">
        <v>10.3</v>
      </c>
      <c r="F3" s="17">
        <v>10</v>
      </c>
      <c r="G3" s="17">
        <v>9.8000000000000007</v>
      </c>
      <c r="H3" s="17">
        <v>9.8000000000000007</v>
      </c>
      <c r="I3" s="17">
        <v>10.199999999999999</v>
      </c>
      <c r="J3" s="17">
        <v>6.6</v>
      </c>
      <c r="K3" s="17">
        <v>9.6</v>
      </c>
      <c r="L3" s="17">
        <v>9.6999999999999993</v>
      </c>
      <c r="M3" s="17">
        <v>8.1</v>
      </c>
      <c r="N3" s="17">
        <v>9.4</v>
      </c>
      <c r="O3" s="17">
        <v>9.4</v>
      </c>
      <c r="P3" s="17">
        <v>10.199999999999999</v>
      </c>
      <c r="Q3" s="17">
        <v>10</v>
      </c>
      <c r="R3" s="17">
        <v>9.4</v>
      </c>
      <c r="S3" s="17">
        <v>9.1</v>
      </c>
      <c r="T3" s="17">
        <v>9.6192857142857164</v>
      </c>
      <c r="U3" s="17">
        <v>9.9835714285714285</v>
      </c>
      <c r="V3" s="17">
        <v>9.5769642857142863</v>
      </c>
      <c r="W3" s="17">
        <v>9.4916071428571414</v>
      </c>
      <c r="Y3" s="17">
        <f t="shared" ref="Y3:Y32" si="1">SUM(D3:W3)</f>
        <v>190.7714285714286</v>
      </c>
      <c r="Z3">
        <f t="shared" si="0"/>
        <v>-49.051828641150834</v>
      </c>
    </row>
    <row r="4" spans="1:26" x14ac:dyDescent="0.25">
      <c r="A4" t="s">
        <v>45</v>
      </c>
      <c r="B4" s="1">
        <v>1894</v>
      </c>
      <c r="C4">
        <v>3</v>
      </c>
      <c r="D4" s="17">
        <v>10.285714285714286</v>
      </c>
      <c r="E4" s="17">
        <v>10.357142857142858</v>
      </c>
      <c r="F4" s="17">
        <v>10.128571428571428</v>
      </c>
      <c r="G4" s="17">
        <v>9.4285714285714288</v>
      </c>
      <c r="H4" s="17">
        <v>9.7571428571428562</v>
      </c>
      <c r="I4" s="17">
        <v>10.1</v>
      </c>
      <c r="J4" s="17">
        <v>5.5714285714285712</v>
      </c>
      <c r="K4" s="17">
        <v>10.185714285714285</v>
      </c>
      <c r="L4" s="17">
        <v>10.074999999999999</v>
      </c>
      <c r="M4" s="17">
        <v>7.7857142857142856</v>
      </c>
      <c r="N4" s="17">
        <v>8.8000000000000007</v>
      </c>
      <c r="O4" s="17">
        <v>9.9142857142857146</v>
      </c>
      <c r="P4" s="17">
        <v>10.085714285714285</v>
      </c>
      <c r="Q4" s="17">
        <v>10.285714285714286</v>
      </c>
      <c r="R4" s="17">
        <v>10.342857142857143</v>
      </c>
      <c r="S4" s="17">
        <v>9.6</v>
      </c>
      <c r="T4" s="17">
        <v>10.199999999999999</v>
      </c>
      <c r="U4" s="17">
        <v>10.185714285714285</v>
      </c>
      <c r="V4" s="17">
        <v>10.257142857142856</v>
      </c>
      <c r="W4" s="17">
        <v>10.042857142857143</v>
      </c>
      <c r="Y4" s="17">
        <f t="shared" si="1"/>
        <v>193.38928571428573</v>
      </c>
      <c r="Z4">
        <f t="shared" si="0"/>
        <v>-50.001047897595853</v>
      </c>
    </row>
    <row r="5" spans="1:26" x14ac:dyDescent="0.25">
      <c r="A5" t="s">
        <v>46</v>
      </c>
      <c r="B5" s="1">
        <v>1611</v>
      </c>
      <c r="C5">
        <v>4</v>
      </c>
      <c r="D5" s="17">
        <v>10.157142857142858</v>
      </c>
      <c r="E5" s="17">
        <v>10.314285714285715</v>
      </c>
      <c r="F5" s="17">
        <v>10.257142857142856</v>
      </c>
      <c r="G5" s="17">
        <v>9.9428571428571413</v>
      </c>
      <c r="H5" s="17">
        <v>9.7857142857142865</v>
      </c>
      <c r="I5" s="17">
        <v>8.9714285714285715</v>
      </c>
      <c r="J5" s="17">
        <v>7.8999999999999995</v>
      </c>
      <c r="K5" s="17">
        <v>8.6285714285714299</v>
      </c>
      <c r="L5" s="17">
        <v>9.2125000000000004</v>
      </c>
      <c r="M5" s="17">
        <v>9.6571428571428584</v>
      </c>
      <c r="N5" s="17">
        <v>9.2571428571428562</v>
      </c>
      <c r="O5" s="17">
        <v>9.8714285714285701</v>
      </c>
      <c r="P5" s="17">
        <v>10.457142857142857</v>
      </c>
      <c r="Q5" s="17">
        <v>10.542857142857143</v>
      </c>
      <c r="R5" s="17">
        <v>10.471428571428572</v>
      </c>
      <c r="S5" s="17">
        <v>10.414285714285715</v>
      </c>
      <c r="T5" s="17">
        <v>10.485714285714286</v>
      </c>
      <c r="U5" s="17">
        <v>10.700000000000001</v>
      </c>
      <c r="V5" s="17">
        <v>9.9571428571428573</v>
      </c>
      <c r="W5" s="17">
        <v>10.214285714285714</v>
      </c>
      <c r="Y5" s="17">
        <f t="shared" si="1"/>
        <v>197.19821428571427</v>
      </c>
      <c r="Z5">
        <f t="shared" si="0"/>
        <v>-49.817630618160251</v>
      </c>
    </row>
    <row r="6" spans="1:26" x14ac:dyDescent="0.25">
      <c r="A6" t="s">
        <v>47</v>
      </c>
      <c r="B6" s="1">
        <v>1715</v>
      </c>
      <c r="C6">
        <v>5</v>
      </c>
      <c r="D6" s="17">
        <v>10.12857142857143</v>
      </c>
      <c r="E6" s="17">
        <v>9.7714285714285705</v>
      </c>
      <c r="F6" s="17">
        <v>9.8714285714285701</v>
      </c>
      <c r="G6" s="17">
        <v>9.9571428571428573</v>
      </c>
      <c r="H6" s="17">
        <v>9.6714285714285726</v>
      </c>
      <c r="I6" s="17">
        <v>9.8142857142857149</v>
      </c>
      <c r="J6" s="17">
        <v>9.2428571428571455</v>
      </c>
      <c r="K6" s="17">
        <v>7.8</v>
      </c>
      <c r="L6" s="17">
        <v>9.3125</v>
      </c>
      <c r="M6" s="17">
        <v>9.8857142857142843</v>
      </c>
      <c r="N6" s="17">
        <v>9.9285714285714288</v>
      </c>
      <c r="O6" s="17">
        <v>9.9571428571428573</v>
      </c>
      <c r="P6" s="17">
        <v>10.285714285714286</v>
      </c>
      <c r="Q6" s="17">
        <v>9.2285714285714295</v>
      </c>
      <c r="R6" s="17">
        <v>7.7571428571428571</v>
      </c>
      <c r="S6" s="17">
        <v>8.6571428571428566</v>
      </c>
      <c r="T6" s="17">
        <v>10.671428571428569</v>
      </c>
      <c r="U6" s="17">
        <v>8.4571428571428573</v>
      </c>
      <c r="V6" s="17">
        <v>10.457142857142857</v>
      </c>
      <c r="W6" s="17">
        <v>10.471428571428572</v>
      </c>
      <c r="Y6" s="17">
        <f t="shared" si="1"/>
        <v>191.32678571428571</v>
      </c>
      <c r="Z6">
        <f t="shared" si="0"/>
        <v>-48.275585674893208</v>
      </c>
    </row>
    <row r="7" spans="1:26" x14ac:dyDescent="0.25">
      <c r="A7" t="s">
        <v>48</v>
      </c>
      <c r="B7" s="1">
        <v>1526</v>
      </c>
      <c r="C7">
        <v>6</v>
      </c>
      <c r="D7" s="17">
        <v>10.37142857142857</v>
      </c>
      <c r="E7" s="17">
        <v>10.171428571428573</v>
      </c>
      <c r="F7" s="17">
        <v>10.357142857142858</v>
      </c>
      <c r="G7" s="17">
        <v>9.0142857142857142</v>
      </c>
      <c r="H7" s="17">
        <v>7.9285714285714297</v>
      </c>
      <c r="I7" s="17">
        <v>9.0285714285714267</v>
      </c>
      <c r="J7" s="17">
        <v>9.8428571428571434</v>
      </c>
      <c r="K7" s="17">
        <v>9.7285714285714278</v>
      </c>
      <c r="L7" s="17">
        <v>9.2374999999999989</v>
      </c>
      <c r="M7" s="17">
        <v>9.742857142857142</v>
      </c>
      <c r="N7" s="17">
        <v>9.7857142857142865</v>
      </c>
      <c r="O7" s="17">
        <v>10.214285714285714</v>
      </c>
      <c r="P7" s="17">
        <v>10.157142857142857</v>
      </c>
      <c r="Q7" s="17">
        <v>9.7571428571428562</v>
      </c>
      <c r="R7" s="17">
        <v>9.514285714285716</v>
      </c>
      <c r="S7" s="17">
        <v>9.9428571428571413</v>
      </c>
      <c r="T7" s="17">
        <v>9.5857142857142854</v>
      </c>
      <c r="U7" s="17">
        <v>10.014285714285716</v>
      </c>
      <c r="V7" s="17">
        <v>9.8714285714285719</v>
      </c>
      <c r="W7" s="17">
        <v>10.057142857142855</v>
      </c>
      <c r="Y7" s="17">
        <f t="shared" si="1"/>
        <v>194.32321428571427</v>
      </c>
      <c r="Z7">
        <f t="shared" si="0"/>
        <v>-48.07392454097625</v>
      </c>
    </row>
    <row r="8" spans="1:26" x14ac:dyDescent="0.25">
      <c r="A8" t="s">
        <v>49</v>
      </c>
      <c r="B8" s="1">
        <v>1814</v>
      </c>
      <c r="C8">
        <v>7</v>
      </c>
      <c r="D8" s="17">
        <v>9.828571428571431</v>
      </c>
      <c r="E8" s="17">
        <v>8.9428571428571413</v>
      </c>
      <c r="F8" s="17">
        <v>8.4</v>
      </c>
      <c r="G8" s="17">
        <v>9.4</v>
      </c>
      <c r="H8" s="17">
        <v>8.6571428571428566</v>
      </c>
      <c r="I8" s="17">
        <v>9.2142857142857135</v>
      </c>
      <c r="J8" s="17">
        <v>9.4857142857142858</v>
      </c>
      <c r="K8" s="17">
        <v>8.1142857142857157</v>
      </c>
      <c r="L8" s="17">
        <v>8.5124999999999993</v>
      </c>
      <c r="M8" s="17">
        <v>9.5714285714285712</v>
      </c>
      <c r="N8" s="17">
        <v>9.0285714285714285</v>
      </c>
      <c r="O8" s="17">
        <v>9.7285714285714278</v>
      </c>
      <c r="P8" s="17">
        <v>8.9714285714285715</v>
      </c>
      <c r="Q8" s="17">
        <v>7.9571428571428564</v>
      </c>
      <c r="R8" s="17">
        <v>9.8714285714285701</v>
      </c>
      <c r="S8" s="17">
        <v>9.7857142857142865</v>
      </c>
      <c r="T8" s="17">
        <v>9.9571428571428591</v>
      </c>
      <c r="U8" s="17">
        <v>9.671428571428569</v>
      </c>
      <c r="V8" s="17">
        <v>10.028571428571428</v>
      </c>
      <c r="W8" s="17">
        <v>10.028571428571427</v>
      </c>
      <c r="Y8" s="17">
        <f t="shared" si="1"/>
        <v>185.15535714285716</v>
      </c>
      <c r="Z8">
        <f t="shared" si="0"/>
        <v>-44.611912040268727</v>
      </c>
    </row>
    <row r="9" spans="1:26" x14ac:dyDescent="0.25">
      <c r="A9" t="s">
        <v>50</v>
      </c>
      <c r="B9" s="1">
        <v>2084</v>
      </c>
      <c r="C9">
        <v>8</v>
      </c>
      <c r="D9" s="17">
        <v>9.8571428571428577</v>
      </c>
      <c r="E9" s="17">
        <v>10.014285714285714</v>
      </c>
      <c r="F9" s="17">
        <v>9.8428571428571416</v>
      </c>
      <c r="G9" s="17">
        <v>9.8714285714285701</v>
      </c>
      <c r="H9" s="17">
        <v>9.7999999999999989</v>
      </c>
      <c r="I9" s="17">
        <v>7.8285714285714292</v>
      </c>
      <c r="J9" s="17">
        <v>7.9857142857142867</v>
      </c>
      <c r="K9" s="17">
        <v>9.3714285714285701</v>
      </c>
      <c r="L9" s="17">
        <v>8.4375</v>
      </c>
      <c r="M9" s="17">
        <v>9.2857142857142865</v>
      </c>
      <c r="N9" s="17">
        <v>8.7285714285714295</v>
      </c>
      <c r="O9" s="17">
        <v>9.7714285714285722</v>
      </c>
      <c r="P9" s="17">
        <v>9.1142857142857139</v>
      </c>
      <c r="Q9" s="17">
        <v>9.9142857142857128</v>
      </c>
      <c r="R9" s="17">
        <v>10.114285714285714</v>
      </c>
      <c r="S9" s="17">
        <v>9.2714285714285722</v>
      </c>
      <c r="T9" s="17">
        <v>8.8428571428571434</v>
      </c>
      <c r="U9" s="17">
        <v>10.114285714285714</v>
      </c>
      <c r="V9" s="17">
        <v>10.057142857142855</v>
      </c>
      <c r="W9" s="17">
        <v>9.9142857142857146</v>
      </c>
      <c r="Y9" s="17">
        <f t="shared" si="1"/>
        <v>188.13750000000002</v>
      </c>
      <c r="Z9">
        <f t="shared" si="0"/>
        <v>-48.006334502577502</v>
      </c>
    </row>
    <row r="10" spans="1:26" x14ac:dyDescent="0.25">
      <c r="A10" t="s">
        <v>51</v>
      </c>
      <c r="B10" s="1">
        <v>1656</v>
      </c>
      <c r="C10">
        <v>9</v>
      </c>
      <c r="D10" s="17">
        <v>8.4142857142857146</v>
      </c>
      <c r="E10" s="17">
        <v>9.3285714285714274</v>
      </c>
      <c r="F10" s="17">
        <v>9.9285714285714288</v>
      </c>
      <c r="G10" s="17">
        <v>7.9571428571428564</v>
      </c>
      <c r="H10" s="17">
        <v>10.142857142857141</v>
      </c>
      <c r="I10" s="17">
        <v>10.000000000000002</v>
      </c>
      <c r="J10" s="17">
        <v>9.0857142857142854</v>
      </c>
      <c r="K10" s="17">
        <v>8.3142857142857132</v>
      </c>
      <c r="L10" s="17">
        <v>9.3125</v>
      </c>
      <c r="M10" s="17">
        <v>9.0999999999999979</v>
      </c>
      <c r="N10" s="17">
        <v>8.2285714285714295</v>
      </c>
      <c r="O10" s="17">
        <v>10.042857142857143</v>
      </c>
      <c r="P10" s="17">
        <v>9.6428571428571423</v>
      </c>
      <c r="Q10" s="17">
        <v>10.057142857142855</v>
      </c>
      <c r="R10" s="17">
        <v>9.7857142857142865</v>
      </c>
      <c r="S10" s="17">
        <v>10.085714285714285</v>
      </c>
      <c r="T10" s="17">
        <v>9.9857142857142858</v>
      </c>
      <c r="U10" s="17">
        <v>10.285714285714286</v>
      </c>
      <c r="V10" s="17">
        <v>10.314285714285713</v>
      </c>
      <c r="W10" s="17">
        <v>10.285714285714286</v>
      </c>
      <c r="Y10" s="17">
        <f t="shared" si="1"/>
        <v>190.29821428571427</v>
      </c>
      <c r="Z10">
        <f t="shared" si="0"/>
        <v>-47.432556644171882</v>
      </c>
    </row>
    <row r="11" spans="1:26" x14ac:dyDescent="0.25">
      <c r="A11" t="s">
        <v>52</v>
      </c>
      <c r="B11" s="1">
        <v>1794</v>
      </c>
      <c r="C11">
        <v>10</v>
      </c>
      <c r="D11" s="17">
        <v>8.0285714285714285</v>
      </c>
      <c r="E11" s="17">
        <v>9.5142857142857142</v>
      </c>
      <c r="F11" s="17">
        <v>9.6571428571428566</v>
      </c>
      <c r="G11" s="17">
        <v>9.0857142857142854</v>
      </c>
      <c r="H11" s="17">
        <v>9.4285714285714288</v>
      </c>
      <c r="I11" s="17">
        <v>9.5428571428571445</v>
      </c>
      <c r="J11" s="17">
        <v>9.3142857142857149</v>
      </c>
      <c r="K11" s="17">
        <v>9.4857142857142858</v>
      </c>
      <c r="L11" s="17">
        <v>9.1875</v>
      </c>
      <c r="M11" s="17">
        <v>9.4714285714285715</v>
      </c>
      <c r="N11" s="17">
        <v>8.071428571428573</v>
      </c>
      <c r="O11" s="17">
        <v>9.6142857142857139</v>
      </c>
      <c r="P11" s="17">
        <v>9.5428571428571427</v>
      </c>
      <c r="Q11" s="17">
        <v>9.7000000000000011</v>
      </c>
      <c r="R11" s="17">
        <v>9.9142857142857146</v>
      </c>
      <c r="S11" s="17">
        <v>9.7571428571428562</v>
      </c>
      <c r="T11" s="17">
        <v>10.114285714285714</v>
      </c>
      <c r="U11" s="17">
        <v>9.0285714285714285</v>
      </c>
      <c r="V11" s="17">
        <v>7.5571428571428569</v>
      </c>
      <c r="W11" s="17">
        <v>9.1</v>
      </c>
      <c r="Y11" s="17">
        <f t="shared" si="1"/>
        <v>185.11607142857142</v>
      </c>
      <c r="Z11">
        <f t="shared" si="0"/>
        <v>-46.141104046712009</v>
      </c>
    </row>
    <row r="12" spans="1:26" x14ac:dyDescent="0.25">
      <c r="A12" t="s">
        <v>53</v>
      </c>
      <c r="B12" s="1">
        <v>1981</v>
      </c>
      <c r="C12">
        <v>11</v>
      </c>
      <c r="D12" s="17">
        <v>9.8285714285714274</v>
      </c>
      <c r="E12" s="17">
        <v>9.7999999999999989</v>
      </c>
      <c r="F12" s="17">
        <v>9.9428571428571413</v>
      </c>
      <c r="G12" s="17">
        <v>8.7285714285714295</v>
      </c>
      <c r="H12" s="17">
        <v>9.2428571428571438</v>
      </c>
      <c r="I12" s="17">
        <v>9.5</v>
      </c>
      <c r="J12" s="17">
        <v>9.2000000000000011</v>
      </c>
      <c r="K12" s="17">
        <v>9.2428571428571438</v>
      </c>
      <c r="L12" s="17">
        <v>8.0749999999999993</v>
      </c>
      <c r="M12" s="17">
        <v>8.2714285714285705</v>
      </c>
      <c r="N12" s="17">
        <v>9.1571428571428584</v>
      </c>
      <c r="O12" s="17">
        <v>8.1571428571428566</v>
      </c>
      <c r="P12" s="17">
        <v>9.6857142857142868</v>
      </c>
      <c r="Q12" s="17">
        <v>10.014285714285714</v>
      </c>
      <c r="R12" s="17">
        <v>9.6571428571428566</v>
      </c>
      <c r="S12" s="17">
        <v>10.1</v>
      </c>
      <c r="T12" s="17">
        <v>9.1</v>
      </c>
      <c r="U12" s="17">
        <v>10.042857142857143</v>
      </c>
      <c r="V12" s="17">
        <v>10.257142857142856</v>
      </c>
      <c r="W12" s="17">
        <v>7.8428571428571425</v>
      </c>
      <c r="Y12" s="17">
        <f t="shared" si="1"/>
        <v>185.84642857142859</v>
      </c>
      <c r="Z12">
        <f t="shared" si="0"/>
        <v>-45.792813526989164</v>
      </c>
    </row>
    <row r="13" spans="1:26" x14ac:dyDescent="0.25">
      <c r="A13" t="s">
        <v>54</v>
      </c>
      <c r="B13" s="1">
        <v>1798</v>
      </c>
      <c r="C13">
        <v>12</v>
      </c>
      <c r="D13" s="17">
        <v>9.0142857142857142</v>
      </c>
      <c r="E13" s="17">
        <v>8.5857142857142854</v>
      </c>
      <c r="F13" s="17">
        <v>8.1857142857142851</v>
      </c>
      <c r="G13" s="17">
        <v>9.2714285714285705</v>
      </c>
      <c r="H13" s="17">
        <v>9.6857142857142851</v>
      </c>
      <c r="I13" s="17">
        <v>9.4142857142857128</v>
      </c>
      <c r="J13" s="17">
        <v>9.8714285714285701</v>
      </c>
      <c r="K13" s="17">
        <v>7.9571428571428564</v>
      </c>
      <c r="L13" s="17">
        <v>9.1125000000000007</v>
      </c>
      <c r="M13" s="17">
        <v>9.34</v>
      </c>
      <c r="N13" s="17">
        <v>6.57</v>
      </c>
      <c r="O13" s="17">
        <v>8.33</v>
      </c>
      <c r="P13" s="17">
        <v>9.91</v>
      </c>
      <c r="Q13" s="17">
        <v>9.83</v>
      </c>
      <c r="R13" s="17">
        <v>9.81</v>
      </c>
      <c r="S13" s="17">
        <v>10</v>
      </c>
      <c r="T13" s="17">
        <v>10.24</v>
      </c>
      <c r="U13" s="17">
        <v>10.14</v>
      </c>
      <c r="V13" s="17">
        <v>8.1300000000000008</v>
      </c>
      <c r="W13" s="17">
        <v>8.7899999999999991</v>
      </c>
      <c r="Y13" s="17">
        <f t="shared" si="1"/>
        <v>182.18821428571428</v>
      </c>
      <c r="Z13">
        <f t="shared" si="0"/>
        <v>-44.296823436085567</v>
      </c>
    </row>
    <row r="14" spans="1:26" x14ac:dyDescent="0.25">
      <c r="A14" t="s">
        <v>55</v>
      </c>
      <c r="B14" s="1">
        <v>1959</v>
      </c>
      <c r="C14">
        <v>13</v>
      </c>
      <c r="D14" s="17">
        <v>10.1</v>
      </c>
      <c r="E14" s="17">
        <v>9.64</v>
      </c>
      <c r="F14" s="17">
        <v>9.43</v>
      </c>
      <c r="G14" s="17">
        <v>8.86</v>
      </c>
      <c r="H14" s="17">
        <v>7.61</v>
      </c>
      <c r="I14" s="17">
        <v>7.57</v>
      </c>
      <c r="J14" s="17">
        <v>9.24</v>
      </c>
      <c r="K14" s="17">
        <v>8.27</v>
      </c>
      <c r="L14" s="17">
        <v>7.3</v>
      </c>
      <c r="M14" s="17">
        <v>7.9714285714285724</v>
      </c>
      <c r="N14" s="17">
        <v>8.0714285714285712</v>
      </c>
      <c r="O14" s="17">
        <v>9.6285714285714299</v>
      </c>
      <c r="P14" s="17">
        <v>9.171428571428569</v>
      </c>
      <c r="Q14" s="17">
        <v>9.3571428571428577</v>
      </c>
      <c r="R14" s="17">
        <v>10.114285714285716</v>
      </c>
      <c r="S14" s="17">
        <v>9.6285714285714281</v>
      </c>
      <c r="T14" s="17">
        <v>9.3571428571428577</v>
      </c>
      <c r="U14" s="17">
        <v>10.328571428571431</v>
      </c>
      <c r="V14" s="17">
        <v>10.571428571428571</v>
      </c>
      <c r="W14" s="17">
        <v>9.6</v>
      </c>
      <c r="Y14" s="17">
        <f t="shared" si="1"/>
        <v>181.82000000000002</v>
      </c>
      <c r="Z14">
        <f t="shared" si="0"/>
        <v>-44.801317807233822</v>
      </c>
    </row>
    <row r="15" spans="1:26" x14ac:dyDescent="0.25">
      <c r="A15" t="s">
        <v>56</v>
      </c>
      <c r="B15" s="1">
        <v>1694</v>
      </c>
      <c r="C15">
        <v>14</v>
      </c>
      <c r="D15" s="17">
        <v>8.5428571428571427</v>
      </c>
      <c r="E15" s="17">
        <v>9.2857142857142865</v>
      </c>
      <c r="F15" s="17">
        <v>9.1857142857142851</v>
      </c>
      <c r="G15" s="17">
        <v>9.3285714285714274</v>
      </c>
      <c r="H15" s="17">
        <v>9.7571428571428562</v>
      </c>
      <c r="I15" s="17">
        <v>9.8285714285714274</v>
      </c>
      <c r="J15" s="17">
        <v>7</v>
      </c>
      <c r="K15" s="17">
        <v>8.7857142857142865</v>
      </c>
      <c r="L15" s="17">
        <v>9.4250000000000007</v>
      </c>
      <c r="M15" s="17">
        <v>8.7285714285714278</v>
      </c>
      <c r="N15" s="17">
        <v>9.6857142857142851</v>
      </c>
      <c r="O15" s="17">
        <v>9.5</v>
      </c>
      <c r="P15" s="17">
        <v>9.6</v>
      </c>
      <c r="Q15" s="17">
        <v>9.9428571428571413</v>
      </c>
      <c r="R15" s="17">
        <v>9.1142857142857139</v>
      </c>
      <c r="S15" s="17">
        <v>9.0714285714285712</v>
      </c>
      <c r="T15" s="17">
        <v>9.3571428571428577</v>
      </c>
      <c r="U15" s="17">
        <v>10.257142857142856</v>
      </c>
      <c r="V15" s="17">
        <v>9.6999999999999993</v>
      </c>
      <c r="W15" s="17">
        <v>10.37142857142857</v>
      </c>
      <c r="Y15" s="17">
        <f t="shared" si="1"/>
        <v>186.46785714285716</v>
      </c>
      <c r="Z15">
        <f t="shared" si="0"/>
        <v>-47.32660490839266</v>
      </c>
    </row>
    <row r="16" spans="1:26" x14ac:dyDescent="0.25">
      <c r="A16" t="s">
        <v>57</v>
      </c>
      <c r="B16" s="1">
        <v>2079</v>
      </c>
      <c r="C16">
        <v>15</v>
      </c>
      <c r="D16" s="17">
        <v>9.6571428571428584</v>
      </c>
      <c r="E16" s="17">
        <v>9.6857142857142851</v>
      </c>
      <c r="F16" s="17">
        <v>9.7142857142857135</v>
      </c>
      <c r="G16" s="17">
        <v>7.9857142857142867</v>
      </c>
      <c r="H16" s="17">
        <v>9.4714285714285715</v>
      </c>
      <c r="I16" s="17">
        <v>9.4285714285714288</v>
      </c>
      <c r="J16" s="17">
        <v>9.6571428571428584</v>
      </c>
      <c r="K16" s="17">
        <v>9.257142857142858</v>
      </c>
      <c r="L16" s="17">
        <v>8.7125000000000004</v>
      </c>
      <c r="M16" s="17">
        <v>9.2571428571428562</v>
      </c>
      <c r="N16" s="17">
        <v>9.3142857142857149</v>
      </c>
      <c r="O16" s="17">
        <v>9.6714285714285726</v>
      </c>
      <c r="P16" s="17">
        <v>9.2000000000000011</v>
      </c>
      <c r="Q16" s="17">
        <v>9.5428571428571445</v>
      </c>
      <c r="R16" s="17">
        <v>9.7285714285714278</v>
      </c>
      <c r="S16" s="17">
        <v>10.185714285714285</v>
      </c>
      <c r="T16" s="17">
        <v>8.8571428571428577</v>
      </c>
      <c r="U16" s="17">
        <v>10.357142857142858</v>
      </c>
      <c r="V16" s="17">
        <v>9.6571428571428566</v>
      </c>
      <c r="W16" s="17">
        <v>9.7714285714285722</v>
      </c>
      <c r="Y16" s="17">
        <f t="shared" si="1"/>
        <v>189.11250000000001</v>
      </c>
      <c r="Z16">
        <f t="shared" si="0"/>
        <v>-46.596530691188711</v>
      </c>
    </row>
    <row r="17" spans="1:26" x14ac:dyDescent="0.25">
      <c r="A17" t="s">
        <v>58</v>
      </c>
      <c r="B17" s="1">
        <v>2090</v>
      </c>
      <c r="C17">
        <v>16</v>
      </c>
      <c r="D17" s="17">
        <v>9.9428571428571448</v>
      </c>
      <c r="E17" s="17">
        <v>9.671428571428569</v>
      </c>
      <c r="F17" s="17">
        <v>9.2857142857142865</v>
      </c>
      <c r="G17" s="17">
        <v>9.5428571428571427</v>
      </c>
      <c r="H17" s="17">
        <v>9.485714285714284</v>
      </c>
      <c r="I17" s="17">
        <v>9.9</v>
      </c>
      <c r="J17" s="17">
        <v>9.5714285714285712</v>
      </c>
      <c r="K17" s="17">
        <v>9.3285714285714274</v>
      </c>
      <c r="L17" s="17">
        <v>8.4749999999999996</v>
      </c>
      <c r="M17" s="17">
        <v>0</v>
      </c>
      <c r="N17" s="17">
        <v>8.8857142857142861</v>
      </c>
      <c r="O17" s="17">
        <v>9.5428571428571427</v>
      </c>
      <c r="P17" s="17">
        <v>9.6857142857142851</v>
      </c>
      <c r="Q17" s="17">
        <v>9.9428571428571413</v>
      </c>
      <c r="R17" s="17">
        <v>8.1714285714285726</v>
      </c>
      <c r="S17" s="17">
        <v>10.199999999999999</v>
      </c>
      <c r="T17" s="17">
        <v>9.4428571428571448</v>
      </c>
      <c r="U17" s="17">
        <v>10.071428571428571</v>
      </c>
      <c r="V17" s="17">
        <v>7.5857142857142845</v>
      </c>
      <c r="W17" s="17">
        <v>9.8428571428571434</v>
      </c>
      <c r="Y17" s="17">
        <f t="shared" si="1"/>
        <v>178.57500000000002</v>
      </c>
      <c r="Z17">
        <f t="shared" si="0"/>
        <v>-45.438571367005373</v>
      </c>
    </row>
    <row r="18" spans="1:26" x14ac:dyDescent="0.25">
      <c r="A18" t="s">
        <v>59</v>
      </c>
      <c r="B18" s="1">
        <v>2372</v>
      </c>
      <c r="C18">
        <v>17</v>
      </c>
      <c r="D18" s="17">
        <v>9.9142857142857146</v>
      </c>
      <c r="E18" s="17">
        <v>9.8857142857142861</v>
      </c>
      <c r="F18" s="17">
        <v>9.8714285714285719</v>
      </c>
      <c r="G18" s="17">
        <v>9.5571428571428552</v>
      </c>
      <c r="H18" s="17">
        <v>9.5714285714285712</v>
      </c>
      <c r="I18" s="17">
        <v>9.5714285714285712</v>
      </c>
      <c r="J18" s="17">
        <v>9.7142857142857135</v>
      </c>
      <c r="K18" s="17">
        <v>9.2428571428571438</v>
      </c>
      <c r="L18" s="17">
        <v>9.5571428571428587</v>
      </c>
      <c r="M18" s="17">
        <v>8.6571428571428566</v>
      </c>
      <c r="N18" s="17">
        <v>9.328571428571431</v>
      </c>
      <c r="O18" s="17">
        <v>9.0142857142857142</v>
      </c>
      <c r="P18" s="17">
        <v>9.3428571428571416</v>
      </c>
      <c r="Q18" s="17">
        <v>9.6714285714285726</v>
      </c>
      <c r="R18" s="17">
        <v>9.2714285714285705</v>
      </c>
      <c r="S18" s="17">
        <v>10.014285714285714</v>
      </c>
      <c r="T18" s="17">
        <v>10.171428571428573</v>
      </c>
      <c r="U18" s="17">
        <v>9.9571428571428573</v>
      </c>
      <c r="V18" s="17">
        <v>9.5142857142857142</v>
      </c>
      <c r="W18" s="17">
        <v>5.8285714285714283</v>
      </c>
      <c r="Y18" s="17">
        <f t="shared" si="1"/>
        <v>187.65714285714284</v>
      </c>
      <c r="Z18">
        <f t="shared" si="0"/>
        <v>-46.083401559142999</v>
      </c>
    </row>
    <row r="19" spans="1:26" x14ac:dyDescent="0.25">
      <c r="A19" t="s">
        <v>60</v>
      </c>
      <c r="B19" s="1">
        <v>2413</v>
      </c>
      <c r="C19">
        <v>18</v>
      </c>
      <c r="D19" s="17">
        <v>9.4571428571428573</v>
      </c>
      <c r="E19" s="17">
        <v>8.0714285714285712</v>
      </c>
      <c r="F19" s="17">
        <v>9.2142857142857135</v>
      </c>
      <c r="G19" s="17">
        <v>9.7857142857142829</v>
      </c>
      <c r="H19" s="17">
        <v>9.1</v>
      </c>
      <c r="I19" s="17">
        <v>8.9571428571428573</v>
      </c>
      <c r="J19" s="17">
        <v>9.3714285714285701</v>
      </c>
      <c r="K19" s="17">
        <v>9.2285714285714295</v>
      </c>
      <c r="L19" s="17">
        <v>8.9999999999999982</v>
      </c>
      <c r="M19" s="17">
        <v>8.4428571428571431</v>
      </c>
      <c r="N19" s="17">
        <v>8.9</v>
      </c>
      <c r="O19" s="17">
        <v>9.671428571428569</v>
      </c>
      <c r="P19" s="17">
        <v>9.3714285714285701</v>
      </c>
      <c r="Q19" s="17">
        <v>9.2571428571428562</v>
      </c>
      <c r="R19" s="17">
        <v>9.757142857142858</v>
      </c>
      <c r="S19" s="17">
        <v>9.2571428571428562</v>
      </c>
      <c r="T19" s="17">
        <v>10.157142857142858</v>
      </c>
      <c r="U19" s="17">
        <v>10.014285714285714</v>
      </c>
      <c r="V19" s="17">
        <v>10.057142857142859</v>
      </c>
      <c r="W19" s="17">
        <v>9.6285714285714299</v>
      </c>
      <c r="Y19" s="17">
        <f t="shared" si="1"/>
        <v>186.7</v>
      </c>
      <c r="Z19">
        <f t="shared" si="0"/>
        <v>-46.030508987062731</v>
      </c>
    </row>
    <row r="20" spans="1:26" x14ac:dyDescent="0.25">
      <c r="A20" t="s">
        <v>61</v>
      </c>
      <c r="B20" s="1">
        <v>1937</v>
      </c>
      <c r="C20">
        <v>19</v>
      </c>
      <c r="D20" s="17">
        <v>9.9142857142857146</v>
      </c>
      <c r="E20" s="17">
        <v>9.5571428571428587</v>
      </c>
      <c r="F20" s="17">
        <v>9.4428571428571448</v>
      </c>
      <c r="G20" s="17">
        <v>8.5285714285714285</v>
      </c>
      <c r="H20" s="17">
        <v>9.3428571428571416</v>
      </c>
      <c r="I20" s="17">
        <v>9.3571428571428577</v>
      </c>
      <c r="J20" s="17">
        <v>8.9142857142857146</v>
      </c>
      <c r="K20" s="17">
        <v>9.2142857142857135</v>
      </c>
      <c r="L20" s="17">
        <v>8.875</v>
      </c>
      <c r="M20" s="17">
        <v>8.6714285714285726</v>
      </c>
      <c r="N20" s="17">
        <v>9.0142857142857142</v>
      </c>
      <c r="O20" s="17">
        <v>8.9571428571428573</v>
      </c>
      <c r="P20" s="17">
        <v>9.6</v>
      </c>
      <c r="Q20" s="17">
        <v>9.8857142857142861</v>
      </c>
      <c r="R20" s="17">
        <v>10.142857142857144</v>
      </c>
      <c r="S20" s="17">
        <v>10.042857142857143</v>
      </c>
      <c r="T20" s="17">
        <v>9.7714285714285705</v>
      </c>
      <c r="U20" s="17">
        <v>10.114285714285714</v>
      </c>
      <c r="V20" s="17">
        <v>9.1</v>
      </c>
      <c r="W20" s="17">
        <v>10.285714285714286</v>
      </c>
      <c r="Y20" s="17">
        <f t="shared" si="1"/>
        <v>188.73214285714286</v>
      </c>
      <c r="Z20">
        <f t="shared" si="0"/>
        <v>-46.790904911498686</v>
      </c>
    </row>
    <row r="21" spans="1:26" x14ac:dyDescent="0.25">
      <c r="A21" t="s">
        <v>62</v>
      </c>
      <c r="B21" s="1">
        <v>2674</v>
      </c>
      <c r="C21">
        <v>20</v>
      </c>
      <c r="D21" s="17">
        <v>8.9</v>
      </c>
      <c r="E21" s="17">
        <v>9.3142857142857132</v>
      </c>
      <c r="F21" s="17">
        <v>9.1142857142857139</v>
      </c>
      <c r="G21" s="17">
        <v>8.9</v>
      </c>
      <c r="H21" s="17">
        <v>9.4285714285714288</v>
      </c>
      <c r="I21" s="17">
        <v>9.4142857142857128</v>
      </c>
      <c r="J21" s="17">
        <v>9.4571428571428573</v>
      </c>
      <c r="K21" s="17">
        <v>8.9857142857142858</v>
      </c>
      <c r="L21" s="17">
        <v>7.3375000000000004</v>
      </c>
      <c r="M21" s="17">
        <v>7.9285714285714288</v>
      </c>
      <c r="N21" s="17">
        <v>9.6</v>
      </c>
      <c r="O21" s="17">
        <v>9.1857142857142851</v>
      </c>
      <c r="P21" s="17">
        <v>7.3142857142857149</v>
      </c>
      <c r="Q21" s="17">
        <v>9.4428571428571413</v>
      </c>
      <c r="R21" s="17">
        <v>8.9571428571428573</v>
      </c>
      <c r="S21" s="17">
        <v>9.6857142857142851</v>
      </c>
      <c r="T21" s="17">
        <v>10.157142857142857</v>
      </c>
      <c r="U21" s="17">
        <v>9.3285714285714274</v>
      </c>
      <c r="V21" s="17">
        <v>8.5428571428571427</v>
      </c>
      <c r="W21" s="17">
        <v>10.77142857142857</v>
      </c>
      <c r="Y21" s="17">
        <f t="shared" si="1"/>
        <v>181.76607142857139</v>
      </c>
      <c r="Z21">
        <f t="shared" si="0"/>
        <v>-44.428030668715699</v>
      </c>
    </row>
    <row r="22" spans="1:26" x14ac:dyDescent="0.25">
      <c r="A22" t="s">
        <v>63</v>
      </c>
      <c r="B22" s="24">
        <v>2610</v>
      </c>
      <c r="C22">
        <v>21</v>
      </c>
      <c r="D22" s="17">
        <v>9.3285714285714274</v>
      </c>
      <c r="E22" s="17">
        <v>9.4571428571428573</v>
      </c>
      <c r="F22" s="17">
        <v>9.6285714285714299</v>
      </c>
      <c r="G22" s="17">
        <v>9.7857142857142865</v>
      </c>
      <c r="H22" s="17">
        <v>7.7714285714285722</v>
      </c>
      <c r="I22" s="17">
        <v>20.428571428571427</v>
      </c>
      <c r="J22" s="17">
        <v>9.1571428571428566</v>
      </c>
      <c r="K22" s="17">
        <v>8.4857142857142858</v>
      </c>
      <c r="L22" s="17">
        <v>9.0625</v>
      </c>
      <c r="M22" s="17">
        <v>7.3285714285714292</v>
      </c>
      <c r="N22" s="17">
        <v>9.2999999999999989</v>
      </c>
      <c r="O22" s="17">
        <v>9.4</v>
      </c>
      <c r="P22" s="17">
        <v>9.8428571428571434</v>
      </c>
      <c r="Q22" s="17">
        <v>9.6142857142857139</v>
      </c>
      <c r="R22" s="17">
        <v>9.9285714285714288</v>
      </c>
      <c r="S22" s="17">
        <v>9.9</v>
      </c>
      <c r="T22" s="17">
        <v>10.057142857142859</v>
      </c>
      <c r="U22" s="17">
        <v>9.5428571428571427</v>
      </c>
      <c r="V22" s="17">
        <v>8.5428571428571445</v>
      </c>
      <c r="W22" s="17">
        <v>9.571428571428573</v>
      </c>
      <c r="Y22" s="17">
        <f t="shared" si="1"/>
        <v>196.13392857142856</v>
      </c>
      <c r="Z22">
        <f t="shared" si="0"/>
        <v>-44.840821799107324</v>
      </c>
    </row>
    <row r="23" spans="1:26" x14ac:dyDescent="0.25">
      <c r="A23" t="s">
        <v>64</v>
      </c>
      <c r="B23" s="1">
        <v>3079.3650793650795</v>
      </c>
      <c r="C23">
        <v>22</v>
      </c>
      <c r="D23" s="17">
        <v>10.042857142857143</v>
      </c>
      <c r="E23" s="17">
        <v>9.8000000000000007</v>
      </c>
      <c r="F23" s="17">
        <v>9.5714285714285712</v>
      </c>
      <c r="G23" s="17">
        <v>8.9428571428571431</v>
      </c>
      <c r="H23" s="17">
        <v>8.2428571428571438</v>
      </c>
      <c r="I23" s="17">
        <v>8.6</v>
      </c>
      <c r="J23" s="17">
        <v>9.2285714285714278</v>
      </c>
      <c r="K23" s="17">
        <v>9.6571428571428584</v>
      </c>
      <c r="L23" s="17">
        <v>8.4375</v>
      </c>
      <c r="M23" s="17">
        <v>8.9571428571428573</v>
      </c>
      <c r="N23" s="17">
        <v>8.5142857142857142</v>
      </c>
      <c r="O23" s="17">
        <v>9.6857142857142851</v>
      </c>
      <c r="P23" s="17">
        <v>9.6</v>
      </c>
      <c r="Q23" s="17">
        <v>8.3142857142857149</v>
      </c>
      <c r="R23" s="17">
        <v>8.8142857142857132</v>
      </c>
      <c r="S23" s="17">
        <v>9.8285714285714274</v>
      </c>
      <c r="T23" s="17">
        <v>9.8428571428571434</v>
      </c>
      <c r="U23" s="17">
        <v>9.8285714285714274</v>
      </c>
      <c r="V23" s="17">
        <v>10.142857142857142</v>
      </c>
      <c r="W23" s="17">
        <v>9.8428571428571434</v>
      </c>
      <c r="Y23" s="17">
        <f t="shared" si="1"/>
        <v>185.89464285714286</v>
      </c>
      <c r="Z23">
        <f t="shared" si="0"/>
        <v>-45.859746197021238</v>
      </c>
    </row>
    <row r="24" spans="1:26" x14ac:dyDescent="0.25">
      <c r="A24" t="s">
        <v>65</v>
      </c>
      <c r="B24" s="1">
        <v>2941.818181818182</v>
      </c>
      <c r="C24">
        <v>23</v>
      </c>
      <c r="D24" s="17">
        <v>8.7714285714285705</v>
      </c>
      <c r="E24" s="17">
        <v>8.6285714285714281</v>
      </c>
      <c r="F24" s="17">
        <v>9.1142857142857157</v>
      </c>
      <c r="G24" s="17">
        <v>9.7285714285714278</v>
      </c>
      <c r="H24" s="17">
        <v>7.7857142857142856</v>
      </c>
      <c r="I24" s="17">
        <v>7.5714285714285712</v>
      </c>
      <c r="J24" s="17">
        <v>8.5142857142857142</v>
      </c>
      <c r="K24" s="17">
        <v>8.7571428571428562</v>
      </c>
      <c r="L24" s="17">
        <v>9.0250000000000004</v>
      </c>
      <c r="M24" s="17">
        <v>8.7285714285714278</v>
      </c>
      <c r="N24" s="17">
        <v>8.4571428571428555</v>
      </c>
      <c r="O24" s="17">
        <v>8.7857142857142865</v>
      </c>
      <c r="P24" s="17">
        <v>9.4714285714285733</v>
      </c>
      <c r="Q24" s="17">
        <v>8.9571428571428573</v>
      </c>
      <c r="R24" s="17">
        <v>9.2714285714285705</v>
      </c>
      <c r="S24" s="17">
        <v>10.442857142857141</v>
      </c>
      <c r="T24" s="17">
        <v>10.314285714285715</v>
      </c>
      <c r="U24" s="17">
        <v>10.200000000000001</v>
      </c>
      <c r="V24" s="17">
        <v>9.7142857142857135</v>
      </c>
      <c r="W24" s="17">
        <v>7.0142857142857133</v>
      </c>
      <c r="Y24" s="17">
        <f t="shared" si="1"/>
        <v>179.25357142857143</v>
      </c>
      <c r="Z24">
        <f t="shared" si="0"/>
        <v>-43.587814506443607</v>
      </c>
    </row>
    <row r="25" spans="1:26" x14ac:dyDescent="0.25">
      <c r="A25" t="s">
        <v>66</v>
      </c>
      <c r="B25" s="1">
        <v>3239</v>
      </c>
      <c r="C25">
        <v>24</v>
      </c>
      <c r="D25" s="17">
        <v>9.5428571428571445</v>
      </c>
      <c r="E25" s="17">
        <v>9.4</v>
      </c>
      <c r="F25" s="17">
        <v>7.8571428571428568</v>
      </c>
      <c r="G25" s="17">
        <v>7.3571428571428585</v>
      </c>
      <c r="H25" s="17">
        <v>5.6428571428571432</v>
      </c>
      <c r="I25" s="17">
        <v>9.4857142857142858</v>
      </c>
      <c r="J25" s="17">
        <v>7.0428571428571427</v>
      </c>
      <c r="K25" s="17">
        <v>4.8714285714285728</v>
      </c>
      <c r="L25" s="17">
        <v>9.1750000000000007</v>
      </c>
      <c r="M25" s="17">
        <v>8.3285714285714274</v>
      </c>
      <c r="N25" s="17">
        <v>7.0142857142857133</v>
      </c>
      <c r="O25" s="17">
        <v>5.6142857142857139</v>
      </c>
      <c r="P25" s="17">
        <v>6.871428571428571</v>
      </c>
      <c r="Q25" s="17">
        <v>9.6999999999999993</v>
      </c>
      <c r="R25" s="17">
        <v>9.8857142857142861</v>
      </c>
      <c r="S25" s="17">
        <v>9.9142857142857146</v>
      </c>
      <c r="T25" s="17">
        <v>8.9714285714285715</v>
      </c>
      <c r="U25" s="17">
        <v>9.8000000000000007</v>
      </c>
      <c r="V25" s="17">
        <v>9.6142857142857157</v>
      </c>
      <c r="W25" s="17">
        <v>8.8571428571428577</v>
      </c>
      <c r="Y25" s="17">
        <f t="shared" si="1"/>
        <v>164.94642857142861</v>
      </c>
      <c r="Z25">
        <f t="shared" si="0"/>
        <v>-37.943665256713828</v>
      </c>
    </row>
    <row r="26" spans="1:26" x14ac:dyDescent="0.25">
      <c r="A26" t="s">
        <v>67</v>
      </c>
      <c r="B26" s="1">
        <v>2535</v>
      </c>
      <c r="C26">
        <v>25</v>
      </c>
      <c r="D26" s="17">
        <v>9.6714285714285726</v>
      </c>
      <c r="E26" s="17">
        <v>7.7857142857142856</v>
      </c>
      <c r="F26" s="17">
        <v>8.7285714285714295</v>
      </c>
      <c r="G26" s="17">
        <v>9.6285714285714299</v>
      </c>
      <c r="H26" s="17">
        <v>9.6285714285714299</v>
      </c>
      <c r="I26" s="17">
        <v>8.6285714285714299</v>
      </c>
      <c r="J26" s="17">
        <v>8.4857142857142858</v>
      </c>
      <c r="K26" s="17">
        <v>7.6428571428571432</v>
      </c>
      <c r="L26" s="17">
        <v>10</v>
      </c>
      <c r="M26" s="17">
        <v>8.4428571428571448</v>
      </c>
      <c r="N26" s="17">
        <v>8.9714285714285715</v>
      </c>
      <c r="O26" s="17">
        <v>9.6142857142857139</v>
      </c>
      <c r="P26" s="17">
        <v>9.8714285714285701</v>
      </c>
      <c r="Q26" s="17">
        <v>9.0428571428571427</v>
      </c>
      <c r="R26" s="17">
        <v>7.5571428571428578</v>
      </c>
      <c r="S26" s="17">
        <v>9.8142857142857132</v>
      </c>
      <c r="T26" s="17">
        <v>9.1</v>
      </c>
      <c r="U26" s="17">
        <v>9.6428571428571423</v>
      </c>
      <c r="V26" s="17">
        <v>8.8142857142857132</v>
      </c>
      <c r="W26" s="17">
        <v>9.6428571428571423</v>
      </c>
      <c r="Y26" s="17">
        <f t="shared" si="1"/>
        <v>180.71428571428572</v>
      </c>
      <c r="Z26">
        <f t="shared" si="0"/>
        <v>-45.191083674106721</v>
      </c>
    </row>
    <row r="27" spans="1:26" x14ac:dyDescent="0.25">
      <c r="A27" t="s">
        <v>68</v>
      </c>
      <c r="B27" s="1">
        <v>2655</v>
      </c>
      <c r="C27">
        <v>26</v>
      </c>
      <c r="D27" s="17">
        <v>9.3285714285714274</v>
      </c>
      <c r="E27" s="17">
        <v>7.5428571428571436</v>
      </c>
      <c r="F27" s="17">
        <v>6.3428571428571425</v>
      </c>
      <c r="G27" s="17">
        <v>9.2571428571428598</v>
      </c>
      <c r="H27" s="17">
        <v>7.8428571428571425</v>
      </c>
      <c r="I27" s="17">
        <v>9.1571428571428566</v>
      </c>
      <c r="J27" s="17">
        <v>9.0000000000000018</v>
      </c>
      <c r="K27" s="17">
        <v>9.6285714285714299</v>
      </c>
      <c r="L27" s="17">
        <v>7.5249999999999995</v>
      </c>
      <c r="M27" s="17">
        <v>9.6285714285714299</v>
      </c>
      <c r="N27" s="17">
        <v>9.8857142857142861</v>
      </c>
      <c r="O27" s="17">
        <v>9.7000000000000011</v>
      </c>
      <c r="P27" s="17">
        <v>9.8857142857142861</v>
      </c>
      <c r="Q27" s="17">
        <v>9.8285714285714274</v>
      </c>
      <c r="R27" s="17">
        <v>9.7857142857142865</v>
      </c>
      <c r="S27" s="17">
        <v>9.8571428571428577</v>
      </c>
      <c r="T27" s="17">
        <v>10.471428571428572</v>
      </c>
      <c r="U27" s="17">
        <v>10.157142857142858</v>
      </c>
      <c r="V27" s="17">
        <v>9.8142857142857149</v>
      </c>
      <c r="W27" s="17">
        <v>10.085714285714285</v>
      </c>
      <c r="Y27" s="17">
        <f t="shared" si="1"/>
        <v>184.72499999999999</v>
      </c>
      <c r="Z27">
        <f t="shared" si="0"/>
        <v>-44.159197163694195</v>
      </c>
    </row>
    <row r="28" spans="1:26" x14ac:dyDescent="0.25">
      <c r="A28" t="s">
        <v>69</v>
      </c>
      <c r="B28" s="1">
        <v>2558</v>
      </c>
      <c r="C28">
        <v>27</v>
      </c>
      <c r="D28" s="17">
        <v>8.7571428571428562</v>
      </c>
      <c r="E28" s="17">
        <v>9.3571428571428577</v>
      </c>
      <c r="F28" s="17">
        <v>9.5285714285714285</v>
      </c>
      <c r="G28" s="17">
        <v>9.742857142857142</v>
      </c>
      <c r="H28" s="17">
        <v>7.9142857142857155</v>
      </c>
      <c r="I28" s="17">
        <v>9.6857142857142851</v>
      </c>
      <c r="J28" s="17">
        <v>9.4</v>
      </c>
      <c r="K28" s="17">
        <v>9.1571428571428566</v>
      </c>
      <c r="L28" s="17">
        <v>8.4874999999999989</v>
      </c>
      <c r="M28" s="17">
        <v>7.4714285714285724</v>
      </c>
      <c r="N28" s="17">
        <v>9.5285714285714285</v>
      </c>
      <c r="O28" s="17">
        <v>9.3285714285714274</v>
      </c>
      <c r="P28" s="17">
        <v>9.5142857142857142</v>
      </c>
      <c r="Q28" s="17">
        <v>9.7000000000000011</v>
      </c>
      <c r="R28" s="17">
        <v>8.6375000000000011</v>
      </c>
      <c r="S28" s="17">
        <v>9.7999999999999989</v>
      </c>
      <c r="T28" s="17">
        <v>8.1428571428570997</v>
      </c>
      <c r="U28" s="17">
        <v>10.771428571428499</v>
      </c>
      <c r="V28" s="17">
        <v>7.9428571428571404</v>
      </c>
      <c r="W28" s="17">
        <v>9.5714285714285694</v>
      </c>
      <c r="Y28" s="17">
        <f t="shared" si="1"/>
        <v>182.43928571428563</v>
      </c>
      <c r="Z28">
        <f t="shared" si="0"/>
        <v>-44.795005652081286</v>
      </c>
    </row>
    <row r="29" spans="1:26" x14ac:dyDescent="0.25">
      <c r="B29" s="1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Y29" s="17"/>
    </row>
    <row r="30" spans="1:26" x14ac:dyDescent="0.25">
      <c r="A30" t="s">
        <v>70</v>
      </c>
      <c r="B30" s="6">
        <v>2822</v>
      </c>
      <c r="C30">
        <v>28</v>
      </c>
      <c r="D30" s="17">
        <v>8.7999999999999989</v>
      </c>
      <c r="E30" s="17">
        <v>9.6428571428571423</v>
      </c>
      <c r="F30" s="17">
        <v>9.5285714285714285</v>
      </c>
      <c r="G30" s="17">
        <v>9.5</v>
      </c>
      <c r="H30" s="17">
        <v>9.5857142857142872</v>
      </c>
      <c r="I30" s="17">
        <v>8.828571428571431</v>
      </c>
      <c r="J30" s="17">
        <v>8.8714285714285701</v>
      </c>
      <c r="K30" s="17">
        <v>8.5857142857142854</v>
      </c>
      <c r="L30" s="17">
        <v>9.3125</v>
      </c>
      <c r="M30" s="17">
        <v>8.2857142857142865</v>
      </c>
      <c r="N30" s="17">
        <v>9.5</v>
      </c>
      <c r="O30" s="17">
        <v>8.5142857142857142</v>
      </c>
      <c r="P30" s="17">
        <v>9.2999999999999989</v>
      </c>
      <c r="Q30" s="17">
        <v>8.1571428571428992</v>
      </c>
      <c r="R30" s="17">
        <v>9.1428571428571423</v>
      </c>
      <c r="S30" s="17">
        <v>9.8259740259740269</v>
      </c>
      <c r="T30" s="17">
        <v>10.697142857142801</v>
      </c>
      <c r="U30" s="17">
        <v>10.014025974025975</v>
      </c>
      <c r="V30" s="17">
        <v>10.2416883116883</v>
      </c>
      <c r="W30" s="17">
        <v>9.30038961038961</v>
      </c>
      <c r="Y30" s="17">
        <f t="shared" si="1"/>
        <v>185.63457792207794</v>
      </c>
      <c r="Z30">
        <f>SUMPRODUCT($D$34:$W$34,D30:W30)</f>
        <v>-45.790802266749438</v>
      </c>
    </row>
    <row r="31" spans="1:26" x14ac:dyDescent="0.25">
      <c r="A31" t="s">
        <v>314</v>
      </c>
      <c r="B31" s="1">
        <v>2585</v>
      </c>
      <c r="C31">
        <v>29</v>
      </c>
      <c r="D31" s="17">
        <v>8.4</v>
      </c>
      <c r="E31" s="17">
        <v>7.6428571428571432</v>
      </c>
      <c r="F31" s="17">
        <v>8.1857142857142868</v>
      </c>
      <c r="G31" s="17">
        <v>9.571428571428573</v>
      </c>
      <c r="H31" s="17">
        <v>9.0285714285714285</v>
      </c>
      <c r="I31" s="17">
        <v>8.3714285714285701</v>
      </c>
      <c r="J31" s="17">
        <v>9.1428571428571423</v>
      </c>
      <c r="K31" s="17">
        <v>8.757142857142858</v>
      </c>
      <c r="L31" s="17">
        <v>3.9</v>
      </c>
      <c r="M31" s="17">
        <v>5.0571428571428569</v>
      </c>
      <c r="N31" s="17">
        <v>7.0285714285714294</v>
      </c>
      <c r="O31" s="17">
        <v>7.8714285714285728</v>
      </c>
      <c r="P31" s="17">
        <v>5.3</v>
      </c>
      <c r="Q31" s="17">
        <v>9.6999999999999993</v>
      </c>
      <c r="R31" s="17">
        <v>9.8000000000000007</v>
      </c>
      <c r="S31" s="17">
        <v>9.6</v>
      </c>
      <c r="T31" s="17">
        <v>8.0857142857142854</v>
      </c>
      <c r="U31" s="17">
        <v>8.4285714285714288</v>
      </c>
      <c r="V31" s="17">
        <v>9.828571428571431</v>
      </c>
      <c r="W31" s="17">
        <v>9.8142857142857149</v>
      </c>
      <c r="Y31" s="17">
        <f t="shared" si="1"/>
        <v>163.51428571428568</v>
      </c>
      <c r="Z31">
        <f>SUMPRODUCT($D$34:$W$34,D31:W31)</f>
        <v>-39.198693189125031</v>
      </c>
    </row>
    <row r="32" spans="1:26" x14ac:dyDescent="0.25">
      <c r="A32" t="s">
        <v>315</v>
      </c>
      <c r="D32" s="23">
        <v>7.1571428571428584</v>
      </c>
      <c r="E32" s="23">
        <v>9.2000000000000011</v>
      </c>
      <c r="F32" s="23">
        <v>6.4714285714285724</v>
      </c>
      <c r="G32" s="23">
        <v>9.0857142857142854</v>
      </c>
      <c r="H32" s="23">
        <v>8.9714285714285715</v>
      </c>
      <c r="I32" s="23">
        <v>9.2428571428571438</v>
      </c>
      <c r="J32" s="23">
        <v>8.2714285714285705</v>
      </c>
      <c r="K32" s="23">
        <v>7.6714285714285717</v>
      </c>
      <c r="L32" s="23">
        <v>8.0250000000000004</v>
      </c>
      <c r="M32" s="23">
        <v>7.4</v>
      </c>
      <c r="N32" s="23">
        <v>8.1999999999999993</v>
      </c>
      <c r="O32" s="23">
        <v>6.8</v>
      </c>
      <c r="P32" s="23">
        <v>9.0818181818181802</v>
      </c>
      <c r="Q32" s="23">
        <v>9.4792207792207801</v>
      </c>
      <c r="R32" s="23">
        <v>9.3675324675324685</v>
      </c>
      <c r="S32" s="23">
        <v>9.8675324675324667</v>
      </c>
      <c r="T32" s="23">
        <v>9.7448979591836729</v>
      </c>
      <c r="U32" s="23">
        <v>9.7795918367346939</v>
      </c>
      <c r="V32" s="23">
        <v>9.2102040816326536</v>
      </c>
      <c r="W32" s="23">
        <v>9.426530612244898</v>
      </c>
      <c r="Y32" s="17">
        <f t="shared" si="1"/>
        <v>172.45375695732838</v>
      </c>
      <c r="Z32">
        <f>SUMPRODUCT($D$34:$W$34,D32:W32)</f>
        <v>-41.59064083459014</v>
      </c>
    </row>
    <row r="33" spans="1:27" x14ac:dyDescent="0.25">
      <c r="A33" t="s">
        <v>677</v>
      </c>
      <c r="D33" s="17">
        <v>9.7571428571428562</v>
      </c>
      <c r="E33" s="17">
        <v>9.0142857142857142</v>
      </c>
      <c r="F33" s="17">
        <v>9.3571428571428577</v>
      </c>
      <c r="G33" s="17">
        <v>7.8714285714285719</v>
      </c>
      <c r="H33" s="17">
        <v>8.257142857142858</v>
      </c>
      <c r="I33" s="17">
        <v>9.4857142857142858</v>
      </c>
      <c r="J33" s="17">
        <v>9.3571428571428577</v>
      </c>
      <c r="K33" s="17">
        <v>9.3571428571428577</v>
      </c>
      <c r="L33" s="17">
        <v>7.8</v>
      </c>
      <c r="M33" s="17">
        <v>9.1142857142857139</v>
      </c>
      <c r="N33" s="17">
        <v>9.0428571428571427</v>
      </c>
      <c r="O33" s="17">
        <v>4.5142857142857142</v>
      </c>
      <c r="P33" s="17">
        <v>9.6428571428571423</v>
      </c>
      <c r="Q33" s="17">
        <v>9.1857142857142851</v>
      </c>
      <c r="R33" s="17">
        <v>9.9857142857142858</v>
      </c>
      <c r="S33" s="17">
        <v>9.8000000000000007</v>
      </c>
      <c r="T33" s="17">
        <v>9.6589285714285715</v>
      </c>
      <c r="U33" s="17">
        <v>10.053571428571427</v>
      </c>
      <c r="V33" s="17">
        <v>9.3410714285714285</v>
      </c>
      <c r="W33" s="17">
        <v>9.5125000000000011</v>
      </c>
      <c r="Y33" s="17">
        <f t="shared" ref="Y33" si="2">SUM(D33:W33)</f>
        <v>180.10892857142858</v>
      </c>
      <c r="Z33">
        <f>SUMPRODUCT($D$34:$W$34,D33:W33)</f>
        <v>-42.815266973346539</v>
      </c>
    </row>
    <row r="34" spans="1:27" x14ac:dyDescent="0.25">
      <c r="A34" s="2" t="s">
        <v>71</v>
      </c>
      <c r="D34" s="3">
        <f>CORREL($B$2:$B$28,D2:D28)</f>
        <v>-0.23397709885860837</v>
      </c>
      <c r="E34" s="3">
        <f t="shared" ref="E34:W34" si="3">CORREL($B$2:$B$28,E2:E28)</f>
        <v>-0.43988381601284532</v>
      </c>
      <c r="F34" s="3">
        <f t="shared" si="3"/>
        <v>-0.47950173929383216</v>
      </c>
      <c r="G34" s="3">
        <f t="shared" si="3"/>
        <v>-0.20177065726736765</v>
      </c>
      <c r="H34" s="3">
        <f t="shared" si="3"/>
        <v>-0.63877848544920646</v>
      </c>
      <c r="I34" s="3">
        <f t="shared" si="3"/>
        <v>6.4438947783359096E-2</v>
      </c>
      <c r="J34" s="3">
        <f t="shared" si="3"/>
        <v>9.5939133778074615E-2</v>
      </c>
      <c r="K34" s="3">
        <f t="shared" si="3"/>
        <v>-0.32107672213179456</v>
      </c>
      <c r="L34" s="3">
        <f t="shared" si="3"/>
        <v>-0.28517943711841237</v>
      </c>
      <c r="M34" s="3">
        <f t="shared" si="3"/>
        <v>-0.10985756777237284</v>
      </c>
      <c r="N34" s="3">
        <f t="shared" si="3"/>
        <v>-0.21366414876390813</v>
      </c>
      <c r="O34" s="3">
        <f t="shared" si="3"/>
        <v>-0.47351401207358146</v>
      </c>
      <c r="P34" s="3">
        <f t="shared" si="3"/>
        <v>-0.56272347143883827</v>
      </c>
      <c r="Q34" s="3">
        <f t="shared" si="3"/>
        <v>-0.4186979524359935</v>
      </c>
      <c r="R34" s="3">
        <f t="shared" si="3"/>
        <v>-0.17066114243111541</v>
      </c>
      <c r="S34" s="3">
        <f t="shared" si="3"/>
        <v>0.17379592812475991</v>
      </c>
      <c r="T34" s="3">
        <f t="shared" si="3"/>
        <v>-0.16651717389354159</v>
      </c>
      <c r="U34" s="3">
        <f t="shared" si="3"/>
        <v>-9.9280206156117976E-2</v>
      </c>
      <c r="V34" s="3">
        <f t="shared" si="3"/>
        <v>-0.17550296272646709</v>
      </c>
      <c r="W34" s="3">
        <f t="shared" si="3"/>
        <v>-0.30566800714744075</v>
      </c>
    </row>
    <row r="35" spans="1:27" x14ac:dyDescent="0.25">
      <c r="P35" s="17"/>
      <c r="Q35" s="17"/>
      <c r="R35" s="17"/>
      <c r="S35" s="17"/>
      <c r="T35" s="17"/>
      <c r="U35" s="17"/>
      <c r="V35" s="17"/>
      <c r="W35" s="17"/>
    </row>
    <row r="36" spans="1:27" x14ac:dyDescent="0.25">
      <c r="P36" s="17"/>
      <c r="Q36" s="17"/>
      <c r="R36" s="17"/>
      <c r="S36" s="17"/>
      <c r="T36" s="17"/>
      <c r="U36" s="17"/>
      <c r="V36" s="17"/>
      <c r="W36" s="17"/>
    </row>
    <row r="37" spans="1:27" x14ac:dyDescent="0.25">
      <c r="D37" t="s">
        <v>72</v>
      </c>
      <c r="E37" t="s">
        <v>73</v>
      </c>
      <c r="F37" t="s">
        <v>74</v>
      </c>
      <c r="G37" t="s">
        <v>75</v>
      </c>
      <c r="H37" t="s">
        <v>76</v>
      </c>
      <c r="I37" t="s">
        <v>77</v>
      </c>
      <c r="J37" t="s">
        <v>78</v>
      </c>
      <c r="K37" t="s">
        <v>79</v>
      </c>
      <c r="L37" t="s">
        <v>341</v>
      </c>
      <c r="M37" t="s">
        <v>371</v>
      </c>
      <c r="N37" t="s">
        <v>372</v>
      </c>
      <c r="O37" t="s">
        <v>373</v>
      </c>
      <c r="P37" s="17" t="s">
        <v>457</v>
      </c>
      <c r="Q37" s="17" t="s">
        <v>458</v>
      </c>
      <c r="R37" s="17" t="s">
        <v>459</v>
      </c>
      <c r="S37" s="17" t="s">
        <v>460</v>
      </c>
      <c r="T37" s="17" t="s">
        <v>569</v>
      </c>
      <c r="U37" s="17" t="s">
        <v>570</v>
      </c>
      <c r="V37" s="17" t="s">
        <v>571</v>
      </c>
      <c r="W37" s="17" t="s">
        <v>572</v>
      </c>
      <c r="Y37" t="s">
        <v>80</v>
      </c>
      <c r="Z37" t="s">
        <v>81</v>
      </c>
    </row>
    <row r="38" spans="1:27" x14ac:dyDescent="0.25">
      <c r="A38" t="s">
        <v>43</v>
      </c>
      <c r="D38" s="17">
        <v>35</v>
      </c>
      <c r="E38" s="17">
        <v>34.828571428571429</v>
      </c>
      <c r="F38" s="17">
        <v>33.714285714285708</v>
      </c>
      <c r="G38" s="17">
        <v>31.957142857142856</v>
      </c>
      <c r="H38" s="17">
        <v>32.385714285714286</v>
      </c>
      <c r="I38" s="17">
        <v>31.599999999999998</v>
      </c>
      <c r="J38" s="17">
        <v>29.085714285714282</v>
      </c>
      <c r="K38" s="17">
        <v>31.12857142857143</v>
      </c>
      <c r="L38" s="17">
        <v>29.45</v>
      </c>
      <c r="M38" s="17">
        <v>27.028571428571428</v>
      </c>
      <c r="N38" s="17">
        <v>28.814285714285717</v>
      </c>
      <c r="O38" s="17">
        <v>29.042857142857141</v>
      </c>
      <c r="P38" s="17">
        <v>29.814285714285717</v>
      </c>
      <c r="Q38" s="17">
        <v>28.942857142857143</v>
      </c>
      <c r="R38" s="17">
        <v>29.142857142857139</v>
      </c>
      <c r="S38" s="17">
        <v>30.428571428571427</v>
      </c>
      <c r="T38" s="17">
        <v>31.542857142857141</v>
      </c>
      <c r="U38" s="17">
        <v>34.18571428571429</v>
      </c>
      <c r="V38" s="17">
        <v>36.985714285714288</v>
      </c>
      <c r="W38" s="17">
        <v>36.614285714285714</v>
      </c>
      <c r="Y38" s="17">
        <f t="shared" ref="Y38:Y68" si="4">SUM(D38:W38)</f>
        <v>631.69285714285718</v>
      </c>
      <c r="Z38">
        <f t="shared" ref="Z38:Z64" si="5">SUMPRODUCT($D$70:$W$70,D38:W38)</f>
        <v>45.053728259876088</v>
      </c>
    </row>
    <row r="39" spans="1:27" x14ac:dyDescent="0.25">
      <c r="A39" t="s">
        <v>44</v>
      </c>
      <c r="D39" s="17">
        <v>36.299999999999997</v>
      </c>
      <c r="E39" s="17">
        <v>34.200000000000003</v>
      </c>
      <c r="F39" s="17">
        <v>33.200000000000003</v>
      </c>
      <c r="G39" s="17">
        <v>32.5</v>
      </c>
      <c r="H39" s="17">
        <v>33.299999999999997</v>
      </c>
      <c r="I39" s="17">
        <v>31.8</v>
      </c>
      <c r="J39" s="17">
        <v>28.6</v>
      </c>
      <c r="K39" s="17">
        <v>29.7</v>
      </c>
      <c r="L39" s="17">
        <v>30.3</v>
      </c>
      <c r="M39" s="17">
        <v>28.5</v>
      </c>
      <c r="N39" s="17">
        <v>29.4</v>
      </c>
      <c r="O39" s="17">
        <v>29.7</v>
      </c>
      <c r="P39" s="17">
        <v>29.589220779220781</v>
      </c>
      <c r="Q39" s="17">
        <v>28.941688311688313</v>
      </c>
      <c r="R39" s="17">
        <v>30.124675324675323</v>
      </c>
      <c r="S39" s="17">
        <v>29.860909090909093</v>
      </c>
      <c r="T39" s="17">
        <v>33.428571428571431</v>
      </c>
      <c r="U39" s="17">
        <v>32.285714285714292</v>
      </c>
      <c r="V39" s="17">
        <v>34.971428571428575</v>
      </c>
      <c r="W39" s="17">
        <v>35.957142857142856</v>
      </c>
      <c r="Y39" s="17">
        <f t="shared" si="4"/>
        <v>632.6593506493507</v>
      </c>
      <c r="Z39">
        <f t="shared" si="5"/>
        <v>43.520948265567078</v>
      </c>
    </row>
    <row r="40" spans="1:27" x14ac:dyDescent="0.25">
      <c r="A40" t="s">
        <v>45</v>
      </c>
      <c r="D40" s="17">
        <v>37.25714285714286</v>
      </c>
      <c r="E40" s="17">
        <v>34.25714285714286</v>
      </c>
      <c r="F40" s="17">
        <v>33.671428571428571</v>
      </c>
      <c r="G40" s="17">
        <v>33.528571428571432</v>
      </c>
      <c r="H40" s="17">
        <v>34.371428571428567</v>
      </c>
      <c r="I40" s="17">
        <v>31.457142857142856</v>
      </c>
      <c r="J40" s="17">
        <v>26.400000000000006</v>
      </c>
      <c r="K40" s="17">
        <v>28.657142857142862</v>
      </c>
      <c r="L40" s="17">
        <v>30.287499999999998</v>
      </c>
      <c r="M40" s="17">
        <v>28.957142857142859</v>
      </c>
      <c r="N40" s="17">
        <v>30.171428571428571</v>
      </c>
      <c r="O40" s="17">
        <v>30.2</v>
      </c>
      <c r="P40" s="17">
        <v>28.828571428571429</v>
      </c>
      <c r="Q40" s="17">
        <v>31.614285714285717</v>
      </c>
      <c r="R40" s="17">
        <v>31.742857142857144</v>
      </c>
      <c r="S40" s="17">
        <v>30.828571428571429</v>
      </c>
      <c r="T40" s="17">
        <v>30.485714285714291</v>
      </c>
      <c r="U40" s="17">
        <v>33.300000000000004</v>
      </c>
      <c r="V40" s="17">
        <v>35.75714285714286</v>
      </c>
      <c r="W40" s="17">
        <v>35.785714285714285</v>
      </c>
      <c r="Y40" s="17">
        <f t="shared" si="4"/>
        <v>637.55892857142862</v>
      </c>
      <c r="Z40">
        <f t="shared" si="5"/>
        <v>42.760529302331392</v>
      </c>
    </row>
    <row r="41" spans="1:27" x14ac:dyDescent="0.25">
      <c r="A41" t="s">
        <v>46</v>
      </c>
      <c r="D41" s="17">
        <v>35.371428571428574</v>
      </c>
      <c r="E41" s="17">
        <v>34.228571428571435</v>
      </c>
      <c r="F41" s="17">
        <v>33.414285714285718</v>
      </c>
      <c r="G41" s="17">
        <v>32.842857142857142</v>
      </c>
      <c r="H41" s="17">
        <v>29.800000000000004</v>
      </c>
      <c r="I41" s="17">
        <v>29.371428571428574</v>
      </c>
      <c r="J41" s="17">
        <v>30.25714285714286</v>
      </c>
      <c r="K41" s="17">
        <v>31.457142857142856</v>
      </c>
      <c r="L41" s="17">
        <v>27.15</v>
      </c>
      <c r="M41" s="17">
        <v>28.571428571428573</v>
      </c>
      <c r="N41" s="17">
        <v>23.985714285714288</v>
      </c>
      <c r="O41" s="17">
        <v>26.285714285714285</v>
      </c>
      <c r="P41" s="17">
        <v>28.157142857142862</v>
      </c>
      <c r="Q41" s="17">
        <v>30.957142857142859</v>
      </c>
      <c r="R41" s="17">
        <v>28.157142857142855</v>
      </c>
      <c r="S41" s="17">
        <v>28.75714285714286</v>
      </c>
      <c r="T41" s="17">
        <v>29.2</v>
      </c>
      <c r="U41" s="17">
        <v>28.971428571428568</v>
      </c>
      <c r="V41" s="17">
        <v>33.085714285714289</v>
      </c>
      <c r="W41" s="17">
        <v>36.042857142857144</v>
      </c>
      <c r="Y41" s="17">
        <f t="shared" si="4"/>
        <v>606.06428571428569</v>
      </c>
      <c r="Z41">
        <f t="shared" si="5"/>
        <v>40.640247968576467</v>
      </c>
    </row>
    <row r="42" spans="1:27" x14ac:dyDescent="0.25">
      <c r="A42" t="s">
        <v>47</v>
      </c>
      <c r="D42" s="17">
        <v>35.585714285714289</v>
      </c>
      <c r="E42" s="17">
        <v>33.74285714285714</v>
      </c>
      <c r="F42" s="17">
        <v>34.971428571428568</v>
      </c>
      <c r="G42" s="17">
        <v>34.385714285714286</v>
      </c>
      <c r="H42" s="17">
        <v>30.728571428571428</v>
      </c>
      <c r="I42" s="17">
        <v>31.042857142857144</v>
      </c>
      <c r="J42" s="17">
        <v>30.285714285714285</v>
      </c>
      <c r="K42" s="17">
        <v>28.24285714285714</v>
      </c>
      <c r="L42" s="17">
        <v>26.975000000000001</v>
      </c>
      <c r="M42" s="17">
        <v>28.828571428571429</v>
      </c>
      <c r="N42" s="17">
        <v>31.157142857142851</v>
      </c>
      <c r="O42" s="17">
        <v>31.928571428571434</v>
      </c>
      <c r="P42" s="17">
        <v>32.81428571428571</v>
      </c>
      <c r="Q42" s="17">
        <v>29.442857142857143</v>
      </c>
      <c r="R42" s="17">
        <v>33.071428571428569</v>
      </c>
      <c r="S42" s="17">
        <v>29.685714285714287</v>
      </c>
      <c r="T42" s="17">
        <v>32.285714285714285</v>
      </c>
      <c r="U42" s="17">
        <v>33.142857142857146</v>
      </c>
      <c r="V42" s="17">
        <v>33.828571428571429</v>
      </c>
      <c r="W42" s="17">
        <v>35.900000000000006</v>
      </c>
      <c r="Y42" s="17">
        <f t="shared" si="4"/>
        <v>638.04642857142846</v>
      </c>
      <c r="Z42">
        <f t="shared" si="5"/>
        <v>41.987808051531772</v>
      </c>
    </row>
    <row r="43" spans="1:27" x14ac:dyDescent="0.25">
      <c r="A43" t="s">
        <v>48</v>
      </c>
      <c r="D43" s="17">
        <v>33.914285714285718</v>
      </c>
      <c r="E43" s="17">
        <v>33.271428571428565</v>
      </c>
      <c r="F43" s="17">
        <v>33.299999999999997</v>
      </c>
      <c r="G43" s="17">
        <v>29.028571428571428</v>
      </c>
      <c r="H43" s="17">
        <v>31.171428571428574</v>
      </c>
      <c r="I43" s="17">
        <v>27.971428571428572</v>
      </c>
      <c r="J43" s="17">
        <v>29.128571428571426</v>
      </c>
      <c r="K43" s="17">
        <v>28.428571428571427</v>
      </c>
      <c r="L43" s="17">
        <v>27.162500000000001</v>
      </c>
      <c r="M43" s="17">
        <v>24.671428571428571</v>
      </c>
      <c r="N43" s="17">
        <v>25.3</v>
      </c>
      <c r="O43" s="17">
        <v>27.057142857142857</v>
      </c>
      <c r="P43" s="17">
        <v>33.885714285714286</v>
      </c>
      <c r="Q43" s="17">
        <v>28.414285714285711</v>
      </c>
      <c r="R43" s="17">
        <v>31.857142857142858</v>
      </c>
      <c r="S43" s="17">
        <v>27.342857142857145</v>
      </c>
      <c r="T43" s="17">
        <v>28.971428571428572</v>
      </c>
      <c r="U43" s="17">
        <v>31.985714285714284</v>
      </c>
      <c r="V43" s="17">
        <v>31.728571428571431</v>
      </c>
      <c r="W43" s="17">
        <v>35.299999999999997</v>
      </c>
      <c r="Y43" s="17">
        <f t="shared" si="4"/>
        <v>599.89107142857142</v>
      </c>
      <c r="Z43">
        <f t="shared" si="5"/>
        <v>38.706944173714973</v>
      </c>
    </row>
    <row r="44" spans="1:27" x14ac:dyDescent="0.25">
      <c r="A44" t="s">
        <v>49</v>
      </c>
      <c r="D44" s="17">
        <v>35.24285714285714</v>
      </c>
      <c r="E44" s="17">
        <v>32.74285714285714</v>
      </c>
      <c r="F44" s="17">
        <v>30.785714285714281</v>
      </c>
      <c r="G44" s="17">
        <v>31.728571428571431</v>
      </c>
      <c r="H44" s="17">
        <v>30.357142857142861</v>
      </c>
      <c r="I44" s="17">
        <v>32.171428571428571</v>
      </c>
      <c r="J44" s="17">
        <v>29.87142857142857</v>
      </c>
      <c r="K44" s="17">
        <v>28.985714285714288</v>
      </c>
      <c r="L44" s="17">
        <v>24.625</v>
      </c>
      <c r="M44" s="17">
        <v>27.077142857142857</v>
      </c>
      <c r="N44" s="17">
        <v>27.434285714285714</v>
      </c>
      <c r="O44" s="17">
        <v>28.585714285714285</v>
      </c>
      <c r="P44" s="17">
        <v>32.442857142857143</v>
      </c>
      <c r="Q44" s="17">
        <v>28.614285714285717</v>
      </c>
      <c r="R44" s="17">
        <v>28.714285714285715</v>
      </c>
      <c r="S44" s="17">
        <v>28.257142857142856</v>
      </c>
      <c r="T44" s="17">
        <v>30.892857142857142</v>
      </c>
      <c r="U44" s="17">
        <v>31.422857142857143</v>
      </c>
      <c r="V44" s="17">
        <v>32.6</v>
      </c>
      <c r="W44" s="17">
        <v>34.144285714285715</v>
      </c>
      <c r="Y44" s="17">
        <f t="shared" si="4"/>
        <v>606.69642857142867</v>
      </c>
      <c r="Z44">
        <f t="shared" si="5"/>
        <v>39.553662198533118</v>
      </c>
    </row>
    <row r="45" spans="1:27" x14ac:dyDescent="0.25">
      <c r="A45" t="s">
        <v>50</v>
      </c>
      <c r="D45" s="17">
        <v>33.871428571428567</v>
      </c>
      <c r="E45" s="17">
        <v>33.18571428571429</v>
      </c>
      <c r="F45" s="17">
        <v>32.857142857142861</v>
      </c>
      <c r="G45" s="17">
        <v>31.071428571428573</v>
      </c>
      <c r="H45" s="17">
        <v>30.785714285714288</v>
      </c>
      <c r="I45" s="17">
        <v>31.599999999999998</v>
      </c>
      <c r="J45" s="17">
        <v>29.671428571428574</v>
      </c>
      <c r="K45" s="17">
        <v>29.571428571428573</v>
      </c>
      <c r="L45" s="17">
        <v>29.937500000000004</v>
      </c>
      <c r="M45" s="17">
        <v>30.837142857142858</v>
      </c>
      <c r="N45" s="17">
        <v>28.169999999999998</v>
      </c>
      <c r="O45" s="17">
        <v>28.990000000000002</v>
      </c>
      <c r="P45" s="17">
        <v>29.928571428571427</v>
      </c>
      <c r="Q45" s="17">
        <v>33.4</v>
      </c>
      <c r="R45" s="17">
        <v>34.528571428571425</v>
      </c>
      <c r="S45" s="17">
        <v>30.525714285714287</v>
      </c>
      <c r="T45" s="17">
        <v>29.74285714285714</v>
      </c>
      <c r="U45" s="17">
        <v>33.457142857142856</v>
      </c>
      <c r="V45" s="17">
        <v>35.528571428571432</v>
      </c>
      <c r="W45" s="17">
        <v>38.557142857142857</v>
      </c>
      <c r="Y45" s="17">
        <f t="shared" si="4"/>
        <v>636.21750000000009</v>
      </c>
      <c r="Z45">
        <f t="shared" si="5"/>
        <v>42.182145289350508</v>
      </c>
      <c r="AA45" s="5"/>
    </row>
    <row r="46" spans="1:27" x14ac:dyDescent="0.25">
      <c r="A46" t="s">
        <v>51</v>
      </c>
      <c r="D46" s="17">
        <v>33.942857142857143</v>
      </c>
      <c r="E46" s="17">
        <v>32.557142857142857</v>
      </c>
      <c r="F46" s="17">
        <v>31.471428571428572</v>
      </c>
      <c r="G46" s="17">
        <v>31.371428571428574</v>
      </c>
      <c r="H46" s="17">
        <v>32.5</v>
      </c>
      <c r="I46" s="17">
        <v>34.571428571428569</v>
      </c>
      <c r="J46" s="17">
        <v>32.185714285714283</v>
      </c>
      <c r="K46" s="17">
        <v>29.195714285714285</v>
      </c>
      <c r="L46" s="17">
        <v>28.862500000000001</v>
      </c>
      <c r="M46" s="17">
        <v>30.228571428571428</v>
      </c>
      <c r="N46" s="17">
        <v>28.557142857142857</v>
      </c>
      <c r="O46" s="17">
        <v>25.285714285714285</v>
      </c>
      <c r="P46" s="17">
        <v>31.642857142857142</v>
      </c>
      <c r="Q46" s="17">
        <v>28.2</v>
      </c>
      <c r="R46" s="17">
        <v>29.485714285714284</v>
      </c>
      <c r="S46" s="17">
        <v>29.571428571428566</v>
      </c>
      <c r="T46" s="17">
        <v>29.75714285714286</v>
      </c>
      <c r="U46" s="17">
        <v>30.585714285714289</v>
      </c>
      <c r="V46" s="17">
        <v>30.1</v>
      </c>
      <c r="W46" s="17">
        <v>33.342857142857149</v>
      </c>
      <c r="Y46" s="17">
        <f t="shared" si="4"/>
        <v>613.41535714285715</v>
      </c>
      <c r="Z46">
        <f t="shared" si="5"/>
        <v>37.467786537376703</v>
      </c>
      <c r="AA46" s="5"/>
    </row>
    <row r="47" spans="1:27" x14ac:dyDescent="0.25">
      <c r="A47" t="s">
        <v>52</v>
      </c>
      <c r="D47" s="17">
        <v>34.842857142857142</v>
      </c>
      <c r="E47" s="17">
        <v>34.18571428571429</v>
      </c>
      <c r="F47" s="17">
        <v>33.114285714285714</v>
      </c>
      <c r="G47" s="17">
        <v>30.585714285714282</v>
      </c>
      <c r="H47" s="17">
        <v>31.528571428571428</v>
      </c>
      <c r="I47" s="17">
        <v>28.62857142857143</v>
      </c>
      <c r="J47" s="17">
        <v>31.05714285714286</v>
      </c>
      <c r="K47" s="17">
        <v>28.74285714285714</v>
      </c>
      <c r="L47" s="17">
        <v>29.65</v>
      </c>
      <c r="M47" s="17">
        <v>26.885714285714283</v>
      </c>
      <c r="N47" s="17">
        <v>24.514285714285712</v>
      </c>
      <c r="O47" s="17">
        <v>25.414285714285715</v>
      </c>
      <c r="P47" s="17">
        <v>28.599999999999998</v>
      </c>
      <c r="Q47" s="17">
        <v>30.185714285714283</v>
      </c>
      <c r="R47" s="17">
        <v>31.24285714285714</v>
      </c>
      <c r="S47" s="17">
        <v>29.5</v>
      </c>
      <c r="T47" s="17">
        <v>32.614285714285714</v>
      </c>
      <c r="U47" s="17">
        <v>32.457142857142856</v>
      </c>
      <c r="V47" s="17">
        <v>36.085714285714282</v>
      </c>
      <c r="W47" s="17">
        <v>38.085714285714289</v>
      </c>
      <c r="Y47" s="17">
        <f t="shared" si="4"/>
        <v>617.92142857142858</v>
      </c>
      <c r="Z47">
        <f t="shared" si="5"/>
        <v>44.331400833802746</v>
      </c>
      <c r="AA47" s="5"/>
    </row>
    <row r="48" spans="1:27" x14ac:dyDescent="0.25">
      <c r="A48" t="s">
        <v>53</v>
      </c>
      <c r="D48" s="17">
        <v>34.31428571428571</v>
      </c>
      <c r="E48" s="17">
        <v>33</v>
      </c>
      <c r="F48" s="17">
        <v>33.171428571428571</v>
      </c>
      <c r="G48" s="17">
        <v>31.357142857142858</v>
      </c>
      <c r="H48" s="17">
        <v>30.6</v>
      </c>
      <c r="I48" s="17">
        <v>29.442857142857143</v>
      </c>
      <c r="J48" s="17">
        <v>30.885714285714283</v>
      </c>
      <c r="K48" s="17">
        <v>30.014285714285712</v>
      </c>
      <c r="L48" s="17">
        <v>27.212499999999999</v>
      </c>
      <c r="M48" s="17">
        <v>26.842857142857145</v>
      </c>
      <c r="N48" s="17">
        <v>28.900000000000002</v>
      </c>
      <c r="O48" s="17">
        <v>25.085714285714285</v>
      </c>
      <c r="P48" s="17">
        <v>29.271428571428572</v>
      </c>
      <c r="Q48" s="17">
        <v>28.985714285714288</v>
      </c>
      <c r="R48" s="17">
        <v>30.885714285714283</v>
      </c>
      <c r="S48" s="17">
        <v>30.485714285714288</v>
      </c>
      <c r="T48" s="17">
        <v>31.81</v>
      </c>
      <c r="U48" s="17">
        <v>35.17</v>
      </c>
      <c r="V48" s="17">
        <v>34.83</v>
      </c>
      <c r="W48" s="17">
        <v>36.19</v>
      </c>
      <c r="Y48" s="17">
        <f t="shared" si="4"/>
        <v>618.45535714285711</v>
      </c>
      <c r="Z48">
        <f t="shared" si="5"/>
        <v>43.937581749047077</v>
      </c>
      <c r="AA48" s="5"/>
    </row>
    <row r="49" spans="1:27" x14ac:dyDescent="0.25">
      <c r="A49" t="s">
        <v>54</v>
      </c>
      <c r="D49" s="17">
        <v>32.642857142857146</v>
      </c>
      <c r="E49" s="17">
        <v>32.642857142857146</v>
      </c>
      <c r="F49" s="17">
        <v>31.214285714285715</v>
      </c>
      <c r="G49" s="17">
        <v>30.62857142857143</v>
      </c>
      <c r="H49" s="17">
        <v>30.900000000000002</v>
      </c>
      <c r="I49" s="17">
        <v>29.857142857142858</v>
      </c>
      <c r="J49" s="17">
        <v>27.485714285714288</v>
      </c>
      <c r="K49" s="17">
        <v>29.685714285714287</v>
      </c>
      <c r="L49" s="17">
        <v>29.574999999999996</v>
      </c>
      <c r="M49" s="17">
        <v>28.04</v>
      </c>
      <c r="N49" s="17">
        <v>25.11</v>
      </c>
      <c r="O49" s="17">
        <v>26.41</v>
      </c>
      <c r="P49" s="17">
        <v>27.01</v>
      </c>
      <c r="Q49" s="17">
        <v>28.33</v>
      </c>
      <c r="R49" s="17">
        <v>28.5</v>
      </c>
      <c r="S49" s="17">
        <v>30.13</v>
      </c>
      <c r="T49" s="17">
        <v>29.1</v>
      </c>
      <c r="U49" s="17">
        <v>30.24285714285714</v>
      </c>
      <c r="V49" s="17">
        <v>32.75714285714286</v>
      </c>
      <c r="W49" s="17">
        <v>32.128571428571426</v>
      </c>
      <c r="Y49" s="17">
        <f t="shared" si="4"/>
        <v>592.39071428571435</v>
      </c>
      <c r="Z49">
        <f t="shared" si="5"/>
        <v>40.194862401874225</v>
      </c>
      <c r="AA49" s="5"/>
    </row>
    <row r="50" spans="1:27" x14ac:dyDescent="0.25">
      <c r="A50" t="s">
        <v>55</v>
      </c>
      <c r="D50" s="17">
        <v>33.47</v>
      </c>
      <c r="E50" s="17">
        <v>34.9</v>
      </c>
      <c r="F50" s="17">
        <v>32.71</v>
      </c>
      <c r="G50" s="17">
        <v>31.61</v>
      </c>
      <c r="H50" s="17">
        <v>28.8</v>
      </c>
      <c r="I50" s="17">
        <v>28.9</v>
      </c>
      <c r="J50" s="17">
        <v>26.99</v>
      </c>
      <c r="K50" s="17">
        <v>25.29</v>
      </c>
      <c r="L50" s="17">
        <v>26</v>
      </c>
      <c r="M50" s="17">
        <v>27.571428571428573</v>
      </c>
      <c r="N50" s="17">
        <v>30.214285714285715</v>
      </c>
      <c r="O50" s="17">
        <v>25.742857142857144</v>
      </c>
      <c r="P50" s="17">
        <v>26.071428571428573</v>
      </c>
      <c r="Q50" s="17">
        <v>29.871428571428567</v>
      </c>
      <c r="R50" s="17">
        <v>30.74285714285714</v>
      </c>
      <c r="S50" s="17">
        <v>31.028571428571432</v>
      </c>
      <c r="T50" s="17">
        <v>33.371428571428574</v>
      </c>
      <c r="U50" s="17">
        <v>35.128571428571426</v>
      </c>
      <c r="V50" s="17">
        <v>34.071428571428569</v>
      </c>
      <c r="W50" s="17">
        <v>35.057142857142857</v>
      </c>
      <c r="Y50" s="17">
        <f t="shared" si="4"/>
        <v>607.54142857142847</v>
      </c>
      <c r="Z50">
        <f t="shared" si="5"/>
        <v>45.803563141646393</v>
      </c>
      <c r="AA50" s="5"/>
    </row>
    <row r="51" spans="1:27" x14ac:dyDescent="0.25">
      <c r="A51" t="s">
        <v>56</v>
      </c>
      <c r="D51" s="17">
        <v>34.028571428571432</v>
      </c>
      <c r="E51" s="17">
        <v>33.042857142857137</v>
      </c>
      <c r="F51" s="17">
        <v>31.400000000000002</v>
      </c>
      <c r="G51" s="17">
        <v>31.428571428571427</v>
      </c>
      <c r="H51" s="17">
        <v>31.214285714285719</v>
      </c>
      <c r="I51" s="17">
        <v>31.585714285714285</v>
      </c>
      <c r="J51" s="17">
        <v>28.885714285714283</v>
      </c>
      <c r="K51" s="17">
        <v>30.185714285714287</v>
      </c>
      <c r="L51" s="17">
        <v>28.900000000000002</v>
      </c>
      <c r="M51" s="17">
        <v>28.642857142857142</v>
      </c>
      <c r="N51" s="17">
        <v>25.342857142857145</v>
      </c>
      <c r="O51" s="17">
        <v>28.885714285714283</v>
      </c>
      <c r="P51" s="17">
        <v>28</v>
      </c>
      <c r="Q51" s="17">
        <v>26.285714285714285</v>
      </c>
      <c r="R51" s="17">
        <v>28.085714285714285</v>
      </c>
      <c r="S51" s="17">
        <v>33.614285714285714</v>
      </c>
      <c r="T51" s="17">
        <v>31.014285714285712</v>
      </c>
      <c r="U51" s="17">
        <v>33.685714285714283</v>
      </c>
      <c r="V51" s="17">
        <v>32.200000000000003</v>
      </c>
      <c r="W51" s="17">
        <v>32.914285714285718</v>
      </c>
      <c r="Y51" s="17">
        <f t="shared" si="4"/>
        <v>609.34285714285727</v>
      </c>
      <c r="Z51">
        <f t="shared" si="5"/>
        <v>42.990887221714814</v>
      </c>
      <c r="AA51" s="5"/>
    </row>
    <row r="52" spans="1:27" x14ac:dyDescent="0.25">
      <c r="A52" t="s">
        <v>57</v>
      </c>
      <c r="D52" s="17">
        <v>35.18571428571429</v>
      </c>
      <c r="E52" s="17">
        <v>34.528571428571425</v>
      </c>
      <c r="F52" s="17">
        <v>34</v>
      </c>
      <c r="G52" s="17">
        <v>31.900000000000002</v>
      </c>
      <c r="H52" s="17">
        <v>31.400000000000002</v>
      </c>
      <c r="I52" s="17">
        <v>30.62857142857143</v>
      </c>
      <c r="J52" s="17">
        <v>28.214285714285715</v>
      </c>
      <c r="K52" s="17">
        <v>29.728571428571428</v>
      </c>
      <c r="L52" s="17">
        <v>28.824999999999999</v>
      </c>
      <c r="M52" s="17">
        <v>29.599999999999998</v>
      </c>
      <c r="N52" s="17">
        <v>29.771428571428572</v>
      </c>
      <c r="O52" s="17">
        <v>27.814285714285717</v>
      </c>
      <c r="P52" s="17">
        <v>28.942857142857143</v>
      </c>
      <c r="Q52" s="17">
        <v>28.099999999999998</v>
      </c>
      <c r="R52" s="17">
        <v>28.185714285714287</v>
      </c>
      <c r="S52" s="17">
        <v>27.68571428571429</v>
      </c>
      <c r="T52" s="17">
        <v>30.53</v>
      </c>
      <c r="U52" s="17">
        <v>33.199999999999996</v>
      </c>
      <c r="V52" s="17">
        <v>32.542857142857144</v>
      </c>
      <c r="W52" s="17">
        <v>35.028571428571425</v>
      </c>
      <c r="Y52" s="17">
        <f t="shared" si="4"/>
        <v>615.81214285714304</v>
      </c>
      <c r="Z52">
        <f t="shared" si="5"/>
        <v>41.867659299651052</v>
      </c>
      <c r="AA52" s="5"/>
    </row>
    <row r="53" spans="1:27" x14ac:dyDescent="0.25">
      <c r="A53" t="s">
        <v>58</v>
      </c>
      <c r="D53" s="17">
        <v>37.071428571428569</v>
      </c>
      <c r="E53" s="17">
        <v>35.857142857142854</v>
      </c>
      <c r="F53" s="17">
        <v>35.414285714285711</v>
      </c>
      <c r="G53" s="17">
        <v>33.785714285714292</v>
      </c>
      <c r="H53" s="17">
        <v>30.785714285714285</v>
      </c>
      <c r="I53" s="17">
        <v>30.471428571428572</v>
      </c>
      <c r="J53" s="17">
        <v>32.714285714285715</v>
      </c>
      <c r="K53" s="17">
        <v>31.142857142857142</v>
      </c>
      <c r="L53" s="17">
        <v>29.875</v>
      </c>
      <c r="M53" s="17">
        <v>27.913714285714285</v>
      </c>
      <c r="N53" s="17">
        <v>25.942857142857143</v>
      </c>
      <c r="O53" s="17">
        <v>27.271428571428572</v>
      </c>
      <c r="P53" s="17">
        <v>29.685714285714287</v>
      </c>
      <c r="Q53" s="17">
        <v>27.971428571428572</v>
      </c>
      <c r="R53" s="17">
        <v>29.142857142857146</v>
      </c>
      <c r="S53" s="17">
        <v>30.328571428571429</v>
      </c>
      <c r="T53" s="17">
        <v>33.18571428571429</v>
      </c>
      <c r="U53" s="17">
        <v>33.842857142857142</v>
      </c>
      <c r="V53" s="17">
        <v>34.171428571428571</v>
      </c>
      <c r="W53" s="17">
        <v>34.728571428571435</v>
      </c>
      <c r="Y53" s="17">
        <f t="shared" si="4"/>
        <v>631.303</v>
      </c>
      <c r="Z53">
        <f t="shared" si="5"/>
        <v>45.220359174305926</v>
      </c>
      <c r="AA53" s="5"/>
    </row>
    <row r="54" spans="1:27" x14ac:dyDescent="0.25">
      <c r="A54" t="s">
        <v>59</v>
      </c>
      <c r="D54" s="17">
        <v>37.071428571428569</v>
      </c>
      <c r="E54" s="17">
        <v>36.98571428571428</v>
      </c>
      <c r="F54" s="17">
        <v>34.271428571428565</v>
      </c>
      <c r="G54" s="17">
        <v>33.385714285714286</v>
      </c>
      <c r="H54" s="17">
        <v>34.171428571428571</v>
      </c>
      <c r="I54" s="17">
        <v>30.714285714285715</v>
      </c>
      <c r="J54" s="17">
        <v>32.485714285714288</v>
      </c>
      <c r="K54" s="17">
        <v>31.085714285714289</v>
      </c>
      <c r="L54" s="17">
        <v>30.042857142857144</v>
      </c>
      <c r="M54" s="17">
        <v>28.614285714285717</v>
      </c>
      <c r="N54" s="17">
        <v>29.671428571428574</v>
      </c>
      <c r="O54" s="17">
        <v>26.971428571428568</v>
      </c>
      <c r="P54" s="17">
        <v>26.457142857142856</v>
      </c>
      <c r="Q54" s="17">
        <v>27.014285714285716</v>
      </c>
      <c r="R54" s="17">
        <v>28.12857142857143</v>
      </c>
      <c r="S54" s="17">
        <v>30.485714285714288</v>
      </c>
      <c r="T54" s="17">
        <v>30.199999999999996</v>
      </c>
      <c r="U54" s="17">
        <v>33.485714285714288</v>
      </c>
      <c r="V54" s="17">
        <v>33.357142857142854</v>
      </c>
      <c r="W54" s="17">
        <v>35.700000000000003</v>
      </c>
      <c r="Y54" s="17">
        <f t="shared" si="4"/>
        <v>630.30000000000007</v>
      </c>
      <c r="Z54">
        <f t="shared" si="5"/>
        <v>44.17398004374936</v>
      </c>
      <c r="AA54" s="5"/>
    </row>
    <row r="55" spans="1:27" x14ac:dyDescent="0.25">
      <c r="A55" t="s">
        <v>60</v>
      </c>
      <c r="D55" s="17">
        <v>36.171428571428571</v>
      </c>
      <c r="E55" s="17">
        <v>34.285714285714285</v>
      </c>
      <c r="F55" s="17">
        <v>32.75714285714286</v>
      </c>
      <c r="G55" s="17">
        <v>34.628571428571426</v>
      </c>
      <c r="H55" s="17">
        <v>32.114285714285714</v>
      </c>
      <c r="I55" s="17">
        <v>32.057142857142857</v>
      </c>
      <c r="J55" s="17">
        <v>32.057142857142857</v>
      </c>
      <c r="K55" s="17">
        <v>31.87142857142857</v>
      </c>
      <c r="L55" s="17">
        <v>28.05</v>
      </c>
      <c r="M55" s="17">
        <v>26.171428571428574</v>
      </c>
      <c r="N55" s="17">
        <v>27.8</v>
      </c>
      <c r="O55" s="17">
        <v>29.285714285714285</v>
      </c>
      <c r="P55" s="17">
        <v>30.685714285714287</v>
      </c>
      <c r="Q55" s="17">
        <v>28.542857142857144</v>
      </c>
      <c r="R55" s="17">
        <v>30.285714285714285</v>
      </c>
      <c r="S55" s="17">
        <v>31.74285714285714</v>
      </c>
      <c r="T55" s="17">
        <v>32.514285714285712</v>
      </c>
      <c r="U55" s="17">
        <v>34.714285714285715</v>
      </c>
      <c r="V55" s="17">
        <v>36.48571428571428</v>
      </c>
      <c r="W55" s="17">
        <v>38.971428571428575</v>
      </c>
      <c r="Y55" s="17">
        <f t="shared" si="4"/>
        <v>641.19285714285706</v>
      </c>
      <c r="Z55">
        <f t="shared" si="5"/>
        <v>46.008820172991804</v>
      </c>
      <c r="AA55" s="5"/>
    </row>
    <row r="56" spans="1:27" x14ac:dyDescent="0.25">
      <c r="A56" t="s">
        <v>61</v>
      </c>
      <c r="D56" s="17">
        <v>35.342857142857149</v>
      </c>
      <c r="E56" s="17">
        <v>35.228571428571428</v>
      </c>
      <c r="F56" s="17">
        <v>33.371428571428574</v>
      </c>
      <c r="G56" s="17">
        <v>32.328571428571429</v>
      </c>
      <c r="H56" s="17">
        <v>32.142857142857146</v>
      </c>
      <c r="I56" s="17">
        <v>32.5</v>
      </c>
      <c r="J56" s="17">
        <v>30.87142857142857</v>
      </c>
      <c r="K56" s="17">
        <v>26.9</v>
      </c>
      <c r="L56" s="17">
        <v>26.337500000000002</v>
      </c>
      <c r="M56" s="17">
        <v>26.328571428571426</v>
      </c>
      <c r="N56" s="17">
        <v>28.328571428571429</v>
      </c>
      <c r="O56" s="17">
        <v>29.857142857142858</v>
      </c>
      <c r="P56" s="17">
        <v>26.285714285714285</v>
      </c>
      <c r="Q56" s="17">
        <v>26.985714285714288</v>
      </c>
      <c r="R56" s="17">
        <v>29.371428571428567</v>
      </c>
      <c r="S56" s="17">
        <v>31.5</v>
      </c>
      <c r="T56" s="17">
        <v>25.842857142857145</v>
      </c>
      <c r="U56" s="17">
        <v>34.642857142857139</v>
      </c>
      <c r="V56" s="17">
        <v>32.1</v>
      </c>
      <c r="W56" s="17">
        <v>35.74285714285714</v>
      </c>
      <c r="Y56" s="17">
        <f t="shared" si="4"/>
        <v>612.00892857142844</v>
      </c>
      <c r="Z56">
        <f t="shared" si="5"/>
        <v>43.003030681088141</v>
      </c>
      <c r="AA56" s="5"/>
    </row>
    <row r="57" spans="1:27" x14ac:dyDescent="0.25">
      <c r="A57" t="s">
        <v>62</v>
      </c>
      <c r="D57" s="17">
        <v>34.357142857142854</v>
      </c>
      <c r="E57" s="17">
        <v>33.271428571428572</v>
      </c>
      <c r="F57" s="17">
        <v>34.828571428571429</v>
      </c>
      <c r="G57" s="17">
        <v>34.057142857142857</v>
      </c>
      <c r="H57" s="17">
        <v>32.685714285714283</v>
      </c>
      <c r="I57" s="17">
        <v>31.057142857142853</v>
      </c>
      <c r="J57" s="17">
        <v>30.74285714285714</v>
      </c>
      <c r="K57" s="17">
        <v>29.971428571428572</v>
      </c>
      <c r="L57" s="17">
        <v>27.412500000000005</v>
      </c>
      <c r="M57" s="17">
        <v>25.87142857142857</v>
      </c>
      <c r="N57" s="17">
        <v>26.900000000000002</v>
      </c>
      <c r="O57" s="17">
        <v>26.157142857142862</v>
      </c>
      <c r="P57" s="17">
        <v>25.985714285714288</v>
      </c>
      <c r="Q57" s="17">
        <v>26.385714285714283</v>
      </c>
      <c r="R57" s="17">
        <v>30.057142857142853</v>
      </c>
      <c r="S57" s="17">
        <v>30.671428571428571</v>
      </c>
      <c r="T57" s="17">
        <v>35.171428571428564</v>
      </c>
      <c r="U57" s="17">
        <v>34.785714285714285</v>
      </c>
      <c r="V57" s="17">
        <v>32.128571428571433</v>
      </c>
      <c r="W57" s="17">
        <v>32.328571428571429</v>
      </c>
      <c r="Y57" s="17">
        <f t="shared" si="4"/>
        <v>614.82678571428573</v>
      </c>
      <c r="Z57">
        <f t="shared" si="5"/>
        <v>45.756419623145185</v>
      </c>
      <c r="AA57" s="5"/>
    </row>
    <row r="58" spans="1:27" x14ac:dyDescent="0.25">
      <c r="A58" t="s">
        <v>63</v>
      </c>
      <c r="D58" s="17">
        <v>35.071428571428569</v>
      </c>
      <c r="E58" s="17">
        <v>32.9</v>
      </c>
      <c r="F58" s="17">
        <v>32.9</v>
      </c>
      <c r="G58" s="17">
        <v>32.928571428571431</v>
      </c>
      <c r="H58" s="17">
        <v>30.228571428571428</v>
      </c>
      <c r="I58" s="17">
        <v>29.385714285714283</v>
      </c>
      <c r="J58" s="17">
        <v>28.814285714285717</v>
      </c>
      <c r="K58" s="17">
        <v>26.5</v>
      </c>
      <c r="L58" s="17">
        <v>26.85</v>
      </c>
      <c r="M58" s="17">
        <v>26.328571428571429</v>
      </c>
      <c r="N58" s="17">
        <v>28.185714285714287</v>
      </c>
      <c r="O58" s="17">
        <v>29.385714285714283</v>
      </c>
      <c r="P58" s="17">
        <v>26.571428571428573</v>
      </c>
      <c r="Q58" s="17">
        <v>32.300000000000004</v>
      </c>
      <c r="R58" s="17">
        <v>31.88571428571429</v>
      </c>
      <c r="S58" s="17">
        <v>32.614285714285714</v>
      </c>
      <c r="T58" s="17">
        <v>34.014285714285712</v>
      </c>
      <c r="U58" s="17">
        <v>31.857142857142858</v>
      </c>
      <c r="V58" s="17">
        <v>33.585714285714282</v>
      </c>
      <c r="W58" s="17">
        <v>34.642857142857146</v>
      </c>
      <c r="Y58" s="17">
        <f t="shared" si="4"/>
        <v>616.95000000000005</v>
      </c>
      <c r="Z58">
        <f t="shared" si="5"/>
        <v>44.797163003231447</v>
      </c>
      <c r="AA58" s="5"/>
    </row>
    <row r="59" spans="1:27" x14ac:dyDescent="0.25">
      <c r="A59" t="s">
        <v>64</v>
      </c>
      <c r="D59" s="17">
        <v>34.485714285714288</v>
      </c>
      <c r="E59" s="17">
        <v>33.842857142857142</v>
      </c>
      <c r="F59" s="17">
        <v>33.414285714285711</v>
      </c>
      <c r="G59" s="17">
        <v>32.771428571428565</v>
      </c>
      <c r="H59" s="17">
        <v>30.199999999999996</v>
      </c>
      <c r="I59" s="17">
        <v>31.085714285714285</v>
      </c>
      <c r="J59" s="17">
        <v>28.914285714285711</v>
      </c>
      <c r="K59" s="17">
        <v>29.671428571428571</v>
      </c>
      <c r="L59" s="17">
        <v>29.512499999999996</v>
      </c>
      <c r="M59" s="17">
        <v>26.357142857142858</v>
      </c>
      <c r="N59" s="17">
        <v>26.014285714285712</v>
      </c>
      <c r="O59" s="17">
        <v>27.871428571428574</v>
      </c>
      <c r="P59" s="17">
        <v>29.771428571428572</v>
      </c>
      <c r="Q59" s="17">
        <v>30.900000000000002</v>
      </c>
      <c r="R59" s="17">
        <v>31.357142857142858</v>
      </c>
      <c r="S59" s="17">
        <v>29.028571428571428</v>
      </c>
      <c r="T59" s="17">
        <v>32.328571428571429</v>
      </c>
      <c r="U59" s="17">
        <v>33.642857142857146</v>
      </c>
      <c r="V59" s="17">
        <v>35.18571428571429</v>
      </c>
      <c r="W59" s="17">
        <v>35.514285714285712</v>
      </c>
      <c r="Y59" s="17">
        <f t="shared" si="4"/>
        <v>621.86964285714282</v>
      </c>
      <c r="Z59">
        <f t="shared" si="5"/>
        <v>44.513998675082618</v>
      </c>
      <c r="AA59" s="5"/>
    </row>
    <row r="60" spans="1:27" x14ac:dyDescent="0.25">
      <c r="A60" t="s">
        <v>65</v>
      </c>
      <c r="D60" s="17">
        <v>35.057142857142857</v>
      </c>
      <c r="E60" s="17">
        <v>35.557142857142857</v>
      </c>
      <c r="F60" s="17">
        <v>33.842857142857142</v>
      </c>
      <c r="G60" s="17">
        <v>32.1</v>
      </c>
      <c r="H60" s="17">
        <v>31.371428571428574</v>
      </c>
      <c r="I60" s="17">
        <v>29.1</v>
      </c>
      <c r="J60" s="17">
        <v>28.314285714285713</v>
      </c>
      <c r="K60" s="17">
        <v>28.457142857142856</v>
      </c>
      <c r="L60" s="17">
        <v>29.25</v>
      </c>
      <c r="M60" s="17">
        <v>27.085714285714289</v>
      </c>
      <c r="N60" s="17">
        <v>29.342857142857145</v>
      </c>
      <c r="O60" s="17">
        <v>29.728571428571428</v>
      </c>
      <c r="P60" s="17">
        <v>24.742857142857144</v>
      </c>
      <c r="Q60" s="17">
        <v>26.457142857142856</v>
      </c>
      <c r="R60" s="17">
        <v>22.3</v>
      </c>
      <c r="S60" s="17">
        <v>29.542857142857144</v>
      </c>
      <c r="T60" s="17">
        <v>34.01428571428572</v>
      </c>
      <c r="U60" s="17">
        <v>36.642857142857146</v>
      </c>
      <c r="V60" s="17">
        <v>35.071428571428569</v>
      </c>
      <c r="W60" s="17">
        <v>37.671428571428571</v>
      </c>
      <c r="Y60" s="17">
        <f t="shared" si="4"/>
        <v>615.65</v>
      </c>
      <c r="Z60">
        <f t="shared" si="5"/>
        <v>49.992063277267647</v>
      </c>
      <c r="AA60" s="5"/>
    </row>
    <row r="61" spans="1:27" x14ac:dyDescent="0.25">
      <c r="A61" t="s">
        <v>66</v>
      </c>
      <c r="D61" s="17">
        <v>35</v>
      </c>
      <c r="E61" s="17">
        <v>34.74285714285714</v>
      </c>
      <c r="F61" s="17">
        <v>32.81428571428571</v>
      </c>
      <c r="G61" s="17">
        <v>30.87142857142857</v>
      </c>
      <c r="H61" s="17">
        <v>29.471428571428568</v>
      </c>
      <c r="I61" s="17">
        <v>33.757142857142853</v>
      </c>
      <c r="J61" s="17">
        <v>30.485714285714288</v>
      </c>
      <c r="K61" s="17">
        <v>30.342857142857149</v>
      </c>
      <c r="L61" s="17">
        <v>29.499999999999996</v>
      </c>
      <c r="M61" s="17">
        <v>27.87142857142857</v>
      </c>
      <c r="N61" s="17">
        <v>26.442857142857147</v>
      </c>
      <c r="O61" s="17">
        <v>30.742857142857137</v>
      </c>
      <c r="P61" s="17">
        <v>28.328571428571426</v>
      </c>
      <c r="Q61" s="17">
        <v>30.614285714285717</v>
      </c>
      <c r="R61" s="17">
        <v>30.37142857142857</v>
      </c>
      <c r="S61" s="17">
        <v>30.314285714285713</v>
      </c>
      <c r="T61" s="17">
        <v>32.471428571428575</v>
      </c>
      <c r="U61" s="17">
        <v>34.885714285714286</v>
      </c>
      <c r="V61" s="17">
        <v>34.357142857142854</v>
      </c>
      <c r="W61" s="17">
        <v>38.085714285714289</v>
      </c>
      <c r="Y61" s="17">
        <f t="shared" si="4"/>
        <v>631.47142857142842</v>
      </c>
      <c r="Z61">
        <f t="shared" si="5"/>
        <v>46.725553208517923</v>
      </c>
      <c r="AA61" s="5"/>
    </row>
    <row r="62" spans="1:27" x14ac:dyDescent="0.25">
      <c r="A62" t="s">
        <v>67</v>
      </c>
      <c r="D62" s="17">
        <v>35.928571428571431</v>
      </c>
      <c r="E62" s="17">
        <v>34.228571428571435</v>
      </c>
      <c r="F62" s="17">
        <v>28.457142857142859</v>
      </c>
      <c r="G62" s="17">
        <v>30.328571428571426</v>
      </c>
      <c r="H62" s="17">
        <v>31.414285714285715</v>
      </c>
      <c r="I62" s="17">
        <v>30.300000000000004</v>
      </c>
      <c r="J62" s="17">
        <v>31.61428571428571</v>
      </c>
      <c r="K62" s="17">
        <v>29.285714285714285</v>
      </c>
      <c r="L62" s="17">
        <v>32.471428571428568</v>
      </c>
      <c r="M62" s="17">
        <v>27.471428571428568</v>
      </c>
      <c r="N62" s="17">
        <v>27.842857142857138</v>
      </c>
      <c r="O62" s="17">
        <v>28.057142857142857</v>
      </c>
      <c r="P62" s="17">
        <v>30.742857142857151</v>
      </c>
      <c r="Q62" s="17">
        <v>29.942857142857143</v>
      </c>
      <c r="R62" s="17">
        <v>31.042857142857141</v>
      </c>
      <c r="S62" s="17">
        <v>30.157142857142855</v>
      </c>
      <c r="T62" s="17">
        <v>31.157142857142862</v>
      </c>
      <c r="U62" s="17">
        <v>33.4</v>
      </c>
      <c r="V62" s="17">
        <v>34.285714285714285</v>
      </c>
      <c r="W62" s="17">
        <v>37.585714285714289</v>
      </c>
      <c r="Y62" s="17">
        <f t="shared" si="4"/>
        <v>625.71428571428578</v>
      </c>
      <c r="Z62">
        <f t="shared" si="5"/>
        <v>43.099133948717324</v>
      </c>
      <c r="AA62" s="5"/>
    </row>
    <row r="63" spans="1:27" x14ac:dyDescent="0.25">
      <c r="A63" t="s">
        <v>68</v>
      </c>
      <c r="D63" s="17">
        <v>29.485714285714284</v>
      </c>
      <c r="E63" s="17">
        <v>33.857142857142854</v>
      </c>
      <c r="F63" s="17">
        <v>33.671428571428571</v>
      </c>
      <c r="G63" s="17">
        <v>28.37142857142857</v>
      </c>
      <c r="H63" s="17">
        <v>29.557142857142857</v>
      </c>
      <c r="I63" s="17">
        <v>28.828571428571426</v>
      </c>
      <c r="J63" s="17">
        <v>27.24285714285714</v>
      </c>
      <c r="K63" s="17">
        <v>28.442857142857147</v>
      </c>
      <c r="L63" s="17">
        <v>28.037500000000001</v>
      </c>
      <c r="M63" s="17">
        <v>25.657142857142862</v>
      </c>
      <c r="N63" s="17">
        <v>27.828571428571426</v>
      </c>
      <c r="O63" s="17">
        <v>27.314285714285713</v>
      </c>
      <c r="P63" s="17">
        <v>29.542857142857144</v>
      </c>
      <c r="Q63" s="17">
        <v>29.557142857142857</v>
      </c>
      <c r="R63" s="17">
        <v>31.314285714285713</v>
      </c>
      <c r="S63" s="17">
        <v>30.957142857142856</v>
      </c>
      <c r="T63" s="17">
        <v>32.357142857142854</v>
      </c>
      <c r="U63" s="17">
        <v>32.085714285714282</v>
      </c>
      <c r="V63" s="17">
        <v>32</v>
      </c>
      <c r="W63" s="17">
        <v>33.885714285714286</v>
      </c>
      <c r="Y63" s="17">
        <f t="shared" si="4"/>
        <v>599.99464285714271</v>
      </c>
      <c r="Z63">
        <f t="shared" si="5"/>
        <v>42.862357313607561</v>
      </c>
      <c r="AA63" s="5"/>
    </row>
    <row r="64" spans="1:27" x14ac:dyDescent="0.25">
      <c r="A64" t="s">
        <v>69</v>
      </c>
      <c r="D64" s="17">
        <v>35.757142857142853</v>
      </c>
      <c r="E64" s="17">
        <v>36.057142857142857</v>
      </c>
      <c r="F64" s="17">
        <v>35.342857142857149</v>
      </c>
      <c r="G64" s="17">
        <v>33.742857142857147</v>
      </c>
      <c r="H64" s="17">
        <v>31.614285714285717</v>
      </c>
      <c r="I64" s="17">
        <v>33.071428571428569</v>
      </c>
      <c r="J64" s="17">
        <v>30.014285714285712</v>
      </c>
      <c r="K64" s="17">
        <v>29.828571428571426</v>
      </c>
      <c r="L64" s="17">
        <v>28.075000000000003</v>
      </c>
      <c r="M64" s="17">
        <v>26.285714285714285</v>
      </c>
      <c r="N64" s="17">
        <v>25.342857142857138</v>
      </c>
      <c r="O64" s="17">
        <v>26.685714285714283</v>
      </c>
      <c r="P64" s="17">
        <v>27.842857142857145</v>
      </c>
      <c r="Q64" s="17">
        <v>27.800000000000004</v>
      </c>
      <c r="R64" s="17">
        <v>26.214285714285715</v>
      </c>
      <c r="S64" s="17">
        <v>29.442857142857143</v>
      </c>
      <c r="T64" s="17">
        <v>31.842857142857145</v>
      </c>
      <c r="U64" s="17">
        <v>32.74285714285714</v>
      </c>
      <c r="V64" s="17">
        <v>37.18571428571429</v>
      </c>
      <c r="W64" s="17">
        <v>35.414285714285718</v>
      </c>
      <c r="Y64" s="17">
        <f t="shared" si="4"/>
        <v>620.30357142857144</v>
      </c>
      <c r="Z64">
        <f t="shared" si="5"/>
        <v>45.987041527375581</v>
      </c>
      <c r="AA64" s="5"/>
    </row>
    <row r="65" spans="1:27" x14ac:dyDescent="0.25"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Y65" s="17"/>
      <c r="AA65" s="5"/>
    </row>
    <row r="66" spans="1:27" x14ac:dyDescent="0.25">
      <c r="A66" t="s">
        <v>70</v>
      </c>
      <c r="D66" s="17">
        <v>33.542857142857144</v>
      </c>
      <c r="E66" s="17">
        <v>32.585714285714289</v>
      </c>
      <c r="F66" s="17">
        <v>33.214285714285715</v>
      </c>
      <c r="G66" s="17">
        <v>31.442857142857143</v>
      </c>
      <c r="H66" s="17">
        <v>31.099999999999998</v>
      </c>
      <c r="I66" s="17">
        <v>30.514285714285712</v>
      </c>
      <c r="J66" s="17">
        <v>30.957142857142856</v>
      </c>
      <c r="K66" s="17">
        <v>29.657142857142855</v>
      </c>
      <c r="L66" s="17">
        <v>28.599999999999998</v>
      </c>
      <c r="M66" s="17">
        <v>25.885714285714283</v>
      </c>
      <c r="N66" s="17">
        <v>27.914285714285715</v>
      </c>
      <c r="O66" s="17">
        <v>26.942857142857143</v>
      </c>
      <c r="P66" s="17">
        <v>26.285714285714285</v>
      </c>
      <c r="Q66" s="17">
        <v>30.471428571428568</v>
      </c>
      <c r="R66" s="17">
        <v>28.214285714285715</v>
      </c>
      <c r="S66" s="17">
        <v>30.935194805194808</v>
      </c>
      <c r="T66" s="17">
        <v>29.871428571428574</v>
      </c>
      <c r="U66" s="17">
        <v>30.428571428571427</v>
      </c>
      <c r="V66" s="17">
        <v>33.528571428571425</v>
      </c>
      <c r="W66" s="17">
        <v>36.285714285714285</v>
      </c>
      <c r="Y66" s="17">
        <f t="shared" si="4"/>
        <v>608.37805194805196</v>
      </c>
      <c r="Z66">
        <f>SUMPRODUCT($D$70:$W$70,D66:W66)</f>
        <v>43.094953669594631</v>
      </c>
      <c r="AA66" s="5"/>
    </row>
    <row r="67" spans="1:27" x14ac:dyDescent="0.25">
      <c r="A67" t="s">
        <v>314</v>
      </c>
      <c r="D67" s="17">
        <v>34.4</v>
      </c>
      <c r="E67" s="17">
        <v>33.671428571428571</v>
      </c>
      <c r="F67" s="17">
        <v>30.471428571428572</v>
      </c>
      <c r="G67" s="17">
        <v>31.785714285714285</v>
      </c>
      <c r="H67" s="17">
        <v>31.957142857142856</v>
      </c>
      <c r="I67" s="17">
        <v>31.014285714285712</v>
      </c>
      <c r="J67" s="17">
        <v>30.099999999999998</v>
      </c>
      <c r="K67" s="17">
        <v>28.642857142857146</v>
      </c>
      <c r="L67" s="17">
        <v>23.462499999999999</v>
      </c>
      <c r="M67" s="17">
        <v>26.38571428571429</v>
      </c>
      <c r="N67" s="17">
        <v>26.157142857142862</v>
      </c>
      <c r="O67" s="17">
        <v>26.271428571428572</v>
      </c>
      <c r="P67" s="17">
        <v>24.6</v>
      </c>
      <c r="Q67" s="17">
        <v>30.3</v>
      </c>
      <c r="R67" s="17">
        <v>29.6</v>
      </c>
      <c r="S67" s="17">
        <v>29.5</v>
      </c>
      <c r="T67" s="17">
        <v>31.948181818181819</v>
      </c>
      <c r="U67" s="17">
        <v>34.1</v>
      </c>
      <c r="V67" s="17">
        <v>33.933766233766228</v>
      </c>
      <c r="W67" s="17">
        <v>36</v>
      </c>
      <c r="Y67" s="17">
        <f t="shared" si="4"/>
        <v>604.30159090909103</v>
      </c>
      <c r="Z67">
        <f>SUMPRODUCT($D$70:$W$70,D67:W67)</f>
        <v>44.588361718726325</v>
      </c>
      <c r="AA67" s="5"/>
    </row>
    <row r="68" spans="1:27" x14ac:dyDescent="0.25">
      <c r="A68" t="s">
        <v>315</v>
      </c>
      <c r="D68" s="22">
        <v>35.857142857142854</v>
      </c>
      <c r="E68" s="22">
        <v>34.971428571428575</v>
      </c>
      <c r="F68" s="22">
        <v>34.428571428571431</v>
      </c>
      <c r="G68" s="22">
        <v>33.471428571428568</v>
      </c>
      <c r="H68" s="23">
        <v>32.571428571428569</v>
      </c>
      <c r="I68" s="23">
        <v>31.171428571428571</v>
      </c>
      <c r="J68" s="23">
        <v>28.61428571428571</v>
      </c>
      <c r="K68" s="23">
        <v>26.328571428571429</v>
      </c>
      <c r="L68" s="23">
        <v>23.762500000000003</v>
      </c>
      <c r="M68" s="16">
        <v>26.1</v>
      </c>
      <c r="N68" s="16">
        <v>26.4</v>
      </c>
      <c r="O68" s="16">
        <v>26.7</v>
      </c>
      <c r="P68" s="16">
        <v>27.730158730158731</v>
      </c>
      <c r="Q68" s="16">
        <v>28.793650793650798</v>
      </c>
      <c r="R68" s="16">
        <v>29.422222222222224</v>
      </c>
      <c r="S68" s="16">
        <v>30.673015873015874</v>
      </c>
      <c r="T68" s="16">
        <v>35.342857142857142</v>
      </c>
      <c r="U68" s="16">
        <v>27.828571428571426</v>
      </c>
      <c r="V68" s="16">
        <v>32.157142857142858</v>
      </c>
      <c r="W68" s="16">
        <v>32.81428571428571</v>
      </c>
      <c r="Y68" s="17">
        <f t="shared" si="4"/>
        <v>605.13869047619039</v>
      </c>
      <c r="Z68">
        <f>SUMPRODUCT($D$70:$W$70,D68:W68)</f>
        <v>41.835408852017807</v>
      </c>
      <c r="AA68" s="5"/>
    </row>
    <row r="69" spans="1:27" x14ac:dyDescent="0.25">
      <c r="A69" t="s">
        <v>677</v>
      </c>
      <c r="D69" s="17">
        <v>33.914285714285711</v>
      </c>
      <c r="E69" s="17">
        <v>35.771428571428565</v>
      </c>
      <c r="F69" s="17">
        <v>34.928571428571431</v>
      </c>
      <c r="G69" s="17">
        <v>33.74285714285714</v>
      </c>
      <c r="H69" s="17">
        <v>32.085714285714282</v>
      </c>
      <c r="I69" s="17">
        <v>32.957142857142856</v>
      </c>
      <c r="J69" s="17">
        <v>28.585714285714285</v>
      </c>
      <c r="K69" s="17">
        <v>27.714285714285715</v>
      </c>
      <c r="L69" s="17">
        <v>25.299999999999997</v>
      </c>
      <c r="M69" s="17">
        <v>31.87142857142857</v>
      </c>
      <c r="N69" s="17">
        <v>30.042857142857144</v>
      </c>
      <c r="O69" s="17">
        <v>26.071428571428601</v>
      </c>
      <c r="P69" s="17">
        <v>28.2</v>
      </c>
      <c r="Q69" s="17">
        <v>30.385714285714283</v>
      </c>
      <c r="R69" s="17">
        <v>29.928571428571427</v>
      </c>
      <c r="S69" s="17">
        <v>30</v>
      </c>
      <c r="T69" s="17">
        <v>31.827582417582423</v>
      </c>
      <c r="U69" s="17">
        <v>33.904395604395603</v>
      </c>
      <c r="V69" s="17">
        <v>33.693406593406593</v>
      </c>
      <c r="W69" s="17">
        <v>35.270329670329673</v>
      </c>
      <c r="Y69" s="17">
        <f t="shared" ref="Y69" si="6">SUM(D69:W69)</f>
        <v>626.19571428571442</v>
      </c>
      <c r="Z69">
        <f>SUMPRODUCT($D$70:$W$70,D69:W69)</f>
        <v>42.628347966295749</v>
      </c>
    </row>
    <row r="70" spans="1:27" x14ac:dyDescent="0.25">
      <c r="A70" s="2" t="s">
        <v>71</v>
      </c>
      <c r="D70" s="3">
        <f>CORREL($B$2:$B$28,D38:D64)</f>
        <v>-7.1966136473552253E-2</v>
      </c>
      <c r="E70" s="3">
        <f t="shared" ref="E70:W70" si="7">CORREL($B$2:$B$28,E38:E64)</f>
        <v>0.27920281688752246</v>
      </c>
      <c r="F70" s="3">
        <f t="shared" si="7"/>
        <v>0.11291567232922739</v>
      </c>
      <c r="G70" s="3">
        <f t="shared" si="7"/>
        <v>8.1406878485780043E-2</v>
      </c>
      <c r="H70" s="3">
        <f t="shared" si="7"/>
        <v>-0.22688419730484569</v>
      </c>
      <c r="I70" s="3">
        <f t="shared" si="7"/>
        <v>6.7513652806691735E-2</v>
      </c>
      <c r="J70" s="3">
        <f t="shared" si="7"/>
        <v>5.4227728336649191E-2</v>
      </c>
      <c r="K70" s="3">
        <f t="shared" si="7"/>
        <v>2.0506417954133587E-2</v>
      </c>
      <c r="L70" s="3">
        <f t="shared" si="7"/>
        <v>0.16809683884291016</v>
      </c>
      <c r="M70" s="3">
        <f t="shared" si="7"/>
        <v>-0.31535764499859914</v>
      </c>
      <c r="N70" s="3">
        <f t="shared" si="7"/>
        <v>-3.2057308575767988E-2</v>
      </c>
      <c r="O70" s="3">
        <f t="shared" si="7"/>
        <v>0.14052907038002097</v>
      </c>
      <c r="P70" s="3">
        <f t="shared" si="7"/>
        <v>-0.37632656924582319</v>
      </c>
      <c r="Q70" s="3">
        <f t="shared" si="7"/>
        <v>6.2455171266020161E-2</v>
      </c>
      <c r="R70" s="3">
        <f t="shared" si="7"/>
        <v>-0.15411643372598888</v>
      </c>
      <c r="S70" s="3">
        <f t="shared" si="7"/>
        <v>0.14246099937213194</v>
      </c>
      <c r="T70" s="3">
        <f t="shared" si="7"/>
        <v>0.43127970695695772</v>
      </c>
      <c r="U70" s="3">
        <f t="shared" si="7"/>
        <v>0.46248674551304636</v>
      </c>
      <c r="V70" s="3">
        <f t="shared" si="7"/>
        <v>0.20016496982729054</v>
      </c>
      <c r="W70" s="3">
        <f t="shared" si="7"/>
        <v>0.20772103646766982</v>
      </c>
    </row>
    <row r="71" spans="1:27" x14ac:dyDescent="0.25">
      <c r="P71" s="17"/>
      <c r="Q71" s="17"/>
      <c r="R71" s="17"/>
      <c r="S71" s="17"/>
      <c r="T71" s="17"/>
      <c r="U71" s="17"/>
      <c r="V71" s="17"/>
      <c r="W71" s="17"/>
    </row>
    <row r="72" spans="1:27" x14ac:dyDescent="0.25">
      <c r="P72" s="17"/>
      <c r="Q72" s="17"/>
      <c r="R72" s="17"/>
      <c r="S72" s="17"/>
      <c r="T72" s="17"/>
      <c r="U72" s="17"/>
      <c r="V72" s="17"/>
      <c r="W72" s="17"/>
    </row>
    <row r="73" spans="1:27" x14ac:dyDescent="0.25">
      <c r="D73" t="s">
        <v>82</v>
      </c>
      <c r="E73" t="s">
        <v>83</v>
      </c>
      <c r="F73" t="s">
        <v>84</v>
      </c>
      <c r="G73" t="s">
        <v>85</v>
      </c>
      <c r="H73" t="s">
        <v>86</v>
      </c>
      <c r="I73" t="s">
        <v>87</v>
      </c>
      <c r="J73" t="s">
        <v>88</v>
      </c>
      <c r="K73" t="s">
        <v>89</v>
      </c>
      <c r="L73" t="s">
        <v>342</v>
      </c>
      <c r="M73" t="s">
        <v>374</v>
      </c>
      <c r="N73" t="s">
        <v>375</v>
      </c>
      <c r="O73" t="s">
        <v>376</v>
      </c>
      <c r="P73" s="17" t="s">
        <v>461</v>
      </c>
      <c r="Q73" s="17" t="s">
        <v>462</v>
      </c>
      <c r="R73" s="17" t="s">
        <v>463</v>
      </c>
      <c r="S73" s="17" t="s">
        <v>464</v>
      </c>
      <c r="T73" s="17" t="s">
        <v>573</v>
      </c>
      <c r="U73" s="17" t="s">
        <v>574</v>
      </c>
      <c r="V73" s="17" t="s">
        <v>575</v>
      </c>
      <c r="W73" s="17" t="s">
        <v>576</v>
      </c>
      <c r="Y73" t="s">
        <v>90</v>
      </c>
      <c r="Z73" t="s">
        <v>91</v>
      </c>
    </row>
    <row r="74" spans="1:27" x14ac:dyDescent="0.25">
      <c r="A74" t="s">
        <v>43</v>
      </c>
      <c r="D74" s="23">
        <v>15.814285714285715</v>
      </c>
      <c r="E74" s="23">
        <v>15.671428571428573</v>
      </c>
      <c r="F74" s="23">
        <v>14.785714285714286</v>
      </c>
      <c r="G74" s="23">
        <v>13.971428571428573</v>
      </c>
      <c r="H74" s="23">
        <v>14.685714285714285</v>
      </c>
      <c r="I74" s="23">
        <v>12.62857142857143</v>
      </c>
      <c r="J74" s="23">
        <v>14.599999999999998</v>
      </c>
      <c r="K74" s="23">
        <v>14.557142857142855</v>
      </c>
      <c r="L74" s="23">
        <v>12.387499999999999</v>
      </c>
      <c r="M74" s="23">
        <v>11.457142857142857</v>
      </c>
      <c r="N74" s="23">
        <v>11.685714285714285</v>
      </c>
      <c r="O74" s="23">
        <v>11.27142857142857</v>
      </c>
      <c r="P74" s="17">
        <v>12.485714285714286</v>
      </c>
      <c r="Q74" s="17">
        <v>11.842857142857143</v>
      </c>
      <c r="R74" s="17">
        <v>13.542857142857143</v>
      </c>
      <c r="S74" s="17">
        <v>12.157142857142857</v>
      </c>
      <c r="T74" s="17">
        <v>13.928571428571429</v>
      </c>
      <c r="U74" s="17">
        <v>15.428571428571429</v>
      </c>
      <c r="V74" s="17">
        <v>17.142857142857142</v>
      </c>
      <c r="W74" s="17">
        <v>15.242857142857142</v>
      </c>
      <c r="Y74" s="17">
        <f t="shared" ref="Y74:Y104" si="8">SUM(D74:W74)</f>
        <v>275.28749999999997</v>
      </c>
      <c r="Z74">
        <f t="shared" ref="Z74:Z100" si="9">SUMPRODUCT($D$106:$W$106,D74:W74)</f>
        <v>51.148364622538814</v>
      </c>
    </row>
    <row r="75" spans="1:27" x14ac:dyDescent="0.25">
      <c r="A75" t="s">
        <v>44</v>
      </c>
      <c r="D75" s="23">
        <v>16.3</v>
      </c>
      <c r="E75" s="23">
        <v>15.2</v>
      </c>
      <c r="F75" s="23">
        <v>15.1</v>
      </c>
      <c r="G75" s="23">
        <v>14.2</v>
      </c>
      <c r="H75" s="23">
        <v>14.5</v>
      </c>
      <c r="I75" s="23">
        <v>13.8</v>
      </c>
      <c r="J75" s="23">
        <v>14.3</v>
      </c>
      <c r="K75" s="23">
        <v>13.9</v>
      </c>
      <c r="L75" s="23">
        <v>11.3</v>
      </c>
      <c r="M75" s="23">
        <v>11.5</v>
      </c>
      <c r="N75" s="23">
        <v>12.3</v>
      </c>
      <c r="O75" s="23">
        <v>11.6</v>
      </c>
      <c r="P75" s="17">
        <v>11.659120879120879</v>
      </c>
      <c r="Q75" s="17">
        <v>11.123186813186813</v>
      </c>
      <c r="R75" s="17">
        <v>11.984945054945054</v>
      </c>
      <c r="S75" s="17">
        <v>12.131868131868133</v>
      </c>
      <c r="T75" s="17">
        <v>12.574155844155843</v>
      </c>
      <c r="U75" s="17">
        <v>13.379090909090907</v>
      </c>
      <c r="V75" s="17">
        <v>14.922077922077921</v>
      </c>
      <c r="W75" s="17">
        <v>17.084025974025973</v>
      </c>
      <c r="Y75" s="17">
        <f t="shared" si="8"/>
        <v>268.85847152847157</v>
      </c>
      <c r="Z75">
        <f t="shared" si="9"/>
        <v>50.282131858619884</v>
      </c>
    </row>
    <row r="76" spans="1:27" x14ac:dyDescent="0.25">
      <c r="A76" t="s">
        <v>45</v>
      </c>
      <c r="D76" s="23">
        <v>17.814285714285713</v>
      </c>
      <c r="E76" s="23">
        <v>15.757142857142856</v>
      </c>
      <c r="F76" s="23">
        <v>15.514285714285714</v>
      </c>
      <c r="G76" s="23">
        <v>14.285714285714288</v>
      </c>
      <c r="H76" s="23">
        <v>15.514285714285714</v>
      </c>
      <c r="I76" s="23">
        <v>14.057142857142859</v>
      </c>
      <c r="J76" s="23">
        <v>14.6</v>
      </c>
      <c r="K76" s="23">
        <v>12.185714285714287</v>
      </c>
      <c r="L76" s="23">
        <v>13.200000000000001</v>
      </c>
      <c r="M76" s="23">
        <v>12.414285714285713</v>
      </c>
      <c r="N76" s="23">
        <v>13.342857142857143</v>
      </c>
      <c r="O76" s="23">
        <v>11.314285714285715</v>
      </c>
      <c r="P76" s="17">
        <v>10.671428571428573</v>
      </c>
      <c r="Q76" s="17">
        <v>11.742857142857144</v>
      </c>
      <c r="R76" s="17">
        <v>12.542857142857143</v>
      </c>
      <c r="S76" s="17">
        <v>13.157142857142857</v>
      </c>
      <c r="T76" s="17">
        <v>14.685714285714285</v>
      </c>
      <c r="U76" s="17">
        <v>14.114285714285716</v>
      </c>
      <c r="V76" s="17">
        <v>16.828571428571429</v>
      </c>
      <c r="W76" s="17">
        <v>18.3</v>
      </c>
      <c r="Y76" s="17">
        <f t="shared" si="8"/>
        <v>282.04285714285714</v>
      </c>
      <c r="Z76">
        <f t="shared" si="9"/>
        <v>53.160446958279962</v>
      </c>
    </row>
    <row r="77" spans="1:27" x14ac:dyDescent="0.25">
      <c r="A77" t="s">
        <v>46</v>
      </c>
      <c r="D77" s="23">
        <v>16.542857142857144</v>
      </c>
      <c r="E77" s="23">
        <v>14.642857142857142</v>
      </c>
      <c r="F77" s="23">
        <v>12.957142857142857</v>
      </c>
      <c r="G77" s="23">
        <v>13.399999999999997</v>
      </c>
      <c r="H77" s="23">
        <v>12.428571428571429</v>
      </c>
      <c r="I77" s="23">
        <v>12.6</v>
      </c>
      <c r="J77" s="23">
        <v>15.242857142857142</v>
      </c>
      <c r="K77" s="23">
        <v>12.442857142857141</v>
      </c>
      <c r="L77" s="23">
        <v>11.174999999999999</v>
      </c>
      <c r="M77" s="23">
        <v>10.185714285714285</v>
      </c>
      <c r="N77" s="23">
        <v>8.6142857142857157</v>
      </c>
      <c r="O77" s="23">
        <v>9.0142857142857142</v>
      </c>
      <c r="P77" s="17">
        <v>9.0285714285714285</v>
      </c>
      <c r="Q77" s="17">
        <v>10.428571428571431</v>
      </c>
      <c r="R77" s="17">
        <v>10.028571428571428</v>
      </c>
      <c r="S77" s="17">
        <v>13</v>
      </c>
      <c r="T77" s="17">
        <v>10.114285714285714</v>
      </c>
      <c r="U77" s="17">
        <v>12.700000000000001</v>
      </c>
      <c r="V77" s="17">
        <v>15.557142857142859</v>
      </c>
      <c r="W77" s="17">
        <v>15.671428571428573</v>
      </c>
      <c r="Y77" s="17">
        <f t="shared" si="8"/>
        <v>245.77500000000001</v>
      </c>
      <c r="Z77">
        <f t="shared" si="9"/>
        <v>45.377260815227373</v>
      </c>
    </row>
    <row r="78" spans="1:27" x14ac:dyDescent="0.25">
      <c r="A78" t="s">
        <v>47</v>
      </c>
      <c r="D78" s="23">
        <v>17.100000000000001</v>
      </c>
      <c r="E78" s="23">
        <v>17.028571428571428</v>
      </c>
      <c r="F78" s="23">
        <v>16.442857142857143</v>
      </c>
      <c r="G78" s="23">
        <v>15.12857142857143</v>
      </c>
      <c r="H78" s="23">
        <v>17.171428571428571</v>
      </c>
      <c r="I78" s="23">
        <v>13.385714285714284</v>
      </c>
      <c r="J78" s="23">
        <v>12.72857142857143</v>
      </c>
      <c r="K78" s="23">
        <v>12.357142857142858</v>
      </c>
      <c r="L78" s="23">
        <v>11.4125</v>
      </c>
      <c r="M78" s="23">
        <v>12.714285714285712</v>
      </c>
      <c r="N78" s="23">
        <v>12.000000000000002</v>
      </c>
      <c r="O78" s="23">
        <v>10.485714285714286</v>
      </c>
      <c r="P78" s="17">
        <v>12.471428571428572</v>
      </c>
      <c r="Q78" s="17">
        <v>10.485714285714286</v>
      </c>
      <c r="R78" s="17">
        <v>15.071428571428573</v>
      </c>
      <c r="S78" s="17">
        <v>14.285714285714283</v>
      </c>
      <c r="T78" s="17">
        <v>12.571428571428571</v>
      </c>
      <c r="U78" s="17">
        <v>13.885714285714284</v>
      </c>
      <c r="V78" s="17">
        <v>12.785714285714286</v>
      </c>
      <c r="W78" s="17">
        <v>15.37142857142857</v>
      </c>
      <c r="Y78" s="17">
        <f t="shared" si="8"/>
        <v>274.88392857142861</v>
      </c>
      <c r="Z78">
        <f t="shared" si="9"/>
        <v>50.751752218984095</v>
      </c>
    </row>
    <row r="79" spans="1:27" x14ac:dyDescent="0.25">
      <c r="A79" t="s">
        <v>48</v>
      </c>
      <c r="D79" s="23">
        <v>19.014285714285712</v>
      </c>
      <c r="E79" s="23">
        <v>15.114285714285716</v>
      </c>
      <c r="F79" s="23">
        <v>16.185714285714287</v>
      </c>
      <c r="G79" s="23">
        <v>17.871428571428574</v>
      </c>
      <c r="H79" s="23">
        <v>16.985714285714288</v>
      </c>
      <c r="I79" s="23">
        <v>16.314285714285713</v>
      </c>
      <c r="J79" s="23">
        <v>12.514285714285714</v>
      </c>
      <c r="K79" s="23">
        <v>12.77142857142857</v>
      </c>
      <c r="L79" s="23">
        <v>11.375</v>
      </c>
      <c r="M79" s="23">
        <v>7.4857142857142867</v>
      </c>
      <c r="N79" s="23">
        <v>9.6</v>
      </c>
      <c r="O79" s="23">
        <v>9.328571428571431</v>
      </c>
      <c r="P79" s="17">
        <v>12.357142857142856</v>
      </c>
      <c r="Q79" s="17">
        <v>10.414285714285715</v>
      </c>
      <c r="R79" s="17">
        <v>13.157142857142857</v>
      </c>
      <c r="S79" s="17">
        <v>10.285714285714286</v>
      </c>
      <c r="T79" s="17">
        <v>14.042857142857143</v>
      </c>
      <c r="U79" s="17">
        <v>13.442857142857145</v>
      </c>
      <c r="V79" s="17">
        <v>14.442857142857141</v>
      </c>
      <c r="W79" s="17">
        <v>16.285714285714285</v>
      </c>
      <c r="Y79" s="17">
        <f t="shared" si="8"/>
        <v>268.98928571428576</v>
      </c>
      <c r="Z79">
        <f t="shared" si="9"/>
        <v>49.855579402786667</v>
      </c>
    </row>
    <row r="80" spans="1:27" x14ac:dyDescent="0.25">
      <c r="A80" t="s">
        <v>49</v>
      </c>
      <c r="D80" s="23">
        <v>15.428571428571427</v>
      </c>
      <c r="E80" s="23">
        <v>16.357142857142858</v>
      </c>
      <c r="F80" s="23">
        <v>19.5</v>
      </c>
      <c r="G80" s="23">
        <v>17.585714285714285</v>
      </c>
      <c r="H80" s="23">
        <v>13.114285714285714</v>
      </c>
      <c r="I80" s="23">
        <v>12.214285714285714</v>
      </c>
      <c r="J80" s="23">
        <v>13.1</v>
      </c>
      <c r="K80" s="23">
        <v>13</v>
      </c>
      <c r="L80" s="23">
        <v>8.0625</v>
      </c>
      <c r="M80" s="23">
        <v>7.7142857142857144</v>
      </c>
      <c r="N80" s="23">
        <v>9.4000000000000021</v>
      </c>
      <c r="O80" s="23">
        <v>9.7571428571428562</v>
      </c>
      <c r="P80" s="17">
        <v>12.37142857142857</v>
      </c>
      <c r="Q80" s="17">
        <v>13.542857142857143</v>
      </c>
      <c r="R80" s="17">
        <v>11.957142857142857</v>
      </c>
      <c r="S80" s="17">
        <v>8.757142857142858</v>
      </c>
      <c r="T80" s="17">
        <v>10.185714285714285</v>
      </c>
      <c r="U80" s="17">
        <v>12.471428571428572</v>
      </c>
      <c r="V80" s="17">
        <v>13.928571428571429</v>
      </c>
      <c r="W80" s="17">
        <v>14.728571428571428</v>
      </c>
      <c r="Y80" s="17">
        <f t="shared" si="8"/>
        <v>253.1767857142857</v>
      </c>
      <c r="Z80">
        <f t="shared" si="9"/>
        <v>46.887910166986472</v>
      </c>
    </row>
    <row r="81" spans="1:26" x14ac:dyDescent="0.25">
      <c r="A81" t="s">
        <v>50</v>
      </c>
      <c r="D81" s="23">
        <v>16.157142857142858</v>
      </c>
      <c r="E81" s="23">
        <v>14.842857142857142</v>
      </c>
      <c r="F81" s="23">
        <v>15.971428571428572</v>
      </c>
      <c r="G81" s="23">
        <v>16.100000000000001</v>
      </c>
      <c r="H81" s="23">
        <v>13.028571428571428</v>
      </c>
      <c r="I81" s="23">
        <v>14.528571428571427</v>
      </c>
      <c r="J81" s="23">
        <v>13.085714285714287</v>
      </c>
      <c r="K81" s="23">
        <v>12.771428571428572</v>
      </c>
      <c r="L81" s="23">
        <v>11.45</v>
      </c>
      <c r="M81" s="23">
        <v>12.685714285714285</v>
      </c>
      <c r="N81" s="23">
        <v>11.342857142857143</v>
      </c>
      <c r="O81" s="23">
        <v>11.400000000000002</v>
      </c>
      <c r="P81" s="17">
        <v>10.842857142857142</v>
      </c>
      <c r="Q81" s="17">
        <v>10.814285714285715</v>
      </c>
      <c r="R81" s="17">
        <v>13.414285714285715</v>
      </c>
      <c r="S81" s="17">
        <v>10.700000000000001</v>
      </c>
      <c r="T81" s="17">
        <v>14.885714285714284</v>
      </c>
      <c r="U81" s="17">
        <v>12.87142857142857</v>
      </c>
      <c r="V81" s="17">
        <v>12.957142857142856</v>
      </c>
      <c r="W81" s="17">
        <v>17.357142857142858</v>
      </c>
      <c r="Y81" s="17">
        <f t="shared" si="8"/>
        <v>267.20714285714286</v>
      </c>
      <c r="Z81">
        <f t="shared" si="9"/>
        <v>50.354218898265081</v>
      </c>
    </row>
    <row r="82" spans="1:26" x14ac:dyDescent="0.25">
      <c r="A82" t="s">
        <v>51</v>
      </c>
      <c r="D82" s="23">
        <v>19.842857142857145</v>
      </c>
      <c r="E82" s="23">
        <v>17.371428571428574</v>
      </c>
      <c r="F82" s="23">
        <v>11.057142857142855</v>
      </c>
      <c r="G82" s="23">
        <v>14.242857142857142</v>
      </c>
      <c r="H82" s="23">
        <v>14.457142857142857</v>
      </c>
      <c r="I82" s="23">
        <v>17.457142857142859</v>
      </c>
      <c r="J82" s="23">
        <v>14.499999999999998</v>
      </c>
      <c r="K82" s="23">
        <v>11.457142857142857</v>
      </c>
      <c r="L82" s="23">
        <v>11.525</v>
      </c>
      <c r="M82" s="23">
        <v>12.642857142857142</v>
      </c>
      <c r="N82" s="23">
        <v>14</v>
      </c>
      <c r="O82" s="23">
        <v>9.1714285714285726</v>
      </c>
      <c r="P82" s="17">
        <v>16.742857142857144</v>
      </c>
      <c r="Q82" s="17">
        <v>9.7571428571428562</v>
      </c>
      <c r="R82" s="17">
        <v>10.142857142857141</v>
      </c>
      <c r="S82" s="17">
        <v>11.4</v>
      </c>
      <c r="T82" s="17">
        <v>11.471428571428572</v>
      </c>
      <c r="U82" s="17">
        <v>13.414285714285713</v>
      </c>
      <c r="V82" s="17">
        <v>14.971428571428572</v>
      </c>
      <c r="W82" s="17">
        <v>17.100000000000001</v>
      </c>
      <c r="Y82" s="17">
        <f t="shared" si="8"/>
        <v>272.72499999999997</v>
      </c>
      <c r="Z82">
        <f t="shared" si="9"/>
        <v>48.534884205895921</v>
      </c>
    </row>
    <row r="83" spans="1:26" x14ac:dyDescent="0.25">
      <c r="A83" t="s">
        <v>52</v>
      </c>
      <c r="D83" s="23">
        <v>18.62857142857143</v>
      </c>
      <c r="E83" s="23">
        <v>18.557142857142857</v>
      </c>
      <c r="F83" s="23">
        <v>17.25714285714286</v>
      </c>
      <c r="G83" s="23">
        <v>14.685714285714283</v>
      </c>
      <c r="H83" s="23">
        <v>11.971428571428572</v>
      </c>
      <c r="I83" s="23">
        <v>10.242857142857144</v>
      </c>
      <c r="J83" s="23">
        <v>13.099999999999998</v>
      </c>
      <c r="K83" s="23">
        <v>10.228571428571428</v>
      </c>
      <c r="L83" s="23">
        <v>10.012499999999999</v>
      </c>
      <c r="M83" s="23">
        <v>9.9857142857142858</v>
      </c>
      <c r="N83" s="23">
        <v>8.1</v>
      </c>
      <c r="O83" s="23">
        <v>9.8714285714285701</v>
      </c>
      <c r="P83" s="17">
        <v>10.585714285714287</v>
      </c>
      <c r="Q83" s="17">
        <v>11.942857142857141</v>
      </c>
      <c r="R83" s="17">
        <v>12.842857142857143</v>
      </c>
      <c r="S83" s="17">
        <v>12.314285714285715</v>
      </c>
      <c r="T83" s="17">
        <v>11.142857142857142</v>
      </c>
      <c r="U83" s="17">
        <v>14.414285714285715</v>
      </c>
      <c r="V83" s="17">
        <v>15.257142857142858</v>
      </c>
      <c r="W83" s="17">
        <v>18.257142857142856</v>
      </c>
      <c r="Y83" s="17">
        <f t="shared" si="8"/>
        <v>259.39821428571429</v>
      </c>
      <c r="Z83">
        <f t="shared" si="9"/>
        <v>48.715014344748958</v>
      </c>
    </row>
    <row r="84" spans="1:26" x14ac:dyDescent="0.25">
      <c r="A84" t="s">
        <v>53</v>
      </c>
      <c r="D84" s="23">
        <v>16.414285714285715</v>
      </c>
      <c r="E84" s="23">
        <v>15.057142857142859</v>
      </c>
      <c r="F84" s="23">
        <v>13.22857142857143</v>
      </c>
      <c r="G84" s="23">
        <v>15.671428571428569</v>
      </c>
      <c r="H84" s="23">
        <v>14.5</v>
      </c>
      <c r="I84" s="23">
        <v>11.442857142857141</v>
      </c>
      <c r="J84" s="23">
        <v>13.200000000000001</v>
      </c>
      <c r="K84" s="23">
        <v>12.685714285714285</v>
      </c>
      <c r="L84" s="23">
        <v>15.299999999999999</v>
      </c>
      <c r="M84" s="23">
        <v>15.714285714285714</v>
      </c>
      <c r="N84" s="23">
        <v>12.700000000000001</v>
      </c>
      <c r="O84" s="23">
        <v>9.1857142857142851</v>
      </c>
      <c r="P84" s="17">
        <v>12.442857142857141</v>
      </c>
      <c r="Q84" s="17">
        <v>10.428571428571429</v>
      </c>
      <c r="R84" s="17">
        <v>11.985714285714286</v>
      </c>
      <c r="S84" s="17">
        <v>12.87142857142857</v>
      </c>
      <c r="T84" s="17">
        <v>15.714285714285714</v>
      </c>
      <c r="U84" s="17">
        <v>13.685714285714287</v>
      </c>
      <c r="V84" s="17">
        <v>15.442857142857141</v>
      </c>
      <c r="W84" s="17">
        <v>20.085714285714289</v>
      </c>
      <c r="Y84" s="17">
        <f t="shared" si="8"/>
        <v>277.75714285714281</v>
      </c>
      <c r="Z84">
        <f t="shared" si="9"/>
        <v>50.936812099167348</v>
      </c>
    </row>
    <row r="85" spans="1:26" x14ac:dyDescent="0.25">
      <c r="A85" t="s">
        <v>54</v>
      </c>
      <c r="D85" s="23">
        <v>16.971428571428572</v>
      </c>
      <c r="E85" s="23">
        <v>16.642857142857142</v>
      </c>
      <c r="F85" s="23">
        <v>14.914285714285715</v>
      </c>
      <c r="G85" s="23">
        <v>12.400000000000002</v>
      </c>
      <c r="H85" s="23">
        <v>11.714285714285714</v>
      </c>
      <c r="I85" s="23">
        <v>12.37142857142857</v>
      </c>
      <c r="J85" s="23">
        <v>9.6142857142857139</v>
      </c>
      <c r="K85" s="23">
        <v>13.942857142857145</v>
      </c>
      <c r="L85" s="23">
        <v>11.5875</v>
      </c>
      <c r="M85" s="23">
        <v>11.09</v>
      </c>
      <c r="N85" s="23">
        <v>12.34</v>
      </c>
      <c r="O85" s="23">
        <v>9.11</v>
      </c>
      <c r="P85" s="17">
        <v>8.84</v>
      </c>
      <c r="Q85" s="17">
        <v>10.53</v>
      </c>
      <c r="R85" s="17">
        <v>8.49</v>
      </c>
      <c r="S85" s="17">
        <v>11.2</v>
      </c>
      <c r="T85" s="17">
        <v>11.03</v>
      </c>
      <c r="U85" s="17">
        <v>14.37</v>
      </c>
      <c r="V85" s="17">
        <v>15.6</v>
      </c>
      <c r="W85" s="17">
        <v>18.61</v>
      </c>
      <c r="Y85" s="17">
        <f t="shared" si="8"/>
        <v>251.36892857142857</v>
      </c>
      <c r="Z85">
        <f t="shared" si="9"/>
        <v>49.904358470778689</v>
      </c>
    </row>
    <row r="86" spans="1:26" x14ac:dyDescent="0.25">
      <c r="A86" t="s">
        <v>55</v>
      </c>
      <c r="D86" s="23">
        <v>19.43</v>
      </c>
      <c r="E86" s="23">
        <v>19.670000000000002</v>
      </c>
      <c r="F86" s="23">
        <v>17.010000000000002</v>
      </c>
      <c r="G86" s="23">
        <v>18.47</v>
      </c>
      <c r="H86" s="23">
        <v>17.600000000000001</v>
      </c>
      <c r="I86" s="23">
        <v>17.54</v>
      </c>
      <c r="J86" s="23">
        <v>12.87</v>
      </c>
      <c r="K86" s="23">
        <v>14.29</v>
      </c>
      <c r="L86" s="23">
        <v>13.79</v>
      </c>
      <c r="M86" s="23">
        <v>14.3</v>
      </c>
      <c r="N86" s="23">
        <v>13.585714285714285</v>
      </c>
      <c r="O86" s="23">
        <v>8.3428571428571434</v>
      </c>
      <c r="P86" s="17">
        <v>10.37142857142857</v>
      </c>
      <c r="Q86" s="17">
        <v>13.700000000000001</v>
      </c>
      <c r="R86" s="17">
        <v>10.942857142857141</v>
      </c>
      <c r="S86" s="17">
        <v>13.828571428571427</v>
      </c>
      <c r="T86" s="17">
        <v>12.471428571428572</v>
      </c>
      <c r="U86" s="17">
        <v>11.799999999999999</v>
      </c>
      <c r="V86" s="17">
        <v>16.371428571428574</v>
      </c>
      <c r="W86" s="17">
        <v>16.157142857142858</v>
      </c>
      <c r="Y86" s="17">
        <f t="shared" si="8"/>
        <v>292.54142857142853</v>
      </c>
      <c r="Z86">
        <f t="shared" si="9"/>
        <v>55.188728817376642</v>
      </c>
    </row>
    <row r="87" spans="1:26" x14ac:dyDescent="0.25">
      <c r="A87" t="s">
        <v>56</v>
      </c>
      <c r="D87" s="23">
        <v>21.400000000000002</v>
      </c>
      <c r="E87" s="23">
        <v>18.385714285714283</v>
      </c>
      <c r="F87" s="23">
        <v>16.62857142857143</v>
      </c>
      <c r="G87" s="23">
        <v>14.942857142857145</v>
      </c>
      <c r="H87" s="23">
        <v>12.1</v>
      </c>
      <c r="I87" s="23">
        <v>12.200000000000001</v>
      </c>
      <c r="J87" s="23">
        <v>13.614285714285712</v>
      </c>
      <c r="K87" s="23">
        <v>11.428571428571429</v>
      </c>
      <c r="L87" s="23">
        <v>10.574999999999999</v>
      </c>
      <c r="M87" s="23">
        <v>11.171428571428573</v>
      </c>
      <c r="N87" s="23">
        <v>9.0428571428571427</v>
      </c>
      <c r="O87" s="23">
        <v>12.057142857142859</v>
      </c>
      <c r="P87" s="17">
        <v>11.571428571428571</v>
      </c>
      <c r="Q87" s="17">
        <v>9.4428571428571413</v>
      </c>
      <c r="R87" s="17">
        <v>13.771428571428572</v>
      </c>
      <c r="S87" s="17">
        <v>17.042857142857144</v>
      </c>
      <c r="T87" s="17">
        <v>16.271428571428572</v>
      </c>
      <c r="U87" s="17">
        <v>16.671428571428571</v>
      </c>
      <c r="V87" s="17">
        <v>16.814285714285717</v>
      </c>
      <c r="W87" s="17">
        <v>15.785714285714286</v>
      </c>
      <c r="Y87" s="17">
        <f t="shared" si="8"/>
        <v>280.91785714285714</v>
      </c>
      <c r="Z87">
        <f t="shared" si="9"/>
        <v>52.865577497861977</v>
      </c>
    </row>
    <row r="88" spans="1:26" x14ac:dyDescent="0.25">
      <c r="A88" t="s">
        <v>57</v>
      </c>
      <c r="D88" s="23">
        <v>16.985714285714284</v>
      </c>
      <c r="E88" s="23">
        <v>16.328571428571429</v>
      </c>
      <c r="F88" s="23">
        <v>14.685714285714285</v>
      </c>
      <c r="G88" s="23">
        <v>14.957142857142857</v>
      </c>
      <c r="H88" s="23">
        <v>12.671428571428573</v>
      </c>
      <c r="I88" s="23">
        <v>11.499999999999998</v>
      </c>
      <c r="J88" s="23">
        <v>10.042857142857144</v>
      </c>
      <c r="K88" s="23">
        <v>11.457142857142857</v>
      </c>
      <c r="L88" s="23">
        <v>12.125</v>
      </c>
      <c r="M88" s="23">
        <v>11.857142857142858</v>
      </c>
      <c r="N88" s="23">
        <v>10.885714285714286</v>
      </c>
      <c r="O88" s="23">
        <v>11.285714285714286</v>
      </c>
      <c r="P88" s="17">
        <v>13.27142857142857</v>
      </c>
      <c r="Q88" s="17">
        <v>11.371428571428572</v>
      </c>
      <c r="R88" s="17">
        <v>11.457142857142857</v>
      </c>
      <c r="S88" s="17">
        <v>8.8714285714285701</v>
      </c>
      <c r="T88" s="17">
        <v>14.1</v>
      </c>
      <c r="U88" s="17">
        <v>12.671428571428573</v>
      </c>
      <c r="V88" s="17">
        <v>13.428571428571429</v>
      </c>
      <c r="W88" s="17">
        <v>15.571428571428571</v>
      </c>
      <c r="Y88" s="17">
        <f t="shared" si="8"/>
        <v>255.52499999999998</v>
      </c>
      <c r="Z88">
        <f t="shared" si="9"/>
        <v>48.096798150354928</v>
      </c>
    </row>
    <row r="89" spans="1:26" x14ac:dyDescent="0.25">
      <c r="A89" t="s">
        <v>58</v>
      </c>
      <c r="D89" s="23">
        <v>17.442857142857143</v>
      </c>
      <c r="E89" s="23">
        <v>17.2</v>
      </c>
      <c r="F89" s="23">
        <v>16.571428571428573</v>
      </c>
      <c r="G89" s="23">
        <v>13.6</v>
      </c>
      <c r="H89" s="23">
        <v>14.585714285714285</v>
      </c>
      <c r="I89" s="23">
        <v>10.114285714285714</v>
      </c>
      <c r="J89" s="23">
        <v>10.857142857142858</v>
      </c>
      <c r="K89" s="23">
        <v>11.742857142857144</v>
      </c>
      <c r="L89" s="23">
        <v>11.225</v>
      </c>
      <c r="M89" s="23">
        <v>0</v>
      </c>
      <c r="N89" s="23">
        <v>10.114285714285714</v>
      </c>
      <c r="O89" s="23">
        <v>10.171428571428573</v>
      </c>
      <c r="P89" s="17">
        <v>12.7</v>
      </c>
      <c r="Q89" s="17">
        <v>7.2428571428571429</v>
      </c>
      <c r="R89" s="17">
        <v>11.385714285714286</v>
      </c>
      <c r="S89" s="17">
        <v>7.6857142857142859</v>
      </c>
      <c r="T89" s="17">
        <v>10.971428571428572</v>
      </c>
      <c r="U89" s="17">
        <v>13.385714285714286</v>
      </c>
      <c r="V89" s="17">
        <v>15.5</v>
      </c>
      <c r="W89" s="17">
        <v>13.457142857142856</v>
      </c>
      <c r="Y89" s="17">
        <f t="shared" si="8"/>
        <v>235.95357142857142</v>
      </c>
      <c r="Z89">
        <f t="shared" si="9"/>
        <v>45.507584036733562</v>
      </c>
    </row>
    <row r="90" spans="1:26" x14ac:dyDescent="0.25">
      <c r="A90" t="s">
        <v>59</v>
      </c>
      <c r="D90" s="23">
        <v>17.385714285714286</v>
      </c>
      <c r="E90" s="23">
        <v>18.385714285714283</v>
      </c>
      <c r="F90" s="23">
        <v>16.214285714285715</v>
      </c>
      <c r="G90" s="23">
        <v>15.042857142857144</v>
      </c>
      <c r="H90" s="23">
        <v>14.914285714285715</v>
      </c>
      <c r="I90" s="23">
        <v>12.571428571428569</v>
      </c>
      <c r="J90" s="23">
        <v>11.771428571428572</v>
      </c>
      <c r="K90" s="23">
        <v>13</v>
      </c>
      <c r="L90" s="23">
        <v>13</v>
      </c>
      <c r="M90" s="23">
        <v>11.914285714285715</v>
      </c>
      <c r="N90" s="23">
        <v>12.37142857142857</v>
      </c>
      <c r="O90" s="23">
        <v>11.12857142857143</v>
      </c>
      <c r="P90" s="17">
        <v>9.9428571428571413</v>
      </c>
      <c r="Q90" s="17">
        <v>9.9428571428571413</v>
      </c>
      <c r="R90" s="17">
        <v>10.214285714285714</v>
      </c>
      <c r="S90" s="17">
        <v>13.5</v>
      </c>
      <c r="T90" s="17">
        <v>14.357142857142858</v>
      </c>
      <c r="U90" s="17">
        <v>15.357142857142858</v>
      </c>
      <c r="V90" s="17">
        <v>16.600000000000001</v>
      </c>
      <c r="W90" s="17">
        <v>18.571428571428573</v>
      </c>
      <c r="Y90" s="17">
        <f t="shared" si="8"/>
        <v>276.18571428571431</v>
      </c>
      <c r="Z90">
        <f t="shared" si="9"/>
        <v>54.120413637528429</v>
      </c>
    </row>
    <row r="91" spans="1:26" x14ac:dyDescent="0.25">
      <c r="A91" t="s">
        <v>60</v>
      </c>
      <c r="D91" s="23">
        <v>16.157142857142855</v>
      </c>
      <c r="E91" s="23">
        <v>16.914285714285715</v>
      </c>
      <c r="F91" s="23">
        <v>14.585714285714285</v>
      </c>
      <c r="G91" s="23">
        <v>13.957142857142856</v>
      </c>
      <c r="H91" s="23">
        <v>11.542857142857144</v>
      </c>
      <c r="I91" s="23">
        <v>12.714285714285714</v>
      </c>
      <c r="J91" s="23">
        <v>12.2</v>
      </c>
      <c r="K91" s="23">
        <v>13.028571428571428</v>
      </c>
      <c r="L91" s="23">
        <v>10.899999999999999</v>
      </c>
      <c r="M91" s="23">
        <v>12.6</v>
      </c>
      <c r="N91" s="23">
        <v>13.785714285714286</v>
      </c>
      <c r="O91" s="23">
        <v>11</v>
      </c>
      <c r="P91" s="17">
        <v>11.785714285714286</v>
      </c>
      <c r="Q91" s="17">
        <v>14.085714285714285</v>
      </c>
      <c r="R91" s="17">
        <v>12.62857142857143</v>
      </c>
      <c r="S91" s="17">
        <v>13.442857142857141</v>
      </c>
      <c r="T91" s="17">
        <v>15.828571428571431</v>
      </c>
      <c r="U91" s="17">
        <v>16.728571428571431</v>
      </c>
      <c r="V91" s="17">
        <v>12.857142857142858</v>
      </c>
      <c r="W91" s="17">
        <v>15.657142857142857</v>
      </c>
      <c r="Y91" s="17">
        <f t="shared" si="8"/>
        <v>272.39999999999998</v>
      </c>
      <c r="Z91">
        <f t="shared" si="9"/>
        <v>52.143455263053369</v>
      </c>
    </row>
    <row r="92" spans="1:26" x14ac:dyDescent="0.25">
      <c r="A92" t="s">
        <v>61</v>
      </c>
      <c r="D92" s="23">
        <v>19.314285714285713</v>
      </c>
      <c r="E92" s="23">
        <v>19.7</v>
      </c>
      <c r="F92" s="23">
        <v>16.585714285714285</v>
      </c>
      <c r="G92" s="23">
        <v>18.014285714285712</v>
      </c>
      <c r="H92" s="23">
        <v>16.399999999999999</v>
      </c>
      <c r="I92" s="23">
        <v>13.4</v>
      </c>
      <c r="J92" s="23">
        <v>14.457142857142857</v>
      </c>
      <c r="K92" s="23">
        <v>11.62857142857143</v>
      </c>
      <c r="L92" s="23">
        <v>10.612499999999999</v>
      </c>
      <c r="M92" s="23">
        <v>10.785714285714286</v>
      </c>
      <c r="N92" s="23">
        <v>10.957142857142857</v>
      </c>
      <c r="O92" s="23">
        <v>11.457142857142857</v>
      </c>
      <c r="P92" s="17">
        <v>8.9428571428571448</v>
      </c>
      <c r="Q92" s="17">
        <v>9.9714285714285715</v>
      </c>
      <c r="R92" s="17">
        <v>8.1857142857142868</v>
      </c>
      <c r="S92" s="17">
        <v>12.828571428571427</v>
      </c>
      <c r="T92" s="17">
        <v>12.442857142857141</v>
      </c>
      <c r="U92" s="17">
        <v>13.128571428571428</v>
      </c>
      <c r="V92" s="17">
        <v>13.614285714285714</v>
      </c>
      <c r="W92" s="17">
        <v>16.171428571428571</v>
      </c>
      <c r="Y92" s="17">
        <f t="shared" si="8"/>
        <v>268.59821428571428</v>
      </c>
      <c r="Z92">
        <f t="shared" si="9"/>
        <v>51.785708394135447</v>
      </c>
    </row>
    <row r="93" spans="1:26" x14ac:dyDescent="0.25">
      <c r="A93" t="s">
        <v>62</v>
      </c>
      <c r="D93" s="23">
        <v>18.742857142857144</v>
      </c>
      <c r="E93" s="23">
        <v>18.900000000000002</v>
      </c>
      <c r="F93" s="23">
        <v>19.785714285714285</v>
      </c>
      <c r="G93" s="23">
        <v>15.942857142857145</v>
      </c>
      <c r="H93" s="23">
        <v>15.114285714285714</v>
      </c>
      <c r="I93" s="23">
        <v>14</v>
      </c>
      <c r="J93" s="23">
        <v>12.557142857142859</v>
      </c>
      <c r="K93" s="23">
        <v>12.271428571428572</v>
      </c>
      <c r="L93" s="23">
        <v>15.975000000000001</v>
      </c>
      <c r="M93" s="23">
        <v>10.799999999999999</v>
      </c>
      <c r="N93" s="23">
        <v>9.3428571428571434</v>
      </c>
      <c r="O93" s="23">
        <v>9.485714285714284</v>
      </c>
      <c r="P93" s="17">
        <v>10.728571428571428</v>
      </c>
      <c r="Q93" s="17">
        <v>10.457142857142857</v>
      </c>
      <c r="R93" s="17">
        <v>14.1</v>
      </c>
      <c r="S93" s="17">
        <v>14.457142857142857</v>
      </c>
      <c r="T93" s="17">
        <v>8.4857142857142858</v>
      </c>
      <c r="U93" s="17">
        <v>16.814285714285713</v>
      </c>
      <c r="V93" s="17">
        <v>17.971428571428572</v>
      </c>
      <c r="W93" s="17">
        <v>16.885714285714286</v>
      </c>
      <c r="Y93" s="17">
        <f t="shared" si="8"/>
        <v>282.81785714285724</v>
      </c>
      <c r="Z93">
        <f t="shared" si="9"/>
        <v>54.189109990964035</v>
      </c>
    </row>
    <row r="94" spans="1:26" x14ac:dyDescent="0.25">
      <c r="A94" t="s">
        <v>63</v>
      </c>
      <c r="D94" s="23">
        <v>16.714285714285715</v>
      </c>
      <c r="E94" s="23">
        <v>15.342857142857143</v>
      </c>
      <c r="F94" s="23">
        <v>14.314285714285715</v>
      </c>
      <c r="G94" s="23">
        <v>13.9</v>
      </c>
      <c r="H94" s="23">
        <v>14.685714285714285</v>
      </c>
      <c r="I94" s="23">
        <v>14.157142857142858</v>
      </c>
      <c r="J94" s="23">
        <v>10.557142857142859</v>
      </c>
      <c r="K94" s="23">
        <v>10.071428571428571</v>
      </c>
      <c r="L94" s="23">
        <v>9.15</v>
      </c>
      <c r="M94" s="23">
        <v>12.171428571428573</v>
      </c>
      <c r="N94" s="23">
        <v>10.7</v>
      </c>
      <c r="O94" s="23">
        <v>13.1</v>
      </c>
      <c r="P94" s="17">
        <v>8.5285714285714267</v>
      </c>
      <c r="Q94" s="17">
        <v>12.514285714285716</v>
      </c>
      <c r="R94" s="17">
        <v>11.628571428571428</v>
      </c>
      <c r="S94" s="17">
        <v>14.142857142857142</v>
      </c>
      <c r="T94" s="17">
        <v>15.285714285714286</v>
      </c>
      <c r="U94" s="17">
        <v>15.828571428571427</v>
      </c>
      <c r="V94" s="17">
        <v>15.514285714285716</v>
      </c>
      <c r="W94" s="17">
        <v>17.25714285714286</v>
      </c>
      <c r="Y94" s="17">
        <f t="shared" si="8"/>
        <v>265.56428571428569</v>
      </c>
      <c r="Z94">
        <f t="shared" si="9"/>
        <v>52.014097043279236</v>
      </c>
    </row>
    <row r="95" spans="1:26" x14ac:dyDescent="0.25">
      <c r="A95" t="s">
        <v>64</v>
      </c>
      <c r="D95" s="23">
        <v>17.928571428571427</v>
      </c>
      <c r="E95" s="23">
        <v>18.285714285714285</v>
      </c>
      <c r="F95" s="23">
        <v>16.8</v>
      </c>
      <c r="G95" s="23">
        <v>16.814285714285713</v>
      </c>
      <c r="H95" s="23">
        <v>14.714285714285714</v>
      </c>
      <c r="I95" s="23">
        <v>16.142857142857142</v>
      </c>
      <c r="J95" s="23">
        <v>12.542857142857143</v>
      </c>
      <c r="K95" s="23">
        <v>13.442857142857141</v>
      </c>
      <c r="L95" s="23">
        <v>14.574999999999999</v>
      </c>
      <c r="M95" s="23">
        <v>11.642857142857142</v>
      </c>
      <c r="N95" s="23">
        <v>11.542857142857143</v>
      </c>
      <c r="O95" s="23">
        <v>10.271428571428572</v>
      </c>
      <c r="P95" s="17">
        <v>12.857142857142858</v>
      </c>
      <c r="Q95" s="17">
        <v>13.22857142857143</v>
      </c>
      <c r="R95" s="17">
        <v>15.400000000000002</v>
      </c>
      <c r="S95" s="17">
        <v>13.428571428571429</v>
      </c>
      <c r="T95" s="17">
        <v>15.714285714285714</v>
      </c>
      <c r="U95" s="17">
        <v>14.671428571428573</v>
      </c>
      <c r="V95" s="17">
        <v>14.885714285714284</v>
      </c>
      <c r="W95" s="17">
        <v>16.342857142857145</v>
      </c>
      <c r="Y95" s="17">
        <f t="shared" si="8"/>
        <v>291.23214285714283</v>
      </c>
      <c r="Z95">
        <f t="shared" si="9"/>
        <v>54.904237379077053</v>
      </c>
    </row>
    <row r="96" spans="1:26" x14ac:dyDescent="0.25">
      <c r="A96" t="s">
        <v>65</v>
      </c>
      <c r="D96" s="23">
        <v>21.157142857142855</v>
      </c>
      <c r="E96" s="23">
        <v>19.557142857142857</v>
      </c>
      <c r="F96" s="23">
        <v>16.557142857142857</v>
      </c>
      <c r="G96" s="23">
        <v>12.585714285714285</v>
      </c>
      <c r="H96" s="23">
        <v>14.485714285714286</v>
      </c>
      <c r="I96" s="23">
        <v>15.257142857142856</v>
      </c>
      <c r="J96" s="23">
        <v>13.571428571428569</v>
      </c>
      <c r="K96" s="23">
        <v>14.042857142857141</v>
      </c>
      <c r="L96" s="23">
        <v>13.2</v>
      </c>
      <c r="M96" s="23">
        <v>13</v>
      </c>
      <c r="N96" s="23">
        <v>13.5</v>
      </c>
      <c r="O96" s="23">
        <v>11.799999999999999</v>
      </c>
      <c r="P96" s="17">
        <v>7.5428571428571436</v>
      </c>
      <c r="Q96" s="17">
        <v>9.4857142857142858</v>
      </c>
      <c r="R96" s="17">
        <v>6.7285714285714278</v>
      </c>
      <c r="S96" s="17">
        <v>9.6285714285714281</v>
      </c>
      <c r="T96" s="17">
        <v>12.157142857142858</v>
      </c>
      <c r="U96" s="17">
        <v>11.514285714285714</v>
      </c>
      <c r="V96" s="17">
        <v>15.200000000000001</v>
      </c>
      <c r="W96" s="17">
        <v>19.714285714285715</v>
      </c>
      <c r="Y96" s="17">
        <f t="shared" si="8"/>
        <v>270.68571428571425</v>
      </c>
      <c r="Z96">
        <f t="shared" si="9"/>
        <v>54.390561209016845</v>
      </c>
    </row>
    <row r="97" spans="1:26" x14ac:dyDescent="0.25">
      <c r="A97" t="s">
        <v>66</v>
      </c>
      <c r="D97" s="23">
        <v>17.557142857142857</v>
      </c>
      <c r="E97" s="23">
        <v>16.671428571428571</v>
      </c>
      <c r="F97" s="23">
        <v>15.942857142857141</v>
      </c>
      <c r="G97" s="23">
        <v>16.157142857142858</v>
      </c>
      <c r="H97" s="23">
        <v>16.528571428571432</v>
      </c>
      <c r="I97" s="23">
        <v>17.057142857142857</v>
      </c>
      <c r="J97" s="23">
        <v>16.942857142857143</v>
      </c>
      <c r="K97" s="23">
        <v>16.899999999999999</v>
      </c>
      <c r="L97" s="23">
        <v>10.262500000000001</v>
      </c>
      <c r="M97" s="23">
        <v>11.328571428571427</v>
      </c>
      <c r="N97" s="23">
        <v>14.642857142857142</v>
      </c>
      <c r="O97" s="23">
        <v>17.257142857142856</v>
      </c>
      <c r="P97" s="17">
        <v>12.785714285714286</v>
      </c>
      <c r="Q97" s="17">
        <v>10.914285714285713</v>
      </c>
      <c r="R97" s="17">
        <v>12.157142857142857</v>
      </c>
      <c r="S97" s="17">
        <v>13.314285714285715</v>
      </c>
      <c r="T97" s="17">
        <v>16.285714285714285</v>
      </c>
      <c r="U97" s="17">
        <v>17.599999999999998</v>
      </c>
      <c r="V97" s="17">
        <v>16.185714285714287</v>
      </c>
      <c r="W97" s="17">
        <v>18.928571428571427</v>
      </c>
      <c r="Y97" s="17">
        <f t="shared" si="8"/>
        <v>305.41964285714289</v>
      </c>
      <c r="Z97">
        <f t="shared" si="9"/>
        <v>58.934410693323869</v>
      </c>
    </row>
    <row r="98" spans="1:26" x14ac:dyDescent="0.25">
      <c r="A98" t="s">
        <v>67</v>
      </c>
      <c r="D98" s="23">
        <v>16.771428571428572</v>
      </c>
      <c r="E98" s="23">
        <v>18.357142857142858</v>
      </c>
      <c r="F98" s="23">
        <v>18.914285714285715</v>
      </c>
      <c r="G98" s="23">
        <v>14.814285714285713</v>
      </c>
      <c r="H98" s="23">
        <v>14.142857142857142</v>
      </c>
      <c r="I98" s="23">
        <v>14.085714285714287</v>
      </c>
      <c r="J98" s="23">
        <v>16.957142857142859</v>
      </c>
      <c r="K98" s="23">
        <v>17.099999999999998</v>
      </c>
      <c r="L98" s="23">
        <v>14.214285714285714</v>
      </c>
      <c r="M98" s="23">
        <v>11.114285714285714</v>
      </c>
      <c r="N98" s="23">
        <v>12.542857142857141</v>
      </c>
      <c r="O98" s="23">
        <v>11.571428571428573</v>
      </c>
      <c r="P98" s="17">
        <v>11.757142857142856</v>
      </c>
      <c r="Q98" s="17">
        <v>13.314285714285715</v>
      </c>
      <c r="R98" s="17">
        <v>16.171428571428571</v>
      </c>
      <c r="S98" s="17">
        <v>12.457142857142856</v>
      </c>
      <c r="T98" s="17">
        <v>14.757142857142856</v>
      </c>
      <c r="U98" s="17">
        <v>16.62857142857143</v>
      </c>
      <c r="V98" s="17">
        <v>18.771428571428569</v>
      </c>
      <c r="W98" s="17">
        <v>17.3</v>
      </c>
      <c r="Y98" s="17">
        <f t="shared" si="8"/>
        <v>301.74285714285719</v>
      </c>
      <c r="Z98">
        <f t="shared" si="9"/>
        <v>57.294615468772605</v>
      </c>
    </row>
    <row r="99" spans="1:26" x14ac:dyDescent="0.25">
      <c r="A99" t="s">
        <v>68</v>
      </c>
      <c r="D99" s="23">
        <v>18.600000000000001</v>
      </c>
      <c r="E99" s="23">
        <v>21.014285714285712</v>
      </c>
      <c r="F99" s="23">
        <v>22.571428571428573</v>
      </c>
      <c r="G99" s="23">
        <v>19.442857142857143</v>
      </c>
      <c r="H99" s="23">
        <v>18.985714285714288</v>
      </c>
      <c r="I99" s="23">
        <v>15.842857142857142</v>
      </c>
      <c r="J99" s="23">
        <v>9.7999999999999989</v>
      </c>
      <c r="K99" s="23">
        <v>9.5285714285714285</v>
      </c>
      <c r="L99" s="23">
        <v>13.2</v>
      </c>
      <c r="M99" s="23">
        <v>8.4428571428571448</v>
      </c>
      <c r="N99" s="23">
        <v>8.2571428571428562</v>
      </c>
      <c r="O99" s="23">
        <v>9.1571428571428584</v>
      </c>
      <c r="P99" s="17">
        <v>11.285714285714286</v>
      </c>
      <c r="Q99" s="17">
        <v>11.599999999999998</v>
      </c>
      <c r="R99" s="17">
        <v>13.185714285714285</v>
      </c>
      <c r="S99" s="17">
        <v>14.742857142857144</v>
      </c>
      <c r="T99" s="17">
        <v>13.085714285714285</v>
      </c>
      <c r="U99" s="17">
        <v>14.1</v>
      </c>
      <c r="V99" s="17">
        <v>15.257142857142856</v>
      </c>
      <c r="W99" s="17">
        <v>16.385714285714283</v>
      </c>
      <c r="Y99" s="17">
        <f t="shared" si="8"/>
        <v>284.48571428571427</v>
      </c>
      <c r="Z99">
        <f t="shared" si="9"/>
        <v>55.204904787723521</v>
      </c>
    </row>
    <row r="100" spans="1:26" x14ac:dyDescent="0.25">
      <c r="A100" t="s">
        <v>69</v>
      </c>
      <c r="D100" s="23">
        <v>16.971428571428572</v>
      </c>
      <c r="E100" s="23">
        <v>16.642857142857142</v>
      </c>
      <c r="F100" s="23">
        <v>14.914285714285715</v>
      </c>
      <c r="G100" s="23">
        <v>12.400000000000002</v>
      </c>
      <c r="H100" s="23">
        <v>11.714285714285714</v>
      </c>
      <c r="I100" s="23">
        <v>12.37142857142857</v>
      </c>
      <c r="J100" s="23">
        <v>9.6142857142857139</v>
      </c>
      <c r="K100" s="23">
        <v>13.942857142857145</v>
      </c>
      <c r="L100" s="23">
        <v>11.5875</v>
      </c>
      <c r="M100" s="23">
        <v>11.09</v>
      </c>
      <c r="N100" s="23">
        <v>12.34</v>
      </c>
      <c r="O100" s="23">
        <v>9.11</v>
      </c>
      <c r="P100" s="17">
        <v>8.84</v>
      </c>
      <c r="Q100" s="17">
        <v>10.53</v>
      </c>
      <c r="R100" s="17">
        <v>8.49</v>
      </c>
      <c r="S100" s="17">
        <v>11.2</v>
      </c>
      <c r="T100" s="17">
        <v>12.200000000000001</v>
      </c>
      <c r="U100" s="17">
        <v>13.414285714285715</v>
      </c>
      <c r="V100" s="17">
        <v>12.9</v>
      </c>
      <c r="W100" s="17">
        <v>14.357142857142858</v>
      </c>
      <c r="Y100" s="17">
        <f t="shared" si="8"/>
        <v>244.63035714285712</v>
      </c>
      <c r="Z100">
        <f t="shared" si="9"/>
        <v>48.497629463376533</v>
      </c>
    </row>
    <row r="101" spans="1:26" x14ac:dyDescent="0.25"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17"/>
      <c r="Q101" s="17"/>
      <c r="R101" s="17"/>
      <c r="S101" s="17"/>
      <c r="T101" s="17"/>
      <c r="U101" s="17"/>
      <c r="V101" s="17"/>
      <c r="W101" s="17"/>
      <c r="Y101" s="17"/>
    </row>
    <row r="102" spans="1:26" x14ac:dyDescent="0.25">
      <c r="A102" t="s">
        <v>70</v>
      </c>
      <c r="D102" s="23">
        <v>18.62857142857143</v>
      </c>
      <c r="E102" s="23">
        <v>18.557142857142857</v>
      </c>
      <c r="F102" s="23">
        <v>17.25714285714286</v>
      </c>
      <c r="G102" s="23">
        <v>14.685714285714283</v>
      </c>
      <c r="H102" s="23">
        <v>11.971428571428572</v>
      </c>
      <c r="I102" s="23">
        <v>10.242857142857144</v>
      </c>
      <c r="J102" s="23">
        <v>13.099999999999998</v>
      </c>
      <c r="K102" s="23">
        <v>10.228571428571428</v>
      </c>
      <c r="L102" s="23">
        <v>10.012499999999999</v>
      </c>
      <c r="M102" s="23">
        <v>9.9857142857142858</v>
      </c>
      <c r="N102" s="23">
        <v>8.1</v>
      </c>
      <c r="O102" s="23">
        <v>9.8714285714285701</v>
      </c>
      <c r="P102" s="17">
        <v>10.585714285714287</v>
      </c>
      <c r="Q102" s="17">
        <v>11.942857142857141</v>
      </c>
      <c r="R102" s="17">
        <v>12.842857142857143</v>
      </c>
      <c r="S102" s="17">
        <v>12.314285714285715</v>
      </c>
      <c r="T102" s="17">
        <v>13.957142857142857</v>
      </c>
      <c r="U102" s="17">
        <v>12.842857142857142</v>
      </c>
      <c r="V102" s="17">
        <v>15.385714285714286</v>
      </c>
      <c r="W102" s="17">
        <v>17.685714285714287</v>
      </c>
      <c r="Y102" s="17">
        <f t="shared" si="8"/>
        <v>260.19821428571436</v>
      </c>
      <c r="Z102">
        <f>SUMPRODUCT($D$106:$W$106,D102:W102)</f>
        <v>48.777675912972306</v>
      </c>
    </row>
    <row r="103" spans="1:26" x14ac:dyDescent="0.25">
      <c r="A103" t="s">
        <v>314</v>
      </c>
      <c r="D103" s="23">
        <v>17.94285714285714</v>
      </c>
      <c r="E103" s="23">
        <v>18.914285714285711</v>
      </c>
      <c r="F103" s="23">
        <v>16.014285714285712</v>
      </c>
      <c r="G103" s="23">
        <v>14.87142857142857</v>
      </c>
      <c r="H103" s="23">
        <v>16.714285714285715</v>
      </c>
      <c r="I103" s="23">
        <v>13.742857142857144</v>
      </c>
      <c r="J103" s="23">
        <v>11.085714285714287</v>
      </c>
      <c r="K103" s="23">
        <v>10.057142857142859</v>
      </c>
      <c r="L103" s="23">
        <v>12.4125</v>
      </c>
      <c r="M103" s="23">
        <v>13.057142857142859</v>
      </c>
      <c r="N103" s="23">
        <v>11.057142857142859</v>
      </c>
      <c r="O103" s="23">
        <v>11.2</v>
      </c>
      <c r="P103" s="17">
        <v>15.5</v>
      </c>
      <c r="Q103" s="17">
        <v>13.2</v>
      </c>
      <c r="R103" s="17">
        <v>12.6</v>
      </c>
      <c r="S103" s="17">
        <v>12.8</v>
      </c>
      <c r="T103" s="17">
        <v>15.142857142857142</v>
      </c>
      <c r="U103" s="17">
        <v>13.485714285714284</v>
      </c>
      <c r="V103" s="17">
        <v>16.842857142857145</v>
      </c>
      <c r="W103" s="17">
        <v>18.62857142857143</v>
      </c>
      <c r="Y103" s="17">
        <f t="shared" si="8"/>
        <v>285.26964285714286</v>
      </c>
      <c r="Z103">
        <f>SUMPRODUCT($D$106:$W$106,D103:W103)</f>
        <v>52.859409251580047</v>
      </c>
    </row>
    <row r="104" spans="1:26" x14ac:dyDescent="0.25">
      <c r="A104" t="s">
        <v>315</v>
      </c>
      <c r="D104" s="23">
        <v>19.357142857142858</v>
      </c>
      <c r="E104" s="23">
        <v>17.7</v>
      </c>
      <c r="F104" s="23">
        <v>22.61428571428571</v>
      </c>
      <c r="G104" s="23">
        <v>16.471428571428568</v>
      </c>
      <c r="H104" s="23">
        <v>15.557142857142853</v>
      </c>
      <c r="I104" s="23">
        <v>14.585714285714285</v>
      </c>
      <c r="J104" s="23">
        <v>12.342857142857142</v>
      </c>
      <c r="K104" s="23">
        <v>10.342857142857143</v>
      </c>
      <c r="L104" s="23">
        <v>8.6374999999999993</v>
      </c>
      <c r="M104" s="23">
        <v>12.4</v>
      </c>
      <c r="N104" s="23">
        <v>9.4</v>
      </c>
      <c r="O104" s="23">
        <v>10.3</v>
      </c>
      <c r="P104" s="23">
        <v>10.985714285714286</v>
      </c>
      <c r="Q104" s="23">
        <v>11.138961038961039</v>
      </c>
      <c r="R104" s="23">
        <v>11.823376623376623</v>
      </c>
      <c r="S104" s="23">
        <v>12.159740259740261</v>
      </c>
      <c r="T104" s="23">
        <v>16.257142857142856</v>
      </c>
      <c r="U104" s="23">
        <v>14.014285714285714</v>
      </c>
      <c r="V104" s="23">
        <v>15.985714285714286</v>
      </c>
      <c r="W104" s="23">
        <v>16.814285714285717</v>
      </c>
      <c r="Y104" s="17">
        <f t="shared" si="8"/>
        <v>278.88814935064931</v>
      </c>
      <c r="Z104">
        <f>SUMPRODUCT($D$106:$W$106,D104:W104)</f>
        <v>53.278841038765016</v>
      </c>
    </row>
    <row r="105" spans="1:26" x14ac:dyDescent="0.25">
      <c r="A105" t="s">
        <v>677</v>
      </c>
      <c r="D105" s="17">
        <v>17.142857142857142</v>
      </c>
      <c r="E105" s="17">
        <v>16.914285714285715</v>
      </c>
      <c r="F105" s="17">
        <v>16.142857142857142</v>
      </c>
      <c r="G105" s="17">
        <v>18.271428571428572</v>
      </c>
      <c r="H105" s="17">
        <v>15.957142857142857</v>
      </c>
      <c r="I105" s="17">
        <v>11.728571428571428</v>
      </c>
      <c r="J105" s="17">
        <v>10.528571428571427</v>
      </c>
      <c r="K105" s="17">
        <v>8.0571428571428587</v>
      </c>
      <c r="L105" s="17">
        <v>8.25</v>
      </c>
      <c r="M105" s="17">
        <v>10.657142857142858</v>
      </c>
      <c r="N105" s="17">
        <v>10.385714285714286</v>
      </c>
      <c r="O105" s="17">
        <v>6.8</v>
      </c>
      <c r="P105" s="17">
        <v>6.6142857142857139</v>
      </c>
      <c r="Q105" s="17">
        <v>13.185714285714285</v>
      </c>
      <c r="R105" s="17">
        <v>11.071428571428571</v>
      </c>
      <c r="S105" s="17">
        <v>13.061224489795919</v>
      </c>
      <c r="T105" s="17">
        <v>13.503174603174605</v>
      </c>
      <c r="U105" s="17">
        <v>15.003174603174605</v>
      </c>
      <c r="V105" s="17">
        <v>15.369841269841272</v>
      </c>
      <c r="W105" s="17">
        <v>16.998412698412697</v>
      </c>
      <c r="Y105" s="17">
        <f t="shared" ref="Y105" si="10">SUM(D105:W105)</f>
        <v>255.64297052154194</v>
      </c>
      <c r="Z105">
        <f>SUMPRODUCT($D$106:$W$106,D105:W105)</f>
        <v>48.826490904957538</v>
      </c>
    </row>
    <row r="106" spans="1:26" x14ac:dyDescent="0.25">
      <c r="A106" s="2" t="s">
        <v>71</v>
      </c>
      <c r="D106" s="3">
        <f>CORREL($B$2:$B$28,D74:D100)</f>
        <v>9.2660712864570519E-2</v>
      </c>
      <c r="E106" s="3">
        <f t="shared" ref="E106:W106" si="11">CORREL($B$2:$B$28,E74:E100)</f>
        <v>0.39865584655167696</v>
      </c>
      <c r="F106" s="3">
        <f t="shared" si="11"/>
        <v>0.33159495109878279</v>
      </c>
      <c r="G106" s="3">
        <f t="shared" si="11"/>
        <v>5.670822936820976E-2</v>
      </c>
      <c r="H106" s="3">
        <f t="shared" si="11"/>
        <v>0.14956813690371637</v>
      </c>
      <c r="I106" s="3">
        <f t="shared" si="11"/>
        <v>0.30662241658433687</v>
      </c>
      <c r="J106" s="3">
        <f t="shared" si="11"/>
        <v>-7.1293831368991284E-2</v>
      </c>
      <c r="K106" s="3">
        <f t="shared" si="11"/>
        <v>0.255556858873207</v>
      </c>
      <c r="L106" s="3">
        <f t="shared" si="11"/>
        <v>0.29995457893909022</v>
      </c>
      <c r="M106" s="3">
        <f t="shared" si="11"/>
        <v>8.0604983436929303E-2</v>
      </c>
      <c r="N106" s="3">
        <f t="shared" si="11"/>
        <v>0.24279271772402317</v>
      </c>
      <c r="O106" s="3">
        <f t="shared" si="11"/>
        <v>0.41881306581310956</v>
      </c>
      <c r="P106" s="3">
        <f t="shared" si="11"/>
        <v>-0.1950076515438732</v>
      </c>
      <c r="Q106" s="3">
        <f t="shared" si="11"/>
        <v>0.1650626806857588</v>
      </c>
      <c r="R106" s="3">
        <f t="shared" si="11"/>
        <v>2.7890175876945034E-2</v>
      </c>
      <c r="S106" s="3">
        <f t="shared" si="11"/>
        <v>0.12571042724735657</v>
      </c>
      <c r="T106" s="3">
        <f t="shared" si="11"/>
        <v>0.27010011845813375</v>
      </c>
      <c r="U106" s="3">
        <f t="shared" si="11"/>
        <v>0.36880909346063939</v>
      </c>
      <c r="V106" s="3">
        <f t="shared" si="11"/>
        <v>0.13471792419929648</v>
      </c>
      <c r="W106" s="3">
        <f t="shared" si="11"/>
        <v>0.23667186494352857</v>
      </c>
    </row>
    <row r="107" spans="1:26" x14ac:dyDescent="0.25">
      <c r="P107" s="17"/>
      <c r="Q107" s="17"/>
      <c r="R107" s="17"/>
      <c r="S107" s="17"/>
      <c r="T107" s="17"/>
      <c r="U107" s="17"/>
      <c r="V107" s="17"/>
      <c r="W107" s="17"/>
    </row>
    <row r="108" spans="1:26" x14ac:dyDescent="0.25">
      <c r="P108" s="17"/>
      <c r="Q108" s="17"/>
      <c r="R108" s="17"/>
      <c r="S108" s="17"/>
      <c r="T108" s="17"/>
      <c r="U108" s="17"/>
      <c r="V108" s="17"/>
      <c r="W108" s="17"/>
    </row>
    <row r="109" spans="1:26" x14ac:dyDescent="0.25">
      <c r="D109" t="s">
        <v>16</v>
      </c>
      <c r="E109" t="s">
        <v>17</v>
      </c>
      <c r="F109" t="s">
        <v>18</v>
      </c>
      <c r="G109" t="s">
        <v>19</v>
      </c>
      <c r="H109" t="s">
        <v>20</v>
      </c>
      <c r="I109" t="s">
        <v>21</v>
      </c>
      <c r="J109" t="s">
        <v>22</v>
      </c>
      <c r="K109" t="s">
        <v>23</v>
      </c>
      <c r="L109" t="s">
        <v>343</v>
      </c>
      <c r="M109" t="s">
        <v>377</v>
      </c>
      <c r="N109" t="s">
        <v>378</v>
      </c>
      <c r="O109" t="s">
        <v>379</v>
      </c>
      <c r="P109" s="17" t="s">
        <v>465</v>
      </c>
      <c r="Q109" s="17" t="s">
        <v>466</v>
      </c>
      <c r="R109" s="17" t="s">
        <v>467</v>
      </c>
      <c r="S109" s="17" t="s">
        <v>468</v>
      </c>
      <c r="T109" s="17" t="s">
        <v>577</v>
      </c>
      <c r="U109" s="17" t="s">
        <v>578</v>
      </c>
      <c r="V109" s="17" t="s">
        <v>579</v>
      </c>
      <c r="W109" s="17" t="s">
        <v>580</v>
      </c>
      <c r="Y109" t="s">
        <v>92</v>
      </c>
      <c r="Z109" t="s">
        <v>93</v>
      </c>
    </row>
    <row r="110" spans="1:26" x14ac:dyDescent="0.25">
      <c r="A110" t="s">
        <v>43</v>
      </c>
      <c r="D110" s="23">
        <v>86.142857142857139</v>
      </c>
      <c r="E110" s="23">
        <v>78</v>
      </c>
      <c r="F110" s="23">
        <v>74.857142857142861</v>
      </c>
      <c r="G110" s="23">
        <v>85.428571428571431</v>
      </c>
      <c r="H110" s="23">
        <v>82.142857142857139</v>
      </c>
      <c r="I110" s="23">
        <v>77.857142857142861</v>
      </c>
      <c r="J110" s="23">
        <v>84.142857142857139</v>
      </c>
      <c r="K110" s="23">
        <v>80.571428571428569</v>
      </c>
      <c r="L110" s="23">
        <v>94.25</v>
      </c>
      <c r="M110" s="23">
        <v>58.714285714285715</v>
      </c>
      <c r="N110" s="23">
        <v>64.857142857142861</v>
      </c>
      <c r="O110" s="23">
        <v>83.714285714285708</v>
      </c>
      <c r="P110" s="17">
        <v>76.142857142857139</v>
      </c>
      <c r="Q110" s="17">
        <v>80.571428571428569</v>
      </c>
      <c r="R110" s="17">
        <v>77.571428571428569</v>
      </c>
      <c r="S110" s="17">
        <v>75.714285714285708</v>
      </c>
      <c r="T110" s="17">
        <v>58.571428571428569</v>
      </c>
      <c r="U110" s="17">
        <v>54.571428571428569</v>
      </c>
      <c r="V110" s="17">
        <v>74.714285714285708</v>
      </c>
      <c r="W110" s="17">
        <v>70.571428571428569</v>
      </c>
      <c r="Y110" s="17">
        <f t="shared" ref="Y110:Y140" si="12">SUM(D110:W110)</f>
        <v>1519.1071428571433</v>
      </c>
      <c r="Z110">
        <f t="shared" ref="Z110:Z136" si="13">SUMPRODUCT($D$142:$W$142,D110:W110)</f>
        <v>17.075324073645916</v>
      </c>
    </row>
    <row r="111" spans="1:26" x14ac:dyDescent="0.25">
      <c r="A111" t="s">
        <v>44</v>
      </c>
      <c r="D111" s="23">
        <v>74.3</v>
      </c>
      <c r="E111" s="23">
        <v>65.099999999999994</v>
      </c>
      <c r="F111" s="23">
        <v>66.3</v>
      </c>
      <c r="G111" s="23">
        <v>71.400000000000006</v>
      </c>
      <c r="H111" s="23">
        <v>78.400000000000006</v>
      </c>
      <c r="I111" s="23">
        <v>71.599999999999994</v>
      </c>
      <c r="J111" s="23">
        <v>85.6</v>
      </c>
      <c r="K111" s="23">
        <v>77.599999999999994</v>
      </c>
      <c r="L111" s="23">
        <v>80.7</v>
      </c>
      <c r="M111" s="23">
        <v>60.8</v>
      </c>
      <c r="N111" s="23">
        <v>70.8</v>
      </c>
      <c r="O111" s="23">
        <v>84.3</v>
      </c>
      <c r="P111" s="17">
        <v>81.387428571428558</v>
      </c>
      <c r="Q111" s="17">
        <v>78.819714285714284</v>
      </c>
      <c r="R111" s="17">
        <v>80.463428571428565</v>
      </c>
      <c r="S111" s="17">
        <v>80.549142857142854</v>
      </c>
      <c r="T111" s="17">
        <v>76.947792207792205</v>
      </c>
      <c r="U111" s="17">
        <v>75.321298701298687</v>
      </c>
      <c r="V111" s="17">
        <v>68.755974025974027</v>
      </c>
      <c r="W111" s="17">
        <v>70.75454545454545</v>
      </c>
      <c r="Y111" s="17">
        <f t="shared" si="12"/>
        <v>1499.8993246753246</v>
      </c>
      <c r="Z111">
        <f t="shared" si="13"/>
        <v>26.404401033398074</v>
      </c>
    </row>
    <row r="112" spans="1:26" x14ac:dyDescent="0.25">
      <c r="A112" t="s">
        <v>45</v>
      </c>
      <c r="D112" s="23">
        <v>66.142857142857139</v>
      </c>
      <c r="E112" s="23">
        <v>58.428571428571431</v>
      </c>
      <c r="F112" s="23">
        <v>54.714285714285715</v>
      </c>
      <c r="G112" s="23">
        <v>79.714285714285708</v>
      </c>
      <c r="H112" s="23">
        <v>82</v>
      </c>
      <c r="I112" s="23">
        <v>65.142857142857139</v>
      </c>
      <c r="J112" s="23">
        <v>82.285714285714292</v>
      </c>
      <c r="K112" s="23">
        <v>72.285714285714292</v>
      </c>
      <c r="L112" s="23">
        <v>73.75</v>
      </c>
      <c r="M112" s="23">
        <v>79.714285714285708</v>
      </c>
      <c r="N112" s="23">
        <v>80.571428571428569</v>
      </c>
      <c r="O112" s="23">
        <v>84.857142857142861</v>
      </c>
      <c r="P112" s="17">
        <v>65.428571428571431</v>
      </c>
      <c r="Q112" s="17">
        <v>72.428571428571431</v>
      </c>
      <c r="R112" s="17">
        <v>86.142857142857139</v>
      </c>
      <c r="S112" s="17">
        <v>72.142857142857139</v>
      </c>
      <c r="T112" s="17">
        <v>64.142857142857139</v>
      </c>
      <c r="U112" s="17">
        <v>72.142857142857139</v>
      </c>
      <c r="V112" s="17">
        <v>80.285714285714292</v>
      </c>
      <c r="W112" s="17">
        <v>78.857142857142861</v>
      </c>
      <c r="Y112" s="17">
        <f t="shared" si="12"/>
        <v>1471.1785714285713</v>
      </c>
      <c r="Z112">
        <f t="shared" si="13"/>
        <v>26.984334662108651</v>
      </c>
    </row>
    <row r="113" spans="1:26" x14ac:dyDescent="0.25">
      <c r="A113" t="s">
        <v>46</v>
      </c>
      <c r="D113" s="23">
        <v>75.428571428571431</v>
      </c>
      <c r="E113" s="23">
        <v>75.428571428571431</v>
      </c>
      <c r="F113" s="23">
        <v>69.428571428571431</v>
      </c>
      <c r="G113" s="23">
        <v>83.714285714285708</v>
      </c>
      <c r="H113" s="23">
        <v>64.285714285714292</v>
      </c>
      <c r="I113" s="23">
        <v>69.428571428571431</v>
      </c>
      <c r="J113" s="23">
        <v>66.714285714285708</v>
      </c>
      <c r="K113" s="23">
        <v>85.857142857142861</v>
      </c>
      <c r="L113" s="23">
        <v>79.25</v>
      </c>
      <c r="M113" s="23">
        <v>87.571428571428569</v>
      </c>
      <c r="N113" s="23">
        <v>75.571428571428569</v>
      </c>
      <c r="O113" s="23">
        <v>83.714285714285708</v>
      </c>
      <c r="P113" s="17">
        <v>74.285714285714292</v>
      </c>
      <c r="Q113" s="17">
        <v>85.285714285714292</v>
      </c>
      <c r="R113" s="17">
        <v>84.285714285714292</v>
      </c>
      <c r="S113" s="17">
        <v>83.714285714285708</v>
      </c>
      <c r="T113" s="17">
        <v>73.571428571428569</v>
      </c>
      <c r="U113" s="17">
        <v>74.428571428571431</v>
      </c>
      <c r="V113" s="17">
        <v>59.714285714285715</v>
      </c>
      <c r="W113" s="17">
        <v>80.285714285714292</v>
      </c>
      <c r="Y113" s="17">
        <f t="shared" si="12"/>
        <v>1531.9642857142858</v>
      </c>
      <c r="Z113">
        <f t="shared" si="13"/>
        <v>33.524288136083648</v>
      </c>
    </row>
    <row r="114" spans="1:26" x14ac:dyDescent="0.25">
      <c r="A114" t="s">
        <v>47</v>
      </c>
      <c r="D114" s="23">
        <v>74.571428571428569</v>
      </c>
      <c r="E114" s="23">
        <v>60.428571428571431</v>
      </c>
      <c r="F114" s="23">
        <v>69.428571428571431</v>
      </c>
      <c r="G114" s="23">
        <v>84</v>
      </c>
      <c r="H114" s="23">
        <v>64.714285714285708</v>
      </c>
      <c r="I114" s="23">
        <v>69</v>
      </c>
      <c r="J114" s="23">
        <v>81</v>
      </c>
      <c r="K114" s="23">
        <v>79.428571428571431</v>
      </c>
      <c r="L114" s="23">
        <v>64.375</v>
      </c>
      <c r="M114" s="23">
        <v>71.428571428571431</v>
      </c>
      <c r="N114" s="23">
        <v>83.285714285714292</v>
      </c>
      <c r="O114" s="23">
        <v>86.857142857142861</v>
      </c>
      <c r="P114" s="17">
        <v>81.857142857142861</v>
      </c>
      <c r="Q114" s="17">
        <v>73.714285714285708</v>
      </c>
      <c r="R114" s="17">
        <v>75.285714285714292</v>
      </c>
      <c r="S114" s="17">
        <v>79.714285714285708</v>
      </c>
      <c r="T114" s="17">
        <v>81.857142857142861</v>
      </c>
      <c r="U114" s="17">
        <v>80.142857142857139</v>
      </c>
      <c r="V114" s="17">
        <v>57.142857142857146</v>
      </c>
      <c r="W114" s="17">
        <v>71.285714285714292</v>
      </c>
      <c r="Y114" s="17">
        <f t="shared" si="12"/>
        <v>1489.5178571428571</v>
      </c>
      <c r="Z114">
        <f t="shared" si="13"/>
        <v>28.499101586784427</v>
      </c>
    </row>
    <row r="115" spans="1:26" x14ac:dyDescent="0.25">
      <c r="A115" t="s">
        <v>48</v>
      </c>
      <c r="D115" s="23">
        <v>74.428571428571431</v>
      </c>
      <c r="E115" s="23">
        <v>77</v>
      </c>
      <c r="F115" s="23">
        <v>72.428571428571431</v>
      </c>
      <c r="G115" s="23">
        <v>82.714285714285708</v>
      </c>
      <c r="H115" s="23">
        <v>78.142857142857139</v>
      </c>
      <c r="I115" s="23">
        <v>74.571428571428569</v>
      </c>
      <c r="J115" s="23">
        <v>90</v>
      </c>
      <c r="K115" s="23">
        <v>79.428571428571431</v>
      </c>
      <c r="L115" s="23">
        <v>85.625</v>
      </c>
      <c r="M115" s="23">
        <v>76.857142857142861</v>
      </c>
      <c r="N115" s="23">
        <v>83.571428571428569</v>
      </c>
      <c r="O115" s="23">
        <v>65.571428571428569</v>
      </c>
      <c r="P115" s="17">
        <v>88</v>
      </c>
      <c r="Q115" s="17">
        <v>90.142857142857139</v>
      </c>
      <c r="R115" s="17">
        <v>83</v>
      </c>
      <c r="S115" s="17">
        <v>74.857142857142861</v>
      </c>
      <c r="T115" s="17">
        <v>72.285714285714292</v>
      </c>
      <c r="U115" s="17">
        <v>83</v>
      </c>
      <c r="V115" s="17">
        <v>73.285714285714292</v>
      </c>
      <c r="W115" s="17">
        <v>68.714285714285708</v>
      </c>
      <c r="Y115" s="17">
        <f t="shared" si="12"/>
        <v>1573.625</v>
      </c>
      <c r="Z115">
        <f t="shared" si="13"/>
        <v>30.716609385678876</v>
      </c>
    </row>
    <row r="116" spans="1:26" x14ac:dyDescent="0.25">
      <c r="A116" t="s">
        <v>49</v>
      </c>
      <c r="D116" s="23">
        <v>63.571428571428569</v>
      </c>
      <c r="E116" s="23">
        <v>82.428571428571431</v>
      </c>
      <c r="F116" s="23">
        <v>68</v>
      </c>
      <c r="G116" s="23">
        <v>68</v>
      </c>
      <c r="H116" s="23">
        <v>76.714285714285708</v>
      </c>
      <c r="I116" s="23">
        <v>80.142857142857139</v>
      </c>
      <c r="J116" s="23">
        <v>72.142857142857139</v>
      </c>
      <c r="K116" s="23">
        <v>83.428571428571431</v>
      </c>
      <c r="L116" s="23">
        <v>86.875</v>
      </c>
      <c r="M116" s="23">
        <v>72.142857142857139</v>
      </c>
      <c r="N116" s="23">
        <v>80.428571428571431</v>
      </c>
      <c r="O116" s="23">
        <v>73.285714285714292</v>
      </c>
      <c r="P116" s="17">
        <v>84.428571428571431</v>
      </c>
      <c r="Q116" s="17">
        <v>92</v>
      </c>
      <c r="R116" s="17">
        <v>83</v>
      </c>
      <c r="S116" s="17">
        <v>83</v>
      </c>
      <c r="T116" s="17">
        <v>75.857142857142861</v>
      </c>
      <c r="U116" s="17">
        <v>75.428571428571431</v>
      </c>
      <c r="V116" s="17">
        <v>77</v>
      </c>
      <c r="W116" s="17">
        <v>59.714285714285715</v>
      </c>
      <c r="Y116" s="17">
        <f t="shared" si="12"/>
        <v>1537.5892857142858</v>
      </c>
      <c r="Z116">
        <f t="shared" si="13"/>
        <v>35.33650260062872</v>
      </c>
    </row>
    <row r="117" spans="1:26" x14ac:dyDescent="0.25">
      <c r="A117" t="s">
        <v>50</v>
      </c>
      <c r="D117" s="23">
        <v>66.714285714285708</v>
      </c>
      <c r="E117" s="23">
        <v>64.285714285714292</v>
      </c>
      <c r="F117" s="23">
        <v>68</v>
      </c>
      <c r="G117" s="23">
        <v>82</v>
      </c>
      <c r="H117" s="23">
        <v>78</v>
      </c>
      <c r="I117" s="23">
        <v>84.428571428571431</v>
      </c>
      <c r="J117" s="23">
        <v>78.571428571428569</v>
      </c>
      <c r="K117" s="23">
        <v>77.428571428571431</v>
      </c>
      <c r="L117" s="23">
        <v>86.375</v>
      </c>
      <c r="M117" s="23">
        <v>93.142857142857139</v>
      </c>
      <c r="N117" s="23">
        <v>92.142857142857139</v>
      </c>
      <c r="O117" s="23">
        <v>86.714285714285708</v>
      </c>
      <c r="P117" s="17">
        <v>82.285714285714292</v>
      </c>
      <c r="Q117" s="17">
        <v>76.285714285714292</v>
      </c>
      <c r="R117" s="17">
        <v>77.571428571428569</v>
      </c>
      <c r="S117" s="17">
        <v>82.857142857142861</v>
      </c>
      <c r="T117" s="17">
        <v>79.142857142857139</v>
      </c>
      <c r="U117" s="17">
        <v>73</v>
      </c>
      <c r="V117" s="17">
        <v>66.571428571428569</v>
      </c>
      <c r="W117" s="17">
        <v>73.428571428571431</v>
      </c>
      <c r="Y117" s="17">
        <f t="shared" si="12"/>
        <v>1568.9464285714284</v>
      </c>
      <c r="Z117">
        <f t="shared" si="13"/>
        <v>31.981620905505871</v>
      </c>
    </row>
    <row r="118" spans="1:26" x14ac:dyDescent="0.25">
      <c r="A118" t="s">
        <v>51</v>
      </c>
      <c r="D118" s="23">
        <v>80.571428571428569</v>
      </c>
      <c r="E118" s="23">
        <v>82</v>
      </c>
      <c r="F118" s="23">
        <v>75.571428571428569</v>
      </c>
      <c r="G118" s="23">
        <v>83.428571428571431</v>
      </c>
      <c r="H118" s="23">
        <v>76</v>
      </c>
      <c r="I118" s="23">
        <v>80</v>
      </c>
      <c r="J118" s="23">
        <v>84.142857142857139</v>
      </c>
      <c r="K118" s="23">
        <v>80.857142857142861</v>
      </c>
      <c r="L118" s="23">
        <v>69.375</v>
      </c>
      <c r="M118" s="23">
        <v>87.142857142857139</v>
      </c>
      <c r="N118" s="23">
        <v>94.857142857142861</v>
      </c>
      <c r="O118" s="23">
        <v>84.857142857142861</v>
      </c>
      <c r="P118" s="17">
        <v>87.857142857142861</v>
      </c>
      <c r="Q118" s="17">
        <v>73.142857142857139</v>
      </c>
      <c r="R118" s="17">
        <v>85.142857142857139</v>
      </c>
      <c r="S118" s="17">
        <v>80.857142857142861</v>
      </c>
      <c r="T118" s="17">
        <v>75</v>
      </c>
      <c r="U118" s="17">
        <v>69.857142857142861</v>
      </c>
      <c r="V118" s="17">
        <v>62.714285714285715</v>
      </c>
      <c r="W118" s="17">
        <v>69.142857142857139</v>
      </c>
      <c r="Y118" s="17">
        <f t="shared" si="12"/>
        <v>1582.5178571428571</v>
      </c>
      <c r="Z118">
        <f t="shared" si="13"/>
        <v>28.637960367079113</v>
      </c>
    </row>
    <row r="119" spans="1:26" x14ac:dyDescent="0.25">
      <c r="A119" t="s">
        <v>52</v>
      </c>
      <c r="D119" s="23">
        <v>74.285714285714292</v>
      </c>
      <c r="E119" s="23">
        <v>58.857142857142854</v>
      </c>
      <c r="F119" s="23">
        <v>77.857142857142861</v>
      </c>
      <c r="G119" s="23">
        <v>67.428571428571431</v>
      </c>
      <c r="H119" s="23">
        <v>90.571428571428569</v>
      </c>
      <c r="I119" s="23">
        <v>87.857142857142861</v>
      </c>
      <c r="J119" s="23">
        <v>77.428571428571431</v>
      </c>
      <c r="K119" s="23">
        <v>70.857142857142861</v>
      </c>
      <c r="L119" s="23">
        <v>88.25</v>
      </c>
      <c r="M119" s="23">
        <v>84.428571428571431</v>
      </c>
      <c r="N119" s="23">
        <v>91.571428571428569</v>
      </c>
      <c r="O119" s="23">
        <v>85.285714285714292</v>
      </c>
      <c r="P119" s="17">
        <v>82.428571428571431</v>
      </c>
      <c r="Q119" s="17">
        <v>75.571428571428569</v>
      </c>
      <c r="R119" s="17">
        <v>76.571428571428569</v>
      </c>
      <c r="S119" s="17">
        <v>86.571428571428569</v>
      </c>
      <c r="T119" s="17">
        <v>74.571428571428569</v>
      </c>
      <c r="U119" s="17">
        <v>76.714285714285708</v>
      </c>
      <c r="V119" s="17">
        <v>64.428571428571431</v>
      </c>
      <c r="W119" s="17">
        <v>59</v>
      </c>
      <c r="Y119" s="17">
        <f t="shared" si="12"/>
        <v>1550.5357142857147</v>
      </c>
      <c r="Z119">
        <f t="shared" si="13"/>
        <v>31.111934820786612</v>
      </c>
    </row>
    <row r="120" spans="1:26" x14ac:dyDescent="0.25">
      <c r="A120" t="s">
        <v>53</v>
      </c>
      <c r="D120" s="23">
        <v>69.285714285714292</v>
      </c>
      <c r="E120" s="23">
        <v>78.285714285714292</v>
      </c>
      <c r="F120" s="23">
        <v>79</v>
      </c>
      <c r="G120" s="23">
        <v>72.428571428571431</v>
      </c>
      <c r="H120" s="23">
        <v>81.285714285714292</v>
      </c>
      <c r="I120" s="23">
        <v>62.714285714285715</v>
      </c>
      <c r="J120" s="23">
        <v>88.428571428571431</v>
      </c>
      <c r="K120" s="23">
        <v>90</v>
      </c>
      <c r="L120" s="23">
        <v>83</v>
      </c>
      <c r="M120" s="23">
        <v>83.142857142857139</v>
      </c>
      <c r="N120" s="23">
        <v>86.714285714285708</v>
      </c>
      <c r="O120" s="23">
        <v>91</v>
      </c>
      <c r="P120" s="17">
        <v>85</v>
      </c>
      <c r="Q120" s="17">
        <v>71.285714285714292</v>
      </c>
      <c r="R120" s="17">
        <v>75.571428571428569</v>
      </c>
      <c r="S120" s="17">
        <v>73.714285714285708</v>
      </c>
      <c r="T120" s="17">
        <v>89.571428571428569</v>
      </c>
      <c r="U120" s="17">
        <v>72.571428571428569</v>
      </c>
      <c r="V120" s="17">
        <v>72.285714285714292</v>
      </c>
      <c r="W120" s="17">
        <v>56.714285714285715</v>
      </c>
      <c r="Y120" s="17">
        <f t="shared" si="12"/>
        <v>1562.0000000000002</v>
      </c>
      <c r="Z120">
        <f t="shared" si="13"/>
        <v>32.948728510734334</v>
      </c>
    </row>
    <row r="121" spans="1:26" x14ac:dyDescent="0.25">
      <c r="A121" t="s">
        <v>54</v>
      </c>
      <c r="D121" s="23">
        <v>93.714285714285708</v>
      </c>
      <c r="E121" s="23">
        <v>78.142857142857139</v>
      </c>
      <c r="F121" s="23">
        <v>80.857142857142861</v>
      </c>
      <c r="G121" s="23">
        <v>84.142857142857139</v>
      </c>
      <c r="H121" s="23">
        <v>86.571428571428569</v>
      </c>
      <c r="I121" s="23">
        <v>86.857142857142861</v>
      </c>
      <c r="J121" s="23">
        <v>66.714285714285708</v>
      </c>
      <c r="K121" s="23">
        <v>70.714285714285708</v>
      </c>
      <c r="L121" s="23">
        <v>83.875</v>
      </c>
      <c r="M121" s="23">
        <v>76.03</v>
      </c>
      <c r="N121" s="23">
        <v>88.14</v>
      </c>
      <c r="O121" s="23">
        <v>90.18</v>
      </c>
      <c r="P121" s="17">
        <v>84.24</v>
      </c>
      <c r="Q121" s="17">
        <v>84.01</v>
      </c>
      <c r="R121" s="17">
        <v>84.38</v>
      </c>
      <c r="S121" s="17">
        <v>84.38</v>
      </c>
      <c r="T121" s="17">
        <v>76.14</v>
      </c>
      <c r="U121" s="17">
        <v>76.819999999999993</v>
      </c>
      <c r="V121" s="17">
        <v>73.03</v>
      </c>
      <c r="W121" s="17">
        <v>76.3</v>
      </c>
      <c r="Y121" s="17">
        <f t="shared" si="12"/>
        <v>1625.2392857142854</v>
      </c>
      <c r="Z121">
        <f t="shared" si="13"/>
        <v>28.164484525324173</v>
      </c>
    </row>
    <row r="122" spans="1:26" x14ac:dyDescent="0.25">
      <c r="A122" t="s">
        <v>55</v>
      </c>
      <c r="D122" s="23">
        <v>83.3</v>
      </c>
      <c r="E122" s="23">
        <v>86.67</v>
      </c>
      <c r="F122" s="23">
        <v>86.51</v>
      </c>
      <c r="G122" s="23">
        <v>86.22</v>
      </c>
      <c r="H122" s="23">
        <v>82.58</v>
      </c>
      <c r="I122" s="23">
        <v>91.15</v>
      </c>
      <c r="J122" s="23">
        <v>85.41</v>
      </c>
      <c r="K122" s="23">
        <v>89.43</v>
      </c>
      <c r="L122" s="23">
        <v>82.77</v>
      </c>
      <c r="M122" s="23">
        <v>81.857142857142861</v>
      </c>
      <c r="N122" s="23">
        <v>89.571428571428569</v>
      </c>
      <c r="O122" s="23">
        <v>82.285714285714292</v>
      </c>
      <c r="P122" s="17">
        <v>74.571428571428569</v>
      </c>
      <c r="Q122" s="17">
        <v>82.142857142857139</v>
      </c>
      <c r="R122" s="17">
        <v>83.857142857142861</v>
      </c>
      <c r="S122" s="17">
        <v>85.571428571428569</v>
      </c>
      <c r="T122" s="17">
        <v>84.285714285714292</v>
      </c>
      <c r="U122" s="17">
        <v>74.428571428571431</v>
      </c>
      <c r="V122" s="17">
        <v>69.857142857142861</v>
      </c>
      <c r="W122" s="17">
        <v>84.857142857142861</v>
      </c>
      <c r="Y122" s="17">
        <f t="shared" si="12"/>
        <v>1667.3257142857144</v>
      </c>
      <c r="Z122">
        <f t="shared" si="13"/>
        <v>27.874365730680044</v>
      </c>
    </row>
    <row r="123" spans="1:26" x14ac:dyDescent="0.25">
      <c r="A123" t="s">
        <v>56</v>
      </c>
      <c r="D123" s="23">
        <v>80.142857142857139</v>
      </c>
      <c r="E123" s="23">
        <v>82.285714285714292</v>
      </c>
      <c r="F123" s="23">
        <v>83.714285714285708</v>
      </c>
      <c r="G123" s="23">
        <v>87.428571428571431</v>
      </c>
      <c r="H123" s="23">
        <v>86.714285714285708</v>
      </c>
      <c r="I123" s="23">
        <v>81.142857142857139</v>
      </c>
      <c r="J123" s="23">
        <v>73.428571428571431</v>
      </c>
      <c r="K123" s="23">
        <v>94.714285714285708</v>
      </c>
      <c r="L123" s="23">
        <v>87.75</v>
      </c>
      <c r="M123" s="23">
        <v>84.714285714285708</v>
      </c>
      <c r="N123" s="23">
        <v>82.428571428571431</v>
      </c>
      <c r="O123" s="23">
        <v>81.857142857142861</v>
      </c>
      <c r="P123" s="17">
        <v>92</v>
      </c>
      <c r="Q123" s="17">
        <v>80.285714285714292</v>
      </c>
      <c r="R123" s="17">
        <v>94.142857142857139</v>
      </c>
      <c r="S123" s="17">
        <v>85</v>
      </c>
      <c r="T123" s="17">
        <v>85.142857142857139</v>
      </c>
      <c r="U123" s="17">
        <v>69.428571428571431</v>
      </c>
      <c r="V123" s="17">
        <v>73.428571428571431</v>
      </c>
      <c r="W123" s="17">
        <v>67.142857142857139</v>
      </c>
      <c r="Y123" s="17">
        <f t="shared" si="12"/>
        <v>1652.8928571428567</v>
      </c>
      <c r="Z123">
        <f t="shared" si="13"/>
        <v>30.393837243803517</v>
      </c>
    </row>
    <row r="124" spans="1:26" x14ac:dyDescent="0.25">
      <c r="A124" t="s">
        <v>57</v>
      </c>
      <c r="D124" s="23">
        <v>87.142857142857139</v>
      </c>
      <c r="E124" s="23">
        <v>83.714285714285708</v>
      </c>
      <c r="F124" s="23">
        <v>80.571428571428569</v>
      </c>
      <c r="G124" s="23">
        <v>77.428571428571431</v>
      </c>
      <c r="H124" s="23">
        <v>66.285714285714292</v>
      </c>
      <c r="I124" s="23">
        <v>83</v>
      </c>
      <c r="J124" s="23">
        <v>79.857142857142861</v>
      </c>
      <c r="K124" s="23">
        <v>71.714285714285708</v>
      </c>
      <c r="L124" s="23">
        <v>78</v>
      </c>
      <c r="M124" s="23">
        <v>82.714285714285708</v>
      </c>
      <c r="N124" s="23">
        <v>90.428571428571431</v>
      </c>
      <c r="O124" s="23">
        <v>69.142857142857139</v>
      </c>
      <c r="P124" s="17">
        <v>82.428571428571431</v>
      </c>
      <c r="Q124" s="17">
        <v>87.714285714285708</v>
      </c>
      <c r="R124" s="17">
        <v>75.857142857142861</v>
      </c>
      <c r="S124" s="17">
        <v>69.428571428571431</v>
      </c>
      <c r="T124" s="17">
        <v>68.428571428571431</v>
      </c>
      <c r="U124" s="17">
        <v>71.428571428571431</v>
      </c>
      <c r="V124" s="17">
        <v>66.571428571428569</v>
      </c>
      <c r="W124" s="17">
        <v>89</v>
      </c>
      <c r="Y124" s="17">
        <f t="shared" si="12"/>
        <v>1560.8571428571427</v>
      </c>
      <c r="Z124">
        <f t="shared" si="13"/>
        <v>29.550551103254065</v>
      </c>
    </row>
    <row r="125" spans="1:26" x14ac:dyDescent="0.25">
      <c r="A125" t="s">
        <v>58</v>
      </c>
      <c r="D125" s="23">
        <v>70.428571428571431</v>
      </c>
      <c r="E125" s="23">
        <v>79.285714285714292</v>
      </c>
      <c r="F125" s="23">
        <v>84.714285714285708</v>
      </c>
      <c r="G125" s="23">
        <v>80.714285714285708</v>
      </c>
      <c r="H125" s="23">
        <v>70.285714285714292</v>
      </c>
      <c r="I125" s="23">
        <v>67.142857142857139</v>
      </c>
      <c r="J125" s="23">
        <v>87.714285714285708</v>
      </c>
      <c r="K125" s="23">
        <v>85.857142857142861</v>
      </c>
      <c r="L125" s="23">
        <v>77.125</v>
      </c>
      <c r="M125" s="23">
        <v>82.812857142857126</v>
      </c>
      <c r="N125" s="23">
        <v>81.428571428571431</v>
      </c>
      <c r="O125" s="23">
        <v>68.571428571428569</v>
      </c>
      <c r="P125" s="17">
        <v>72.714285714285708</v>
      </c>
      <c r="Q125" s="17">
        <v>75.285714285714292</v>
      </c>
      <c r="R125" s="17">
        <v>68.428571428571431</v>
      </c>
      <c r="S125" s="17">
        <v>86.285714285714292</v>
      </c>
      <c r="T125" s="17">
        <v>79</v>
      </c>
      <c r="U125" s="17">
        <v>83.428571428571431</v>
      </c>
      <c r="V125" s="17">
        <v>63.714285714285715</v>
      </c>
      <c r="W125" s="17">
        <v>69.285714285714292</v>
      </c>
      <c r="Y125" s="17">
        <f t="shared" si="12"/>
        <v>1534.2235714285712</v>
      </c>
      <c r="Z125">
        <f t="shared" si="13"/>
        <v>32.433713491030851</v>
      </c>
    </row>
    <row r="126" spans="1:26" x14ac:dyDescent="0.25">
      <c r="A126" t="s">
        <v>59</v>
      </c>
      <c r="D126" s="23">
        <v>78.714285714285708</v>
      </c>
      <c r="E126" s="23">
        <v>80.428571428571431</v>
      </c>
      <c r="F126" s="23">
        <v>71.285714285714292</v>
      </c>
      <c r="G126" s="23">
        <v>62.142857142857146</v>
      </c>
      <c r="H126" s="23">
        <v>68.714285714285708</v>
      </c>
      <c r="I126" s="23">
        <v>62.714285714285715</v>
      </c>
      <c r="J126" s="23">
        <v>85.714285714285708</v>
      </c>
      <c r="K126" s="23">
        <v>80.857142857142861</v>
      </c>
      <c r="L126" s="23">
        <v>72.285714285714292</v>
      </c>
      <c r="M126" s="23">
        <v>66.857142857142861</v>
      </c>
      <c r="N126" s="23">
        <v>76.428571428571431</v>
      </c>
      <c r="O126" s="23">
        <v>82.142857142857139</v>
      </c>
      <c r="P126" s="17">
        <v>83.285714285714292</v>
      </c>
      <c r="Q126" s="17">
        <v>63</v>
      </c>
      <c r="R126" s="17">
        <v>73.714285714285708</v>
      </c>
      <c r="S126" s="17">
        <v>80.142857142857139</v>
      </c>
      <c r="T126" s="17">
        <v>86.857142857142861</v>
      </c>
      <c r="U126" s="17">
        <v>66.428571428571431</v>
      </c>
      <c r="V126" s="17">
        <v>70.571428571428569</v>
      </c>
      <c r="W126" s="17">
        <v>63.857142857142854</v>
      </c>
      <c r="Y126" s="17">
        <f t="shared" si="12"/>
        <v>1476.1428571428576</v>
      </c>
      <c r="Z126">
        <f t="shared" si="13"/>
        <v>28.727581409304985</v>
      </c>
    </row>
    <row r="127" spans="1:26" x14ac:dyDescent="0.25">
      <c r="A127" t="s">
        <v>60</v>
      </c>
      <c r="D127" s="23">
        <v>87.714285714285708</v>
      </c>
      <c r="E127" s="23">
        <v>71.571428571428569</v>
      </c>
      <c r="F127" s="23">
        <v>81</v>
      </c>
      <c r="G127" s="23">
        <v>88</v>
      </c>
      <c r="H127" s="23">
        <v>77.428571428571431</v>
      </c>
      <c r="I127" s="23">
        <v>72</v>
      </c>
      <c r="J127" s="23">
        <v>81.571428571428569</v>
      </c>
      <c r="K127" s="23">
        <v>93</v>
      </c>
      <c r="L127" s="23">
        <v>87</v>
      </c>
      <c r="M127" s="23">
        <v>71.428571428571431</v>
      </c>
      <c r="N127" s="23">
        <v>53.857142857142854</v>
      </c>
      <c r="O127" s="23">
        <v>55.285714285714285</v>
      </c>
      <c r="P127" s="17">
        <v>84.285714285714292</v>
      </c>
      <c r="Q127" s="17">
        <v>81.857142857142861</v>
      </c>
      <c r="R127" s="17">
        <v>74.428571428571431</v>
      </c>
      <c r="S127" s="17">
        <v>72.857142857142861</v>
      </c>
      <c r="T127" s="17">
        <v>79.857142857142861</v>
      </c>
      <c r="U127" s="17">
        <v>73</v>
      </c>
      <c r="V127" s="17">
        <v>47.714285714285715</v>
      </c>
      <c r="W127" s="17">
        <v>58.571428571428569</v>
      </c>
      <c r="Y127" s="17">
        <f t="shared" si="12"/>
        <v>1492.4285714285718</v>
      </c>
      <c r="Z127">
        <f t="shared" si="13"/>
        <v>20.525317403443669</v>
      </c>
    </row>
    <row r="128" spans="1:26" x14ac:dyDescent="0.25">
      <c r="A128" t="s">
        <v>61</v>
      </c>
      <c r="D128" s="23">
        <v>78.428571428571431</v>
      </c>
      <c r="E128" s="23">
        <v>85.714285714285708</v>
      </c>
      <c r="F128" s="23">
        <v>89</v>
      </c>
      <c r="G128" s="23">
        <v>77.142857142857139</v>
      </c>
      <c r="H128" s="23">
        <v>85.714285714285708</v>
      </c>
      <c r="I128" s="23">
        <v>93.428571428571431</v>
      </c>
      <c r="J128" s="23">
        <v>80.857142857142861</v>
      </c>
      <c r="K128" s="23">
        <v>79.571428571428569</v>
      </c>
      <c r="L128" s="23">
        <v>81.25</v>
      </c>
      <c r="M128" s="23">
        <v>16.328571428571429</v>
      </c>
      <c r="N128" s="23">
        <v>16.442857142857143</v>
      </c>
      <c r="O128" s="23">
        <v>17.671428571428571</v>
      </c>
      <c r="P128" s="17">
        <v>15.728571428571428</v>
      </c>
      <c r="Q128" s="17">
        <v>16.257142857142856</v>
      </c>
      <c r="R128" s="17">
        <v>15.1</v>
      </c>
      <c r="S128" s="17">
        <v>18.885714285714283</v>
      </c>
      <c r="T128" s="17">
        <v>19.585714285714285</v>
      </c>
      <c r="U128" s="17">
        <v>20.442857142857143</v>
      </c>
      <c r="V128" s="17">
        <v>21.928571428571427</v>
      </c>
      <c r="W128" s="17">
        <v>23.728571428571431</v>
      </c>
      <c r="Y128" s="17">
        <f t="shared" si="12"/>
        <v>953.20714285714291</v>
      </c>
      <c r="Z128">
        <f t="shared" si="13"/>
        <v>-29.991739910459607</v>
      </c>
    </row>
    <row r="129" spans="1:26" x14ac:dyDescent="0.25">
      <c r="A129" t="s">
        <v>62</v>
      </c>
      <c r="D129" s="23">
        <v>24.5</v>
      </c>
      <c r="E129" s="23">
        <v>24</v>
      </c>
      <c r="F129" s="23">
        <v>25.357142857142858</v>
      </c>
      <c r="G129" s="23">
        <v>22.528571428571428</v>
      </c>
      <c r="H129" s="23">
        <v>20.971428571428572</v>
      </c>
      <c r="I129" s="23">
        <v>20.028571428571428</v>
      </c>
      <c r="J129" s="23">
        <v>18.071428571428573</v>
      </c>
      <c r="K129" s="23">
        <v>20.74285714285714</v>
      </c>
      <c r="L129" s="23">
        <v>20.4375</v>
      </c>
      <c r="M129" s="23">
        <v>88.285714285714292</v>
      </c>
      <c r="N129" s="23">
        <v>88.428571428571431</v>
      </c>
      <c r="O129" s="23">
        <v>77.428571428571431</v>
      </c>
      <c r="P129" s="17">
        <v>75.571428571428569</v>
      </c>
      <c r="Q129" s="17">
        <v>85.285714285714292</v>
      </c>
      <c r="R129" s="17">
        <v>92.428571428571431</v>
      </c>
      <c r="S129" s="17">
        <v>87.714285714285708</v>
      </c>
      <c r="T129" s="17">
        <v>63.571428571428569</v>
      </c>
      <c r="U129" s="17">
        <v>84.142857142857139</v>
      </c>
      <c r="V129" s="17">
        <v>85.428571428571431</v>
      </c>
      <c r="W129" s="17">
        <v>69.142857142857139</v>
      </c>
      <c r="Y129" s="17">
        <f t="shared" si="12"/>
        <v>1094.0660714285714</v>
      </c>
      <c r="Z129">
        <f t="shared" si="13"/>
        <v>71.172928614094829</v>
      </c>
    </row>
    <row r="130" spans="1:26" x14ac:dyDescent="0.25">
      <c r="A130" t="s">
        <v>63</v>
      </c>
      <c r="D130" s="23">
        <v>86.571428571428569</v>
      </c>
      <c r="E130" s="23">
        <v>82.714285714285708</v>
      </c>
      <c r="F130" s="23">
        <v>85.857142857142861</v>
      </c>
      <c r="G130" s="23">
        <v>83.714285714285708</v>
      </c>
      <c r="H130" s="23">
        <v>81.571428571428569</v>
      </c>
      <c r="I130" s="23">
        <v>76.142857142857139</v>
      </c>
      <c r="J130" s="23">
        <v>88.285714285714292</v>
      </c>
      <c r="K130" s="23">
        <v>83.428571428571431</v>
      </c>
      <c r="L130" s="23">
        <v>85.125</v>
      </c>
      <c r="M130" s="23">
        <v>81.571428571428569</v>
      </c>
      <c r="N130" s="23">
        <v>86.571428571428569</v>
      </c>
      <c r="O130" s="23">
        <v>90.285714285714292</v>
      </c>
      <c r="P130" s="17">
        <v>79.571428571428569</v>
      </c>
      <c r="Q130" s="17">
        <v>80.285714285714292</v>
      </c>
      <c r="R130" s="17">
        <v>89</v>
      </c>
      <c r="S130" s="17">
        <v>86.714285714285708</v>
      </c>
      <c r="T130" s="17">
        <v>88.142857142857139</v>
      </c>
      <c r="U130" s="17">
        <v>68.571428571428569</v>
      </c>
      <c r="V130" s="17">
        <v>70.142857142857139</v>
      </c>
      <c r="W130" s="17">
        <v>70.571428571428569</v>
      </c>
      <c r="Y130" s="17">
        <f t="shared" si="12"/>
        <v>1644.839285714286</v>
      </c>
      <c r="Z130">
        <f t="shared" si="13"/>
        <v>30.67488332123397</v>
      </c>
    </row>
    <row r="131" spans="1:26" x14ac:dyDescent="0.25">
      <c r="A131" t="s">
        <v>64</v>
      </c>
      <c r="D131" s="23">
        <v>72.142857142857139</v>
      </c>
      <c r="E131" s="23">
        <v>81</v>
      </c>
      <c r="F131" s="23">
        <v>85.857142857142861</v>
      </c>
      <c r="G131" s="23">
        <v>90.428571428571431</v>
      </c>
      <c r="H131" s="23">
        <v>79.857142857142861</v>
      </c>
      <c r="I131" s="23">
        <v>92</v>
      </c>
      <c r="J131" s="23">
        <v>87.428571428571431</v>
      </c>
      <c r="K131" s="23">
        <v>87</v>
      </c>
      <c r="L131" s="23">
        <v>89.5</v>
      </c>
      <c r="M131" s="23">
        <v>93.285714285714292</v>
      </c>
      <c r="N131" s="23">
        <v>79.714285714285708</v>
      </c>
      <c r="O131" s="23">
        <v>81.142857142857139</v>
      </c>
      <c r="P131" s="17">
        <v>78.285714285714292</v>
      </c>
      <c r="Q131" s="17">
        <v>89.428571428571431</v>
      </c>
      <c r="R131" s="17">
        <v>89.571428571428569</v>
      </c>
      <c r="S131" s="17">
        <v>91.142857142857139</v>
      </c>
      <c r="T131" s="17">
        <v>79.428571428571431</v>
      </c>
      <c r="U131" s="17">
        <v>84.142857142857139</v>
      </c>
      <c r="V131" s="17">
        <v>71</v>
      </c>
      <c r="W131" s="17">
        <v>76.428571428571431</v>
      </c>
      <c r="Y131" s="17">
        <f t="shared" si="12"/>
        <v>1678.785714285714</v>
      </c>
      <c r="Z131">
        <f t="shared" si="13"/>
        <v>35.921953092946836</v>
      </c>
    </row>
    <row r="132" spans="1:26" x14ac:dyDescent="0.25">
      <c r="A132" t="s">
        <v>65</v>
      </c>
      <c r="D132" s="23">
        <v>73.428571428571431</v>
      </c>
      <c r="E132" s="23">
        <v>87.428571428571431</v>
      </c>
      <c r="F132" s="23">
        <v>78.571428571428569</v>
      </c>
      <c r="G132" s="23">
        <v>75.857142857142861</v>
      </c>
      <c r="H132" s="23">
        <v>83.857142857142861</v>
      </c>
      <c r="I132" s="23">
        <v>80.285714285714292</v>
      </c>
      <c r="J132" s="23">
        <v>75.428571428571431</v>
      </c>
      <c r="K132" s="23">
        <v>77.714285714285708</v>
      </c>
      <c r="L132" s="23">
        <v>82.625</v>
      </c>
      <c r="M132" s="23">
        <v>76.285714285714292</v>
      </c>
      <c r="N132" s="23">
        <v>77</v>
      </c>
      <c r="O132" s="23">
        <v>73.142857142857139</v>
      </c>
      <c r="P132" s="17">
        <v>78.714285714285708</v>
      </c>
      <c r="Q132" s="17">
        <v>85.142857142857139</v>
      </c>
      <c r="R132" s="17">
        <v>81</v>
      </c>
      <c r="S132" s="17">
        <v>69.285714285714292</v>
      </c>
      <c r="T132" s="17">
        <v>80.285714285714292</v>
      </c>
      <c r="U132" s="17">
        <v>69.714285714285708</v>
      </c>
      <c r="V132" s="17">
        <v>74.428571428571431</v>
      </c>
      <c r="W132" s="17">
        <v>65.714285714285708</v>
      </c>
      <c r="Y132" s="17">
        <f t="shared" si="12"/>
        <v>1545.9107142857142</v>
      </c>
      <c r="Z132">
        <f t="shared" si="13"/>
        <v>29.833546914518028</v>
      </c>
    </row>
    <row r="133" spans="1:26" x14ac:dyDescent="0.25">
      <c r="A133" t="s">
        <v>66</v>
      </c>
      <c r="D133" s="23">
        <v>80.285714285714292</v>
      </c>
      <c r="E133" s="23">
        <v>76.857142857142861</v>
      </c>
      <c r="F133" s="23">
        <v>76.142857142857139</v>
      </c>
      <c r="G133" s="23">
        <v>69.714285714285708</v>
      </c>
      <c r="H133" s="23">
        <v>58.857142857142854</v>
      </c>
      <c r="I133" s="23">
        <v>73.571428571428569</v>
      </c>
      <c r="J133" s="23">
        <v>86.142857142857139</v>
      </c>
      <c r="K133" s="23">
        <v>78.428571428571431</v>
      </c>
      <c r="L133" s="23">
        <v>90.75</v>
      </c>
      <c r="M133" s="23">
        <v>78.428571428571431</v>
      </c>
      <c r="N133" s="23">
        <v>79</v>
      </c>
      <c r="O133" s="23">
        <v>90.571428571428569</v>
      </c>
      <c r="P133" s="17">
        <v>81.285714285714292</v>
      </c>
      <c r="Q133" s="17">
        <v>86.571428571428569</v>
      </c>
      <c r="R133" s="17">
        <v>78.571428571428569</v>
      </c>
      <c r="S133" s="17">
        <v>79.714285714285708</v>
      </c>
      <c r="T133" s="17">
        <v>67.714285714285708</v>
      </c>
      <c r="U133" s="17">
        <v>77.428571428571431</v>
      </c>
      <c r="V133" s="17">
        <v>68.571428571428569</v>
      </c>
      <c r="W133" s="17">
        <v>63.142857142857146</v>
      </c>
      <c r="Y133" s="17">
        <f t="shared" si="12"/>
        <v>1541.7500000000002</v>
      </c>
      <c r="Z133">
        <f t="shared" si="13"/>
        <v>36.853128765932681</v>
      </c>
    </row>
    <row r="134" spans="1:26" x14ac:dyDescent="0.25">
      <c r="A134" t="s">
        <v>67</v>
      </c>
      <c r="D134" s="23">
        <v>80.428571428571431</v>
      </c>
      <c r="E134" s="23">
        <v>76.285714285714292</v>
      </c>
      <c r="F134" s="23">
        <v>91.857142857142861</v>
      </c>
      <c r="G134" s="23">
        <v>78.571428571428569</v>
      </c>
      <c r="H134" s="23">
        <v>86.142857142857139</v>
      </c>
      <c r="I134" s="23">
        <v>89.857142857142861</v>
      </c>
      <c r="J134" s="23">
        <v>85.857142857142861</v>
      </c>
      <c r="K134" s="23">
        <v>89.714285714285708</v>
      </c>
      <c r="L134" s="23">
        <v>99.857142857142861</v>
      </c>
      <c r="M134" s="23">
        <v>81.428571428571431</v>
      </c>
      <c r="N134" s="23">
        <v>76</v>
      </c>
      <c r="O134" s="23">
        <v>80.857142857142861</v>
      </c>
      <c r="P134" s="17">
        <v>80.571428571428569</v>
      </c>
      <c r="Q134" s="17">
        <v>82.714285714285708</v>
      </c>
      <c r="R134" s="17">
        <v>80</v>
      </c>
      <c r="S134" s="17">
        <v>70.571428571428569</v>
      </c>
      <c r="T134" s="17">
        <v>67.714285714285708</v>
      </c>
      <c r="U134" s="17">
        <v>74.142857142857139</v>
      </c>
      <c r="V134" s="17">
        <v>62.428571428571431</v>
      </c>
      <c r="W134" s="17">
        <v>70.714285714285708</v>
      </c>
      <c r="Y134" s="17">
        <f t="shared" si="12"/>
        <v>1605.714285714286</v>
      </c>
      <c r="Z134">
        <f t="shared" si="13"/>
        <v>26.350237400942959</v>
      </c>
    </row>
    <row r="135" spans="1:26" x14ac:dyDescent="0.25">
      <c r="A135" t="s">
        <v>68</v>
      </c>
      <c r="D135" s="23">
        <v>76.142857142857139</v>
      </c>
      <c r="E135" s="23">
        <v>74.857142857142861</v>
      </c>
      <c r="F135" s="23">
        <v>94.142857142857139</v>
      </c>
      <c r="G135" s="23">
        <v>90.714285714285708</v>
      </c>
      <c r="H135" s="23">
        <v>91.571428571428569</v>
      </c>
      <c r="I135" s="23">
        <v>76.571428571428569</v>
      </c>
      <c r="J135" s="23">
        <v>90.285714285714292</v>
      </c>
      <c r="K135" s="23">
        <v>89.714285714285708</v>
      </c>
      <c r="L135" s="23">
        <v>91.625</v>
      </c>
      <c r="M135" s="23">
        <v>74.714285714285708</v>
      </c>
      <c r="N135" s="23">
        <v>80.714285714285708</v>
      </c>
      <c r="O135" s="23">
        <v>83.428571428571431</v>
      </c>
      <c r="P135" s="17">
        <v>85.571428571428569</v>
      </c>
      <c r="Q135" s="17">
        <v>85.857142857142861</v>
      </c>
      <c r="R135" s="17">
        <v>89.857142857142861</v>
      </c>
      <c r="S135" s="17">
        <v>82.285714285714292</v>
      </c>
      <c r="T135" s="17">
        <v>75.714285714285708</v>
      </c>
      <c r="U135" s="17">
        <v>77.428571428571431</v>
      </c>
      <c r="V135" s="17">
        <v>68.571428571428569</v>
      </c>
      <c r="W135" s="17">
        <v>64.285714285714292</v>
      </c>
      <c r="Y135" s="17">
        <f t="shared" si="12"/>
        <v>1644.0535714285713</v>
      </c>
      <c r="Z135">
        <f t="shared" si="13"/>
        <v>28.321709934265606</v>
      </c>
    </row>
    <row r="136" spans="1:26" x14ac:dyDescent="0.25">
      <c r="A136" t="s">
        <v>69</v>
      </c>
      <c r="D136" s="23">
        <v>75.857142857142861</v>
      </c>
      <c r="E136" s="23">
        <v>78</v>
      </c>
      <c r="F136" s="23">
        <v>86.857142857142861</v>
      </c>
      <c r="G136" s="23">
        <v>79.714285714285708</v>
      </c>
      <c r="H136" s="23">
        <v>71.285714285714292</v>
      </c>
      <c r="I136" s="23">
        <v>89.285714285714292</v>
      </c>
      <c r="J136" s="23">
        <v>81.285714285714292</v>
      </c>
      <c r="K136" s="23">
        <v>86.571428571428569</v>
      </c>
      <c r="L136" s="23">
        <v>86.5</v>
      </c>
      <c r="M136" s="23">
        <v>91.571428571428569</v>
      </c>
      <c r="N136" s="23">
        <v>80.714285714285708</v>
      </c>
      <c r="O136" s="23">
        <v>86.571428571428569</v>
      </c>
      <c r="P136" s="17">
        <v>80.714285714285708</v>
      </c>
      <c r="Q136" s="17">
        <v>71.428571428571431</v>
      </c>
      <c r="R136" s="17">
        <v>76.75</v>
      </c>
      <c r="S136" s="17">
        <v>78.714285714285708</v>
      </c>
      <c r="T136" s="17">
        <v>84.857142857142861</v>
      </c>
      <c r="U136" s="17">
        <v>73.428571428571431</v>
      </c>
      <c r="V136" s="17">
        <v>76.857142857142861</v>
      </c>
      <c r="W136" s="17">
        <v>59.857142857142854</v>
      </c>
      <c r="Y136" s="17">
        <f t="shared" si="12"/>
        <v>1596.8214285714284</v>
      </c>
      <c r="Z136">
        <f t="shared" si="13"/>
        <v>35.151958769028731</v>
      </c>
    </row>
    <row r="137" spans="1:26" x14ac:dyDescent="0.25"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17"/>
      <c r="Q137" s="17"/>
      <c r="R137" s="17"/>
      <c r="S137" s="17"/>
      <c r="T137" s="17"/>
      <c r="U137" s="17"/>
      <c r="V137" s="17"/>
      <c r="W137" s="17"/>
      <c r="Y137" s="17"/>
    </row>
    <row r="138" spans="1:26" x14ac:dyDescent="0.25">
      <c r="A138" t="s">
        <v>70</v>
      </c>
      <c r="D138" s="23">
        <v>73.714285714285708</v>
      </c>
      <c r="E138" s="23">
        <v>86.571428571428569</v>
      </c>
      <c r="F138" s="23">
        <v>92</v>
      </c>
      <c r="G138" s="23">
        <v>88.428571428571431</v>
      </c>
      <c r="H138" s="23">
        <v>93</v>
      </c>
      <c r="I138" s="23">
        <v>83.714285714285708</v>
      </c>
      <c r="J138" s="23">
        <v>98.285714285714292</v>
      </c>
      <c r="K138" s="23">
        <v>89.142857142857139</v>
      </c>
      <c r="L138" s="23">
        <v>86.5</v>
      </c>
      <c r="M138" s="23">
        <v>92.857142857142861</v>
      </c>
      <c r="N138" s="23">
        <v>87.857142857142861</v>
      </c>
      <c r="O138" s="23">
        <v>94.142857142857139</v>
      </c>
      <c r="P138" s="17">
        <v>74</v>
      </c>
      <c r="Q138" s="17">
        <v>91.428571428571431</v>
      </c>
      <c r="R138" s="17">
        <v>83</v>
      </c>
      <c r="S138" s="17">
        <v>75.51766233766233</v>
      </c>
      <c r="T138" s="17">
        <v>82.428571428571431</v>
      </c>
      <c r="U138" s="17">
        <v>74.285714285714292</v>
      </c>
      <c r="V138" s="17">
        <v>70</v>
      </c>
      <c r="W138" s="17">
        <v>83.142857142857139</v>
      </c>
      <c r="Y138" s="17">
        <f t="shared" si="12"/>
        <v>1700.0176623376622</v>
      </c>
      <c r="Z138">
        <f>SUMPRODUCT($D$142:$W$142,D138:W138)</f>
        <v>30.864891201735183</v>
      </c>
    </row>
    <row r="139" spans="1:26" x14ac:dyDescent="0.25">
      <c r="A139" t="s">
        <v>314</v>
      </c>
      <c r="D139" s="23">
        <v>93.857142857142861</v>
      </c>
      <c r="E139" s="23">
        <v>88.142857142857139</v>
      </c>
      <c r="F139" s="23">
        <v>76.857142857142861</v>
      </c>
      <c r="G139" s="23">
        <v>82.714285714285708</v>
      </c>
      <c r="H139" s="23">
        <v>78.714285714285708</v>
      </c>
      <c r="I139" s="23">
        <v>92.142857142857139</v>
      </c>
      <c r="J139" s="23">
        <v>94.571428571428569</v>
      </c>
      <c r="K139" s="23">
        <v>95.142857142857139</v>
      </c>
      <c r="L139" s="23">
        <v>75.625</v>
      </c>
      <c r="M139" s="23">
        <v>94.571428571428569</v>
      </c>
      <c r="N139" s="23">
        <v>91.428571428571431</v>
      </c>
      <c r="O139" s="23">
        <v>93.142857142857139</v>
      </c>
      <c r="P139" s="17">
        <v>97</v>
      </c>
      <c r="Q139" s="17">
        <v>93</v>
      </c>
      <c r="R139" s="17">
        <v>87</v>
      </c>
      <c r="S139" s="17">
        <v>86</v>
      </c>
      <c r="T139" s="17">
        <v>90.285714285714292</v>
      </c>
      <c r="U139" s="17">
        <v>86.428571428571431</v>
      </c>
      <c r="V139" s="17">
        <v>79.285714285714292</v>
      </c>
      <c r="W139" s="17">
        <v>82.428571428571431</v>
      </c>
      <c r="Y139" s="17">
        <f t="shared" si="12"/>
        <v>1758.3392857142853</v>
      </c>
      <c r="Z139">
        <f>SUMPRODUCT($D$142:$W$142,D139:W139)</f>
        <v>35.458037461607596</v>
      </c>
    </row>
    <row r="140" spans="1:26" x14ac:dyDescent="0.25">
      <c r="A140" t="s">
        <v>315</v>
      </c>
      <c r="D140" s="23">
        <v>87.571428571428569</v>
      </c>
      <c r="E140" s="23">
        <v>86.428571428571431</v>
      </c>
      <c r="F140" s="23">
        <v>87.428571428571431</v>
      </c>
      <c r="G140" s="23">
        <v>93.142857142857139</v>
      </c>
      <c r="H140" s="23">
        <v>97.428571428571431</v>
      </c>
      <c r="I140" s="23">
        <v>84.285714285714292</v>
      </c>
      <c r="J140" s="23">
        <v>88.571428571428569</v>
      </c>
      <c r="K140" s="23">
        <v>94</v>
      </c>
      <c r="L140" s="23">
        <v>75.375</v>
      </c>
      <c r="M140" s="23">
        <v>93.4</v>
      </c>
      <c r="N140" s="23">
        <v>92.7</v>
      </c>
      <c r="O140" s="23">
        <v>90.1</v>
      </c>
      <c r="P140" s="23">
        <v>72.160317460317458</v>
      </c>
      <c r="Q140" s="23">
        <v>73.679365079365084</v>
      </c>
      <c r="R140" s="23">
        <v>73.582539682539675</v>
      </c>
      <c r="S140" s="23">
        <v>74.749206349206347</v>
      </c>
      <c r="T140" s="23">
        <v>86.857142857142861</v>
      </c>
      <c r="U140" s="23">
        <v>88.857142857142861</v>
      </c>
      <c r="V140" s="23">
        <v>81.857142857142861</v>
      </c>
      <c r="W140" s="23">
        <v>81.714285714285708</v>
      </c>
      <c r="Y140" s="17">
        <f t="shared" si="12"/>
        <v>1703.889285714286</v>
      </c>
      <c r="Z140">
        <f>SUMPRODUCT($D$142:$W$142,D140:W140)</f>
        <v>26.637191315531524</v>
      </c>
    </row>
    <row r="141" spans="1:26" x14ac:dyDescent="0.25">
      <c r="A141" t="s">
        <v>677</v>
      </c>
      <c r="D141" s="21">
        <v>77.571428571428569</v>
      </c>
      <c r="E141" s="21">
        <v>91.857142857142861</v>
      </c>
      <c r="F141" s="21">
        <v>87</v>
      </c>
      <c r="G141" s="21">
        <v>67.714285714285708</v>
      </c>
      <c r="H141" s="21">
        <v>68.857142857142861</v>
      </c>
      <c r="I141" s="21">
        <v>86.428571428571431</v>
      </c>
      <c r="J141" s="21">
        <v>85.285714285714292</v>
      </c>
      <c r="K141" s="17">
        <v>78.142857142857139</v>
      </c>
      <c r="L141" s="17">
        <v>68.625</v>
      </c>
      <c r="M141" s="17">
        <v>94.142857142857139</v>
      </c>
      <c r="N141" s="17">
        <v>92.285714285714292</v>
      </c>
      <c r="O141" s="17">
        <v>50.428571428571431</v>
      </c>
      <c r="P141" s="17">
        <v>93.857142857142861</v>
      </c>
      <c r="Q141" s="17">
        <v>88</v>
      </c>
      <c r="R141" s="17">
        <v>76.714285714285708</v>
      </c>
      <c r="S141" s="17">
        <v>81.061224489795919</v>
      </c>
      <c r="T141" s="17">
        <v>73.726153846153849</v>
      </c>
      <c r="U141" s="17">
        <v>70.723516483516491</v>
      </c>
      <c r="V141" s="17">
        <v>65.875934065934061</v>
      </c>
      <c r="W141" s="17">
        <v>67.518681318681303</v>
      </c>
      <c r="Y141" s="17">
        <f t="shared" ref="Y141" si="14">SUM(D141:W141)</f>
        <v>1565.816224489796</v>
      </c>
      <c r="Z141">
        <f>SUMPRODUCT($D$142:$W$142,D141:W141)</f>
        <v>36.223725521117771</v>
      </c>
    </row>
    <row r="142" spans="1:26" x14ac:dyDescent="0.25">
      <c r="A142" s="2" t="s">
        <v>71</v>
      </c>
      <c r="D142" s="3">
        <f>CORREL($B$2:$B$28,D110:D136)</f>
        <v>-0.14172620213686474</v>
      </c>
      <c r="E142" s="3">
        <f t="shared" ref="E142:W142" si="15">CORREL($B$2:$B$28,E110:E136)</f>
        <v>9.800379132342607E-3</v>
      </c>
      <c r="F142" s="3">
        <f t="shared" si="15"/>
        <v>0.13031766185231028</v>
      </c>
      <c r="G142" s="3">
        <f t="shared" si="15"/>
        <v>-0.17091566967556238</v>
      </c>
      <c r="H142" s="3">
        <f t="shared" si="15"/>
        <v>-0.22392041155493669</v>
      </c>
      <c r="I142" s="3">
        <f t="shared" si="15"/>
        <v>-6.5312876711908316E-2</v>
      </c>
      <c r="J142" s="3">
        <f t="shared" si="15"/>
        <v>-5.2021775141419806E-2</v>
      </c>
      <c r="K142" s="3">
        <f t="shared" si="15"/>
        <v>-8.6456192936091011E-2</v>
      </c>
      <c r="L142" s="3">
        <f t="shared" si="15"/>
        <v>1.1837071317847486E-2</v>
      </c>
      <c r="M142" s="3">
        <f t="shared" si="15"/>
        <v>0.22583066554147629</v>
      </c>
      <c r="N142" s="3">
        <f t="shared" si="15"/>
        <v>5.1292959360093064E-3</v>
      </c>
      <c r="O142" s="3">
        <f t="shared" si="15"/>
        <v>6.2254240436281236E-2</v>
      </c>
      <c r="P142" s="3">
        <f t="shared" si="15"/>
        <v>1.9700532256177909E-2</v>
      </c>
      <c r="Q142" s="3">
        <f t="shared" si="15"/>
        <v>0.16122571731526933</v>
      </c>
      <c r="R142" s="3">
        <f t="shared" si="15"/>
        <v>0.11328347054570839</v>
      </c>
      <c r="S142" s="3">
        <f t="shared" si="15"/>
        <v>7.9522736176111566E-2</v>
      </c>
      <c r="T142" s="3">
        <f t="shared" si="15"/>
        <v>9.3460219043466367E-2</v>
      </c>
      <c r="U142" s="3">
        <f t="shared" si="15"/>
        <v>0.15591969399082234</v>
      </c>
      <c r="V142" s="3">
        <f t="shared" si="15"/>
        <v>0.13160295687183238</v>
      </c>
      <c r="W142" s="3">
        <f t="shared" si="15"/>
        <v>-6.8675038471468081E-2</v>
      </c>
    </row>
    <row r="143" spans="1:26" x14ac:dyDescent="0.25">
      <c r="P143" s="17"/>
      <c r="Q143" s="17"/>
      <c r="R143" s="17"/>
      <c r="S143" s="17"/>
      <c r="T143" s="17"/>
      <c r="U143" s="17"/>
      <c r="V143" s="17"/>
      <c r="W143" s="17"/>
    </row>
    <row r="144" spans="1:26" x14ac:dyDescent="0.25">
      <c r="P144" s="17"/>
      <c r="Q144" s="17"/>
      <c r="R144" s="17"/>
      <c r="S144" s="17"/>
      <c r="T144" s="17"/>
      <c r="U144" s="17"/>
      <c r="V144" s="17"/>
      <c r="W144" s="17"/>
    </row>
    <row r="145" spans="1:26" x14ac:dyDescent="0.25">
      <c r="D145" t="s">
        <v>24</v>
      </c>
      <c r="E145" t="s">
        <v>25</v>
      </c>
      <c r="F145" t="s">
        <v>26</v>
      </c>
      <c r="G145" t="s">
        <v>27</v>
      </c>
      <c r="H145" t="s">
        <v>28</v>
      </c>
      <c r="I145" t="s">
        <v>29</v>
      </c>
      <c r="J145" t="s">
        <v>30</v>
      </c>
      <c r="K145" t="s">
        <v>31</v>
      </c>
      <c r="L145" t="s">
        <v>344</v>
      </c>
      <c r="M145" t="s">
        <v>380</v>
      </c>
      <c r="N145" t="s">
        <v>381</v>
      </c>
      <c r="O145" t="s">
        <v>382</v>
      </c>
      <c r="P145" s="17" t="s">
        <v>469</v>
      </c>
      <c r="Q145" s="17" t="s">
        <v>470</v>
      </c>
      <c r="R145" s="17" t="s">
        <v>471</v>
      </c>
      <c r="S145" s="17" t="s">
        <v>472</v>
      </c>
      <c r="T145" s="17" t="s">
        <v>581</v>
      </c>
      <c r="U145" s="17" t="s">
        <v>582</v>
      </c>
      <c r="V145" s="17" t="s">
        <v>583</v>
      </c>
      <c r="W145" s="17" t="s">
        <v>584</v>
      </c>
      <c r="Y145" t="s">
        <v>94</v>
      </c>
      <c r="Z145" t="s">
        <v>95</v>
      </c>
    </row>
    <row r="146" spans="1:26" x14ac:dyDescent="0.25">
      <c r="A146" t="s">
        <v>43</v>
      </c>
      <c r="D146" s="23">
        <v>25.4</v>
      </c>
      <c r="E146" s="23">
        <v>27.571428571428573</v>
      </c>
      <c r="F146" s="23">
        <v>27</v>
      </c>
      <c r="G146" s="23">
        <v>32.285714285714285</v>
      </c>
      <c r="H146" s="23">
        <v>29.571428571428573</v>
      </c>
      <c r="I146" s="23">
        <v>28.714285714285715</v>
      </c>
      <c r="J146" s="23">
        <v>38</v>
      </c>
      <c r="K146" s="23">
        <v>32.285714285714285</v>
      </c>
      <c r="L146" s="23">
        <v>33.875</v>
      </c>
      <c r="M146" s="23">
        <v>38.857142857142854</v>
      </c>
      <c r="N146" s="23">
        <v>26.285714285714285</v>
      </c>
      <c r="O146" s="23">
        <v>31.285714285714285</v>
      </c>
      <c r="P146" s="17">
        <v>30</v>
      </c>
      <c r="Q146" s="17">
        <v>31.285714285714285</v>
      </c>
      <c r="R146" s="17">
        <v>34.857142857142854</v>
      </c>
      <c r="S146" s="17">
        <v>25.571428571428573</v>
      </c>
      <c r="T146" s="17">
        <v>27.857142857142858</v>
      </c>
      <c r="U146" s="17">
        <v>20.714285714285715</v>
      </c>
      <c r="V146" s="17">
        <v>23.285714285714285</v>
      </c>
      <c r="W146" s="17">
        <v>19</v>
      </c>
      <c r="Y146" s="17">
        <f t="shared" ref="Y146:Y176" si="16">SUM(D146:W146)</f>
        <v>583.70357142857131</v>
      </c>
      <c r="Z146">
        <f t="shared" ref="Z146:Z172" si="17">SUMPRODUCT($D$178:$W$178,D146:W146)</f>
        <v>121.85573978295518</v>
      </c>
    </row>
    <row r="147" spans="1:26" x14ac:dyDescent="0.25">
      <c r="A147" t="s">
        <v>44</v>
      </c>
      <c r="D147" s="23">
        <v>22.3</v>
      </c>
      <c r="E147" s="23">
        <v>24.9</v>
      </c>
      <c r="F147" s="23">
        <v>25.7</v>
      </c>
      <c r="G147" s="23">
        <v>28.6</v>
      </c>
      <c r="H147" s="23">
        <v>25.7</v>
      </c>
      <c r="I147" s="23">
        <v>25.6</v>
      </c>
      <c r="J147" s="23">
        <v>53.4</v>
      </c>
      <c r="K147" s="23">
        <v>30.7</v>
      </c>
      <c r="L147" s="23">
        <v>32.799999999999997</v>
      </c>
      <c r="M147" s="23">
        <v>37.4</v>
      </c>
      <c r="N147" s="23">
        <v>31.9</v>
      </c>
      <c r="O147" s="23">
        <v>32.700000000000003</v>
      </c>
      <c r="P147" s="17">
        <v>32.216632653061218</v>
      </c>
      <c r="Q147" s="17">
        <v>30.122448979591837</v>
      </c>
      <c r="R147" s="17">
        <v>30.143469387755097</v>
      </c>
      <c r="S147" s="17">
        <v>29.653061224489793</v>
      </c>
      <c r="T147" s="17">
        <v>26.982539682539684</v>
      </c>
      <c r="U147" s="17">
        <v>27.206349206349206</v>
      </c>
      <c r="V147" s="17">
        <v>22.412698412698411</v>
      </c>
      <c r="W147" s="17">
        <v>23.982539682539681</v>
      </c>
      <c r="Y147" s="17">
        <f t="shared" si="16"/>
        <v>594.4197392290248</v>
      </c>
      <c r="Z147">
        <f t="shared" si="17"/>
        <v>121.10124803710559</v>
      </c>
    </row>
    <row r="148" spans="1:26" x14ac:dyDescent="0.25">
      <c r="A148" t="s">
        <v>45</v>
      </c>
      <c r="D148" s="23">
        <v>20.857142857142858</v>
      </c>
      <c r="E148" s="23">
        <v>20.614285714285717</v>
      </c>
      <c r="F148" s="23">
        <v>23.857142857142858</v>
      </c>
      <c r="G148" s="23">
        <v>26.714285714285715</v>
      </c>
      <c r="H148" s="23">
        <v>26.571428571428573</v>
      </c>
      <c r="I148" s="23">
        <v>29.142857142857142</v>
      </c>
      <c r="J148" s="23">
        <v>61.857142857142854</v>
      </c>
      <c r="K148" s="23">
        <v>26.714285714285715</v>
      </c>
      <c r="L148" s="23">
        <v>32.5</v>
      </c>
      <c r="M148" s="23">
        <v>35.714285714285715</v>
      </c>
      <c r="N148" s="23">
        <v>38.857142857142854</v>
      </c>
      <c r="O148" s="23">
        <v>34.857142857142854</v>
      </c>
      <c r="P148" s="17">
        <v>25</v>
      </c>
      <c r="Q148" s="17">
        <v>24.428571428571427</v>
      </c>
      <c r="R148" s="17">
        <v>33.714285714285715</v>
      </c>
      <c r="S148" s="17">
        <v>28.285714285714285</v>
      </c>
      <c r="T148" s="17">
        <v>30.428571428571427</v>
      </c>
      <c r="U148" s="17">
        <v>33.285714285714285</v>
      </c>
      <c r="V148" s="17">
        <v>31.428571428571427</v>
      </c>
      <c r="W148" s="17">
        <v>29.428571428571427</v>
      </c>
      <c r="Y148" s="17">
        <f t="shared" si="16"/>
        <v>614.25714285714287</v>
      </c>
      <c r="Z148">
        <f t="shared" si="17"/>
        <v>121.41002594359759</v>
      </c>
    </row>
    <row r="149" spans="1:26" x14ac:dyDescent="0.25">
      <c r="A149" t="s">
        <v>46</v>
      </c>
      <c r="D149" s="23">
        <v>22.142857142857142</v>
      </c>
      <c r="E149" s="23">
        <v>21.571428571428573</v>
      </c>
      <c r="F149" s="23">
        <v>20</v>
      </c>
      <c r="G149" s="23">
        <v>25.857142857142858</v>
      </c>
      <c r="H149" s="23">
        <v>27.142857142857142</v>
      </c>
      <c r="I149" s="23">
        <v>26.571428571428573</v>
      </c>
      <c r="J149" s="23">
        <v>32.714285714285715</v>
      </c>
      <c r="K149" s="23">
        <v>31.714285714285715</v>
      </c>
      <c r="L149" s="23">
        <v>37.25</v>
      </c>
      <c r="M149" s="23">
        <v>37.142857142857146</v>
      </c>
      <c r="N149" s="23">
        <v>27</v>
      </c>
      <c r="O149" s="23">
        <v>26.428571428571427</v>
      </c>
      <c r="P149" s="17">
        <v>22.142857142857142</v>
      </c>
      <c r="Q149" s="17">
        <v>26.142857142857142</v>
      </c>
      <c r="R149" s="17">
        <v>33.428571428571431</v>
      </c>
      <c r="S149" s="17">
        <v>37.285714285714285</v>
      </c>
      <c r="T149" s="17">
        <v>21.571428571428573</v>
      </c>
      <c r="U149" s="17">
        <v>20.428571428571427</v>
      </c>
      <c r="V149" s="17">
        <v>19.857142857142858</v>
      </c>
      <c r="W149" s="17">
        <v>34.428571428571431</v>
      </c>
      <c r="Y149" s="17">
        <f t="shared" si="16"/>
        <v>550.82142857142867</v>
      </c>
      <c r="Z149">
        <f t="shared" si="17"/>
        <v>108.8430275789777</v>
      </c>
    </row>
    <row r="150" spans="1:26" x14ac:dyDescent="0.25">
      <c r="A150" t="s">
        <v>47</v>
      </c>
      <c r="D150" s="23">
        <v>27.857142857142858</v>
      </c>
      <c r="E150" s="23">
        <v>26.428571428571427</v>
      </c>
      <c r="F150" s="23">
        <v>25.428571428571427</v>
      </c>
      <c r="G150" s="23">
        <v>27.714285714285715</v>
      </c>
      <c r="H150" s="23">
        <v>31.142857142857142</v>
      </c>
      <c r="I150" s="23">
        <v>25.571428571428573</v>
      </c>
      <c r="J150" s="23">
        <v>32.142857142857146</v>
      </c>
      <c r="K150" s="23">
        <v>33.857142857142854</v>
      </c>
      <c r="L150" s="23">
        <v>32</v>
      </c>
      <c r="M150" s="23">
        <v>35.142857142857146</v>
      </c>
      <c r="N150" s="23">
        <v>31</v>
      </c>
      <c r="O150" s="23">
        <v>24.428571428571427</v>
      </c>
      <c r="P150" s="17">
        <v>24.571428571428573</v>
      </c>
      <c r="Q150" s="17">
        <v>22.714285714285715</v>
      </c>
      <c r="R150" s="17">
        <v>30</v>
      </c>
      <c r="S150" s="17">
        <v>35.428571428571431</v>
      </c>
      <c r="T150" s="17">
        <v>32.857142857142854</v>
      </c>
      <c r="U150" s="17">
        <v>32</v>
      </c>
      <c r="V150" s="17">
        <v>16.571428571428573</v>
      </c>
      <c r="W150" s="17">
        <v>19.142857142857142</v>
      </c>
      <c r="Y150" s="17">
        <f t="shared" si="16"/>
        <v>565.99999999999989</v>
      </c>
      <c r="Z150">
        <f t="shared" si="17"/>
        <v>113.5987408252961</v>
      </c>
    </row>
    <row r="151" spans="1:26" x14ac:dyDescent="0.25">
      <c r="A151" t="s">
        <v>48</v>
      </c>
      <c r="D151" s="23">
        <v>32</v>
      </c>
      <c r="E151" s="23">
        <v>24.857142857142858</v>
      </c>
      <c r="F151" s="23">
        <v>28</v>
      </c>
      <c r="G151" s="23">
        <v>50.142857142857146</v>
      </c>
      <c r="H151" s="23">
        <v>42</v>
      </c>
      <c r="I151" s="23">
        <v>49.714285714285715</v>
      </c>
      <c r="J151" s="23">
        <v>38.857142857142854</v>
      </c>
      <c r="K151" s="23">
        <v>38</v>
      </c>
      <c r="L151" s="23">
        <v>36.875</v>
      </c>
      <c r="M151" s="23">
        <v>29.714285714285715</v>
      </c>
      <c r="N151" s="23">
        <v>38.428571428571431</v>
      </c>
      <c r="O151" s="23">
        <v>27.285714285714285</v>
      </c>
      <c r="P151" s="17">
        <v>28.428571428571427</v>
      </c>
      <c r="Q151" s="17">
        <v>32.714285714285715</v>
      </c>
      <c r="R151" s="17">
        <v>31.428571428571427</v>
      </c>
      <c r="S151" s="17">
        <v>24</v>
      </c>
      <c r="T151" s="17">
        <v>31</v>
      </c>
      <c r="U151" s="17">
        <v>27.142857142857142</v>
      </c>
      <c r="V151" s="17">
        <v>20.857142857142858</v>
      </c>
      <c r="W151" s="17">
        <v>19.571428571428573</v>
      </c>
      <c r="Y151" s="17">
        <f t="shared" si="16"/>
        <v>651.01785714285711</v>
      </c>
      <c r="Z151">
        <f t="shared" si="17"/>
        <v>124.48262220004372</v>
      </c>
    </row>
    <row r="152" spans="1:26" x14ac:dyDescent="0.25">
      <c r="A152" t="s">
        <v>49</v>
      </c>
      <c r="D152" s="23">
        <v>20.571428571428573</v>
      </c>
      <c r="E152" s="23">
        <v>28.571428571428573</v>
      </c>
      <c r="F152" s="23">
        <v>43.428571428571431</v>
      </c>
      <c r="G152" s="23">
        <v>36.285714285714285</v>
      </c>
      <c r="H152" s="23">
        <v>27.571428571428573</v>
      </c>
      <c r="I152" s="23">
        <v>26.714285714285715</v>
      </c>
      <c r="J152" s="23">
        <v>29.714285714285715</v>
      </c>
      <c r="K152" s="23">
        <v>37.428571428571431</v>
      </c>
      <c r="L152" s="23">
        <v>31.625</v>
      </c>
      <c r="M152" s="23">
        <v>26.714285714285715</v>
      </c>
      <c r="N152" s="23">
        <v>30.571428571428573</v>
      </c>
      <c r="O152" s="23">
        <v>24</v>
      </c>
      <c r="P152" s="17">
        <v>30.714285714285715</v>
      </c>
      <c r="Q152" s="17">
        <v>41.857142857142854</v>
      </c>
      <c r="R152" s="17">
        <v>28.571428571428573</v>
      </c>
      <c r="S152" s="17">
        <v>27.571428571428573</v>
      </c>
      <c r="T152" s="17">
        <v>19.271428571428572</v>
      </c>
      <c r="U152" s="17">
        <v>24.428571428571427</v>
      </c>
      <c r="V152" s="17">
        <v>29.285714285714285</v>
      </c>
      <c r="W152" s="17">
        <v>16.557142857142857</v>
      </c>
      <c r="Y152" s="17">
        <f t="shared" si="16"/>
        <v>581.45357142857142</v>
      </c>
      <c r="Z152">
        <f t="shared" si="17"/>
        <v>122.69363638355414</v>
      </c>
    </row>
    <row r="153" spans="1:26" x14ac:dyDescent="0.25">
      <c r="A153" t="s">
        <v>50</v>
      </c>
      <c r="D153" s="23">
        <v>24.142857142857142</v>
      </c>
      <c r="E153" s="23">
        <v>21.142857142857142</v>
      </c>
      <c r="F153" s="23">
        <v>31.571428571428573</v>
      </c>
      <c r="G153" s="23">
        <v>38.428571428571431</v>
      </c>
      <c r="H153" s="23">
        <v>31.857142857142858</v>
      </c>
      <c r="I153" s="23">
        <v>36</v>
      </c>
      <c r="J153" s="23">
        <v>33.428571428571431</v>
      </c>
      <c r="K153" s="23">
        <v>35.571428571428569</v>
      </c>
      <c r="L153" s="23">
        <v>35.75</v>
      </c>
      <c r="M153" s="23">
        <v>40.714285714285715</v>
      </c>
      <c r="N153" s="23">
        <v>40.714285714285715</v>
      </c>
      <c r="O153" s="23">
        <v>35.714285714285715</v>
      </c>
      <c r="P153" s="17">
        <v>28.285714285714285</v>
      </c>
      <c r="Q153" s="17">
        <v>22.857142857142858</v>
      </c>
      <c r="R153" s="17">
        <v>19.142857142857142</v>
      </c>
      <c r="S153" s="17">
        <v>25.142857142857142</v>
      </c>
      <c r="T153" s="17">
        <v>20.857142857142858</v>
      </c>
      <c r="U153" s="17">
        <v>28.714285714285715</v>
      </c>
      <c r="V153" s="17">
        <v>21</v>
      </c>
      <c r="W153" s="17">
        <v>26.142857142857142</v>
      </c>
      <c r="Y153" s="17">
        <f t="shared" si="16"/>
        <v>597.17857142857133</v>
      </c>
      <c r="Z153">
        <f t="shared" si="17"/>
        <v>117.01043371242602</v>
      </c>
    </row>
    <row r="154" spans="1:26" x14ac:dyDescent="0.25">
      <c r="A154" t="s">
        <v>51</v>
      </c>
      <c r="D154" s="23">
        <v>31.428571428571427</v>
      </c>
      <c r="E154" s="23">
        <v>30.285714285714285</v>
      </c>
      <c r="F154" s="23">
        <v>41.714285714285715</v>
      </c>
      <c r="G154" s="23">
        <v>54.142857142857146</v>
      </c>
      <c r="H154" s="23">
        <v>22</v>
      </c>
      <c r="I154" s="23">
        <v>34.285714285714285</v>
      </c>
      <c r="J154" s="23">
        <v>27.571428571428573</v>
      </c>
      <c r="K154" s="23">
        <v>30.714285714285715</v>
      </c>
      <c r="L154" s="23">
        <v>32.125</v>
      </c>
      <c r="M154" s="23">
        <v>38.571428571428569</v>
      </c>
      <c r="N154" s="23">
        <v>50.142857142857146</v>
      </c>
      <c r="O154" s="23">
        <v>34.285714285714285</v>
      </c>
      <c r="P154" s="17">
        <v>43</v>
      </c>
      <c r="Q154" s="17">
        <v>21.428571428571427</v>
      </c>
      <c r="R154" s="17">
        <v>30.571428571428573</v>
      </c>
      <c r="S154" s="17">
        <v>24.571428571428573</v>
      </c>
      <c r="T154" s="17">
        <v>30.857142857142858</v>
      </c>
      <c r="U154" s="17">
        <v>20.428571428571427</v>
      </c>
      <c r="V154" s="17">
        <v>15.428571428571429</v>
      </c>
      <c r="W154" s="17">
        <v>18.285714285714285</v>
      </c>
      <c r="Y154" s="17">
        <f t="shared" si="16"/>
        <v>631.83928571428578</v>
      </c>
      <c r="Z154">
        <f t="shared" si="17"/>
        <v>123.96697913948728</v>
      </c>
    </row>
    <row r="155" spans="1:26" x14ac:dyDescent="0.25">
      <c r="A155" t="s">
        <v>52</v>
      </c>
      <c r="D155" s="23">
        <v>32.428571428571431</v>
      </c>
      <c r="E155" s="23">
        <v>26.428571428571427</v>
      </c>
      <c r="F155" s="23">
        <v>33.428571428571431</v>
      </c>
      <c r="G155" s="23">
        <v>27.571428571428573</v>
      </c>
      <c r="H155" s="23">
        <v>30.142857142857142</v>
      </c>
      <c r="I155" s="23">
        <v>36.571428571428569</v>
      </c>
      <c r="J155" s="23">
        <v>29.857142857142858</v>
      </c>
      <c r="K155" s="23">
        <v>28.571428571428573</v>
      </c>
      <c r="L155" s="23">
        <v>34.625</v>
      </c>
      <c r="M155" s="23">
        <v>36.857142857142854</v>
      </c>
      <c r="N155" s="23">
        <v>38.714285714285715</v>
      </c>
      <c r="O155" s="23">
        <v>41.571428571428569</v>
      </c>
      <c r="P155" s="17">
        <v>27.714285714285715</v>
      </c>
      <c r="Q155" s="17">
        <v>31.857142857142858</v>
      </c>
      <c r="R155" s="17">
        <v>28.285714285714285</v>
      </c>
      <c r="S155" s="17">
        <v>32.571428571428569</v>
      </c>
      <c r="T155" s="17">
        <v>23.857142857142858</v>
      </c>
      <c r="U155" s="17">
        <v>31.571428571428573</v>
      </c>
      <c r="V155" s="17">
        <v>26.857142857142858</v>
      </c>
      <c r="W155" s="17">
        <v>29.285714285714285</v>
      </c>
      <c r="Y155" s="17">
        <f t="shared" si="16"/>
        <v>628.76785714285722</v>
      </c>
      <c r="Z155">
        <f t="shared" si="17"/>
        <v>131.6334251419529</v>
      </c>
    </row>
    <row r="156" spans="1:26" x14ac:dyDescent="0.25">
      <c r="A156" t="s">
        <v>53</v>
      </c>
      <c r="D156" s="23">
        <v>29.428571428571427</v>
      </c>
      <c r="E156" s="23">
        <v>31.142857142857142</v>
      </c>
      <c r="F156" s="23">
        <v>33.428571428571431</v>
      </c>
      <c r="G156" s="23">
        <v>53.714285714285715</v>
      </c>
      <c r="H156" s="23">
        <v>36.714285714285715</v>
      </c>
      <c r="I156" s="23">
        <v>27</v>
      </c>
      <c r="J156" s="23">
        <v>35.142857142857146</v>
      </c>
      <c r="K156" s="23">
        <v>34.571428571428569</v>
      </c>
      <c r="L156" s="23">
        <v>49.75</v>
      </c>
      <c r="M156" s="23">
        <v>59.142857142857146</v>
      </c>
      <c r="N156" s="23">
        <v>38.571428571428569</v>
      </c>
      <c r="O156" s="23">
        <v>42.714285714285715</v>
      </c>
      <c r="P156" s="17">
        <v>35.428571428571431</v>
      </c>
      <c r="Q156" s="17">
        <v>26.428571428571427</v>
      </c>
      <c r="R156" s="17">
        <v>26</v>
      </c>
      <c r="S156" s="17">
        <v>28.285714285714285</v>
      </c>
      <c r="T156" s="17">
        <v>32.142857142857146</v>
      </c>
      <c r="U156" s="17">
        <v>26.857142857142858</v>
      </c>
      <c r="V156" s="17">
        <v>20.428571428571427</v>
      </c>
      <c r="W156" s="17">
        <v>23</v>
      </c>
      <c r="Y156" s="17">
        <f t="shared" si="16"/>
        <v>689.89285714285722</v>
      </c>
      <c r="Z156">
        <f t="shared" si="17"/>
        <v>134.68727601986171</v>
      </c>
    </row>
    <row r="157" spans="1:26" x14ac:dyDescent="0.25">
      <c r="A157" t="s">
        <v>54</v>
      </c>
      <c r="D157" s="23">
        <v>37.857142857142854</v>
      </c>
      <c r="E157" s="23">
        <v>34.714285714285715</v>
      </c>
      <c r="F157" s="23">
        <v>33.428571428571431</v>
      </c>
      <c r="G157" s="23">
        <v>33.714285714285715</v>
      </c>
      <c r="H157" s="23">
        <v>30.857142857142858</v>
      </c>
      <c r="I157" s="23">
        <v>36.857142857142854</v>
      </c>
      <c r="J157" s="23">
        <v>30</v>
      </c>
      <c r="K157" s="23">
        <v>39.142857142857146</v>
      </c>
      <c r="L157" s="23">
        <v>33.75</v>
      </c>
      <c r="M157" s="23">
        <v>38.159999999999997</v>
      </c>
      <c r="N157" s="23">
        <v>54.69</v>
      </c>
      <c r="O157" s="23">
        <v>45.28</v>
      </c>
      <c r="P157" s="17">
        <v>28.89</v>
      </c>
      <c r="Q157" s="17">
        <v>36</v>
      </c>
      <c r="R157" s="17">
        <v>23.58</v>
      </c>
      <c r="S157" s="17">
        <v>30</v>
      </c>
      <c r="T157" s="17">
        <v>19.420000000000002</v>
      </c>
      <c r="U157" s="17">
        <v>22.98</v>
      </c>
      <c r="V157" s="17">
        <v>21.41</v>
      </c>
      <c r="W157" s="17">
        <v>28.14</v>
      </c>
      <c r="Y157" s="17">
        <f t="shared" si="16"/>
        <v>658.87142857142862</v>
      </c>
      <c r="Z157">
        <f t="shared" si="17"/>
        <v>140.79604036646066</v>
      </c>
    </row>
    <row r="158" spans="1:26" x14ac:dyDescent="0.25">
      <c r="A158" t="s">
        <v>55</v>
      </c>
      <c r="D158" s="23">
        <v>40.19</v>
      </c>
      <c r="E158" s="23">
        <v>37.25</v>
      </c>
      <c r="F158" s="23">
        <v>34.369999999999997</v>
      </c>
      <c r="G158" s="23">
        <v>51.64</v>
      </c>
      <c r="H158" s="23">
        <v>55.56</v>
      </c>
      <c r="I158" s="23">
        <v>59.08</v>
      </c>
      <c r="J158" s="23">
        <v>43.12</v>
      </c>
      <c r="K158" s="23">
        <v>58.13</v>
      </c>
      <c r="L158" s="23">
        <v>51.74</v>
      </c>
      <c r="M158" s="23">
        <v>45.857142857142854</v>
      </c>
      <c r="N158" s="23">
        <v>40.142857142857146</v>
      </c>
      <c r="O158" s="23">
        <v>32.142857142857146</v>
      </c>
      <c r="P158" s="17">
        <v>38.285714285714285</v>
      </c>
      <c r="Q158" s="17">
        <v>41</v>
      </c>
      <c r="R158" s="17">
        <v>29</v>
      </c>
      <c r="S158" s="17">
        <v>39.857142857142854</v>
      </c>
      <c r="T158" s="17">
        <v>36.428571428571431</v>
      </c>
      <c r="U158" s="17">
        <v>25</v>
      </c>
      <c r="V158" s="17">
        <v>28</v>
      </c>
      <c r="W158" s="17">
        <v>29.571428571428573</v>
      </c>
      <c r="Y158" s="17">
        <f t="shared" si="16"/>
        <v>816.36571428571426</v>
      </c>
      <c r="Z158">
        <f t="shared" si="17"/>
        <v>159.50358666646659</v>
      </c>
    </row>
    <row r="159" spans="1:26" x14ac:dyDescent="0.25">
      <c r="A159" t="s">
        <v>56</v>
      </c>
      <c r="D159" s="23">
        <v>45</v>
      </c>
      <c r="E159" s="23">
        <v>34.285714285714285</v>
      </c>
      <c r="F159" s="23">
        <v>42</v>
      </c>
      <c r="G159" s="23">
        <v>36.428571428571431</v>
      </c>
      <c r="H159" s="23">
        <v>28.428571428571427</v>
      </c>
      <c r="I159" s="23">
        <v>28.142857142857142</v>
      </c>
      <c r="J159" s="23">
        <v>33.714285714285715</v>
      </c>
      <c r="K159" s="23">
        <v>41</v>
      </c>
      <c r="L159" s="23">
        <v>36</v>
      </c>
      <c r="M159" s="23">
        <v>37.142857142857146</v>
      </c>
      <c r="N159" s="23">
        <v>33.285714285714285</v>
      </c>
      <c r="O159" s="23">
        <v>42.428571428571431</v>
      </c>
      <c r="P159" s="17">
        <v>46.428571428571431</v>
      </c>
      <c r="Q159" s="17">
        <v>34.142857142857146</v>
      </c>
      <c r="R159" s="17">
        <v>51.571428571428569</v>
      </c>
      <c r="S159" s="17">
        <v>42.571428571428569</v>
      </c>
      <c r="T159" s="17">
        <v>31.142857142857142</v>
      </c>
      <c r="U159" s="17">
        <v>20.857142857142858</v>
      </c>
      <c r="V159" s="17">
        <v>29.571428571428573</v>
      </c>
      <c r="W159" s="17">
        <v>19.857142857142858</v>
      </c>
      <c r="Y159" s="17">
        <f t="shared" si="16"/>
        <v>714</v>
      </c>
      <c r="Z159">
        <f t="shared" si="17"/>
        <v>154.07910992678168</v>
      </c>
    </row>
    <row r="160" spans="1:26" x14ac:dyDescent="0.25">
      <c r="A160" t="s">
        <v>57</v>
      </c>
      <c r="D160" s="23">
        <v>30</v>
      </c>
      <c r="E160" s="23">
        <v>26.285714285714285</v>
      </c>
      <c r="F160" s="23">
        <v>23.285714285714285</v>
      </c>
      <c r="G160" s="23">
        <v>30.142857142857142</v>
      </c>
      <c r="H160" s="23">
        <v>26.571428571428573</v>
      </c>
      <c r="I160" s="23">
        <v>32.857142857142854</v>
      </c>
      <c r="J160" s="23">
        <v>39.285714285714285</v>
      </c>
      <c r="K160" s="23">
        <v>28</v>
      </c>
      <c r="L160" s="23">
        <v>34.625</v>
      </c>
      <c r="M160" s="23">
        <v>30.142857142857142</v>
      </c>
      <c r="N160" s="23">
        <v>36.285714285714285</v>
      </c>
      <c r="O160" s="23">
        <v>32.857142857142854</v>
      </c>
      <c r="P160" s="17">
        <v>38.285714285714285</v>
      </c>
      <c r="Q160" s="17">
        <v>36.571428571428569</v>
      </c>
      <c r="R160" s="17">
        <v>27.714285714285715</v>
      </c>
      <c r="S160" s="17">
        <v>18.285714285714285</v>
      </c>
      <c r="T160" s="17">
        <v>28.714285714285715</v>
      </c>
      <c r="U160" s="17">
        <v>20.285714285714285</v>
      </c>
      <c r="V160" s="17">
        <v>20.714285714285715</v>
      </c>
      <c r="W160" s="17">
        <v>28.142857142857142</v>
      </c>
      <c r="Y160" s="17">
        <f t="shared" si="16"/>
        <v>589.05357142857133</v>
      </c>
      <c r="Z160">
        <f t="shared" si="17"/>
        <v>119.56955323101769</v>
      </c>
    </row>
    <row r="161" spans="1:27" x14ac:dyDescent="0.25">
      <c r="A161" t="s">
        <v>58</v>
      </c>
      <c r="D161" s="23">
        <v>27.428571428571427</v>
      </c>
      <c r="E161" s="23">
        <v>27.571428571428573</v>
      </c>
      <c r="F161" s="23">
        <v>30.714285714285715</v>
      </c>
      <c r="G161" s="23">
        <v>28</v>
      </c>
      <c r="H161" s="23">
        <v>33.142857142857146</v>
      </c>
      <c r="I161" s="23">
        <v>25.714285714285715</v>
      </c>
      <c r="J161" s="23">
        <v>30.285714285714285</v>
      </c>
      <c r="K161" s="23">
        <v>36.714285714285715</v>
      </c>
      <c r="L161" s="23">
        <v>34.25</v>
      </c>
      <c r="M161" s="23">
        <v>0</v>
      </c>
      <c r="N161" s="23">
        <v>35.571428571428569</v>
      </c>
      <c r="O161" s="23">
        <v>28.142857142857142</v>
      </c>
      <c r="P161" s="17">
        <v>33.857142857142854</v>
      </c>
      <c r="Q161" s="17">
        <v>23.571428571428573</v>
      </c>
      <c r="R161" s="17">
        <v>29</v>
      </c>
      <c r="S161" s="17">
        <v>21.285714285714285</v>
      </c>
      <c r="T161" s="17">
        <v>25.857142857142858</v>
      </c>
      <c r="U161" s="17">
        <v>31</v>
      </c>
      <c r="V161" s="17">
        <v>24.428571428571427</v>
      </c>
      <c r="W161" s="17">
        <v>19.857142857142858</v>
      </c>
      <c r="Y161" s="17">
        <f t="shared" si="16"/>
        <v>546.39285714285711</v>
      </c>
      <c r="Z161">
        <f t="shared" si="17"/>
        <v>107.81798963223078</v>
      </c>
      <c r="AA161" s="17"/>
    </row>
    <row r="162" spans="1:27" x14ac:dyDescent="0.25">
      <c r="A162" t="s">
        <v>59</v>
      </c>
      <c r="D162" s="23">
        <v>22.285714285714285</v>
      </c>
      <c r="E162" s="23">
        <v>27.428571428571427</v>
      </c>
      <c r="F162" s="23">
        <v>25.285714285714285</v>
      </c>
      <c r="G162" s="23">
        <v>24.714285714285715</v>
      </c>
      <c r="H162" s="23">
        <v>27.714285714285715</v>
      </c>
      <c r="I162" s="23">
        <v>41.571428571428569</v>
      </c>
      <c r="J162" s="23">
        <v>28.142857142857142</v>
      </c>
      <c r="K162" s="23">
        <v>33.285714285714285</v>
      </c>
      <c r="L162" s="23">
        <v>31.285714285714285</v>
      </c>
      <c r="M162" s="23">
        <v>31.571428571428573</v>
      </c>
      <c r="N162" s="23">
        <v>32.571428571428569</v>
      </c>
      <c r="O162" s="23">
        <v>37.285714285714285</v>
      </c>
      <c r="P162" s="17">
        <v>40.714285714285715</v>
      </c>
      <c r="Q162" s="17">
        <v>29.857142857142858</v>
      </c>
      <c r="R162" s="17">
        <v>36.714285714285715</v>
      </c>
      <c r="S162" s="17">
        <v>44.714285714285715</v>
      </c>
      <c r="T162" s="17">
        <v>42.857142857142854</v>
      </c>
      <c r="U162" s="17">
        <v>25.428571428571427</v>
      </c>
      <c r="V162" s="17">
        <v>23.285714285714285</v>
      </c>
      <c r="W162" s="17">
        <v>25.285714285714285</v>
      </c>
      <c r="Y162" s="17">
        <f t="shared" si="16"/>
        <v>632.00000000000011</v>
      </c>
      <c r="Z162">
        <f t="shared" si="17"/>
        <v>133.30089558451681</v>
      </c>
      <c r="AA162" s="17"/>
    </row>
    <row r="163" spans="1:27" x14ac:dyDescent="0.25">
      <c r="A163" t="s">
        <v>60</v>
      </c>
      <c r="D163" s="23">
        <v>20.571428571428573</v>
      </c>
      <c r="E163" s="23">
        <v>31.857142857142858</v>
      </c>
      <c r="F163" s="23">
        <v>26.857142857142858</v>
      </c>
      <c r="G163" s="23">
        <v>21.714285714285715</v>
      </c>
      <c r="H163" s="23">
        <v>21</v>
      </c>
      <c r="I163" s="23">
        <v>29.142857142857142</v>
      </c>
      <c r="J163" s="23">
        <v>30.428571428571427</v>
      </c>
      <c r="K163" s="23">
        <v>36.142857142857146</v>
      </c>
      <c r="L163" s="23">
        <v>35.5</v>
      </c>
      <c r="M163" s="23">
        <v>38.571428571428569</v>
      </c>
      <c r="N163" s="23">
        <v>35.714285714285715</v>
      </c>
      <c r="O163" s="23">
        <v>28.857142857142858</v>
      </c>
      <c r="P163" s="17">
        <v>29</v>
      </c>
      <c r="Q163" s="17">
        <v>40.714285714285715</v>
      </c>
      <c r="R163" s="17">
        <v>33.428571428571431</v>
      </c>
      <c r="S163" s="17">
        <v>29.857142857142858</v>
      </c>
      <c r="T163" s="17">
        <v>35.428571428571431</v>
      </c>
      <c r="U163" s="17">
        <v>27.428571428571427</v>
      </c>
      <c r="V163" s="17">
        <v>12.400000000000002</v>
      </c>
      <c r="W163" s="17">
        <v>20.857142857142858</v>
      </c>
      <c r="Y163" s="17">
        <f t="shared" si="16"/>
        <v>585.47142857142853</v>
      </c>
      <c r="Z163">
        <f t="shared" si="17"/>
        <v>128.21358166269897</v>
      </c>
      <c r="AA163" s="17"/>
    </row>
    <row r="164" spans="1:27" x14ac:dyDescent="0.25">
      <c r="A164" t="s">
        <v>61</v>
      </c>
      <c r="D164" s="23">
        <v>37.428571428571431</v>
      </c>
      <c r="E164" s="23">
        <v>32</v>
      </c>
      <c r="F164" s="23">
        <v>30</v>
      </c>
      <c r="G164" s="23">
        <v>40.571428571428569</v>
      </c>
      <c r="H164" s="23">
        <v>33.285714285714285</v>
      </c>
      <c r="I164" s="23">
        <v>30.857142857142858</v>
      </c>
      <c r="J164" s="23">
        <v>37.142857142857146</v>
      </c>
      <c r="K164" s="23">
        <v>42.428571428571431</v>
      </c>
      <c r="L164" s="23">
        <v>37.125</v>
      </c>
      <c r="M164" s="23">
        <v>18.899999999999999</v>
      </c>
      <c r="N164" s="23">
        <v>19.12857142857143</v>
      </c>
      <c r="O164" s="23">
        <v>20.3</v>
      </c>
      <c r="P164" s="17">
        <v>18.62857142857143</v>
      </c>
      <c r="Q164" s="17">
        <v>19.271428571428572</v>
      </c>
      <c r="R164" s="17">
        <v>18.857142857142858</v>
      </c>
      <c r="S164" s="17">
        <v>21.7</v>
      </c>
      <c r="T164" s="17">
        <v>22.75714285714286</v>
      </c>
      <c r="U164" s="17">
        <v>23.785714285714285</v>
      </c>
      <c r="V164" s="17">
        <v>24.728571428571428</v>
      </c>
      <c r="W164" s="17">
        <v>26.728571428571431</v>
      </c>
      <c r="Y164" s="17">
        <f t="shared" si="16"/>
        <v>555.625</v>
      </c>
      <c r="Z164">
        <f t="shared" si="17"/>
        <v>96.300921950888053</v>
      </c>
      <c r="AA164" s="17"/>
    </row>
    <row r="165" spans="1:27" x14ac:dyDescent="0.25">
      <c r="A165" t="s">
        <v>62</v>
      </c>
      <c r="D165" s="23">
        <v>26.942857142857147</v>
      </c>
      <c r="E165" s="23">
        <v>26.528571428571428</v>
      </c>
      <c r="F165" s="23">
        <v>27.585714285714289</v>
      </c>
      <c r="G165" s="23">
        <v>24.87142857142857</v>
      </c>
      <c r="H165" s="23">
        <v>23.785714285714285</v>
      </c>
      <c r="I165" s="23">
        <v>22.442857142857143</v>
      </c>
      <c r="J165" s="23">
        <v>20.87142857142857</v>
      </c>
      <c r="K165" s="23">
        <v>22.142857142857142</v>
      </c>
      <c r="L165" s="23">
        <v>22.4375</v>
      </c>
      <c r="M165" s="23">
        <v>44.714285714285715</v>
      </c>
      <c r="N165" s="23">
        <v>35.571428571428569</v>
      </c>
      <c r="O165" s="23">
        <v>34.857142857142854</v>
      </c>
      <c r="P165" s="17">
        <v>39</v>
      </c>
      <c r="Q165" s="17">
        <v>41.857142857142854</v>
      </c>
      <c r="R165" s="17">
        <v>48.142857142857146</v>
      </c>
      <c r="S165" s="17">
        <v>43.571428571428569</v>
      </c>
      <c r="T165" s="17">
        <v>25.285714285714285</v>
      </c>
      <c r="U165" s="17">
        <v>33.714285714285715</v>
      </c>
      <c r="V165" s="17">
        <v>40.571428571428569</v>
      </c>
      <c r="W165" s="17">
        <v>23.428571428571427</v>
      </c>
      <c r="Y165" s="17">
        <f t="shared" si="16"/>
        <v>628.32321428571424</v>
      </c>
      <c r="Z165">
        <f t="shared" si="17"/>
        <v>142.86495013252429</v>
      </c>
      <c r="AA165" s="17"/>
    </row>
    <row r="166" spans="1:27" x14ac:dyDescent="0.25">
      <c r="A166" t="s">
        <v>63</v>
      </c>
      <c r="D166" s="23">
        <v>36.142857142857146</v>
      </c>
      <c r="E166" s="23">
        <v>37</v>
      </c>
      <c r="F166" s="23">
        <v>41.428571428571431</v>
      </c>
      <c r="G166" s="23">
        <v>31</v>
      </c>
      <c r="H166" s="23">
        <v>37.571428571428569</v>
      </c>
      <c r="I166" s="23">
        <v>45.714285714285715</v>
      </c>
      <c r="J166" s="23">
        <v>44.857142857142854</v>
      </c>
      <c r="K166" s="23">
        <v>36.428571428571431</v>
      </c>
      <c r="L166" s="23">
        <v>31.75</v>
      </c>
      <c r="M166" s="23">
        <v>57</v>
      </c>
      <c r="N166" s="23">
        <v>35</v>
      </c>
      <c r="O166" s="23">
        <v>38.285714285714285</v>
      </c>
      <c r="P166" s="17">
        <v>31.285714285714285</v>
      </c>
      <c r="Q166" s="17">
        <v>31.857142857142858</v>
      </c>
      <c r="R166" s="17">
        <v>24.142857142857142</v>
      </c>
      <c r="S166" s="17">
        <v>30.857142857142858</v>
      </c>
      <c r="T166" s="17">
        <v>28.714285714285715</v>
      </c>
      <c r="U166" s="17">
        <v>25.428571428571427</v>
      </c>
      <c r="V166" s="17">
        <v>34</v>
      </c>
      <c r="W166" s="17">
        <v>27.571428571428573</v>
      </c>
      <c r="Y166" s="17">
        <f t="shared" si="16"/>
        <v>706.03571428571422</v>
      </c>
      <c r="Z166">
        <f t="shared" si="17"/>
        <v>148.79087789582471</v>
      </c>
      <c r="AA166" s="17"/>
    </row>
    <row r="167" spans="1:27" x14ac:dyDescent="0.25">
      <c r="A167" t="s">
        <v>64</v>
      </c>
      <c r="D167" s="23">
        <v>35</v>
      </c>
      <c r="E167" s="23">
        <v>38.428571428571431</v>
      </c>
      <c r="F167" s="23">
        <v>56.714285714285715</v>
      </c>
      <c r="G167" s="23">
        <v>33.142857142857146</v>
      </c>
      <c r="H167" s="23">
        <v>43</v>
      </c>
      <c r="I167" s="23">
        <v>47.285714285714285</v>
      </c>
      <c r="J167" s="23">
        <v>52.142857142857146</v>
      </c>
      <c r="K167" s="23">
        <v>42.285714285714285</v>
      </c>
      <c r="L167" s="23">
        <v>46.5</v>
      </c>
      <c r="M167" s="23">
        <v>46</v>
      </c>
      <c r="N167" s="23">
        <v>36.857142857142854</v>
      </c>
      <c r="O167" s="23">
        <v>35.714285714285715</v>
      </c>
      <c r="P167" s="17">
        <v>37.285714285714285</v>
      </c>
      <c r="Q167" s="17">
        <v>38.571428571428569</v>
      </c>
      <c r="R167" s="17">
        <v>43.142857142857146</v>
      </c>
      <c r="S167" s="17">
        <v>33.285714285714285</v>
      </c>
      <c r="T167" s="17">
        <v>27.571428571428573</v>
      </c>
      <c r="U167" s="17">
        <v>33.142857142857146</v>
      </c>
      <c r="V167" s="17">
        <v>26.857142857142858</v>
      </c>
      <c r="W167" s="17">
        <v>24.571428571428573</v>
      </c>
      <c r="Y167" s="17">
        <f t="shared" si="16"/>
        <v>777.5</v>
      </c>
      <c r="Z167">
        <f t="shared" si="17"/>
        <v>166.36745206610803</v>
      </c>
      <c r="AA167" s="17"/>
    </row>
    <row r="168" spans="1:27" x14ac:dyDescent="0.25">
      <c r="A168" t="s">
        <v>65</v>
      </c>
      <c r="D168" s="23">
        <v>35.285714285714285</v>
      </c>
      <c r="E168" s="23">
        <v>31.285714285714285</v>
      </c>
      <c r="F168" s="23">
        <v>24.714285714285715</v>
      </c>
      <c r="G168" s="23">
        <v>20.571428571428573</v>
      </c>
      <c r="H168" s="23">
        <v>30.428571428571427</v>
      </c>
      <c r="I168" s="23">
        <v>41.142857142857146</v>
      </c>
      <c r="J168" s="23">
        <v>39</v>
      </c>
      <c r="K168" s="23">
        <v>36.714285714285715</v>
      </c>
      <c r="L168" s="23">
        <v>36.375</v>
      </c>
      <c r="M168" s="23">
        <v>46.285714285714285</v>
      </c>
      <c r="N168" s="23">
        <v>36.285714285714285</v>
      </c>
      <c r="O168" s="23">
        <v>37.714285714285715</v>
      </c>
      <c r="P168" s="17">
        <v>29.285714285714285</v>
      </c>
      <c r="Q168" s="17">
        <v>53.571428571428569</v>
      </c>
      <c r="R168" s="17">
        <v>53</v>
      </c>
      <c r="S168" s="17">
        <v>28.142857142857142</v>
      </c>
      <c r="T168" s="17">
        <v>23.285714285714285</v>
      </c>
      <c r="U168" s="17">
        <v>14.142857142857142</v>
      </c>
      <c r="V168" s="17">
        <v>22</v>
      </c>
      <c r="W168" s="17">
        <v>24.285714285714285</v>
      </c>
      <c r="Y168" s="17">
        <f t="shared" si="16"/>
        <v>663.51785714285711</v>
      </c>
      <c r="Z168">
        <f t="shared" si="17"/>
        <v>155.25504632267678</v>
      </c>
      <c r="AA168" s="17"/>
    </row>
    <row r="169" spans="1:27" x14ac:dyDescent="0.25">
      <c r="A169" t="s">
        <v>66</v>
      </c>
      <c r="D169" s="23">
        <v>28</v>
      </c>
      <c r="E169" s="23">
        <v>25.285714285714285</v>
      </c>
      <c r="F169" s="23">
        <v>28.285714285714285</v>
      </c>
      <c r="G169" s="23">
        <v>36.142857142857146</v>
      </c>
      <c r="H169" s="23">
        <v>36.428571428571431</v>
      </c>
      <c r="I169" s="23">
        <v>30</v>
      </c>
      <c r="J169" s="23">
        <v>44.428571428571431</v>
      </c>
      <c r="K169" s="23">
        <v>43.142857142857146</v>
      </c>
      <c r="L169" s="23">
        <v>34</v>
      </c>
      <c r="M169" s="23">
        <v>43.857142857142854</v>
      </c>
      <c r="N169" s="23">
        <v>56</v>
      </c>
      <c r="O169" s="23">
        <v>48</v>
      </c>
      <c r="P169" s="17">
        <v>38.714285714285715</v>
      </c>
      <c r="Q169" s="17">
        <v>29</v>
      </c>
      <c r="R169" s="17">
        <v>37.285714285714285</v>
      </c>
      <c r="S169" s="17">
        <v>32.714285714285715</v>
      </c>
      <c r="T169" s="17">
        <v>27.428571428571427</v>
      </c>
      <c r="U169" s="17">
        <v>24.714285714285715</v>
      </c>
      <c r="V169" s="17">
        <v>23.428571428571427</v>
      </c>
      <c r="W169" s="17">
        <v>17.857142857142858</v>
      </c>
      <c r="Y169" s="17">
        <f t="shared" si="16"/>
        <v>684.71428571428578</v>
      </c>
      <c r="Z169">
        <f t="shared" si="17"/>
        <v>148.50326650135403</v>
      </c>
      <c r="AA169" s="17"/>
    </row>
    <row r="170" spans="1:27" x14ac:dyDescent="0.25">
      <c r="A170" t="s">
        <v>67</v>
      </c>
      <c r="D170" s="23">
        <v>22.571428571428573</v>
      </c>
      <c r="E170" s="23">
        <v>42.428571428571431</v>
      </c>
      <c r="F170" s="23">
        <v>55</v>
      </c>
      <c r="G170" s="23">
        <v>35.571428571428569</v>
      </c>
      <c r="H170" s="23">
        <v>32</v>
      </c>
      <c r="I170" s="23">
        <v>34.428571428571431</v>
      </c>
      <c r="J170" s="23">
        <v>40.571428571428569</v>
      </c>
      <c r="K170" s="23">
        <v>52.428571428571431</v>
      </c>
      <c r="L170" s="23">
        <v>43.714285714285715</v>
      </c>
      <c r="M170" s="23">
        <v>50</v>
      </c>
      <c r="N170" s="23">
        <v>40.428571428571431</v>
      </c>
      <c r="O170" s="23">
        <v>37.142857142857146</v>
      </c>
      <c r="P170" s="17">
        <v>33.571428571428569</v>
      </c>
      <c r="Q170" s="17">
        <v>37.285714285714285</v>
      </c>
      <c r="R170" s="17">
        <v>37.571428571428569</v>
      </c>
      <c r="S170" s="17">
        <v>29.142857142857142</v>
      </c>
      <c r="T170" s="17">
        <v>27.142857142857142</v>
      </c>
      <c r="U170" s="17">
        <v>24.857142857142858</v>
      </c>
      <c r="V170" s="17">
        <v>26.714285714285715</v>
      </c>
      <c r="W170" s="17">
        <v>16.571428571428573</v>
      </c>
      <c r="Y170" s="17">
        <f t="shared" si="16"/>
        <v>719.14285714285711</v>
      </c>
      <c r="Z170">
        <f t="shared" si="17"/>
        <v>159.2242611374995</v>
      </c>
      <c r="AA170" s="17"/>
    </row>
    <row r="171" spans="1:27" x14ac:dyDescent="0.25">
      <c r="A171" t="s">
        <v>68</v>
      </c>
      <c r="D171" s="23">
        <v>31.714285714285701</v>
      </c>
      <c r="E171" s="23">
        <v>32.571428571428598</v>
      </c>
      <c r="F171" s="23">
        <v>37</v>
      </c>
      <c r="G171" s="23">
        <v>38.142857142857103</v>
      </c>
      <c r="H171" s="23">
        <v>60.142857142857146</v>
      </c>
      <c r="I171" s="23">
        <v>41.285714285714299</v>
      </c>
      <c r="J171" s="23">
        <v>40.428571428571402</v>
      </c>
      <c r="K171" s="23">
        <v>33.571428571428569</v>
      </c>
      <c r="L171" s="23">
        <v>43.875</v>
      </c>
      <c r="M171" s="23">
        <v>44.428571428571402</v>
      </c>
      <c r="N171" s="23">
        <v>38.285714285714285</v>
      </c>
      <c r="O171" s="23">
        <v>39.857142857142897</v>
      </c>
      <c r="P171" s="17">
        <v>39.428571428571431</v>
      </c>
      <c r="Q171" s="17">
        <v>37.571428571428569</v>
      </c>
      <c r="R171" s="17">
        <v>47.857142857142897</v>
      </c>
      <c r="S171" s="17">
        <v>39.285714285714285</v>
      </c>
      <c r="T171" s="17">
        <v>27.857142857142858</v>
      </c>
      <c r="U171" s="17">
        <v>30.428571428571427</v>
      </c>
      <c r="V171" s="17">
        <v>20.428571428571427</v>
      </c>
      <c r="W171" s="17">
        <v>16.428571428571427</v>
      </c>
      <c r="Y171" s="17">
        <f t="shared" si="16"/>
        <v>740.58928571428578</v>
      </c>
      <c r="Z171">
        <f t="shared" si="17"/>
        <v>161.86854110615801</v>
      </c>
      <c r="AA171" s="17"/>
    </row>
    <row r="172" spans="1:27" x14ac:dyDescent="0.25">
      <c r="A172" t="s">
        <v>69</v>
      </c>
      <c r="D172" s="23">
        <v>37.857142857142854</v>
      </c>
      <c r="E172" s="23">
        <v>34.714285714285715</v>
      </c>
      <c r="F172" s="23">
        <v>33.428571428571431</v>
      </c>
      <c r="G172" s="23">
        <v>33.714285714285715</v>
      </c>
      <c r="H172" s="23">
        <v>30.857142857142858</v>
      </c>
      <c r="I172" s="23">
        <v>36.857142857142854</v>
      </c>
      <c r="J172" s="23">
        <v>30</v>
      </c>
      <c r="K172" s="23">
        <v>39.142857142857146</v>
      </c>
      <c r="L172" s="23">
        <v>33.75</v>
      </c>
      <c r="M172" s="23">
        <v>38.159999999999997</v>
      </c>
      <c r="N172" s="23">
        <v>54.69</v>
      </c>
      <c r="O172" s="23">
        <v>45.28</v>
      </c>
      <c r="P172" s="17">
        <v>28.89</v>
      </c>
      <c r="Q172" s="17">
        <v>36</v>
      </c>
      <c r="R172" s="17">
        <v>23.58</v>
      </c>
      <c r="S172" s="17">
        <v>30</v>
      </c>
      <c r="T172" s="17">
        <v>26.428571428571427</v>
      </c>
      <c r="U172" s="17">
        <v>28.714285714285715</v>
      </c>
      <c r="V172" s="17">
        <v>21.857142857142858</v>
      </c>
      <c r="W172" s="17">
        <v>19.142857142857142</v>
      </c>
      <c r="Y172" s="17">
        <f t="shared" si="16"/>
        <v>663.0642857142858</v>
      </c>
      <c r="Z172">
        <f t="shared" si="17"/>
        <v>143.39456632024141</v>
      </c>
    </row>
    <row r="173" spans="1:27" x14ac:dyDescent="0.25"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17"/>
      <c r="Q173" s="17"/>
      <c r="R173" s="17"/>
      <c r="S173" s="17"/>
      <c r="T173" s="17"/>
      <c r="U173" s="17"/>
      <c r="V173" s="17"/>
      <c r="W173" s="17"/>
      <c r="Y173" s="17"/>
    </row>
    <row r="174" spans="1:27" x14ac:dyDescent="0.25">
      <c r="A174" t="s">
        <v>70</v>
      </c>
      <c r="D174" s="23">
        <v>32.428571428571431</v>
      </c>
      <c r="E174" s="23">
        <v>26.428571428571427</v>
      </c>
      <c r="F174" s="23">
        <v>33.428571428571431</v>
      </c>
      <c r="G174" s="23">
        <v>27.571428571428573</v>
      </c>
      <c r="H174" s="23">
        <v>30.142857142857142</v>
      </c>
      <c r="I174" s="23">
        <v>36.571428571428569</v>
      </c>
      <c r="J174" s="23">
        <v>29.857142857142858</v>
      </c>
      <c r="K174" s="23">
        <v>28.571428571428573</v>
      </c>
      <c r="L174" s="23">
        <v>34.625</v>
      </c>
      <c r="M174" s="23">
        <v>36.857142857142854</v>
      </c>
      <c r="N174" s="23">
        <v>38.714285714285715</v>
      </c>
      <c r="O174" s="23">
        <v>41.571428571428569</v>
      </c>
      <c r="P174" s="17">
        <v>27.714285714285715</v>
      </c>
      <c r="Q174" s="17">
        <v>31.857142857142858</v>
      </c>
      <c r="R174" s="17">
        <v>28.285714285714285</v>
      </c>
      <c r="S174" s="17">
        <v>32.571428571428569</v>
      </c>
      <c r="T174" s="17">
        <v>37.142857142857146</v>
      </c>
      <c r="U174" s="17">
        <v>27.428571428571427</v>
      </c>
      <c r="V174" s="17">
        <v>22.428571428571427</v>
      </c>
      <c r="W174" s="17">
        <v>26.857142857142858</v>
      </c>
      <c r="Y174" s="17">
        <f t="shared" si="16"/>
        <v>631.05357142857144</v>
      </c>
      <c r="Z174">
        <f>SUMPRODUCT($D$178:$W$178,D174:W174)</f>
        <v>131.05445671181479</v>
      </c>
    </row>
    <row r="175" spans="1:27" x14ac:dyDescent="0.25">
      <c r="A175" t="s">
        <v>314</v>
      </c>
      <c r="D175" s="23">
        <v>45.285714285714285</v>
      </c>
      <c r="E175" s="23">
        <v>43</v>
      </c>
      <c r="F175" s="23">
        <v>41.285714285714285</v>
      </c>
      <c r="G175" s="23">
        <v>35.571428571428569</v>
      </c>
      <c r="H175" s="23">
        <v>41.857142857142854</v>
      </c>
      <c r="I175" s="23">
        <v>39.571428571428569</v>
      </c>
      <c r="J175" s="23">
        <v>37.714285714285715</v>
      </c>
      <c r="K175" s="23">
        <v>39.571428571428569</v>
      </c>
      <c r="L175" s="23">
        <v>50.875</v>
      </c>
      <c r="M175" s="23">
        <v>52.428571428571431</v>
      </c>
      <c r="N175" s="23">
        <v>49.142857142857146</v>
      </c>
      <c r="O175" s="23">
        <v>42</v>
      </c>
      <c r="P175" s="17">
        <v>67</v>
      </c>
      <c r="Q175" s="17">
        <v>42</v>
      </c>
      <c r="R175" s="17">
        <v>42.4</v>
      </c>
      <c r="S175" s="17">
        <v>42.6</v>
      </c>
      <c r="T175" s="17">
        <v>43.285714285714285</v>
      </c>
      <c r="U175" s="17">
        <v>33.142857142857146</v>
      </c>
      <c r="V175" s="17">
        <v>32</v>
      </c>
      <c r="W175" s="17">
        <v>24.857142857142858</v>
      </c>
      <c r="Y175" s="17">
        <f t="shared" si="16"/>
        <v>845.58928571428578</v>
      </c>
      <c r="Z175">
        <f>SUMPRODUCT($D$178:$W$178,D175:W175)</f>
        <v>181.96565583064867</v>
      </c>
    </row>
    <row r="176" spans="1:27" x14ac:dyDescent="0.25">
      <c r="A176" t="s">
        <v>315</v>
      </c>
      <c r="D176" s="23">
        <v>36.857142857142854</v>
      </c>
      <c r="E176" s="23">
        <v>38.142857142857146</v>
      </c>
      <c r="F176" s="23">
        <v>52.285714285714285</v>
      </c>
      <c r="G176" s="23">
        <v>36</v>
      </c>
      <c r="H176" s="23">
        <v>40.428571428571431</v>
      </c>
      <c r="I176" s="23">
        <v>41.714285714285715</v>
      </c>
      <c r="J176" s="23">
        <v>69.285714285714292</v>
      </c>
      <c r="K176" s="23">
        <v>48.714285714285715</v>
      </c>
      <c r="L176" s="23">
        <v>31</v>
      </c>
      <c r="M176" s="23">
        <v>44.6</v>
      </c>
      <c r="N176" s="23">
        <v>42.8</v>
      </c>
      <c r="O176" s="23">
        <v>43.7</v>
      </c>
      <c r="P176" s="23">
        <v>33.13428571428571</v>
      </c>
      <c r="Q176" s="23">
        <v>34.555714285714281</v>
      </c>
      <c r="R176" s="23">
        <v>36.128571428571426</v>
      </c>
      <c r="S176" s="23">
        <v>31.527142857142859</v>
      </c>
      <c r="T176" s="23">
        <v>35.571428571428569</v>
      </c>
      <c r="U176" s="23">
        <v>49.714285714285715</v>
      </c>
      <c r="V176" s="23">
        <v>33.857142857142854</v>
      </c>
      <c r="W176" s="23">
        <v>37.142857142857146</v>
      </c>
      <c r="Y176" s="17">
        <f t="shared" si="16"/>
        <v>817.16</v>
      </c>
      <c r="Z176">
        <f>SUMPRODUCT($D$178:$W$178,D176:W176)</f>
        <v>164.12102569189875</v>
      </c>
    </row>
    <row r="177" spans="1:26" x14ac:dyDescent="0.25">
      <c r="A177" t="s">
        <v>677</v>
      </c>
      <c r="D177" s="21">
        <v>39.857142857142854</v>
      </c>
      <c r="E177" s="21">
        <v>30.714285714285715</v>
      </c>
      <c r="F177" s="21">
        <v>34.428571428571431</v>
      </c>
      <c r="G177" s="21">
        <v>36.428571428571431</v>
      </c>
      <c r="H177" s="21">
        <v>33.285714285714285</v>
      </c>
      <c r="I177" s="21">
        <v>31.571428571428573</v>
      </c>
      <c r="J177" s="21">
        <v>32.428571428571431</v>
      </c>
      <c r="K177" s="17">
        <v>30.428571428571427</v>
      </c>
      <c r="L177" s="17">
        <v>28.25</v>
      </c>
      <c r="M177" s="17">
        <v>36.428571428571431</v>
      </c>
      <c r="N177" s="17">
        <v>39.428571428571431</v>
      </c>
      <c r="O177" s="17">
        <v>20.857142857142858</v>
      </c>
      <c r="P177" s="17">
        <v>33.428571428571431</v>
      </c>
      <c r="Q177" s="17">
        <v>40.428571428571431</v>
      </c>
      <c r="R177" s="17">
        <v>25.142857142857142</v>
      </c>
      <c r="S177" s="17">
        <v>32.061904761904763</v>
      </c>
      <c r="T177" s="17">
        <v>29.414285714285715</v>
      </c>
      <c r="U177" s="17">
        <v>26.153061224489793</v>
      </c>
      <c r="V177" s="17">
        <v>26.263265306122445</v>
      </c>
      <c r="W177" s="17">
        <v>24.675510204081633</v>
      </c>
      <c r="Y177" s="17">
        <f t="shared" ref="Y177" si="18">SUM(D177:W177)</f>
        <v>631.67517006802723</v>
      </c>
      <c r="Z177">
        <f>SUMPRODUCT($D$178:$W$178,D177:W177)</f>
        <v>126.87092251904409</v>
      </c>
    </row>
    <row r="178" spans="1:26" x14ac:dyDescent="0.25">
      <c r="A178" s="2" t="s">
        <v>71</v>
      </c>
      <c r="D178" s="3">
        <f>CORREL($B$2:$B$28,D146:D172)</f>
        <v>9.4637042772311483E-2</v>
      </c>
      <c r="E178" s="3">
        <f t="shared" ref="E178:W178" si="19">CORREL($B$2:$B$28,E146:E172)</f>
        <v>0.37255988581311483</v>
      </c>
      <c r="F178" s="3">
        <f t="shared" si="19"/>
        <v>0.26880427320325051</v>
      </c>
      <c r="G178" s="3">
        <f t="shared" si="19"/>
        <v>-0.25640495082736342</v>
      </c>
      <c r="H178" s="3">
        <f t="shared" si="19"/>
        <v>0.25713315645437607</v>
      </c>
      <c r="I178" s="3">
        <f t="shared" si="19"/>
        <v>0.23715313572324054</v>
      </c>
      <c r="J178" s="3">
        <f t="shared" si="19"/>
        <v>0.10422559512405158</v>
      </c>
      <c r="K178" s="3">
        <f t="shared" si="19"/>
        <v>0.20410737687412692</v>
      </c>
      <c r="L178" s="3">
        <f t="shared" si="19"/>
        <v>9.827987198259576E-2</v>
      </c>
      <c r="M178" s="3">
        <f t="shared" si="19"/>
        <v>0.35332978317490943</v>
      </c>
      <c r="N178" s="3">
        <f t="shared" si="19"/>
        <v>0.31768671736934451</v>
      </c>
      <c r="O178" s="3">
        <f t="shared" si="19"/>
        <v>0.43419735799097603</v>
      </c>
      <c r="P178" s="3">
        <f t="shared" si="19"/>
        <v>0.26551455014067543</v>
      </c>
      <c r="Q178" s="3">
        <f t="shared" si="19"/>
        <v>0.44853272807476657</v>
      </c>
      <c r="R178" s="3">
        <f t="shared" si="19"/>
        <v>0.41093700274734152</v>
      </c>
      <c r="S178" s="3">
        <f t="shared" si="19"/>
        <v>0.20887046372027696</v>
      </c>
      <c r="T178" s="3">
        <f t="shared" si="19"/>
        <v>2.8622065018664166E-2</v>
      </c>
      <c r="U178" s="3">
        <f t="shared" si="19"/>
        <v>0.11536422681459689</v>
      </c>
      <c r="V178" s="3">
        <f t="shared" si="19"/>
        <v>0.20882379031341056</v>
      </c>
      <c r="W178" s="3">
        <f t="shared" si="19"/>
        <v>-0.18261582468451015</v>
      </c>
    </row>
    <row r="179" spans="1:26" x14ac:dyDescent="0.25">
      <c r="P179" s="17"/>
      <c r="Q179" s="17"/>
      <c r="R179" s="17"/>
      <c r="S179" s="17"/>
      <c r="T179" s="17"/>
      <c r="U179" s="17"/>
      <c r="V179" s="17"/>
      <c r="W179" s="17"/>
    </row>
    <row r="180" spans="1:26" x14ac:dyDescent="0.25">
      <c r="P180" s="17"/>
      <c r="Q180" s="17"/>
      <c r="R180" s="17"/>
      <c r="S180" s="17"/>
      <c r="T180" s="17"/>
      <c r="U180" s="17"/>
      <c r="V180" s="17"/>
      <c r="W180" s="17"/>
    </row>
    <row r="181" spans="1:26" x14ac:dyDescent="0.25">
      <c r="D181" t="s">
        <v>0</v>
      </c>
      <c r="E181" t="s">
        <v>1</v>
      </c>
      <c r="F181" t="s">
        <v>2</v>
      </c>
      <c r="G181" t="s">
        <v>3</v>
      </c>
      <c r="H181" t="s">
        <v>4</v>
      </c>
      <c r="I181" t="s">
        <v>5</v>
      </c>
      <c r="J181" t="s">
        <v>6</v>
      </c>
      <c r="K181" t="s">
        <v>7</v>
      </c>
      <c r="L181" t="s">
        <v>345</v>
      </c>
      <c r="M181" t="s">
        <v>383</v>
      </c>
      <c r="N181" t="s">
        <v>384</v>
      </c>
      <c r="O181" t="s">
        <v>385</v>
      </c>
      <c r="P181" s="17" t="s">
        <v>473</v>
      </c>
      <c r="Q181" s="17" t="s">
        <v>474</v>
      </c>
      <c r="R181" s="17" t="s">
        <v>475</v>
      </c>
      <c r="S181" s="17" t="s">
        <v>476</v>
      </c>
      <c r="T181" s="17" t="s">
        <v>585</v>
      </c>
      <c r="U181" s="17" t="s">
        <v>586</v>
      </c>
      <c r="V181" s="17" t="s">
        <v>587</v>
      </c>
      <c r="W181" s="17" t="s">
        <v>588</v>
      </c>
      <c r="Y181" t="s">
        <v>96</v>
      </c>
      <c r="Z181" t="s">
        <v>97</v>
      </c>
    </row>
    <row r="182" spans="1:26" x14ac:dyDescent="0.25">
      <c r="A182" t="s">
        <v>43</v>
      </c>
      <c r="D182" s="23">
        <v>12.714285714285714</v>
      </c>
      <c r="E182" s="23">
        <v>11.714285714285714</v>
      </c>
      <c r="F182" s="23">
        <v>10.814285714285715</v>
      </c>
      <c r="G182" s="23">
        <v>11.571428571428571</v>
      </c>
      <c r="H182" s="23">
        <v>10.985714285714286</v>
      </c>
      <c r="I182" s="23">
        <v>9.1999999999999993</v>
      </c>
      <c r="J182" s="23">
        <v>11.242857142857144</v>
      </c>
      <c r="K182" s="23">
        <v>10.757142857142856</v>
      </c>
      <c r="L182" s="23">
        <v>10.987500000000001</v>
      </c>
      <c r="M182" s="23">
        <v>6.0571428571428569</v>
      </c>
      <c r="N182" s="23">
        <v>7.128571428571429</v>
      </c>
      <c r="O182" s="23">
        <v>8.8428571428571434</v>
      </c>
      <c r="P182" s="17">
        <v>8.6571428571428566</v>
      </c>
      <c r="Q182" s="17">
        <v>9.0714285714285712</v>
      </c>
      <c r="R182" s="17">
        <v>9.8285714285714274</v>
      </c>
      <c r="S182" s="17">
        <v>8.7428571428571438</v>
      </c>
      <c r="T182" s="17">
        <v>7.4</v>
      </c>
      <c r="U182" s="17">
        <v>7.8714285714285728</v>
      </c>
      <c r="V182" s="17">
        <v>11.471428571428572</v>
      </c>
      <c r="W182" s="17">
        <v>10.257142857142856</v>
      </c>
      <c r="Y182" s="17">
        <f t="shared" ref="Y182:Y212" si="20">SUM(D182:W182)</f>
        <v>195.31607142857143</v>
      </c>
      <c r="Z182">
        <f t="shared" ref="Z182:Z208" si="21">SUMPRODUCT($D$214:$W$214,D182:W182)</f>
        <v>12.839032171538809</v>
      </c>
    </row>
    <row r="183" spans="1:26" x14ac:dyDescent="0.25">
      <c r="A183" t="s">
        <v>44</v>
      </c>
      <c r="D183" s="23">
        <v>12.5</v>
      </c>
      <c r="E183" s="23">
        <v>8.8000000000000007</v>
      </c>
      <c r="F183" s="23">
        <v>9.6</v>
      </c>
      <c r="G183" s="23">
        <v>10.8</v>
      </c>
      <c r="H183" s="23">
        <v>11.8</v>
      </c>
      <c r="I183" s="23">
        <v>7.8</v>
      </c>
      <c r="J183" s="23">
        <v>70.3</v>
      </c>
      <c r="K183" s="23">
        <v>9.6999999999999993</v>
      </c>
      <c r="L183" s="23">
        <v>8.6</v>
      </c>
      <c r="M183" s="23">
        <v>8.3000000000000007</v>
      </c>
      <c r="N183" s="23">
        <v>8.3000000000000007</v>
      </c>
      <c r="O183" s="23">
        <v>10.1</v>
      </c>
      <c r="P183" s="17">
        <v>8.8665714285714294</v>
      </c>
      <c r="Q183" s="17">
        <v>8.4037142857142868</v>
      </c>
      <c r="R183" s="17">
        <v>8.9194285714285702</v>
      </c>
      <c r="S183" s="17">
        <v>9.4500000000000011</v>
      </c>
      <c r="T183" s="17">
        <v>8.8321428571428573</v>
      </c>
      <c r="U183" s="17">
        <v>9.9196428571428577</v>
      </c>
      <c r="V183" s="17">
        <v>9.9053571428571416</v>
      </c>
      <c r="W183" s="17">
        <v>11.580357142857142</v>
      </c>
      <c r="Y183" s="17">
        <f t="shared" si="20"/>
        <v>252.47721428571427</v>
      </c>
      <c r="Z183">
        <f t="shared" si="21"/>
        <v>-5.4911432732369256</v>
      </c>
    </row>
    <row r="184" spans="1:26" x14ac:dyDescent="0.25">
      <c r="A184" t="s">
        <v>45</v>
      </c>
      <c r="D184" s="23">
        <v>12.657142857142857</v>
      </c>
      <c r="E184" s="23">
        <v>9.328571428571431</v>
      </c>
      <c r="F184" s="23">
        <v>8.7142857142857135</v>
      </c>
      <c r="G184" s="23">
        <v>11.242857142857142</v>
      </c>
      <c r="H184" s="23">
        <v>12.142857142857142</v>
      </c>
      <c r="I184" s="23">
        <v>8.742857142857142</v>
      </c>
      <c r="J184" s="23">
        <v>11.3</v>
      </c>
      <c r="K184" s="23">
        <v>8.2857142857142865</v>
      </c>
      <c r="L184" s="23">
        <v>8.9874999999999989</v>
      </c>
      <c r="M184" s="23">
        <v>9.1857142857142851</v>
      </c>
      <c r="N184" s="23">
        <v>10.014285714285714</v>
      </c>
      <c r="O184" s="23">
        <v>9.4571428571428555</v>
      </c>
      <c r="P184" s="17">
        <v>7.0428571428571436</v>
      </c>
      <c r="Q184" s="17">
        <v>8.0285714285714285</v>
      </c>
      <c r="R184" s="17">
        <v>10.37142857142857</v>
      </c>
      <c r="S184" s="17">
        <v>9.3428571428571434</v>
      </c>
      <c r="T184" s="17">
        <v>9.428571428571427</v>
      </c>
      <c r="U184" s="17">
        <v>10.028571428571427</v>
      </c>
      <c r="V184" s="17">
        <v>13</v>
      </c>
      <c r="W184" s="17">
        <v>15</v>
      </c>
      <c r="Y184" s="17">
        <f t="shared" si="20"/>
        <v>202.30178571428573</v>
      </c>
      <c r="Z184">
        <f t="shared" si="21"/>
        <v>11.108343238786324</v>
      </c>
    </row>
    <row r="185" spans="1:26" x14ac:dyDescent="0.25">
      <c r="A185" t="s">
        <v>46</v>
      </c>
      <c r="D185" s="23">
        <v>12.285714285714286</v>
      </c>
      <c r="E185" s="23">
        <v>11.285714285714286</v>
      </c>
      <c r="F185" s="23">
        <v>9.5</v>
      </c>
      <c r="G185" s="23">
        <v>10.814285714285715</v>
      </c>
      <c r="H185" s="23">
        <v>8.0142857142857142</v>
      </c>
      <c r="I185" s="23">
        <v>8.6142857142857139</v>
      </c>
      <c r="J185" s="23">
        <v>8.8857142857142861</v>
      </c>
      <c r="K185" s="23">
        <v>9.7285714285714278</v>
      </c>
      <c r="L185" s="23">
        <v>8.2874999999999996</v>
      </c>
      <c r="M185" s="23">
        <v>8.5857142857142854</v>
      </c>
      <c r="N185" s="23">
        <v>6.8142857142857149</v>
      </c>
      <c r="O185" s="23">
        <v>7.4714285714285706</v>
      </c>
      <c r="P185" s="17">
        <v>6.6714285714285717</v>
      </c>
      <c r="Q185" s="17">
        <v>8.4</v>
      </c>
      <c r="R185" s="17">
        <v>8.4857142857142858</v>
      </c>
      <c r="S185" s="17">
        <v>10.442857142857141</v>
      </c>
      <c r="T185" s="17">
        <v>7.5571428571428578</v>
      </c>
      <c r="U185" s="17">
        <v>8.7428571428571438</v>
      </c>
      <c r="V185" s="17">
        <v>8.7571428571428562</v>
      </c>
      <c r="W185" s="17">
        <v>12</v>
      </c>
      <c r="Y185" s="17">
        <f t="shared" si="20"/>
        <v>181.34464285714287</v>
      </c>
      <c r="Z185">
        <f t="shared" si="21"/>
        <v>12.30638728527315</v>
      </c>
    </row>
    <row r="186" spans="1:26" x14ac:dyDescent="0.25">
      <c r="A186" t="s">
        <v>47</v>
      </c>
      <c r="D186" s="23">
        <v>12.571428571428571</v>
      </c>
      <c r="E186" s="23">
        <v>10.271428571428572</v>
      </c>
      <c r="F186" s="23">
        <v>11.257142857142856</v>
      </c>
      <c r="G186" s="23">
        <v>12</v>
      </c>
      <c r="H186" s="23">
        <v>9.9714285714285715</v>
      </c>
      <c r="I186" s="23">
        <v>8.6571428571428566</v>
      </c>
      <c r="J186" s="23">
        <v>9.3857142857142861</v>
      </c>
      <c r="K186" s="23">
        <v>9.1714285714285726</v>
      </c>
      <c r="L186" s="23">
        <v>6.8874999999999993</v>
      </c>
      <c r="M186" s="23">
        <v>8.3285714285714274</v>
      </c>
      <c r="N186" s="23">
        <v>9.1285714285714281</v>
      </c>
      <c r="O186" s="23">
        <v>8.6571428571428584</v>
      </c>
      <c r="P186" s="17">
        <v>9.2571428571428562</v>
      </c>
      <c r="Q186" s="17">
        <v>7.5714285714285712</v>
      </c>
      <c r="R186" s="17">
        <v>10.671428571428573</v>
      </c>
      <c r="S186" s="17">
        <v>10.642857142857141</v>
      </c>
      <c r="T186" s="17">
        <v>9.7000000000000011</v>
      </c>
      <c r="U186" s="17">
        <v>10.542857142857143</v>
      </c>
      <c r="V186" s="17">
        <v>7.4142857142857155</v>
      </c>
      <c r="W186" s="17">
        <v>10.542857142857143</v>
      </c>
      <c r="Y186" s="17">
        <f t="shared" si="20"/>
        <v>192.63035714285715</v>
      </c>
      <c r="Z186">
        <f t="shared" si="21"/>
        <v>12.143341545333787</v>
      </c>
    </row>
    <row r="187" spans="1:26" x14ac:dyDescent="0.25">
      <c r="A187" t="s">
        <v>48</v>
      </c>
      <c r="D187" s="23">
        <v>14.571428571428571</v>
      </c>
      <c r="E187" s="23">
        <v>11.714285714285714</v>
      </c>
      <c r="F187" s="23">
        <v>11.4</v>
      </c>
      <c r="G187" s="23">
        <v>13.857142857142858</v>
      </c>
      <c r="H187" s="23">
        <v>12.428571428571429</v>
      </c>
      <c r="I187" s="23">
        <v>11</v>
      </c>
      <c r="J187" s="23">
        <v>10.414285714285715</v>
      </c>
      <c r="K187" s="23">
        <v>9.3142857142857149</v>
      </c>
      <c r="L187" s="23">
        <v>9.5875000000000004</v>
      </c>
      <c r="M187" s="23">
        <v>6.1428571428571432</v>
      </c>
      <c r="N187" s="23">
        <v>8.0571428571428569</v>
      </c>
      <c r="O187" s="23">
        <v>6.2571428571428571</v>
      </c>
      <c r="P187" s="17">
        <v>9.5</v>
      </c>
      <c r="Q187" s="17">
        <v>9.5857142857142872</v>
      </c>
      <c r="R187" s="17">
        <v>10.057142857142859</v>
      </c>
      <c r="S187" s="17">
        <v>7.5285714285714276</v>
      </c>
      <c r="T187" s="17">
        <v>10.12857142857143</v>
      </c>
      <c r="U187" s="17">
        <v>10.814285714285715</v>
      </c>
      <c r="V187" s="17">
        <v>10.285714285714286</v>
      </c>
      <c r="W187" s="17">
        <v>10.87142857142857</v>
      </c>
      <c r="Y187" s="17">
        <f t="shared" si="20"/>
        <v>203.51607142857145</v>
      </c>
      <c r="Z187">
        <f t="shared" si="21"/>
        <v>13.012672967789364</v>
      </c>
    </row>
    <row r="188" spans="1:26" x14ac:dyDescent="0.25">
      <c r="A188" t="s">
        <v>49</v>
      </c>
      <c r="D188" s="23">
        <v>9.9714285714285715</v>
      </c>
      <c r="E188" s="23">
        <v>12.4</v>
      </c>
      <c r="F188" s="23">
        <v>12.571428571428571</v>
      </c>
      <c r="G188" s="23">
        <v>11.485714285714286</v>
      </c>
      <c r="H188" s="23">
        <v>9.6857142857142851</v>
      </c>
      <c r="I188" s="23">
        <v>9.1285714285714281</v>
      </c>
      <c r="J188" s="23">
        <v>8.8571428571428577</v>
      </c>
      <c r="K188" s="23">
        <v>9.8714285714285701</v>
      </c>
      <c r="L188" s="23">
        <v>7.4874999999999998</v>
      </c>
      <c r="M188" s="23">
        <v>6.1142857142857139</v>
      </c>
      <c r="N188" s="23">
        <v>7.6714285714285717</v>
      </c>
      <c r="O188" s="23">
        <v>7.1714285714285717</v>
      </c>
      <c r="P188" s="17">
        <v>9.8571428571428577</v>
      </c>
      <c r="Q188" s="17">
        <v>11.4</v>
      </c>
      <c r="R188" s="17">
        <v>9.4428571428571448</v>
      </c>
      <c r="S188" s="17">
        <v>7.5857142857142863</v>
      </c>
      <c r="T188" s="17">
        <v>7.8714285714285719</v>
      </c>
      <c r="U188" s="17">
        <v>9.4571428571428573</v>
      </c>
      <c r="V188" s="17">
        <v>10.714285714285714</v>
      </c>
      <c r="W188" s="17">
        <v>9.2000000000000011</v>
      </c>
      <c r="Y188" s="17">
        <f t="shared" si="20"/>
        <v>187.94464285714287</v>
      </c>
      <c r="Z188">
        <f t="shared" si="21"/>
        <v>12.928711533174942</v>
      </c>
    </row>
    <row r="189" spans="1:26" x14ac:dyDescent="0.25">
      <c r="A189" t="s">
        <v>50</v>
      </c>
      <c r="D189" s="23">
        <v>11.714285714285714</v>
      </c>
      <c r="E189" s="23">
        <v>10.014285714285714</v>
      </c>
      <c r="F189" s="23">
        <v>11.114285714285714</v>
      </c>
      <c r="G189" s="23">
        <v>12.842857142857143</v>
      </c>
      <c r="H189" s="23">
        <v>9.7714285714285722</v>
      </c>
      <c r="I189" s="23">
        <v>11.571428571428571</v>
      </c>
      <c r="J189" s="23">
        <v>9.9285714285714288</v>
      </c>
      <c r="K189" s="23">
        <v>8.8857142857142861</v>
      </c>
      <c r="L189" s="23">
        <v>9.1999999999999993</v>
      </c>
      <c r="M189" s="23">
        <v>11.142857142857142</v>
      </c>
      <c r="N189" s="23">
        <v>9.7285714285714278</v>
      </c>
      <c r="O189" s="23">
        <v>9.3857142857142861</v>
      </c>
      <c r="P189" s="17">
        <v>8.2285714285714278</v>
      </c>
      <c r="Q189" s="17">
        <v>8</v>
      </c>
      <c r="R189" s="17">
        <v>8.0714285714285712</v>
      </c>
      <c r="S189" s="17">
        <v>10.414285714285715</v>
      </c>
      <c r="T189" s="17">
        <v>8.7428571428571438</v>
      </c>
      <c r="U189" s="17">
        <v>10.314285714285715</v>
      </c>
      <c r="V189" s="17">
        <v>10.442857142857141</v>
      </c>
      <c r="W189" s="17">
        <v>12.671428571428569</v>
      </c>
      <c r="Y189" s="17">
        <f t="shared" si="20"/>
        <v>202.18571428571428</v>
      </c>
      <c r="Z189">
        <f t="shared" si="21"/>
        <v>13.615211450401906</v>
      </c>
    </row>
    <row r="190" spans="1:26" x14ac:dyDescent="0.25">
      <c r="A190" t="s">
        <v>51</v>
      </c>
      <c r="D190" s="23">
        <v>14.428571428571429</v>
      </c>
      <c r="E190" s="23">
        <v>13.857142857142858</v>
      </c>
      <c r="F190" s="23">
        <v>14.614285714285714</v>
      </c>
      <c r="G190" s="23">
        <v>14.471428571428572</v>
      </c>
      <c r="H190" s="23">
        <v>8.9</v>
      </c>
      <c r="I190" s="23">
        <v>10.928571428571429</v>
      </c>
      <c r="J190" s="23">
        <v>9.2714285714285722</v>
      </c>
      <c r="K190" s="23">
        <v>8.6285714285714281</v>
      </c>
      <c r="L190" s="23">
        <v>7.9125000000000005</v>
      </c>
      <c r="M190" s="23">
        <v>10.22857142857143</v>
      </c>
      <c r="N190" s="23">
        <v>12</v>
      </c>
      <c r="O190" s="23">
        <v>7.757142857142858</v>
      </c>
      <c r="P190" s="17">
        <v>13</v>
      </c>
      <c r="Q190" s="17">
        <v>7.1714285714285717</v>
      </c>
      <c r="R190" s="17">
        <v>8.6428571428571423</v>
      </c>
      <c r="S190" s="17">
        <v>8.9428571428571431</v>
      </c>
      <c r="T190" s="17">
        <v>8.4428571428571431</v>
      </c>
      <c r="U190" s="17">
        <v>8.8714285714285701</v>
      </c>
      <c r="V190" s="17">
        <v>9.0285714285714285</v>
      </c>
      <c r="W190" s="17">
        <v>12</v>
      </c>
      <c r="Y190" s="17">
        <f t="shared" si="20"/>
        <v>209.09821428571431</v>
      </c>
      <c r="Z190">
        <f t="shared" si="21"/>
        <v>14.988265840295517</v>
      </c>
    </row>
    <row r="191" spans="1:26" x14ac:dyDescent="0.25">
      <c r="A191" t="s">
        <v>52</v>
      </c>
      <c r="D191" s="23">
        <v>14.428571428571429</v>
      </c>
      <c r="E191" s="23">
        <v>10.571428571428571</v>
      </c>
      <c r="F191" s="23">
        <v>13</v>
      </c>
      <c r="G191" s="23">
        <v>9.2714285714285722</v>
      </c>
      <c r="H191" s="23">
        <v>10.414285714285715</v>
      </c>
      <c r="I191" s="23">
        <v>11.142857142857142</v>
      </c>
      <c r="J191" s="23">
        <v>7.5285714285714276</v>
      </c>
      <c r="K191" s="23">
        <v>7.6428571428571432</v>
      </c>
      <c r="L191" s="23">
        <v>8.7125000000000004</v>
      </c>
      <c r="M191" s="23">
        <v>8.1714285714285726</v>
      </c>
      <c r="N191" s="23">
        <v>8.0857142857142854</v>
      </c>
      <c r="O191" s="23">
        <v>8.2999999999999989</v>
      </c>
      <c r="P191" s="17">
        <v>8.3714285714285701</v>
      </c>
      <c r="Q191" s="17">
        <v>8.6714285714285726</v>
      </c>
      <c r="R191" s="17">
        <v>9.1142857142857139</v>
      </c>
      <c r="S191" s="17">
        <v>10.285714285714286</v>
      </c>
      <c r="T191" s="17">
        <v>8.7857142857142865</v>
      </c>
      <c r="U191" s="17">
        <v>10.585714285714285</v>
      </c>
      <c r="V191" s="17">
        <v>9.6</v>
      </c>
      <c r="W191" s="17">
        <v>10.357142857142858</v>
      </c>
      <c r="Y191" s="17">
        <f t="shared" si="20"/>
        <v>193.0410714285714</v>
      </c>
      <c r="Z191">
        <f t="shared" si="21"/>
        <v>14.483688982707131</v>
      </c>
    </row>
    <row r="192" spans="1:26" x14ac:dyDescent="0.25">
      <c r="A192" t="s">
        <v>53</v>
      </c>
      <c r="D192" s="23">
        <v>12.428571428571429</v>
      </c>
      <c r="E192" s="23">
        <v>11.428571428571429</v>
      </c>
      <c r="F192" s="23">
        <v>11</v>
      </c>
      <c r="G192" s="23">
        <v>11.700000000000001</v>
      </c>
      <c r="H192" s="23">
        <v>10.842857142857143</v>
      </c>
      <c r="I192" s="23">
        <v>8.0285714285714285</v>
      </c>
      <c r="J192" s="23">
        <v>10.857142857142858</v>
      </c>
      <c r="K192" s="23">
        <v>10.657142857142857</v>
      </c>
      <c r="L192" s="23">
        <v>11.487500000000001</v>
      </c>
      <c r="M192" s="23">
        <v>11.671428571428573</v>
      </c>
      <c r="N192" s="23">
        <v>10.228571428571428</v>
      </c>
      <c r="O192" s="23">
        <v>8.6428571428571441</v>
      </c>
      <c r="P192" s="17">
        <v>9.6142857142857139</v>
      </c>
      <c r="Q192" s="17">
        <v>7.2</v>
      </c>
      <c r="R192" s="17">
        <v>8.5</v>
      </c>
      <c r="S192" s="17">
        <v>8.8714285714285719</v>
      </c>
      <c r="T192" s="17">
        <v>13.242857142857144</v>
      </c>
      <c r="U192" s="17">
        <v>9.5285714285714285</v>
      </c>
      <c r="V192" s="17">
        <v>11.271428571428572</v>
      </c>
      <c r="W192" s="17">
        <v>12.157142857142857</v>
      </c>
      <c r="Y192" s="17">
        <f t="shared" si="20"/>
        <v>209.35892857142858</v>
      </c>
      <c r="Z192">
        <f t="shared" si="21"/>
        <v>13.85074674354709</v>
      </c>
    </row>
    <row r="193" spans="1:26" x14ac:dyDescent="0.25">
      <c r="A193" t="s">
        <v>54</v>
      </c>
      <c r="D193" s="23">
        <v>15.142857142857142</v>
      </c>
      <c r="E193" s="23">
        <v>13.12857142857143</v>
      </c>
      <c r="F193" s="23">
        <v>13.37142857142857</v>
      </c>
      <c r="G193" s="23">
        <v>10.37142857142857</v>
      </c>
      <c r="H193" s="23">
        <v>10.757142857142856</v>
      </c>
      <c r="I193" s="23">
        <v>9.9428571428571448</v>
      </c>
      <c r="J193" s="23">
        <v>6.8857142857142861</v>
      </c>
      <c r="K193" s="23">
        <v>8.8142857142857149</v>
      </c>
      <c r="L193" s="23">
        <v>9.1</v>
      </c>
      <c r="M193" s="23">
        <v>7.88</v>
      </c>
      <c r="N193" s="23">
        <v>9.8800000000000008</v>
      </c>
      <c r="O193" s="23">
        <v>8.36</v>
      </c>
      <c r="P193" s="17">
        <v>7.67</v>
      </c>
      <c r="Q193" s="17">
        <v>8.8699999999999992</v>
      </c>
      <c r="R193" s="17">
        <v>7.32</v>
      </c>
      <c r="S193" s="17">
        <v>9.4499999999999993</v>
      </c>
      <c r="T193" s="17">
        <v>8.36</v>
      </c>
      <c r="U193" s="17">
        <v>10.81</v>
      </c>
      <c r="V193" s="17">
        <v>11.36</v>
      </c>
      <c r="W193" s="17">
        <v>14.15</v>
      </c>
      <c r="Y193" s="17">
        <f t="shared" si="20"/>
        <v>201.62428571428572</v>
      </c>
      <c r="Z193">
        <f t="shared" si="21"/>
        <v>15.57205945504025</v>
      </c>
    </row>
    <row r="194" spans="1:26" x14ac:dyDescent="0.25">
      <c r="A194" t="s">
        <v>55</v>
      </c>
      <c r="D194" s="23">
        <v>16.489999999999998</v>
      </c>
      <c r="E194" s="23">
        <v>17.04</v>
      </c>
      <c r="F194" s="23">
        <v>14.3</v>
      </c>
      <c r="G194" s="23">
        <v>15.08</v>
      </c>
      <c r="H194" s="23">
        <v>13.66</v>
      </c>
      <c r="I194" s="23">
        <v>14.64</v>
      </c>
      <c r="J194" s="23">
        <v>10.42</v>
      </c>
      <c r="K194" s="23">
        <v>11.35</v>
      </c>
      <c r="L194" s="23">
        <v>10.43</v>
      </c>
      <c r="M194" s="23">
        <v>10.285714285714286</v>
      </c>
      <c r="N194" s="23">
        <v>11.4</v>
      </c>
      <c r="O194" s="23">
        <v>7.6000000000000005</v>
      </c>
      <c r="P194" s="17">
        <v>7.4857142857142867</v>
      </c>
      <c r="Q194" s="17">
        <v>10.928571428571429</v>
      </c>
      <c r="R194" s="17">
        <v>8.5428571428571427</v>
      </c>
      <c r="S194" s="17">
        <v>11.314285714285715</v>
      </c>
      <c r="T194" s="17">
        <v>10.071428571428571</v>
      </c>
      <c r="U194" s="17">
        <v>8.5714285714285712</v>
      </c>
      <c r="V194" s="17">
        <v>11.014285714285714</v>
      </c>
      <c r="W194" s="17">
        <v>13.557142857142859</v>
      </c>
      <c r="Y194" s="17">
        <f t="shared" si="20"/>
        <v>234.18142857142857</v>
      </c>
      <c r="Z194">
        <f t="shared" si="21"/>
        <v>17.771712459137945</v>
      </c>
    </row>
    <row r="195" spans="1:26" x14ac:dyDescent="0.25">
      <c r="A195" t="s">
        <v>56</v>
      </c>
      <c r="D195" s="23">
        <v>17.285714285714285</v>
      </c>
      <c r="E195" s="23">
        <v>14.571428571428571</v>
      </c>
      <c r="F195" s="23">
        <v>13.714285714285714</v>
      </c>
      <c r="G195" s="23">
        <v>12</v>
      </c>
      <c r="H195" s="23">
        <v>10.085714285714287</v>
      </c>
      <c r="I195" s="23">
        <v>9.4857142857142858</v>
      </c>
      <c r="J195" s="23">
        <v>9.0857142857142854</v>
      </c>
      <c r="K195" s="23">
        <v>10.071428571428571</v>
      </c>
      <c r="L195" s="23">
        <v>9.0000000000000018</v>
      </c>
      <c r="M195" s="23">
        <v>9.1428571428571423</v>
      </c>
      <c r="N195" s="23">
        <v>7.7857142857142847</v>
      </c>
      <c r="O195" s="23">
        <v>9.5571428571428587</v>
      </c>
      <c r="P195" s="17">
        <v>9.9714285714285733</v>
      </c>
      <c r="Q195" s="17">
        <v>7.5857142857142872</v>
      </c>
      <c r="R195" s="17">
        <v>11.642857142857142</v>
      </c>
      <c r="S195" s="17">
        <v>13.285714285714286</v>
      </c>
      <c r="T195" s="17">
        <v>12.285714285714286</v>
      </c>
      <c r="U195" s="17">
        <v>11.057142857142859</v>
      </c>
      <c r="V195" s="17">
        <v>12.428571428571429</v>
      </c>
      <c r="W195" s="17">
        <v>10.442857142857141</v>
      </c>
      <c r="Y195" s="17">
        <f t="shared" si="20"/>
        <v>220.48571428571424</v>
      </c>
      <c r="Z195">
        <f t="shared" si="21"/>
        <v>15.465305731346531</v>
      </c>
    </row>
    <row r="196" spans="1:26" x14ac:dyDescent="0.25">
      <c r="A196" t="s">
        <v>57</v>
      </c>
      <c r="D196" s="23">
        <v>14.285714285714286</v>
      </c>
      <c r="E196" s="23">
        <v>13.285714285714286</v>
      </c>
      <c r="F196" s="23">
        <v>11.714285714285714</v>
      </c>
      <c r="G196" s="23">
        <v>10.957142857142856</v>
      </c>
      <c r="H196" s="23">
        <v>8.0857142857142854</v>
      </c>
      <c r="I196" s="23">
        <v>9.1714285714285726</v>
      </c>
      <c r="J196" s="23">
        <v>7.7857142857142865</v>
      </c>
      <c r="K196" s="23">
        <v>7.7142857142857144</v>
      </c>
      <c r="L196" s="23">
        <v>8.6125000000000007</v>
      </c>
      <c r="M196" s="23">
        <v>8.7857142857142865</v>
      </c>
      <c r="N196" s="23">
        <v>9.5142857142857142</v>
      </c>
      <c r="O196" s="23">
        <v>7.3285714285714283</v>
      </c>
      <c r="P196" s="17">
        <v>9.8714285714285701</v>
      </c>
      <c r="Q196" s="17">
        <v>9.9571428571428573</v>
      </c>
      <c r="R196" s="17">
        <v>8.2285714285714295</v>
      </c>
      <c r="S196" s="17">
        <v>6.3857142857142852</v>
      </c>
      <c r="T196" s="17">
        <v>8.5142857142857142</v>
      </c>
      <c r="U196" s="17">
        <v>8.9142857142857146</v>
      </c>
      <c r="V196" s="17">
        <v>8.9428571428571431</v>
      </c>
      <c r="W196" s="17">
        <v>13.285714285714286</v>
      </c>
      <c r="Y196" s="17">
        <f t="shared" si="20"/>
        <v>191.34107142857141</v>
      </c>
      <c r="Z196">
        <f t="shared" si="21"/>
        <v>14.484589999068211</v>
      </c>
    </row>
    <row r="197" spans="1:26" x14ac:dyDescent="0.25">
      <c r="A197" t="s">
        <v>58</v>
      </c>
      <c r="D197" s="23">
        <v>12.071428571428571</v>
      </c>
      <c r="E197" s="23">
        <v>12.714285714285714</v>
      </c>
      <c r="F197" s="23">
        <v>13.285714285714286</v>
      </c>
      <c r="G197" s="23">
        <v>10.5</v>
      </c>
      <c r="H197" s="23">
        <v>9.4428571428571448</v>
      </c>
      <c r="I197" s="23">
        <v>6.7714285714285722</v>
      </c>
      <c r="J197" s="23">
        <v>9.0857142857142854</v>
      </c>
      <c r="K197" s="23">
        <v>9.4142857142857146</v>
      </c>
      <c r="L197" s="23">
        <v>8.4</v>
      </c>
      <c r="M197" s="23">
        <v>10.285714285714286</v>
      </c>
      <c r="N197" s="23">
        <v>8.2142857142857153</v>
      </c>
      <c r="O197" s="23">
        <v>6.7285714285714278</v>
      </c>
      <c r="P197" s="17">
        <v>8.3142857142857149</v>
      </c>
      <c r="Q197" s="17">
        <v>6.4428571428571431</v>
      </c>
      <c r="R197" s="17">
        <v>7.0428571428571436</v>
      </c>
      <c r="S197" s="17">
        <v>7.4</v>
      </c>
      <c r="T197" s="17">
        <v>8.4</v>
      </c>
      <c r="U197" s="17">
        <v>10.37142857142857</v>
      </c>
      <c r="V197" s="17">
        <v>9.3857142857142843</v>
      </c>
      <c r="W197" s="17">
        <v>9.5428571428571427</v>
      </c>
      <c r="Y197" s="17">
        <f t="shared" si="20"/>
        <v>183.81428571428572</v>
      </c>
      <c r="Z197">
        <f t="shared" si="21"/>
        <v>13.70250803174501</v>
      </c>
    </row>
    <row r="198" spans="1:26" x14ac:dyDescent="0.25">
      <c r="A198" t="s">
        <v>59</v>
      </c>
      <c r="D198" s="23">
        <v>13.714285714285714</v>
      </c>
      <c r="E198" s="23">
        <v>14.428571428571429</v>
      </c>
      <c r="F198" s="23">
        <v>11.257142857142856</v>
      </c>
      <c r="G198" s="23">
        <v>9.2714285714285705</v>
      </c>
      <c r="H198" s="23">
        <v>10.385714285714286</v>
      </c>
      <c r="I198" s="23">
        <v>7.6571428571428575</v>
      </c>
      <c r="J198" s="23">
        <v>9.5285714285714285</v>
      </c>
      <c r="K198" s="23">
        <v>9.8428571428571434</v>
      </c>
      <c r="L198" s="23">
        <v>8.8428571428571434</v>
      </c>
      <c r="M198" s="23">
        <v>7.5428571428571427</v>
      </c>
      <c r="N198" s="23">
        <v>8.671428571428569</v>
      </c>
      <c r="O198" s="23">
        <v>8.7857142857142865</v>
      </c>
      <c r="P198" s="17">
        <v>8.1428571428571423</v>
      </c>
      <c r="Q198" s="17">
        <v>6.2428571428571429</v>
      </c>
      <c r="R198" s="17">
        <v>7.6571428571428575</v>
      </c>
      <c r="S198" s="17">
        <v>9.8571428571428577</v>
      </c>
      <c r="T198" s="17">
        <v>12</v>
      </c>
      <c r="U198" s="17">
        <v>9.7428571428571438</v>
      </c>
      <c r="V198" s="17">
        <v>11.200000000000001</v>
      </c>
      <c r="W198" s="17">
        <v>11.528571428571428</v>
      </c>
      <c r="Y198" s="17">
        <f t="shared" si="20"/>
        <v>196.29999999999995</v>
      </c>
      <c r="Z198">
        <f t="shared" si="21"/>
        <v>13.491724855959113</v>
      </c>
    </row>
    <row r="199" spans="1:26" x14ac:dyDescent="0.25">
      <c r="A199" t="s">
        <v>60</v>
      </c>
      <c r="D199" s="23">
        <v>13.857142857142858</v>
      </c>
      <c r="E199" s="23">
        <v>12.142857142857142</v>
      </c>
      <c r="F199" s="23">
        <v>11.485714285714286</v>
      </c>
      <c r="G199" s="23">
        <v>11.571428571428571</v>
      </c>
      <c r="H199" s="23">
        <v>9.1714285714285726</v>
      </c>
      <c r="I199" s="23">
        <v>9.1571428571428566</v>
      </c>
      <c r="J199" s="23">
        <v>9.7571428571428562</v>
      </c>
      <c r="K199" s="23">
        <v>11.142857142857142</v>
      </c>
      <c r="L199" s="23">
        <v>9.35</v>
      </c>
      <c r="M199" s="23">
        <v>8.6428571428571423</v>
      </c>
      <c r="N199" s="23">
        <v>7.0857142857142845</v>
      </c>
      <c r="O199" s="23">
        <v>6.1142857142857139</v>
      </c>
      <c r="P199" s="17">
        <v>9.5714285714285712</v>
      </c>
      <c r="Q199" s="17">
        <v>10.828571428571427</v>
      </c>
      <c r="R199" s="17">
        <v>9.4714285714285715</v>
      </c>
      <c r="S199" s="17">
        <v>9.7571428571428562</v>
      </c>
      <c r="T199" s="17">
        <v>11.957142857142857</v>
      </c>
      <c r="U199" s="17">
        <v>12.214285714285714</v>
      </c>
      <c r="V199" s="17">
        <v>6.5</v>
      </c>
      <c r="W199" s="17">
        <v>9.0142857142857142</v>
      </c>
      <c r="Y199" s="17">
        <f t="shared" si="20"/>
        <v>198.79285714285712</v>
      </c>
      <c r="Z199">
        <f t="shared" si="21"/>
        <v>14.153571146000742</v>
      </c>
    </row>
    <row r="200" spans="1:26" x14ac:dyDescent="0.25">
      <c r="A200" t="s">
        <v>61</v>
      </c>
      <c r="D200" s="23">
        <v>14.714285714285714</v>
      </c>
      <c r="E200" s="23">
        <v>15.714285714285714</v>
      </c>
      <c r="F200" s="23">
        <v>13.285714285714286</v>
      </c>
      <c r="G200" s="23">
        <v>13.571428571428571</v>
      </c>
      <c r="H200" s="23">
        <v>12.857142857142858</v>
      </c>
      <c r="I200" s="23">
        <v>11.428571428571429</v>
      </c>
      <c r="J200" s="23">
        <v>11.014285714285714</v>
      </c>
      <c r="K200" s="23">
        <v>9.1</v>
      </c>
      <c r="L200" s="23">
        <v>8.5374999999999996</v>
      </c>
      <c r="M200" s="23">
        <v>7.88</v>
      </c>
      <c r="N200" s="23">
        <v>9.8800000000000008</v>
      </c>
      <c r="O200" s="23">
        <v>8.36</v>
      </c>
      <c r="P200" s="17">
        <v>7.67</v>
      </c>
      <c r="Q200" s="17">
        <v>8.8699999999999992</v>
      </c>
      <c r="R200" s="17">
        <v>7.32</v>
      </c>
      <c r="S200" s="17">
        <v>9.4499999999999993</v>
      </c>
      <c r="T200" s="17">
        <v>25.371428571428574</v>
      </c>
      <c r="U200" s="17">
        <v>26.971428571428572</v>
      </c>
      <c r="V200" s="17">
        <v>28.014285714285712</v>
      </c>
      <c r="W200" s="17">
        <v>29.642857142857142</v>
      </c>
      <c r="Y200" s="17">
        <f t="shared" si="20"/>
        <v>279.65321428571423</v>
      </c>
      <c r="Z200">
        <f t="shared" si="21"/>
        <v>14.076328792892465</v>
      </c>
    </row>
    <row r="201" spans="1:26" x14ac:dyDescent="0.25">
      <c r="A201" t="s">
        <v>62</v>
      </c>
      <c r="D201" s="23">
        <v>14.285714285714286</v>
      </c>
      <c r="E201" s="23">
        <v>13.285714285714286</v>
      </c>
      <c r="F201" s="23">
        <v>11.714285714285714</v>
      </c>
      <c r="G201" s="23">
        <v>10.957142857142856</v>
      </c>
      <c r="H201" s="23">
        <v>8.0857142857142854</v>
      </c>
      <c r="I201" s="23">
        <v>9.1714285714285726</v>
      </c>
      <c r="J201" s="23">
        <v>7.7857142857142865</v>
      </c>
      <c r="K201" s="23">
        <v>7.7142857142857144</v>
      </c>
      <c r="L201" s="23">
        <v>8.6125000000000007</v>
      </c>
      <c r="M201" s="23">
        <v>7.3857142857142861</v>
      </c>
      <c r="N201" s="23">
        <v>8.1714285714285726</v>
      </c>
      <c r="O201" s="23">
        <v>7.3142857142857141</v>
      </c>
      <c r="P201" s="17">
        <v>7.8571428571428568</v>
      </c>
      <c r="Q201" s="17">
        <v>7.0571428571428578</v>
      </c>
      <c r="R201" s="17">
        <v>1.4142857142857144</v>
      </c>
      <c r="S201" s="17">
        <v>1.0571428571428572</v>
      </c>
      <c r="T201" s="17">
        <v>5.8857142857142861</v>
      </c>
      <c r="U201" s="17">
        <v>9.899464285714286</v>
      </c>
      <c r="V201" s="17">
        <v>10.7325</v>
      </c>
      <c r="W201" s="17">
        <v>11.816964285714286</v>
      </c>
      <c r="Y201" s="17">
        <f t="shared" si="20"/>
        <v>170.20428571428567</v>
      </c>
      <c r="Z201">
        <f t="shared" si="21"/>
        <v>15.010118875146311</v>
      </c>
    </row>
    <row r="202" spans="1:26" x14ac:dyDescent="0.25">
      <c r="A202" t="s">
        <v>63</v>
      </c>
      <c r="D202" s="23">
        <v>14.525535714285715</v>
      </c>
      <c r="E202" s="23">
        <v>1.4142857142857144</v>
      </c>
      <c r="F202" s="23">
        <v>12.853571428571426</v>
      </c>
      <c r="G202" s="23">
        <v>12.086785714285714</v>
      </c>
      <c r="H202" s="23">
        <v>2.6428571428571428</v>
      </c>
      <c r="I202" s="23">
        <v>5.4142857142857155</v>
      </c>
      <c r="J202" s="23">
        <v>7.4571428571428573</v>
      </c>
      <c r="K202" s="23">
        <v>8.2285714285714278</v>
      </c>
      <c r="L202" s="23">
        <v>8</v>
      </c>
      <c r="M202" s="23">
        <v>9.66357142857143</v>
      </c>
      <c r="N202" s="23">
        <v>9.8278571428571428</v>
      </c>
      <c r="O202" s="23">
        <v>8.3664285714285711</v>
      </c>
      <c r="P202" s="17">
        <v>9.2766071428571415</v>
      </c>
      <c r="Q202" s="17">
        <v>8.5480357142857155</v>
      </c>
      <c r="R202" s="17">
        <v>8.7578571428571426</v>
      </c>
      <c r="S202" s="17">
        <v>9.8687500000000021</v>
      </c>
      <c r="T202" s="17">
        <v>9.8057142857142878</v>
      </c>
      <c r="U202" s="17">
        <v>9.831607142857143</v>
      </c>
      <c r="V202" s="17">
        <v>10.511071428571427</v>
      </c>
      <c r="W202" s="17">
        <v>12.327678571428571</v>
      </c>
      <c r="Y202" s="17">
        <f t="shared" si="20"/>
        <v>179.40821428571431</v>
      </c>
      <c r="Z202">
        <f t="shared" si="21"/>
        <v>12.388109618761375</v>
      </c>
    </row>
    <row r="203" spans="1:26" x14ac:dyDescent="0.25">
      <c r="A203" t="s">
        <v>64</v>
      </c>
      <c r="D203" s="23">
        <v>14.570178571428571</v>
      </c>
      <c r="E203" s="23">
        <v>13.324642857142857</v>
      </c>
      <c r="F203" s="23">
        <v>13.124999999999998</v>
      </c>
      <c r="G203" s="23">
        <v>11.793928571428571</v>
      </c>
      <c r="H203" s="23">
        <v>10.273571428571429</v>
      </c>
      <c r="I203" s="23">
        <v>10.013928571428572</v>
      </c>
      <c r="J203" s="23">
        <v>8.8650000000000002</v>
      </c>
      <c r="K203" s="23">
        <v>9.2866071428571431</v>
      </c>
      <c r="L203" s="23">
        <v>9.2068750000000001</v>
      </c>
      <c r="M203" s="23">
        <v>10.171428571428569</v>
      </c>
      <c r="N203" s="23">
        <v>8.5571428571428552</v>
      </c>
      <c r="O203" s="23">
        <v>8.0428571428571427</v>
      </c>
      <c r="P203" s="17">
        <v>9.3857142857142843</v>
      </c>
      <c r="Q203" s="17">
        <v>11.371428571428572</v>
      </c>
      <c r="R203" s="17">
        <v>13.071428571428571</v>
      </c>
      <c r="S203" s="17">
        <v>11.442857142857145</v>
      </c>
      <c r="T203" s="17">
        <v>11.657142857142857</v>
      </c>
      <c r="U203" s="17">
        <v>11.685714285714287</v>
      </c>
      <c r="V203" s="17">
        <v>10.5</v>
      </c>
      <c r="W203" s="17">
        <v>12.485714285714284</v>
      </c>
      <c r="Y203" s="17">
        <f t="shared" si="20"/>
        <v>218.83116071428569</v>
      </c>
      <c r="Z203">
        <f t="shared" si="21"/>
        <v>15.022950569684946</v>
      </c>
    </row>
    <row r="204" spans="1:26" x14ac:dyDescent="0.25">
      <c r="A204" t="s">
        <v>65</v>
      </c>
      <c r="D204" s="23">
        <v>15.342857142857143</v>
      </c>
      <c r="E204" s="23">
        <v>17.357142857142854</v>
      </c>
      <c r="F204" s="23">
        <v>12.142857142857142</v>
      </c>
      <c r="G204" s="23">
        <v>9.7571428571428562</v>
      </c>
      <c r="H204" s="23">
        <v>11.614285714285714</v>
      </c>
      <c r="I204" s="23">
        <v>11.37142857142857</v>
      </c>
      <c r="J204" s="23">
        <v>9.4000000000000021</v>
      </c>
      <c r="K204" s="23">
        <v>9.5714285714285712</v>
      </c>
      <c r="L204" s="23">
        <v>9.8875000000000011</v>
      </c>
      <c r="M204" s="23">
        <v>8.9428571428571431</v>
      </c>
      <c r="N204" s="23">
        <v>9.5428571428571445</v>
      </c>
      <c r="O204" s="23">
        <v>8.257142857142858</v>
      </c>
      <c r="P204" s="17">
        <v>7.1571428571428575</v>
      </c>
      <c r="Q204" s="17">
        <v>8.5999999999999979</v>
      </c>
      <c r="R204" s="17">
        <v>6.5714285714285703</v>
      </c>
      <c r="S204" s="17">
        <v>7.1714285714285708</v>
      </c>
      <c r="T204" s="17">
        <v>9.3857142857142861</v>
      </c>
      <c r="U204" s="17">
        <v>8.1</v>
      </c>
      <c r="V204" s="17">
        <v>10.985714285714286</v>
      </c>
      <c r="W204" s="17">
        <v>11.714285714285714</v>
      </c>
      <c r="Y204" s="17">
        <f t="shared" si="20"/>
        <v>202.87321428571431</v>
      </c>
      <c r="Z204">
        <f t="shared" si="21"/>
        <v>16.452636868241736</v>
      </c>
    </row>
    <row r="205" spans="1:26" x14ac:dyDescent="0.25">
      <c r="A205" t="s">
        <v>66</v>
      </c>
      <c r="D205" s="23">
        <v>14.285714285714286</v>
      </c>
      <c r="E205" s="23">
        <v>12.700000000000001</v>
      </c>
      <c r="F205" s="23">
        <v>11.9</v>
      </c>
      <c r="G205" s="23">
        <v>11.257142857142858</v>
      </c>
      <c r="H205" s="23">
        <v>9.4</v>
      </c>
      <c r="I205" s="23">
        <v>12.342857142857143</v>
      </c>
      <c r="J205" s="23">
        <v>13.542857142857143</v>
      </c>
      <c r="K205" s="23">
        <v>12.642857142857142</v>
      </c>
      <c r="L205" s="23">
        <v>9.35</v>
      </c>
      <c r="M205" s="23">
        <v>8.7142857142857135</v>
      </c>
      <c r="N205" s="23">
        <v>11.7</v>
      </c>
      <c r="O205" s="23">
        <v>13.614285714285714</v>
      </c>
      <c r="P205" s="17">
        <v>9.2999999999999989</v>
      </c>
      <c r="Q205" s="17">
        <v>8.8428571428571434</v>
      </c>
      <c r="R205" s="17">
        <v>9.7428571428571438</v>
      </c>
      <c r="S205" s="17">
        <v>10.200000000000001</v>
      </c>
      <c r="T205" s="17">
        <v>10.071428571428571</v>
      </c>
      <c r="U205" s="17">
        <v>12.528571428571428</v>
      </c>
      <c r="V205" s="17">
        <v>11.042857142857143</v>
      </c>
      <c r="W205" s="17">
        <v>11.1</v>
      </c>
      <c r="Y205" s="17">
        <f t="shared" si="20"/>
        <v>224.27857142857144</v>
      </c>
      <c r="Z205">
        <f t="shared" si="21"/>
        <v>15.890229396617773</v>
      </c>
    </row>
    <row r="206" spans="1:26" x14ac:dyDescent="0.25">
      <c r="A206" t="s">
        <v>67</v>
      </c>
      <c r="D206" s="23">
        <v>12.828571428571427</v>
      </c>
      <c r="E206" s="23">
        <v>14.34285714285714</v>
      </c>
      <c r="F206" s="23">
        <v>16.485714285714284</v>
      </c>
      <c r="G206" s="23">
        <v>11.257142857142858</v>
      </c>
      <c r="H206" s="23">
        <v>11.257142857142858</v>
      </c>
      <c r="I206" s="23">
        <v>11.928571428571431</v>
      </c>
      <c r="J206" s="23">
        <v>11.828571428571427</v>
      </c>
      <c r="K206" s="23">
        <v>13.999999999999998</v>
      </c>
      <c r="L206" s="23">
        <v>11.457142857142856</v>
      </c>
      <c r="M206" s="23">
        <v>9.6428571428571441</v>
      </c>
      <c r="N206" s="23">
        <v>8.8714285714285719</v>
      </c>
      <c r="O206" s="23">
        <v>8.5428571428571427</v>
      </c>
      <c r="P206" s="17">
        <v>7.7000000000000011</v>
      </c>
      <c r="Q206" s="17">
        <v>9.8285714285714274</v>
      </c>
      <c r="R206" s="17">
        <v>11.742857142857146</v>
      </c>
      <c r="S206" s="17">
        <v>8.6142857142857157</v>
      </c>
      <c r="T206" s="17">
        <v>9.7999999999999989</v>
      </c>
      <c r="U206" s="17">
        <v>11.985714285714286</v>
      </c>
      <c r="V206" s="17">
        <v>11.72857142857143</v>
      </c>
      <c r="W206" s="17">
        <v>12.528571428571428</v>
      </c>
      <c r="Y206" s="17">
        <f t="shared" si="20"/>
        <v>226.37142857142857</v>
      </c>
      <c r="Z206">
        <f t="shared" si="21"/>
        <v>17.230156403336895</v>
      </c>
    </row>
    <row r="207" spans="1:26" x14ac:dyDescent="0.25">
      <c r="A207" t="s">
        <v>68</v>
      </c>
      <c r="D207" s="23">
        <v>14.171428571428573</v>
      </c>
      <c r="E207" s="23">
        <v>15.271428571428574</v>
      </c>
      <c r="F207" s="23">
        <v>22.271428571428569</v>
      </c>
      <c r="G207" s="23">
        <v>16.3</v>
      </c>
      <c r="H207" s="23">
        <v>16.157142857142855</v>
      </c>
      <c r="I207" s="23">
        <v>11.185714285714285</v>
      </c>
      <c r="J207" s="23">
        <v>8.9714285714285715</v>
      </c>
      <c r="K207" s="23">
        <v>8.1285714285714281</v>
      </c>
      <c r="L207" s="23">
        <v>11.206249999999999</v>
      </c>
      <c r="M207" s="23">
        <v>6.4285714285714297</v>
      </c>
      <c r="N207" s="23">
        <v>7.6714285714285699</v>
      </c>
      <c r="O207" s="23">
        <v>8.0428571428571427</v>
      </c>
      <c r="P207" s="17">
        <v>9.4428571428571448</v>
      </c>
      <c r="Q207" s="17">
        <v>9.7285714285714278</v>
      </c>
      <c r="R207" s="17">
        <v>11.314285714285715</v>
      </c>
      <c r="S207" s="17">
        <v>11.700000000000001</v>
      </c>
      <c r="T207" s="17">
        <v>9.8857142857142843</v>
      </c>
      <c r="U207" s="17">
        <v>10.985714285714284</v>
      </c>
      <c r="V207" s="17">
        <v>10.442857142857141</v>
      </c>
      <c r="W207" s="17">
        <v>10.542857142857143</v>
      </c>
      <c r="Y207" s="17">
        <f t="shared" si="20"/>
        <v>229.84910714285715</v>
      </c>
      <c r="Z207">
        <f t="shared" si="21"/>
        <v>17.228589448794985</v>
      </c>
    </row>
    <row r="208" spans="1:26" x14ac:dyDescent="0.25">
      <c r="A208" t="s">
        <v>69</v>
      </c>
      <c r="D208" s="23">
        <v>15.085714285714285</v>
      </c>
      <c r="E208" s="23">
        <v>15.528571428571428</v>
      </c>
      <c r="F208" s="23">
        <v>14.585714285714285</v>
      </c>
      <c r="G208" s="23">
        <v>14.485714285714284</v>
      </c>
      <c r="H208" s="23">
        <v>12.814285714285715</v>
      </c>
      <c r="I208" s="23">
        <v>13.914285714285715</v>
      </c>
      <c r="J208" s="23">
        <v>9.9571428571428573</v>
      </c>
      <c r="K208" s="23">
        <v>10.37142857142857</v>
      </c>
      <c r="L208" s="23">
        <v>8.9875000000000007</v>
      </c>
      <c r="M208" s="23">
        <v>10.071428571428571</v>
      </c>
      <c r="N208" s="23">
        <v>6.2571428571428571</v>
      </c>
      <c r="O208" s="23">
        <v>8.4428571428571431</v>
      </c>
      <c r="P208" s="17">
        <v>8.5428571428571427</v>
      </c>
      <c r="Q208" s="17">
        <v>8.0285714285714285</v>
      </c>
      <c r="R208" s="17">
        <v>5.95</v>
      </c>
      <c r="S208" s="17">
        <v>9.1714285714285726</v>
      </c>
      <c r="T208" s="17">
        <v>10.114285714285714</v>
      </c>
      <c r="U208" s="17">
        <v>9.6428571428571423</v>
      </c>
      <c r="V208" s="17">
        <v>10.12857142857143</v>
      </c>
      <c r="W208" s="17">
        <v>8.8428571428571434</v>
      </c>
      <c r="Y208" s="17">
        <f t="shared" si="20"/>
        <v>210.92321428571429</v>
      </c>
      <c r="Z208">
        <f t="shared" si="21"/>
        <v>16.779627177816995</v>
      </c>
    </row>
    <row r="209" spans="1:26" x14ac:dyDescent="0.25"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17"/>
      <c r="Q209" s="17"/>
      <c r="R209" s="17"/>
      <c r="S209" s="17"/>
      <c r="T209" s="17"/>
      <c r="U209" s="17"/>
      <c r="V209" s="17"/>
      <c r="W209" s="17"/>
      <c r="Y209" s="17"/>
    </row>
    <row r="210" spans="1:26" x14ac:dyDescent="0.25">
      <c r="A210" t="s">
        <v>70</v>
      </c>
      <c r="D210" s="23">
        <v>12.62857142857143</v>
      </c>
      <c r="E210" s="23">
        <v>12.342857142857145</v>
      </c>
      <c r="F210" s="23">
        <v>13.685714285714285</v>
      </c>
      <c r="G210" s="23">
        <v>11.385714285714284</v>
      </c>
      <c r="H210" s="23">
        <v>12.142857142857142</v>
      </c>
      <c r="I210" s="23">
        <v>13.2</v>
      </c>
      <c r="J210" s="23">
        <v>13.085714285714285</v>
      </c>
      <c r="K210" s="23">
        <v>12.435714285714287</v>
      </c>
      <c r="L210" s="23">
        <v>9.1</v>
      </c>
      <c r="M210" s="23">
        <v>8.86</v>
      </c>
      <c r="N210" s="23">
        <v>9.1285714285714299</v>
      </c>
      <c r="O210" s="23">
        <v>9.6428571428571423</v>
      </c>
      <c r="P210" s="17">
        <v>8.3714285714285701</v>
      </c>
      <c r="Q210" s="17">
        <v>12.185714285714287</v>
      </c>
      <c r="R210" s="17">
        <v>10.200000000000001</v>
      </c>
      <c r="S210" s="17">
        <v>10.071428571428571</v>
      </c>
      <c r="T210" s="17">
        <v>10.871428571428572</v>
      </c>
      <c r="U210" s="17">
        <v>10.114285714285714</v>
      </c>
      <c r="V210" s="17">
        <v>10.857142857142859</v>
      </c>
      <c r="W210" s="17">
        <v>15.414285714285713</v>
      </c>
      <c r="Y210" s="17">
        <f t="shared" si="20"/>
        <v>225.72428571428568</v>
      </c>
      <c r="Z210">
        <f>SUMPRODUCT($D$214:$W$214,D210:W210)</f>
        <v>14.950913596299706</v>
      </c>
    </row>
    <row r="211" spans="1:26" x14ac:dyDescent="0.25">
      <c r="A211" t="s">
        <v>314</v>
      </c>
      <c r="D211" s="23">
        <v>17.328571428571426</v>
      </c>
      <c r="E211" s="23">
        <v>16.857142857142858</v>
      </c>
      <c r="F211" s="23">
        <v>12.371428571428572</v>
      </c>
      <c r="G211" s="23">
        <v>12.171428571428573</v>
      </c>
      <c r="H211" s="23">
        <v>12.77142857142857</v>
      </c>
      <c r="I211" s="23">
        <v>12.614285714285716</v>
      </c>
      <c r="J211" s="23">
        <v>10.799999999999999</v>
      </c>
      <c r="K211" s="23">
        <v>10.428571428571429</v>
      </c>
      <c r="L211" s="23">
        <v>10.137500000000001</v>
      </c>
      <c r="M211" s="23">
        <v>12.357142857142858</v>
      </c>
      <c r="N211" s="23">
        <v>10.114285714285714</v>
      </c>
      <c r="O211" s="23">
        <v>10.828571428571427</v>
      </c>
      <c r="P211" s="17">
        <v>14.2</v>
      </c>
      <c r="Q211" s="17">
        <v>11.7</v>
      </c>
      <c r="R211" s="17">
        <v>11.5</v>
      </c>
      <c r="S211" s="17">
        <v>11.6</v>
      </c>
      <c r="T211" s="17">
        <v>13.328571428571431</v>
      </c>
      <c r="U211" s="17">
        <v>12.314285714285713</v>
      </c>
      <c r="V211" s="17">
        <v>13.200000000000001</v>
      </c>
      <c r="W211" s="17">
        <v>14.714285714285714</v>
      </c>
      <c r="Y211" s="17">
        <f t="shared" si="20"/>
        <v>251.33749999999998</v>
      </c>
      <c r="Z211">
        <f>SUMPRODUCT($D$214:$W$214,D211:W211)</f>
        <v>16.937614089290253</v>
      </c>
    </row>
    <row r="212" spans="1:26" x14ac:dyDescent="0.25">
      <c r="A212" t="s">
        <v>315</v>
      </c>
      <c r="D212" s="23">
        <v>17.814285714285713</v>
      </c>
      <c r="E212" s="23">
        <v>15.814285714285717</v>
      </c>
      <c r="F212" s="23">
        <v>19.728571428571428</v>
      </c>
      <c r="G212" s="23">
        <v>14.4</v>
      </c>
      <c r="H212" s="23">
        <v>14.071428571428571</v>
      </c>
      <c r="I212" s="23">
        <v>11.814285714285715</v>
      </c>
      <c r="J212" s="23">
        <v>10.7</v>
      </c>
      <c r="K212" s="23">
        <v>9.7285714285714295</v>
      </c>
      <c r="L212" s="23">
        <v>7.7874999999999996</v>
      </c>
      <c r="M212" s="23">
        <v>8.3000000000000007</v>
      </c>
      <c r="N212" s="23">
        <v>9.4</v>
      </c>
      <c r="O212" s="23">
        <v>8.1999999999999993</v>
      </c>
      <c r="P212" s="23">
        <v>8.4897544642857135</v>
      </c>
      <c r="Q212" s="23">
        <v>9.2433258928571416</v>
      </c>
      <c r="R212" s="23">
        <v>8.5115178571428576</v>
      </c>
      <c r="S212" s="23">
        <v>8.4452008928571445</v>
      </c>
      <c r="T212" s="23">
        <v>13.400000000000002</v>
      </c>
      <c r="U212" s="23">
        <v>11.414285714285715</v>
      </c>
      <c r="V212" s="23">
        <v>12.085714285714285</v>
      </c>
      <c r="W212" s="23">
        <v>13.685714285714287</v>
      </c>
      <c r="Y212" s="17">
        <f t="shared" si="20"/>
        <v>233.03444196428572</v>
      </c>
      <c r="Z212">
        <f>SUMPRODUCT($D$214:$W$214,D212:W212)</f>
        <v>17.642408671689118</v>
      </c>
    </row>
    <row r="213" spans="1:26" x14ac:dyDescent="0.25">
      <c r="A213" t="s">
        <v>677</v>
      </c>
      <c r="D213" s="17">
        <v>14.857142857142859</v>
      </c>
      <c r="E213" s="17">
        <v>16.400000000000002</v>
      </c>
      <c r="F213" s="17">
        <v>14.414285714285715</v>
      </c>
      <c r="G213" s="17">
        <v>13.742857142857144</v>
      </c>
      <c r="H213" s="17">
        <v>11.1</v>
      </c>
      <c r="I213" s="17">
        <v>10.9</v>
      </c>
      <c r="J213" s="17">
        <v>9.5571428571428587</v>
      </c>
      <c r="K213" s="17">
        <v>7.9714285714285706</v>
      </c>
      <c r="L213" s="17">
        <v>7.65</v>
      </c>
      <c r="M213" s="17">
        <v>10.785714285714286</v>
      </c>
      <c r="N213" s="17">
        <v>10.571428571428571</v>
      </c>
      <c r="O213" s="17">
        <v>6.2571428571428571</v>
      </c>
      <c r="P213" s="17">
        <v>8.3428571428571434</v>
      </c>
      <c r="Q213" s="17">
        <v>11.028571428571428</v>
      </c>
      <c r="R213" s="17">
        <v>8.5285714285714285</v>
      </c>
      <c r="S213" s="17">
        <v>8.9080357142857167</v>
      </c>
      <c r="T213" s="17">
        <v>11.394025974025974</v>
      </c>
      <c r="U213" s="17">
        <v>11.578149350649349</v>
      </c>
      <c r="V213" s="17">
        <v>11.837727272727273</v>
      </c>
      <c r="W213" s="17">
        <v>13.214448051948056</v>
      </c>
      <c r="Y213" s="17">
        <f t="shared" ref="Y213" si="22">SUM(D213:W213)</f>
        <v>219.03952922077929</v>
      </c>
      <c r="Z213">
        <f>SUMPRODUCT($D$214:$W$214,D213:W213)</f>
        <v>15.747330084007933</v>
      </c>
    </row>
    <row r="214" spans="1:26" x14ac:dyDescent="0.25">
      <c r="A214" s="2" t="s">
        <v>71</v>
      </c>
      <c r="D214" s="3">
        <f>CORREL($B$2:$B$28,D182:D208)</f>
        <v>0.22271577566430467</v>
      </c>
      <c r="E214" s="3">
        <f t="shared" ref="E214:W214" si="23">CORREL($B$2:$B$28,E182:E208)</f>
        <v>0.18746804921424393</v>
      </c>
      <c r="F214" s="3">
        <f t="shared" si="23"/>
        <v>0.3212588623928373</v>
      </c>
      <c r="G214" s="3">
        <f t="shared" si="23"/>
        <v>-2.5688132081435663E-2</v>
      </c>
      <c r="H214" s="3">
        <f t="shared" si="23"/>
        <v>-8.5646145143525212E-2</v>
      </c>
      <c r="I214" s="3">
        <f t="shared" si="23"/>
        <v>0.19910987483749235</v>
      </c>
      <c r="J214" s="3">
        <f t="shared" si="23"/>
        <v>-0.2875068485978301</v>
      </c>
      <c r="K214" s="3">
        <f t="shared" si="23"/>
        <v>0.21062307347282397</v>
      </c>
      <c r="L214" s="3">
        <f t="shared" si="23"/>
        <v>0.24423494958738545</v>
      </c>
      <c r="M214" s="3">
        <f t="shared" si="23"/>
        <v>0.18144910548808507</v>
      </c>
      <c r="N214" s="3">
        <f t="shared" si="23"/>
        <v>0.10275392844045353</v>
      </c>
      <c r="O214" s="3">
        <f t="shared" si="23"/>
        <v>0.23768935197464441</v>
      </c>
      <c r="P214" s="3">
        <f t="shared" si="23"/>
        <v>-0.10441240391991645</v>
      </c>
      <c r="Q214" s="3">
        <f t="shared" si="23"/>
        <v>0.15532750732584527</v>
      </c>
      <c r="R214" s="3">
        <f t="shared" si="23"/>
        <v>-7.9310158554070809E-2</v>
      </c>
      <c r="S214" s="3">
        <f t="shared" si="23"/>
        <v>-0.1099024064803916</v>
      </c>
      <c r="T214" s="3">
        <f t="shared" si="23"/>
        <v>2.9394525296121826E-2</v>
      </c>
      <c r="U214" s="3">
        <f t="shared" si="23"/>
        <v>4.5426086008259953E-2</v>
      </c>
      <c r="V214" s="3">
        <f t="shared" si="23"/>
        <v>-3.2338048196376305E-2</v>
      </c>
      <c r="W214" s="3">
        <f t="shared" si="23"/>
        <v>-8.5373172149107557E-2</v>
      </c>
    </row>
    <row r="215" spans="1:26" x14ac:dyDescent="0.25">
      <c r="P215" s="17"/>
      <c r="Q215" s="17"/>
      <c r="R215" s="17"/>
      <c r="S215" s="17"/>
      <c r="T215" s="17"/>
      <c r="U215" s="17"/>
      <c r="V215" s="17"/>
      <c r="W215" s="17"/>
    </row>
    <row r="216" spans="1:26" x14ac:dyDescent="0.25">
      <c r="P216" s="17"/>
      <c r="Q216" s="17"/>
      <c r="R216" s="17"/>
      <c r="S216" s="17"/>
      <c r="T216" s="17"/>
      <c r="U216" s="17"/>
      <c r="V216" s="17"/>
      <c r="W216" s="17"/>
    </row>
    <row r="217" spans="1:26" x14ac:dyDescent="0.25">
      <c r="D217" t="s">
        <v>8</v>
      </c>
      <c r="E217" t="s">
        <v>9</v>
      </c>
      <c r="F217" t="s">
        <v>10</v>
      </c>
      <c r="G217" t="s">
        <v>11</v>
      </c>
      <c r="H217" t="s">
        <v>12</v>
      </c>
      <c r="I217" t="s">
        <v>13</v>
      </c>
      <c r="J217" t="s">
        <v>14</v>
      </c>
      <c r="K217" t="s">
        <v>15</v>
      </c>
      <c r="L217" t="s">
        <v>346</v>
      </c>
      <c r="M217" t="s">
        <v>386</v>
      </c>
      <c r="N217" t="s">
        <v>387</v>
      </c>
      <c r="O217" t="s">
        <v>388</v>
      </c>
      <c r="P217" s="17" t="s">
        <v>477</v>
      </c>
      <c r="Q217" s="17" t="s">
        <v>478</v>
      </c>
      <c r="R217" s="17" t="s">
        <v>479</v>
      </c>
      <c r="S217" s="17" t="s">
        <v>480</v>
      </c>
      <c r="T217" s="17" t="s">
        <v>589</v>
      </c>
      <c r="U217" s="17" t="s">
        <v>590</v>
      </c>
      <c r="V217" s="17" t="s">
        <v>591</v>
      </c>
      <c r="W217" s="17" t="s">
        <v>592</v>
      </c>
      <c r="Y217" t="s">
        <v>98</v>
      </c>
      <c r="Z217" t="s">
        <v>99</v>
      </c>
    </row>
    <row r="218" spans="1:26" x14ac:dyDescent="0.25">
      <c r="A218" t="s">
        <v>43</v>
      </c>
      <c r="D218" s="17">
        <v>9.6285714285714299</v>
      </c>
      <c r="E218" s="17">
        <v>10.728571428571428</v>
      </c>
      <c r="F218" s="17">
        <v>9.6428571428571423</v>
      </c>
      <c r="G218" s="17">
        <v>10.714285714285714</v>
      </c>
      <c r="H218" s="17">
        <v>9.9714285714285715</v>
      </c>
      <c r="I218" s="17">
        <v>9.0571428571428587</v>
      </c>
      <c r="J218" s="17">
        <v>11.657142857142857</v>
      </c>
      <c r="K218" s="17">
        <v>10.314285714285715</v>
      </c>
      <c r="L218" s="17">
        <v>9.6125000000000007</v>
      </c>
      <c r="M218" s="17">
        <v>10.200000000000001</v>
      </c>
      <c r="N218" s="17">
        <v>7.4142857142857155</v>
      </c>
      <c r="O218" s="17">
        <v>8.5571428571428587</v>
      </c>
      <c r="P218" s="17">
        <v>8.9571428571428573</v>
      </c>
      <c r="Q218" s="17">
        <v>8.6714285714285726</v>
      </c>
      <c r="R218" s="17">
        <v>9.7142857142857135</v>
      </c>
      <c r="S218" s="17">
        <v>7.7857142857142856</v>
      </c>
      <c r="T218" s="17">
        <v>9.0428571428571427</v>
      </c>
      <c r="U218" s="17">
        <v>7.9571428571428573</v>
      </c>
      <c r="V218" s="17">
        <v>9.6142857142857139</v>
      </c>
      <c r="W218" s="17">
        <v>7.3857142857142861</v>
      </c>
      <c r="Y218" s="17">
        <f t="shared" ref="Y218:Y248" si="24">SUM(D218:W218)</f>
        <v>186.62678571428575</v>
      </c>
      <c r="Z218">
        <f t="shared" ref="Z218:Z244" si="25">SUMPRODUCT($D$250:$W$250,D218:W218)</f>
        <v>27.560583240421046</v>
      </c>
    </row>
    <row r="219" spans="1:26" x14ac:dyDescent="0.25">
      <c r="A219" t="s">
        <v>44</v>
      </c>
      <c r="D219" s="17">
        <v>9.4</v>
      </c>
      <c r="E219" s="17">
        <v>9.6</v>
      </c>
      <c r="F219" s="17">
        <v>10.199999999999999</v>
      </c>
      <c r="G219" s="17">
        <v>8.4</v>
      </c>
      <c r="H219" s="17">
        <v>11.3</v>
      </c>
      <c r="I219" s="17">
        <v>9.3000000000000007</v>
      </c>
      <c r="J219" s="17">
        <v>12.1</v>
      </c>
      <c r="K219" s="17">
        <v>8.5</v>
      </c>
      <c r="L219" s="17">
        <v>8.4</v>
      </c>
      <c r="M219" s="17">
        <v>9.3000000000000007</v>
      </c>
      <c r="N219" s="17">
        <v>9.1</v>
      </c>
      <c r="O219" s="17">
        <v>10.1</v>
      </c>
      <c r="P219" s="17">
        <v>9.5354285714285716</v>
      </c>
      <c r="Q219" s="17">
        <v>8.734571428571428</v>
      </c>
      <c r="R219" s="17">
        <v>9.21247619047619</v>
      </c>
      <c r="S219" s="17">
        <v>9.6286666666666694</v>
      </c>
      <c r="T219" s="17">
        <v>8.2392857142857139</v>
      </c>
      <c r="U219" s="17">
        <v>9.0142857142857142</v>
      </c>
      <c r="V219" s="17">
        <v>8.3303571428571423</v>
      </c>
      <c r="W219" s="17">
        <v>9.9053571428571416</v>
      </c>
      <c r="Y219" s="17">
        <f t="shared" si="24"/>
        <v>188.30042857142854</v>
      </c>
      <c r="Z219">
        <f t="shared" si="25"/>
        <v>26.150952885256594</v>
      </c>
    </row>
    <row r="220" spans="1:26" x14ac:dyDescent="0.25">
      <c r="A220" t="s">
        <v>45</v>
      </c>
      <c r="D220" s="17">
        <v>9.2571428571428562</v>
      </c>
      <c r="E220" s="17">
        <v>8.0000000000000018</v>
      </c>
      <c r="F220" s="17">
        <v>8.9571428571428573</v>
      </c>
      <c r="G220" s="17">
        <v>9.8571428571428577</v>
      </c>
      <c r="H220" s="17">
        <v>10.057142857142859</v>
      </c>
      <c r="I220" s="17">
        <v>9.6428571428571423</v>
      </c>
      <c r="J220" s="17">
        <v>13.728571428571428</v>
      </c>
      <c r="K220" s="17">
        <v>7.7</v>
      </c>
      <c r="L220" s="17">
        <v>10.0625</v>
      </c>
      <c r="M220" s="17">
        <v>10.057142857142859</v>
      </c>
      <c r="N220" s="17">
        <v>11.528571428571427</v>
      </c>
      <c r="O220" s="17">
        <v>10.271428571428572</v>
      </c>
      <c r="P220" s="17">
        <v>7.3142857142857141</v>
      </c>
      <c r="Q220" s="17">
        <v>8.3428571428571434</v>
      </c>
      <c r="R220" s="17">
        <v>10.514285714285714</v>
      </c>
      <c r="S220" s="17">
        <v>9.4857142857142858</v>
      </c>
      <c r="T220" s="17">
        <v>10.885714285714286</v>
      </c>
      <c r="U220" s="17">
        <v>11.571428571428571</v>
      </c>
      <c r="V220" s="17">
        <v>12.085714285714285</v>
      </c>
      <c r="W220" s="17">
        <v>12.1</v>
      </c>
      <c r="Y220" s="17">
        <f t="shared" si="24"/>
        <v>201.41964285714289</v>
      </c>
      <c r="Z220">
        <f t="shared" si="25"/>
        <v>25.690116746580031</v>
      </c>
    </row>
    <row r="221" spans="1:26" x14ac:dyDescent="0.25">
      <c r="A221" t="s">
        <v>46</v>
      </c>
      <c r="D221" s="17">
        <v>9.0428571428571427</v>
      </c>
      <c r="E221" s="17">
        <v>8.3142857142857149</v>
      </c>
      <c r="F221" s="17">
        <v>7.2285714285714278</v>
      </c>
      <c r="G221" s="17">
        <v>9</v>
      </c>
      <c r="H221" s="17">
        <v>8.0857142857142854</v>
      </c>
      <c r="I221" s="17">
        <v>8.0714285714285712</v>
      </c>
      <c r="J221" s="17">
        <v>9.9285714285714288</v>
      </c>
      <c r="K221" s="17">
        <v>10.314285714285715</v>
      </c>
      <c r="L221" s="17">
        <v>9.7125000000000004</v>
      </c>
      <c r="M221" s="17">
        <v>9.0857142857142872</v>
      </c>
      <c r="N221" s="17">
        <v>6.0857142857142863</v>
      </c>
      <c r="O221" s="17">
        <v>6.7142857142857144</v>
      </c>
      <c r="P221" s="17">
        <v>6.3</v>
      </c>
      <c r="Q221" s="17">
        <v>8.6142857142857157</v>
      </c>
      <c r="R221" s="17">
        <v>9.1571428571428566</v>
      </c>
      <c r="S221" s="17">
        <v>10.757142857142856</v>
      </c>
      <c r="T221" s="17">
        <v>7.0857142857142845</v>
      </c>
      <c r="U221" s="17">
        <v>7.2</v>
      </c>
      <c r="V221" s="17">
        <v>8.2142857142857135</v>
      </c>
      <c r="W221" s="17">
        <v>14.6</v>
      </c>
      <c r="Y221" s="17">
        <f t="shared" si="24"/>
        <v>173.51250000000002</v>
      </c>
      <c r="Z221">
        <f t="shared" si="25"/>
        <v>23.309221679755748</v>
      </c>
    </row>
    <row r="222" spans="1:26" x14ac:dyDescent="0.25">
      <c r="A222" t="s">
        <v>47</v>
      </c>
      <c r="D222" s="17">
        <v>11.242857142857142</v>
      </c>
      <c r="E222" s="17">
        <v>9.9285714285714288</v>
      </c>
      <c r="F222" s="17">
        <v>10.385714285714286</v>
      </c>
      <c r="G222" s="17">
        <v>10.357142857142858</v>
      </c>
      <c r="H222" s="17">
        <v>10</v>
      </c>
      <c r="I222" s="17">
        <v>8.242857142857142</v>
      </c>
      <c r="J222" s="17">
        <v>9.171428571428569</v>
      </c>
      <c r="K222" s="17">
        <v>9.3857142857142861</v>
      </c>
      <c r="L222" s="17">
        <v>8.4625000000000004</v>
      </c>
      <c r="M222" s="17">
        <v>10.028571428571428</v>
      </c>
      <c r="N222" s="17">
        <v>9.7999999999999989</v>
      </c>
      <c r="O222" s="17">
        <v>8.2000000000000011</v>
      </c>
      <c r="P222" s="17">
        <v>8.3571428571428577</v>
      </c>
      <c r="Q222" s="17">
        <v>6.7714285714285705</v>
      </c>
      <c r="R222" s="17">
        <v>10.685714285714285</v>
      </c>
      <c r="S222" s="17">
        <v>10</v>
      </c>
      <c r="T222" s="17">
        <v>9.514285714285716</v>
      </c>
      <c r="U222" s="17">
        <v>8.9714285714285715</v>
      </c>
      <c r="V222" s="17">
        <v>5.9285714285714288</v>
      </c>
      <c r="W222" s="17">
        <v>8.1428571428571423</v>
      </c>
      <c r="Y222" s="17">
        <f t="shared" si="24"/>
        <v>183.57678571428568</v>
      </c>
      <c r="Z222">
        <f t="shared" si="25"/>
        <v>26.04957815794112</v>
      </c>
    </row>
    <row r="223" spans="1:26" x14ac:dyDescent="0.25">
      <c r="A223" t="s">
        <v>48</v>
      </c>
      <c r="D223" s="17">
        <v>12.12857142857143</v>
      </c>
      <c r="E223" s="17">
        <v>9.0428571428571427</v>
      </c>
      <c r="F223" s="17">
        <v>9.9857142857142858</v>
      </c>
      <c r="G223" s="17">
        <v>14.428571428571429</v>
      </c>
      <c r="H223" s="17">
        <v>13.142857142857142</v>
      </c>
      <c r="I223" s="17">
        <v>13.228571428571428</v>
      </c>
      <c r="J223" s="17">
        <v>11</v>
      </c>
      <c r="K223" s="17">
        <v>10.442857142857141</v>
      </c>
      <c r="L223" s="17">
        <v>10.0625</v>
      </c>
      <c r="M223" s="17">
        <v>6.5</v>
      </c>
      <c r="N223" s="17">
        <v>9.0857142857142854</v>
      </c>
      <c r="O223" s="17">
        <v>6.7285714285714286</v>
      </c>
      <c r="P223" s="17">
        <v>10.342857142857143</v>
      </c>
      <c r="Q223" s="17">
        <v>9.742857142857142</v>
      </c>
      <c r="R223" s="17">
        <v>10.37142857142857</v>
      </c>
      <c r="S223" s="17">
        <v>6.3428571428571425</v>
      </c>
      <c r="T223" s="17">
        <v>10.585714285714285</v>
      </c>
      <c r="U223" s="17">
        <v>9.8142857142857149</v>
      </c>
      <c r="V223" s="17">
        <v>7.8</v>
      </c>
      <c r="W223" s="17">
        <v>8.1428571428571423</v>
      </c>
      <c r="Y223" s="17">
        <f t="shared" si="24"/>
        <v>198.91964285714286</v>
      </c>
      <c r="Z223">
        <f t="shared" si="25"/>
        <v>30.673256320788525</v>
      </c>
    </row>
    <row r="224" spans="1:26" x14ac:dyDescent="0.25">
      <c r="A224" t="s">
        <v>49</v>
      </c>
      <c r="D224" s="17">
        <v>8.4</v>
      </c>
      <c r="E224" s="17">
        <v>9.9285714285714288</v>
      </c>
      <c r="F224" s="17">
        <v>14</v>
      </c>
      <c r="G224" s="17">
        <v>11.957142857142857</v>
      </c>
      <c r="H224" s="17">
        <v>8.6142857142857139</v>
      </c>
      <c r="I224" s="17">
        <v>9.0285714285714285</v>
      </c>
      <c r="J224" s="17">
        <v>9.0857142857142854</v>
      </c>
      <c r="K224" s="17">
        <v>10.87142857142857</v>
      </c>
      <c r="L224" s="17">
        <v>6.8875000000000011</v>
      </c>
      <c r="M224" s="17">
        <v>6.7285714285714286</v>
      </c>
      <c r="N224" s="17">
        <v>7.9</v>
      </c>
      <c r="O224" s="17">
        <v>6.9428571428571422</v>
      </c>
      <c r="P224" s="17">
        <v>10.299999999999999</v>
      </c>
      <c r="Q224" s="17">
        <v>11.457142857142857</v>
      </c>
      <c r="R224" s="17">
        <v>8.2857142857142865</v>
      </c>
      <c r="S224" s="17">
        <v>7.5285714285714294</v>
      </c>
      <c r="T224" s="17">
        <v>5.2285714285714278</v>
      </c>
      <c r="U224" s="17">
        <v>8.0285714285714285</v>
      </c>
      <c r="V224" s="17">
        <v>9.6714285714285726</v>
      </c>
      <c r="W224" s="17">
        <v>6.8</v>
      </c>
      <c r="Y224" s="17">
        <f t="shared" si="24"/>
        <v>177.64464285714288</v>
      </c>
      <c r="Z224">
        <f t="shared" si="25"/>
        <v>26.693908239464623</v>
      </c>
    </row>
    <row r="225" spans="1:26" x14ac:dyDescent="0.25">
      <c r="A225" t="s">
        <v>50</v>
      </c>
      <c r="D225" s="17">
        <v>9.1571428571428566</v>
      </c>
      <c r="E225" s="17">
        <v>7.7142857142857153</v>
      </c>
      <c r="F225" s="17">
        <v>11.12857142857143</v>
      </c>
      <c r="G225" s="17">
        <v>12.171428571428573</v>
      </c>
      <c r="H225" s="17">
        <v>10.057142857142855</v>
      </c>
      <c r="I225" s="17">
        <v>11.857142857142858</v>
      </c>
      <c r="J225" s="17">
        <v>9.9142857142857146</v>
      </c>
      <c r="K225" s="17">
        <v>10.628571428571428</v>
      </c>
      <c r="L225" s="17">
        <v>10.425000000000001</v>
      </c>
      <c r="M225" s="17">
        <v>12.571428571428571</v>
      </c>
      <c r="N225" s="17">
        <v>10.9</v>
      </c>
      <c r="O225" s="17">
        <v>9.1285714285714281</v>
      </c>
      <c r="P225" s="17">
        <v>7.8142857142857149</v>
      </c>
      <c r="Q225" s="17">
        <v>6.9857142857142858</v>
      </c>
      <c r="R225" s="17">
        <v>7.1571428571428575</v>
      </c>
      <c r="S225" s="17">
        <v>9.2000000000000011</v>
      </c>
      <c r="T225" s="17">
        <v>6.6714285714285717</v>
      </c>
      <c r="U225" s="17">
        <v>8.9142857142857146</v>
      </c>
      <c r="V225" s="17">
        <v>8.6</v>
      </c>
      <c r="W225" s="17">
        <v>9.6857142857142851</v>
      </c>
      <c r="Y225" s="17">
        <f t="shared" si="24"/>
        <v>190.68214285714285</v>
      </c>
      <c r="Z225">
        <f t="shared" si="25"/>
        <v>27.933038760124546</v>
      </c>
    </row>
    <row r="226" spans="1:26" x14ac:dyDescent="0.25">
      <c r="A226" t="s">
        <v>51</v>
      </c>
      <c r="D226" s="17">
        <v>11.828571428571427</v>
      </c>
      <c r="E226" s="17">
        <v>11.571428571428571</v>
      </c>
      <c r="F226" s="17">
        <v>14.471428571428572</v>
      </c>
      <c r="G226" s="17">
        <v>18.285714285714285</v>
      </c>
      <c r="H226" s="17">
        <v>7.4571428571428573</v>
      </c>
      <c r="I226" s="17">
        <v>10.842857142857142</v>
      </c>
      <c r="J226" s="17">
        <v>8.7428571428571438</v>
      </c>
      <c r="K226" s="17">
        <v>9.1285714285714281</v>
      </c>
      <c r="L226" s="17">
        <v>9.0250000000000004</v>
      </c>
      <c r="M226" s="17">
        <v>12.142857142857142</v>
      </c>
      <c r="N226" s="17">
        <v>12.428571428571429</v>
      </c>
      <c r="O226" s="17">
        <v>8.2142857142857135</v>
      </c>
      <c r="P226" s="17">
        <v>14.428571428571429</v>
      </c>
      <c r="Q226" s="17">
        <v>5.8857142857142861</v>
      </c>
      <c r="R226" s="17">
        <v>8.6285714285714299</v>
      </c>
      <c r="S226" s="17">
        <v>7.5428571428571436</v>
      </c>
      <c r="T226" s="17">
        <v>8.8714285714285719</v>
      </c>
      <c r="U226" s="17">
        <v>7.7285714285714278</v>
      </c>
      <c r="V226" s="17">
        <v>6.5285714285714294</v>
      </c>
      <c r="W226" s="17">
        <v>8.9</v>
      </c>
      <c r="Y226" s="17">
        <f t="shared" si="24"/>
        <v>202.65357142857144</v>
      </c>
      <c r="Z226">
        <f t="shared" si="25"/>
        <v>29.696116641507135</v>
      </c>
    </row>
    <row r="227" spans="1:26" x14ac:dyDescent="0.25">
      <c r="A227" t="s">
        <v>52</v>
      </c>
      <c r="D227" s="17">
        <v>12.428571428571429</v>
      </c>
      <c r="E227" s="17">
        <v>10.171428571428573</v>
      </c>
      <c r="F227" s="17">
        <v>11.657142857142857</v>
      </c>
      <c r="G227" s="17">
        <v>8.6</v>
      </c>
      <c r="H227" s="17">
        <v>9.6285714285714299</v>
      </c>
      <c r="I227" s="17">
        <v>12.142857142857142</v>
      </c>
      <c r="J227" s="17">
        <v>7.6857142857142851</v>
      </c>
      <c r="K227" s="17">
        <v>8.1857142857142868</v>
      </c>
      <c r="L227" s="17">
        <v>9.7374999999999989</v>
      </c>
      <c r="M227" s="17">
        <v>9.328571428571431</v>
      </c>
      <c r="N227" s="17">
        <v>8.242857142857142</v>
      </c>
      <c r="O227" s="17">
        <v>9.7571428571428562</v>
      </c>
      <c r="P227" s="17">
        <v>7.8857142857142852</v>
      </c>
      <c r="Q227" s="17">
        <v>9.5285714285714285</v>
      </c>
      <c r="R227" s="17">
        <v>9.4285714285714288</v>
      </c>
      <c r="S227" s="17">
        <v>9.3857142857142843</v>
      </c>
      <c r="T227" s="17">
        <v>7.0714285714285712</v>
      </c>
      <c r="U227" s="17">
        <v>9.8857142857142861</v>
      </c>
      <c r="V227" s="17">
        <v>7.8142857142857149</v>
      </c>
      <c r="W227" s="17">
        <v>10.871428571428572</v>
      </c>
      <c r="Y227" s="17">
        <f t="shared" si="24"/>
        <v>189.43749999999997</v>
      </c>
      <c r="Z227">
        <f t="shared" si="25"/>
        <v>27.316520473223584</v>
      </c>
    </row>
    <row r="228" spans="1:26" x14ac:dyDescent="0.25">
      <c r="A228" t="s">
        <v>53</v>
      </c>
      <c r="D228" s="17">
        <v>11.028571428571428</v>
      </c>
      <c r="E228" s="17">
        <v>11.057142857142859</v>
      </c>
      <c r="F228" s="17">
        <v>12.185714285714285</v>
      </c>
      <c r="G228" s="17">
        <v>17.428571428571427</v>
      </c>
      <c r="H228" s="17">
        <v>11.314285714285715</v>
      </c>
      <c r="I228" s="17">
        <v>8.3000000000000007</v>
      </c>
      <c r="J228" s="17">
        <v>10.9</v>
      </c>
      <c r="K228" s="17">
        <v>10.457142857142857</v>
      </c>
      <c r="L228" s="17">
        <v>12.824999999999999</v>
      </c>
      <c r="M228" s="17">
        <v>14.428571428571429</v>
      </c>
      <c r="N228" s="17">
        <v>10.928571428571429</v>
      </c>
      <c r="O228" s="17">
        <v>9.3571428571428577</v>
      </c>
      <c r="P228" s="17">
        <v>10.299999999999999</v>
      </c>
      <c r="Q228" s="17">
        <v>7.742857142857142</v>
      </c>
      <c r="R228" s="17">
        <v>8.2714285714285722</v>
      </c>
      <c r="S228" s="17">
        <v>9.4714285714285715</v>
      </c>
      <c r="T228" s="17">
        <v>10.942857142857141</v>
      </c>
      <c r="U228" s="17">
        <v>9.3285714285714274</v>
      </c>
      <c r="V228" s="17">
        <v>9.0857142857142854</v>
      </c>
      <c r="W228" s="17">
        <v>9.5571428571428587</v>
      </c>
      <c r="Y228" s="17">
        <f t="shared" si="24"/>
        <v>214.91071428571428</v>
      </c>
      <c r="Z228">
        <f t="shared" si="25"/>
        <v>31.087008153716894</v>
      </c>
    </row>
    <row r="229" spans="1:26" x14ac:dyDescent="0.25">
      <c r="A229" t="s">
        <v>54</v>
      </c>
      <c r="D229" s="17">
        <v>13.571428571428571</v>
      </c>
      <c r="E229" s="17">
        <v>12.171428571428569</v>
      </c>
      <c r="F229" s="17">
        <v>10.657142857142858</v>
      </c>
      <c r="G229" s="17">
        <v>10.642857142857142</v>
      </c>
      <c r="H229" s="17">
        <v>9.8857142857142843</v>
      </c>
      <c r="I229" s="17">
        <v>10.614285714285714</v>
      </c>
      <c r="J229" s="17">
        <v>8.3000000000000007</v>
      </c>
      <c r="K229" s="17">
        <v>11.428571428571429</v>
      </c>
      <c r="L229" s="17">
        <v>10.025</v>
      </c>
      <c r="M229" s="17">
        <v>10.050000000000001</v>
      </c>
      <c r="N229" s="17">
        <v>12.04</v>
      </c>
      <c r="O229" s="17">
        <v>10.59</v>
      </c>
      <c r="P229" s="17">
        <v>7.56</v>
      </c>
      <c r="Q229" s="17">
        <v>9.69</v>
      </c>
      <c r="R229" s="17">
        <v>6.53</v>
      </c>
      <c r="S229" s="17">
        <v>9.23</v>
      </c>
      <c r="T229" s="17">
        <v>6.84</v>
      </c>
      <c r="U229" s="17">
        <v>9.2200000000000006</v>
      </c>
      <c r="V229" s="17">
        <v>8.4600000000000009</v>
      </c>
      <c r="W229" s="17">
        <v>11.68</v>
      </c>
      <c r="Y229" s="17">
        <f t="shared" si="24"/>
        <v>199.18642857142859</v>
      </c>
      <c r="Z229">
        <f t="shared" si="25"/>
        <v>29.549636016919081</v>
      </c>
    </row>
    <row r="230" spans="1:26" x14ac:dyDescent="0.25">
      <c r="A230" t="s">
        <v>55</v>
      </c>
      <c r="D230" s="17">
        <v>14.77</v>
      </c>
      <c r="E230" s="17">
        <v>14.87</v>
      </c>
      <c r="F230" s="17">
        <v>12.08</v>
      </c>
      <c r="G230" s="17">
        <v>14.45</v>
      </c>
      <c r="H230" s="17">
        <v>15.47</v>
      </c>
      <c r="I230" s="17">
        <v>15.84</v>
      </c>
      <c r="J230" s="17">
        <v>11.04</v>
      </c>
      <c r="K230" s="17">
        <v>13.8</v>
      </c>
      <c r="L230" s="17">
        <v>12.2</v>
      </c>
      <c r="M230" s="17">
        <v>13</v>
      </c>
      <c r="N230" s="17">
        <v>12.285714285714286</v>
      </c>
      <c r="O230" s="17">
        <v>7.4714285714285724</v>
      </c>
      <c r="P230" s="17">
        <v>9.4428571428571413</v>
      </c>
      <c r="Q230" s="17">
        <v>12.857142857142858</v>
      </c>
      <c r="R230" s="17">
        <v>9.2857142857142865</v>
      </c>
      <c r="S230" s="17">
        <v>12.285714285714286</v>
      </c>
      <c r="T230" s="17">
        <v>10.114285714285716</v>
      </c>
      <c r="U230" s="17">
        <v>8.6</v>
      </c>
      <c r="V230" s="17">
        <v>9.8714285714285701</v>
      </c>
      <c r="W230" s="17">
        <v>10.028571428571427</v>
      </c>
      <c r="Y230" s="17">
        <f t="shared" si="24"/>
        <v>239.76285714285714</v>
      </c>
      <c r="Z230">
        <f t="shared" si="25"/>
        <v>38.061690669839393</v>
      </c>
    </row>
    <row r="231" spans="1:26" x14ac:dyDescent="0.25">
      <c r="A231" t="s">
        <v>56</v>
      </c>
      <c r="D231" s="17">
        <v>17.257142857142856</v>
      </c>
      <c r="E231" s="17">
        <v>12.271428571428572</v>
      </c>
      <c r="F231" s="17">
        <v>13.714285714285714</v>
      </c>
      <c r="G231" s="17">
        <v>12.1</v>
      </c>
      <c r="H231" s="17">
        <v>9.1857142857142851</v>
      </c>
      <c r="I231" s="17">
        <v>9.3714285714285701</v>
      </c>
      <c r="J231" s="17">
        <v>9.5428571428571445</v>
      </c>
      <c r="K231" s="17">
        <v>12.385714285714286</v>
      </c>
      <c r="L231" s="17">
        <v>10.287500000000001</v>
      </c>
      <c r="M231" s="17">
        <v>9.8571428571428577</v>
      </c>
      <c r="N231" s="17">
        <v>8.1</v>
      </c>
      <c r="O231" s="17">
        <v>12.428571428571429</v>
      </c>
      <c r="P231" s="17">
        <v>11.299999999999999</v>
      </c>
      <c r="Q231" s="17">
        <v>8.3714285714285719</v>
      </c>
      <c r="R231" s="17">
        <v>14.714285714285714</v>
      </c>
      <c r="S231" s="17">
        <v>15.571428571428571</v>
      </c>
      <c r="T231" s="17">
        <v>11.685714285714285</v>
      </c>
      <c r="U231" s="17">
        <v>8.8000000000000007</v>
      </c>
      <c r="V231" s="17">
        <v>10.72857142857143</v>
      </c>
      <c r="W231" s="17">
        <v>8.2857142857142865</v>
      </c>
      <c r="Y231" s="17">
        <f t="shared" si="24"/>
        <v>225.95892857142857</v>
      </c>
      <c r="Z231">
        <f t="shared" si="25"/>
        <v>31.615816276020777</v>
      </c>
    </row>
    <row r="232" spans="1:26" x14ac:dyDescent="0.25">
      <c r="A232" t="s">
        <v>57</v>
      </c>
      <c r="D232" s="17">
        <v>12.571428571428571</v>
      </c>
      <c r="E232" s="17">
        <v>10.314285714285715</v>
      </c>
      <c r="F232" s="17">
        <v>8.8857142857142879</v>
      </c>
      <c r="G232" s="17">
        <v>9.9571428571428555</v>
      </c>
      <c r="H232" s="17">
        <v>8.9142857142857146</v>
      </c>
      <c r="I232" s="17">
        <v>10.057142857142859</v>
      </c>
      <c r="J232" s="17">
        <v>11</v>
      </c>
      <c r="K232" s="17">
        <v>8.4142857142857146</v>
      </c>
      <c r="L232" s="17">
        <v>10.025</v>
      </c>
      <c r="M232" s="17">
        <v>9.4142857142857128</v>
      </c>
      <c r="N232" s="17">
        <v>10.27142857142857</v>
      </c>
      <c r="O232" s="17">
        <v>8.8857142857142861</v>
      </c>
      <c r="P232" s="17">
        <v>11</v>
      </c>
      <c r="Q232" s="17">
        <v>10.171428571428573</v>
      </c>
      <c r="R232" s="17">
        <v>7.3857142857142861</v>
      </c>
      <c r="S232" s="17">
        <v>5.1571428571428575</v>
      </c>
      <c r="T232" s="17">
        <v>9.2999999999999989</v>
      </c>
      <c r="U232" s="17">
        <v>7.7</v>
      </c>
      <c r="V232" s="17">
        <v>7.0857142857142863</v>
      </c>
      <c r="W232" s="17">
        <v>10.028571428571427</v>
      </c>
      <c r="Y232" s="17">
        <f t="shared" si="24"/>
        <v>186.53928571428574</v>
      </c>
      <c r="Z232">
        <f t="shared" si="25"/>
        <v>27.191510098093431</v>
      </c>
    </row>
    <row r="233" spans="1:26" x14ac:dyDescent="0.25">
      <c r="A233" t="s">
        <v>58</v>
      </c>
      <c r="D233" s="17">
        <v>12.442857142857141</v>
      </c>
      <c r="E233" s="17">
        <v>11.857142857142858</v>
      </c>
      <c r="F233" s="17">
        <v>12.714285714285714</v>
      </c>
      <c r="G233" s="17">
        <v>10.228571428571428</v>
      </c>
      <c r="H233" s="17">
        <v>10.285714285714286</v>
      </c>
      <c r="I233" s="17">
        <v>8.6857142857142851</v>
      </c>
      <c r="J233" s="17">
        <v>10.599999999999998</v>
      </c>
      <c r="K233" s="17">
        <v>11.714285714285714</v>
      </c>
      <c r="L233" s="17">
        <v>9.6374999999999993</v>
      </c>
      <c r="M233" s="17">
        <v>9.9971428571428582</v>
      </c>
      <c r="N233" s="17">
        <v>8.8428571428571434</v>
      </c>
      <c r="O233" s="17">
        <v>7.5000000000000009</v>
      </c>
      <c r="P233" s="17">
        <v>10.214285714285714</v>
      </c>
      <c r="Q233" s="17">
        <v>6.6571428571428575</v>
      </c>
      <c r="R233" s="17">
        <v>8.3142857142857132</v>
      </c>
      <c r="S233" s="17">
        <v>6.8999999999999995</v>
      </c>
      <c r="T233" s="17">
        <v>8.2285714285714278</v>
      </c>
      <c r="U233" s="17">
        <v>10.971428571428573</v>
      </c>
      <c r="V233" s="17">
        <v>9.1142857142857139</v>
      </c>
      <c r="W233" s="17">
        <v>7.7285714285714278</v>
      </c>
      <c r="Y233" s="17">
        <f t="shared" si="24"/>
        <v>192.63464285714284</v>
      </c>
      <c r="Z233">
        <f t="shared" si="25"/>
        <v>29.478192916647288</v>
      </c>
    </row>
    <row r="234" spans="1:26" x14ac:dyDescent="0.25">
      <c r="A234" t="s">
        <v>59</v>
      </c>
      <c r="D234" s="17">
        <v>10.357142857142858</v>
      </c>
      <c r="E234" s="17">
        <v>12.142857142857142</v>
      </c>
      <c r="F234" s="17">
        <v>9.7000000000000011</v>
      </c>
      <c r="G234" s="17">
        <v>9.3571428571428577</v>
      </c>
      <c r="H234" s="17">
        <v>10.700000000000001</v>
      </c>
      <c r="I234" s="17">
        <v>13.285714285714286</v>
      </c>
      <c r="J234" s="17">
        <v>10.12857142857143</v>
      </c>
      <c r="K234" s="17">
        <v>10.614285714285716</v>
      </c>
      <c r="L234" s="17">
        <v>9.5714285714285712</v>
      </c>
      <c r="M234" s="17">
        <v>8.8000000000000007</v>
      </c>
      <c r="N234" s="17">
        <v>9.9428571428571413</v>
      </c>
      <c r="O234" s="17">
        <v>9.3142857142857149</v>
      </c>
      <c r="P234" s="17">
        <v>10.471428571428572</v>
      </c>
      <c r="Q234" s="17">
        <v>8.2000000000000011</v>
      </c>
      <c r="R234" s="17">
        <v>9.4571428571428555</v>
      </c>
      <c r="S234" s="17">
        <v>15.571428571428571</v>
      </c>
      <c r="T234" s="17">
        <v>15.571428571428571</v>
      </c>
      <c r="U234" s="17">
        <v>9.7571428571428562</v>
      </c>
      <c r="V234" s="17">
        <v>8.9</v>
      </c>
      <c r="W234" s="17">
        <v>9.671428571428569</v>
      </c>
      <c r="Y234" s="17">
        <f t="shared" si="24"/>
        <v>211.51428571428576</v>
      </c>
      <c r="Z234">
        <f t="shared" si="25"/>
        <v>29.050915174261402</v>
      </c>
    </row>
    <row r="235" spans="1:26" x14ac:dyDescent="0.25">
      <c r="A235" t="s">
        <v>60</v>
      </c>
      <c r="D235" s="17">
        <v>8.8428571428571434</v>
      </c>
      <c r="E235" s="17">
        <v>11.457142857142857</v>
      </c>
      <c r="F235" s="17">
        <v>9.8571428571428577</v>
      </c>
      <c r="G235" s="17">
        <v>8.6142857142857157</v>
      </c>
      <c r="H235" s="17">
        <v>7.1571428571428566</v>
      </c>
      <c r="I235" s="17">
        <v>10.342857142857143</v>
      </c>
      <c r="J235" s="17">
        <v>10.471428571428572</v>
      </c>
      <c r="K235" s="17">
        <v>11.9</v>
      </c>
      <c r="L235" s="17">
        <v>9.3375000000000004</v>
      </c>
      <c r="M235" s="17">
        <v>10.242857142857144</v>
      </c>
      <c r="N235" s="17">
        <v>9.5</v>
      </c>
      <c r="O235" s="17">
        <v>8.5714285714285712</v>
      </c>
      <c r="P235" s="17">
        <v>9.2142857142857135</v>
      </c>
      <c r="Q235" s="17">
        <v>11.214285714285714</v>
      </c>
      <c r="R235" s="17">
        <v>10.542857142857143</v>
      </c>
      <c r="S235" s="17">
        <v>9.5571428571428552</v>
      </c>
      <c r="T235" s="17">
        <v>11.114285714285714</v>
      </c>
      <c r="U235" s="17">
        <v>10.071428571428571</v>
      </c>
      <c r="V235" s="17">
        <v>5.0142857142857142</v>
      </c>
      <c r="W235" s="17">
        <v>8.5142857142857142</v>
      </c>
      <c r="Y235" s="17">
        <f t="shared" si="24"/>
        <v>191.53749999999999</v>
      </c>
      <c r="Z235">
        <f t="shared" si="25"/>
        <v>27.243086535766246</v>
      </c>
    </row>
    <row r="236" spans="1:26" x14ac:dyDescent="0.25">
      <c r="A236" t="s">
        <v>61</v>
      </c>
      <c r="D236" s="17">
        <v>16</v>
      </c>
      <c r="E236" s="17">
        <v>12.857142857142858</v>
      </c>
      <c r="F236" s="17">
        <v>10.657142857142857</v>
      </c>
      <c r="G236" s="17">
        <v>14.428571428571429</v>
      </c>
      <c r="H236" s="17">
        <v>11.414285714285715</v>
      </c>
      <c r="I236" s="17">
        <v>10.971428571428572</v>
      </c>
      <c r="J236" s="17">
        <v>11.657142857142857</v>
      </c>
      <c r="K236" s="17">
        <v>11.214285714285714</v>
      </c>
      <c r="L236" s="17">
        <v>9.3249999999999993</v>
      </c>
      <c r="M236" s="17">
        <v>31.199999999999996</v>
      </c>
      <c r="N236" s="17">
        <v>33</v>
      </c>
      <c r="O236" s="17">
        <v>33.98571428571428</v>
      </c>
      <c r="P236" s="17">
        <v>33.071428571428569</v>
      </c>
      <c r="Q236" s="17">
        <v>33.771428571428565</v>
      </c>
      <c r="R236" s="17">
        <v>35.471428571428575</v>
      </c>
      <c r="S236" s="17">
        <v>37.457142857142856</v>
      </c>
      <c r="T236" s="17">
        <v>39.414285714285718</v>
      </c>
      <c r="U236" s="17">
        <v>40.585714285714289</v>
      </c>
      <c r="V236" s="17">
        <v>41.68571428571429</v>
      </c>
      <c r="W236" s="17">
        <v>44.957142857142856</v>
      </c>
      <c r="Y236" s="17">
        <f t="shared" si="24"/>
        <v>513.125</v>
      </c>
      <c r="Z236">
        <f t="shared" si="25"/>
        <v>29.894825337592863</v>
      </c>
    </row>
    <row r="237" spans="1:26" x14ac:dyDescent="0.25">
      <c r="A237" t="s">
        <v>62</v>
      </c>
      <c r="D237" s="17">
        <v>39.6</v>
      </c>
      <c r="E237" s="17">
        <v>38.828571428571429</v>
      </c>
      <c r="F237" s="17">
        <v>39.942857142857143</v>
      </c>
      <c r="G237" s="17">
        <v>39.285714285714285</v>
      </c>
      <c r="H237" s="17">
        <v>37.528571428571425</v>
      </c>
      <c r="I237" s="17">
        <v>35.9</v>
      </c>
      <c r="J237" s="17">
        <v>34.671428571428571</v>
      </c>
      <c r="K237" s="17">
        <v>31.414285714285715</v>
      </c>
      <c r="L237" s="17">
        <v>32.837499999999999</v>
      </c>
      <c r="M237" s="17">
        <v>10.402142857142858</v>
      </c>
      <c r="N237" s="17">
        <v>10.218285714285715</v>
      </c>
      <c r="O237" s="17">
        <v>8.9504285714285725</v>
      </c>
      <c r="P237" s="17">
        <v>10.03742857142857</v>
      </c>
      <c r="Q237" s="17">
        <v>9.2432857142857134</v>
      </c>
      <c r="R237" s="17">
        <v>9.0058571428571437</v>
      </c>
      <c r="S237" s="17">
        <v>9.1715714285714292</v>
      </c>
      <c r="T237" s="17">
        <v>8.7311428571428564</v>
      </c>
      <c r="U237" s="17">
        <v>8.8019999999999996</v>
      </c>
      <c r="V237" s="17">
        <v>8.5645714285714298</v>
      </c>
      <c r="W237" s="17">
        <v>9.3979999999999997</v>
      </c>
      <c r="Y237" s="17">
        <f t="shared" si="24"/>
        <v>432.53364285714287</v>
      </c>
      <c r="Z237">
        <f t="shared" si="25"/>
        <v>99.707785186083399</v>
      </c>
    </row>
    <row r="238" spans="1:26" x14ac:dyDescent="0.25">
      <c r="A238" t="s">
        <v>63</v>
      </c>
      <c r="D238" s="17">
        <v>12.345571428571427</v>
      </c>
      <c r="E238" s="17">
        <v>11.192714285714287</v>
      </c>
      <c r="F238" s="17">
        <v>12.149428571428569</v>
      </c>
      <c r="G238" s="17">
        <v>12.582142857142856</v>
      </c>
      <c r="H238" s="17">
        <v>10.081285714285714</v>
      </c>
      <c r="I238" s="17">
        <v>10.673999999999999</v>
      </c>
      <c r="J238" s="17">
        <v>9.6811428571428557</v>
      </c>
      <c r="K238" s="17">
        <v>10.70142857142857</v>
      </c>
      <c r="L238" s="17">
        <v>10.1075</v>
      </c>
      <c r="M238" s="17">
        <v>9.2285714285714278</v>
      </c>
      <c r="N238" s="17">
        <v>8.7428571428571438</v>
      </c>
      <c r="O238" s="17">
        <v>10.9</v>
      </c>
      <c r="P238" s="17">
        <v>7.1714285714285717</v>
      </c>
      <c r="Q238" s="17">
        <v>9.3142857142857149</v>
      </c>
      <c r="R238" s="17">
        <v>9.6142857142857157</v>
      </c>
      <c r="S238" s="17">
        <v>11</v>
      </c>
      <c r="T238" s="17">
        <v>12.142857142857142</v>
      </c>
      <c r="U238" s="17">
        <v>10.3</v>
      </c>
      <c r="V238" s="17">
        <v>11.514285714285716</v>
      </c>
      <c r="W238" s="17">
        <v>12.242857142857142</v>
      </c>
      <c r="Y238" s="17">
        <f t="shared" si="24"/>
        <v>211.68664285714286</v>
      </c>
      <c r="Z238">
        <f t="shared" si="25"/>
        <v>29.546211740408303</v>
      </c>
    </row>
    <row r="239" spans="1:26" x14ac:dyDescent="0.25">
      <c r="A239" t="s">
        <v>64</v>
      </c>
      <c r="D239" s="17">
        <v>14.014285714285714</v>
      </c>
      <c r="E239" s="17">
        <v>15.1</v>
      </c>
      <c r="F239" s="17">
        <v>13.771428571428572</v>
      </c>
      <c r="G239" s="17">
        <v>14.142857142857142</v>
      </c>
      <c r="H239" s="17">
        <v>11.142857142857142</v>
      </c>
      <c r="I239" s="17">
        <v>13.599999999999998</v>
      </c>
      <c r="J239" s="17">
        <v>11.442857142857145</v>
      </c>
      <c r="K239" s="17">
        <v>11.257142857142856</v>
      </c>
      <c r="L239" s="17">
        <v>12.137499999999999</v>
      </c>
      <c r="M239" s="17">
        <v>11.314285714285713</v>
      </c>
      <c r="N239" s="17">
        <v>9.1285714285714281</v>
      </c>
      <c r="O239" s="17">
        <v>8.5</v>
      </c>
      <c r="P239" s="17">
        <v>11.471428571428572</v>
      </c>
      <c r="Q239" s="17">
        <v>11.728571428571428</v>
      </c>
      <c r="R239" s="17">
        <v>13.114285714285714</v>
      </c>
      <c r="S239" s="17">
        <v>9.3142857142857132</v>
      </c>
      <c r="T239" s="17">
        <v>10.342857142857143</v>
      </c>
      <c r="U239" s="17">
        <v>11.214285714285714</v>
      </c>
      <c r="V239" s="17">
        <v>9.9857142857142858</v>
      </c>
      <c r="W239" s="17">
        <v>9.5</v>
      </c>
      <c r="Y239" s="17">
        <f t="shared" si="24"/>
        <v>232.22321428571428</v>
      </c>
      <c r="Z239">
        <f t="shared" si="25"/>
        <v>35.223711032881127</v>
      </c>
    </row>
    <row r="240" spans="1:26" x14ac:dyDescent="0.25">
      <c r="A240" t="s">
        <v>65</v>
      </c>
      <c r="D240" s="17">
        <v>14.685714285714285</v>
      </c>
      <c r="E240" s="17">
        <v>13.657142857142857</v>
      </c>
      <c r="F240" s="17">
        <v>9.5142857142857142</v>
      </c>
      <c r="G240" s="17">
        <v>7.2285714285714278</v>
      </c>
      <c r="H240" s="17">
        <v>10.142857142857142</v>
      </c>
      <c r="I240" s="17">
        <v>12.142857142857141</v>
      </c>
      <c r="J240" s="17">
        <v>10.085714285714285</v>
      </c>
      <c r="K240" s="17">
        <v>10.971428571428572</v>
      </c>
      <c r="L240" s="17">
        <v>10.3125</v>
      </c>
      <c r="M240" s="17">
        <v>12.285714285714283</v>
      </c>
      <c r="N240" s="17">
        <v>10.142857142857144</v>
      </c>
      <c r="O240" s="17">
        <v>10.428571428571429</v>
      </c>
      <c r="P240" s="17">
        <v>6.5428571428571427</v>
      </c>
      <c r="Q240" s="17">
        <v>12.12857142857143</v>
      </c>
      <c r="R240" s="17">
        <v>10.299999999999999</v>
      </c>
      <c r="S240" s="17">
        <v>8.8428571428571434</v>
      </c>
      <c r="T240" s="17">
        <v>6.7999999999999989</v>
      </c>
      <c r="U240" s="17">
        <v>5.5571428571428569</v>
      </c>
      <c r="V240" s="17">
        <v>9.5</v>
      </c>
      <c r="W240" s="17">
        <v>10.057142857142855</v>
      </c>
      <c r="Y240" s="17">
        <f t="shared" si="24"/>
        <v>201.32678571428573</v>
      </c>
      <c r="Z240">
        <f t="shared" si="25"/>
        <v>30.869279573289752</v>
      </c>
    </row>
    <row r="241" spans="1:26" x14ac:dyDescent="0.25">
      <c r="A241" t="s">
        <v>66</v>
      </c>
      <c r="D241" s="17">
        <v>11.400000000000002</v>
      </c>
      <c r="E241" s="17">
        <v>9.985714285714284</v>
      </c>
      <c r="F241" s="17">
        <v>9.8428571428571416</v>
      </c>
      <c r="G241" s="17">
        <v>11.714285714285712</v>
      </c>
      <c r="H241" s="17">
        <v>10.299999999999999</v>
      </c>
      <c r="I241" s="17">
        <v>11.599999999999998</v>
      </c>
      <c r="J241" s="17">
        <v>14.085714285714285</v>
      </c>
      <c r="K241" s="17">
        <v>12.857142857142858</v>
      </c>
      <c r="L241" s="17">
        <v>9.8624999999999989</v>
      </c>
      <c r="M241" s="17">
        <v>11.471428571428572</v>
      </c>
      <c r="N241" s="17">
        <v>14.457142857142856</v>
      </c>
      <c r="O241" s="17">
        <v>14.071428571428571</v>
      </c>
      <c r="P241" s="17">
        <v>11.6</v>
      </c>
      <c r="Q241" s="17">
        <v>9.1142857142857121</v>
      </c>
      <c r="R241" s="17">
        <v>9.0142857142857142</v>
      </c>
      <c r="S241" s="17">
        <v>10.571428571428571</v>
      </c>
      <c r="T241" s="17">
        <v>10.571428571428571</v>
      </c>
      <c r="U241" s="17">
        <v>10.671428571428573</v>
      </c>
      <c r="V241" s="17">
        <v>9.9714285714285715</v>
      </c>
      <c r="W241" s="17">
        <v>8.6857142857142851</v>
      </c>
      <c r="Y241" s="17">
        <f t="shared" si="24"/>
        <v>221.84821428571428</v>
      </c>
      <c r="Z241">
        <f t="shared" si="25"/>
        <v>30.886528647980775</v>
      </c>
    </row>
    <row r="242" spans="1:26" x14ac:dyDescent="0.25">
      <c r="A242" t="s">
        <v>67</v>
      </c>
      <c r="D242" s="17">
        <v>9.8857142857142861</v>
      </c>
      <c r="E242" s="17">
        <v>13.385714285714286</v>
      </c>
      <c r="F242" s="17">
        <v>16.185714285714287</v>
      </c>
      <c r="G242" s="17">
        <v>11.399999999999997</v>
      </c>
      <c r="H242" s="17">
        <v>10.457142857142857</v>
      </c>
      <c r="I242" s="17">
        <v>10.785714285714286</v>
      </c>
      <c r="J242" s="17">
        <v>13.585714285714285</v>
      </c>
      <c r="K242" s="17">
        <v>15.114285714285714</v>
      </c>
      <c r="L242" s="17">
        <v>11.971428571428572</v>
      </c>
      <c r="M242" s="17">
        <v>13.014285714285714</v>
      </c>
      <c r="N242" s="17">
        <v>10.685714285714285</v>
      </c>
      <c r="O242" s="17">
        <v>10.771428571428572</v>
      </c>
      <c r="P242" s="17">
        <v>10.6</v>
      </c>
      <c r="Q242" s="17">
        <v>11.814285714285715</v>
      </c>
      <c r="R242" s="17">
        <v>12.1</v>
      </c>
      <c r="S242" s="17">
        <v>9.1714285714285726</v>
      </c>
      <c r="T242" s="17">
        <v>9.9571428571428573</v>
      </c>
      <c r="U242" s="17">
        <v>9.8714285714285701</v>
      </c>
      <c r="V242" s="17">
        <v>10.5</v>
      </c>
      <c r="W242" s="17">
        <v>8.5714285714285712</v>
      </c>
      <c r="Y242" s="17">
        <f t="shared" si="24"/>
        <v>229.82857142857145</v>
      </c>
      <c r="Z242">
        <f t="shared" si="25"/>
        <v>34.683169326391692</v>
      </c>
    </row>
    <row r="243" spans="1:26" x14ac:dyDescent="0.25">
      <c r="A243" t="s">
        <v>68</v>
      </c>
      <c r="D243" s="17">
        <v>15.928571428571427</v>
      </c>
      <c r="E243" s="17">
        <v>15.357142857142858</v>
      </c>
      <c r="F243" s="17">
        <v>20.685714285714287</v>
      </c>
      <c r="G243" s="17">
        <v>17.942857142857143</v>
      </c>
      <c r="H243" s="17">
        <v>18.671428571428571</v>
      </c>
      <c r="I243" s="17">
        <v>14.385714285714286</v>
      </c>
      <c r="J243" s="17">
        <v>7.9285714285714288</v>
      </c>
      <c r="K243" s="17">
        <v>9.2428571428571438</v>
      </c>
      <c r="L243" s="17">
        <v>11.5625</v>
      </c>
      <c r="M243" s="17">
        <v>8.3571428571428577</v>
      </c>
      <c r="N243" s="17">
        <v>9.6857142857142851</v>
      </c>
      <c r="O243" s="17">
        <v>7.9571428571428564</v>
      </c>
      <c r="P243" s="17">
        <v>11.1</v>
      </c>
      <c r="Q243" s="17">
        <v>11.5</v>
      </c>
      <c r="R243" s="17">
        <v>12.214285714285714</v>
      </c>
      <c r="S243" s="17">
        <v>12.057142857142859</v>
      </c>
      <c r="T243" s="17">
        <v>9.4571428571428573</v>
      </c>
      <c r="U243" s="17">
        <v>11.257142857142856</v>
      </c>
      <c r="V243" s="17">
        <v>8.1285714285714299</v>
      </c>
      <c r="W243" s="17">
        <v>7.9571428571428573</v>
      </c>
      <c r="Y243" s="17">
        <f t="shared" si="24"/>
        <v>241.37678571428575</v>
      </c>
      <c r="Z243">
        <f t="shared" si="25"/>
        <v>39.239653632522561</v>
      </c>
    </row>
    <row r="244" spans="1:26" x14ac:dyDescent="0.25">
      <c r="A244" t="s">
        <v>69</v>
      </c>
      <c r="D244" s="17">
        <v>11.657142857142857</v>
      </c>
      <c r="E244" s="17">
        <v>12.528571428571428</v>
      </c>
      <c r="F244" s="17">
        <v>12.971428571428572</v>
      </c>
      <c r="G244" s="17">
        <v>11.27142857142857</v>
      </c>
      <c r="H244" s="17">
        <v>15</v>
      </c>
      <c r="I244" s="17">
        <v>14.099999999999998</v>
      </c>
      <c r="J244" s="17">
        <v>10.357142857142858</v>
      </c>
      <c r="K244" s="17">
        <v>12.128571428571428</v>
      </c>
      <c r="L244" s="17">
        <v>10.7875</v>
      </c>
      <c r="M244" s="17">
        <v>10.821428571428571</v>
      </c>
      <c r="N244" s="17">
        <v>7.1071428571428559</v>
      </c>
      <c r="O244" s="17">
        <v>8.1928571428571448</v>
      </c>
      <c r="P244" s="17">
        <v>9.0571428571428569</v>
      </c>
      <c r="Q244" s="17">
        <v>9.1857142857142868</v>
      </c>
      <c r="R244" s="17">
        <v>6.4437500000000005</v>
      </c>
      <c r="S244" s="17">
        <v>8.9785714285714295</v>
      </c>
      <c r="T244" s="17">
        <v>9.4142857142857128</v>
      </c>
      <c r="U244" s="17">
        <v>9.3857142857142861</v>
      </c>
      <c r="V244" s="17">
        <v>7.1714285714285708</v>
      </c>
      <c r="W244" s="17">
        <v>8.5714285714285712</v>
      </c>
      <c r="Y244" s="17">
        <f t="shared" si="24"/>
        <v>205.13124999999999</v>
      </c>
      <c r="Z244">
        <f t="shared" si="25"/>
        <v>33.842472162703551</v>
      </c>
    </row>
    <row r="245" spans="1:26" x14ac:dyDescent="0.25"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Y245" s="17"/>
    </row>
    <row r="246" spans="1:26" x14ac:dyDescent="0.25">
      <c r="A246" t="s">
        <v>70</v>
      </c>
      <c r="D246" s="17">
        <v>12.178571428571429</v>
      </c>
      <c r="E246" s="17">
        <v>11.442857142857145</v>
      </c>
      <c r="F246" s="17">
        <v>12.521428571428572</v>
      </c>
      <c r="G246" s="17">
        <v>10.764285714285714</v>
      </c>
      <c r="H246" s="17">
        <v>12.192857142857141</v>
      </c>
      <c r="I246" s="17">
        <v>13.721428571428573</v>
      </c>
      <c r="J246" s="17">
        <v>12.821428571428571</v>
      </c>
      <c r="K246" s="17">
        <v>12.960714285714287</v>
      </c>
      <c r="L246" s="17">
        <v>9.5562499999999986</v>
      </c>
      <c r="M246" s="17">
        <v>10.185714285714285</v>
      </c>
      <c r="N246" s="17">
        <v>10.585714285714285</v>
      </c>
      <c r="O246" s="17">
        <v>10.428571428571429</v>
      </c>
      <c r="P246" s="17">
        <v>9.4</v>
      </c>
      <c r="Q246" s="17">
        <v>14.571428571428569</v>
      </c>
      <c r="R246" s="17">
        <v>12.985714285714284</v>
      </c>
      <c r="S246" s="17">
        <v>12.852090909090908</v>
      </c>
      <c r="T246" s="17">
        <v>13.242857142857144</v>
      </c>
      <c r="U246" s="17">
        <v>9.7142857142857135</v>
      </c>
      <c r="V246" s="17">
        <v>9.9142857142857128</v>
      </c>
      <c r="W246" s="17">
        <v>10.785714285714286</v>
      </c>
      <c r="Y246" s="17">
        <f t="shared" si="24"/>
        <v>232.82619805194807</v>
      </c>
      <c r="Z246">
        <f>SUMPRODUCT($D$250:$W$250,D246:W246)</f>
        <v>33.03395957956603</v>
      </c>
    </row>
    <row r="247" spans="1:26" x14ac:dyDescent="0.25">
      <c r="A247" t="s">
        <v>314</v>
      </c>
      <c r="D247" s="17">
        <v>16.87142857142857</v>
      </c>
      <c r="E247" s="17">
        <v>15.471428571428572</v>
      </c>
      <c r="F247" s="17">
        <v>13.085714285714285</v>
      </c>
      <c r="G247" s="17">
        <v>12.657142857142858</v>
      </c>
      <c r="H247" s="17">
        <v>14.085714285714285</v>
      </c>
      <c r="I247" s="17">
        <v>12.557142857142855</v>
      </c>
      <c r="J247" s="17">
        <v>11.1</v>
      </c>
      <c r="K247" s="17">
        <v>10.671428571428573</v>
      </c>
      <c r="L247" s="17">
        <v>12.5375</v>
      </c>
      <c r="M247" s="17">
        <v>13.3</v>
      </c>
      <c r="N247" s="17">
        <v>12.328571428571427</v>
      </c>
      <c r="O247" s="17">
        <v>9.3857142857142861</v>
      </c>
      <c r="P247" s="17">
        <v>16</v>
      </c>
      <c r="Q247" s="17">
        <v>13.4</v>
      </c>
      <c r="R247" s="17">
        <v>11.9</v>
      </c>
      <c r="S247" s="17">
        <v>11.6</v>
      </c>
      <c r="T247" s="17">
        <v>13.257142857142858</v>
      </c>
      <c r="U247" s="17">
        <v>10.514285714285716</v>
      </c>
      <c r="V247" s="17">
        <v>7.5428571428571427</v>
      </c>
      <c r="W247" s="17">
        <v>10.685714285714285</v>
      </c>
      <c r="Y247" s="17">
        <f t="shared" si="24"/>
        <v>248.95178571428571</v>
      </c>
      <c r="Z247">
        <f>SUMPRODUCT($D$250:$W$250,D247:W247)</f>
        <v>36.043300258180231</v>
      </c>
    </row>
    <row r="248" spans="1:26" x14ac:dyDescent="0.25">
      <c r="A248" t="s">
        <v>315</v>
      </c>
      <c r="D248" s="23">
        <v>15.6</v>
      </c>
      <c r="E248" s="23">
        <v>14.914285714285713</v>
      </c>
      <c r="F248" s="23">
        <v>20.085714285714285</v>
      </c>
      <c r="G248" s="23">
        <v>13.285714285714286</v>
      </c>
      <c r="H248" s="23">
        <v>14.000000000000002</v>
      </c>
      <c r="I248" s="23">
        <v>10.714285714285714</v>
      </c>
      <c r="J248" s="23">
        <v>18.442857142857143</v>
      </c>
      <c r="K248" s="23">
        <v>10.142857142857142</v>
      </c>
      <c r="L248" s="23">
        <v>7.6375000000000002</v>
      </c>
      <c r="M248" s="23">
        <v>11.2</v>
      </c>
      <c r="N248" s="23">
        <v>13.4</v>
      </c>
      <c r="O248" s="23">
        <v>10.8</v>
      </c>
      <c r="P248" s="23">
        <v>12.242253968253967</v>
      </c>
      <c r="Q248" s="23">
        <v>12.947666666666667</v>
      </c>
      <c r="R248" s="23">
        <v>13.180015873015872</v>
      </c>
      <c r="S248" s="23">
        <v>13.406365079365081</v>
      </c>
      <c r="T248" s="23">
        <v>13.585714285714284</v>
      </c>
      <c r="U248" s="23">
        <v>11.942857142857141</v>
      </c>
      <c r="V248" s="23">
        <v>11.814285714285715</v>
      </c>
      <c r="W248" s="23">
        <v>12.6</v>
      </c>
      <c r="Y248" s="17">
        <f t="shared" si="24"/>
        <v>261.94237301587305</v>
      </c>
      <c r="Z248">
        <f>SUMPRODUCT($D$250:$W$250,D248:W248)</f>
        <v>37.010937264661422</v>
      </c>
    </row>
    <row r="249" spans="1:26" x14ac:dyDescent="0.25">
      <c r="A249" t="s">
        <v>677</v>
      </c>
      <c r="D249" s="17">
        <v>14.514285714285716</v>
      </c>
      <c r="E249" s="17">
        <v>12.385714285714286</v>
      </c>
      <c r="F249" s="17">
        <v>13.628571428571428</v>
      </c>
      <c r="G249" s="17">
        <v>13.971428571428572</v>
      </c>
      <c r="H249" s="17">
        <v>11.514285714285714</v>
      </c>
      <c r="I249" s="17">
        <v>11.485714285714286</v>
      </c>
      <c r="J249" s="17">
        <v>8.8285714285714274</v>
      </c>
      <c r="K249" s="17">
        <v>7.6857142857142851</v>
      </c>
      <c r="L249" s="17">
        <v>8.6999999999999993</v>
      </c>
      <c r="M249" s="17">
        <v>11.914285714285715</v>
      </c>
      <c r="N249" s="17">
        <v>11.400000000000002</v>
      </c>
      <c r="O249" s="17">
        <v>5.4285714285714288</v>
      </c>
      <c r="P249" s="17">
        <v>9.242857142857142</v>
      </c>
      <c r="Q249" s="17">
        <v>12.328571428571426</v>
      </c>
      <c r="R249" s="17">
        <v>7.4857142857142867</v>
      </c>
      <c r="S249" s="17">
        <v>9.6999999999999993</v>
      </c>
      <c r="T249" s="17">
        <v>13.082051948051948</v>
      </c>
      <c r="U249" s="17">
        <v>12.220961038961038</v>
      </c>
      <c r="V249" s="17">
        <v>12.00587012987013</v>
      </c>
      <c r="W249" s="17">
        <v>12.642675324675325</v>
      </c>
      <c r="Y249" s="17">
        <f t="shared" ref="Y249" si="26">SUM(D249:W249)</f>
        <v>220.16584415584413</v>
      </c>
      <c r="Z249">
        <f>SUMPRODUCT($D$250:$W$250,D249:W249)</f>
        <v>30.358943381052477</v>
      </c>
    </row>
    <row r="250" spans="1:26" x14ac:dyDescent="0.25">
      <c r="A250" s="2" t="s">
        <v>71</v>
      </c>
      <c r="D250" s="3">
        <f>CORREL($B$2:$B$28,D218:D244)</f>
        <v>0.27311965366394853</v>
      </c>
      <c r="E250" s="3">
        <f t="shared" ref="E250:W250" si="27">CORREL($B$2:$B$28,E218:E244)</f>
        <v>0.37255718213528172</v>
      </c>
      <c r="F250" s="3">
        <f t="shared" si="27"/>
        <v>0.29971268855291072</v>
      </c>
      <c r="G250" s="3">
        <f t="shared" si="27"/>
        <v>0.19528155851437898</v>
      </c>
      <c r="H250" s="3">
        <f t="shared" si="27"/>
        <v>0.28500897574032535</v>
      </c>
      <c r="I250" s="3">
        <f t="shared" si="27"/>
        <v>0.37064304237879853</v>
      </c>
      <c r="J250" s="3">
        <f t="shared" si="27"/>
        <v>0.27777149790240496</v>
      </c>
      <c r="K250" s="3">
        <f t="shared" si="27"/>
        <v>0.34874205283764598</v>
      </c>
      <c r="L250" s="3">
        <f t="shared" si="27"/>
        <v>0.31767754541035775</v>
      </c>
      <c r="M250" s="3">
        <f t="shared" si="27"/>
        <v>4.7625327809779107E-2</v>
      </c>
      <c r="N250" s="3">
        <f t="shared" si="27"/>
        <v>2.7272757239408828E-2</v>
      </c>
      <c r="O250" s="3">
        <f t="shared" si="27"/>
        <v>4.2856743984728544E-2</v>
      </c>
      <c r="P250" s="3">
        <f t="shared" si="27"/>
        <v>-3.9692230923186481E-2</v>
      </c>
      <c r="Q250" s="3">
        <f t="shared" si="27"/>
        <v>7.3198315413078696E-2</v>
      </c>
      <c r="R250" s="3">
        <f t="shared" si="27"/>
        <v>-2.0621043700196684E-2</v>
      </c>
      <c r="S250" s="3">
        <f t="shared" si="27"/>
        <v>-2.087231771404513E-2</v>
      </c>
      <c r="T250" s="3">
        <f t="shared" si="27"/>
        <v>4.5612491046830095E-3</v>
      </c>
      <c r="U250" s="3">
        <f t="shared" si="27"/>
        <v>-2.0472546331416524E-2</v>
      </c>
      <c r="V250" s="3">
        <f t="shared" si="27"/>
        <v>-2.6996310723539762E-2</v>
      </c>
      <c r="W250" s="3">
        <f t="shared" si="27"/>
        <v>-9.8310328219128412E-2</v>
      </c>
    </row>
    <row r="253" spans="1:26" x14ac:dyDescent="0.25">
      <c r="D253" t="s">
        <v>100</v>
      </c>
      <c r="E253" t="s">
        <v>101</v>
      </c>
      <c r="F253" t="s">
        <v>102</v>
      </c>
      <c r="G253" t="s">
        <v>103</v>
      </c>
      <c r="H253" t="s">
        <v>104</v>
      </c>
      <c r="I253" t="s">
        <v>105</v>
      </c>
      <c r="J253" t="s">
        <v>106</v>
      </c>
      <c r="K253" t="s">
        <v>107</v>
      </c>
      <c r="L253" t="s">
        <v>347</v>
      </c>
      <c r="M253" t="s">
        <v>389</v>
      </c>
      <c r="N253" t="s">
        <v>390</v>
      </c>
      <c r="O253" t="s">
        <v>391</v>
      </c>
      <c r="P253" t="s">
        <v>481</v>
      </c>
      <c r="Q253" t="s">
        <v>482</v>
      </c>
      <c r="R253" t="s">
        <v>483</v>
      </c>
      <c r="S253" t="s">
        <v>484</v>
      </c>
      <c r="T253" t="s">
        <v>593</v>
      </c>
      <c r="U253" t="s">
        <v>594</v>
      </c>
      <c r="V253" t="s">
        <v>595</v>
      </c>
      <c r="W253" t="s">
        <v>596</v>
      </c>
      <c r="Y253" t="s">
        <v>108</v>
      </c>
      <c r="Z253" t="s">
        <v>109</v>
      </c>
    </row>
    <row r="254" spans="1:26" x14ac:dyDescent="0.25">
      <c r="A254" t="s">
        <v>43</v>
      </c>
      <c r="D254">
        <f t="shared" ref="D254:W254" si="28">D2*D38</f>
        <v>370</v>
      </c>
      <c r="E254">
        <f t="shared" si="28"/>
        <v>357.24163265306129</v>
      </c>
      <c r="F254">
        <f t="shared" si="28"/>
        <v>342.92244897959182</v>
      </c>
      <c r="G254">
        <f t="shared" si="28"/>
        <v>320.94102040816324</v>
      </c>
      <c r="H254">
        <f t="shared" si="28"/>
        <v>315.06673469387761</v>
      </c>
      <c r="I254">
        <f t="shared" si="28"/>
        <v>309.22857142857134</v>
      </c>
      <c r="J254">
        <f t="shared" si="28"/>
        <v>245.15102040816325</v>
      </c>
      <c r="K254">
        <f t="shared" si="28"/>
        <v>301.5024489795918</v>
      </c>
      <c r="L254">
        <f t="shared" si="28"/>
        <v>272.78062499999999</v>
      </c>
      <c r="M254">
        <f t="shared" si="28"/>
        <v>225.10938775510201</v>
      </c>
      <c r="N254">
        <f t="shared" si="28"/>
        <v>290.61265306122448</v>
      </c>
      <c r="O254">
        <f t="shared" si="28"/>
        <v>277.56673469387761</v>
      </c>
      <c r="P254">
        <f t="shared" si="28"/>
        <v>300.69836734693882</v>
      </c>
      <c r="Q254">
        <f t="shared" si="28"/>
        <v>295.2171428571429</v>
      </c>
      <c r="R254">
        <f t="shared" si="28"/>
        <v>258.12244897959175</v>
      </c>
      <c r="S254">
        <f t="shared" si="28"/>
        <v>319.93469387755101</v>
      </c>
      <c r="T254">
        <f t="shared" si="28"/>
        <v>333.00244897959186</v>
      </c>
      <c r="U254">
        <f t="shared" si="28"/>
        <v>370.67081632653066</v>
      </c>
      <c r="V254">
        <f t="shared" si="28"/>
        <v>402.08755102040823</v>
      </c>
      <c r="W254">
        <f t="shared" si="28"/>
        <v>389.15755102040822</v>
      </c>
      <c r="Y254" s="17">
        <f t="shared" ref="Y254:Y284" si="29">SUM(D254:W254)</f>
        <v>6297.0142984693875</v>
      </c>
      <c r="Z254">
        <f t="shared" ref="Z254:Z280" si="30">SUMPRODUCT($D$286:$W$286,D254:W254)</f>
        <v>-862.53784400602729</v>
      </c>
    </row>
    <row r="255" spans="1:26" x14ac:dyDescent="0.25">
      <c r="A255" t="s">
        <v>44</v>
      </c>
      <c r="D255">
        <f t="shared" ref="D255:W255" si="31">D3*D39</f>
        <v>381.15</v>
      </c>
      <c r="E255">
        <f t="shared" si="31"/>
        <v>352.26000000000005</v>
      </c>
      <c r="F255">
        <f t="shared" si="31"/>
        <v>332</v>
      </c>
      <c r="G255">
        <f t="shared" si="31"/>
        <v>318.5</v>
      </c>
      <c r="H255">
        <f t="shared" si="31"/>
        <v>326.33999999999997</v>
      </c>
      <c r="I255">
        <f t="shared" si="31"/>
        <v>324.35999999999996</v>
      </c>
      <c r="J255">
        <f t="shared" si="31"/>
        <v>188.76</v>
      </c>
      <c r="K255">
        <f t="shared" si="31"/>
        <v>285.12</v>
      </c>
      <c r="L255">
        <f t="shared" si="31"/>
        <v>293.90999999999997</v>
      </c>
      <c r="M255">
        <f t="shared" si="31"/>
        <v>230.85</v>
      </c>
      <c r="N255">
        <f t="shared" si="31"/>
        <v>276.36</v>
      </c>
      <c r="O255">
        <f t="shared" si="31"/>
        <v>279.18</v>
      </c>
      <c r="P255">
        <f t="shared" si="31"/>
        <v>301.81005194805192</v>
      </c>
      <c r="Q255">
        <f t="shared" si="31"/>
        <v>289.41688311688313</v>
      </c>
      <c r="R255">
        <f t="shared" si="31"/>
        <v>283.17194805194805</v>
      </c>
      <c r="S255">
        <f t="shared" si="31"/>
        <v>271.73427272727275</v>
      </c>
      <c r="T255">
        <f t="shared" si="31"/>
        <v>321.55897959183682</v>
      </c>
      <c r="U255">
        <f t="shared" si="31"/>
        <v>322.3267346938776</v>
      </c>
      <c r="V255">
        <f t="shared" si="31"/>
        <v>334.92012244897967</v>
      </c>
      <c r="W255">
        <f t="shared" si="31"/>
        <v>341.29107397959177</v>
      </c>
      <c r="Y255" s="17">
        <f t="shared" si="29"/>
        <v>6055.0200665584398</v>
      </c>
      <c r="Z255">
        <f t="shared" si="30"/>
        <v>-884.9884596332912</v>
      </c>
    </row>
    <row r="256" spans="1:26" x14ac:dyDescent="0.25">
      <c r="A256" t="s">
        <v>45</v>
      </c>
      <c r="D256">
        <f t="shared" ref="D256:W256" si="32">D4*D40</f>
        <v>383.21632653061232</v>
      </c>
      <c r="E256">
        <f t="shared" si="32"/>
        <v>354.80612244897964</v>
      </c>
      <c r="F256">
        <f t="shared" si="32"/>
        <v>341.04346938775507</v>
      </c>
      <c r="G256">
        <f t="shared" si="32"/>
        <v>316.12653061224495</v>
      </c>
      <c r="H256">
        <f t="shared" si="32"/>
        <v>335.36693877551011</v>
      </c>
      <c r="I256">
        <f t="shared" si="32"/>
        <v>317.71714285714285</v>
      </c>
      <c r="J256">
        <f t="shared" si="32"/>
        <v>147.08571428571432</v>
      </c>
      <c r="K256">
        <f t="shared" si="32"/>
        <v>291.89346938775515</v>
      </c>
      <c r="L256">
        <f t="shared" si="32"/>
        <v>305.14656249999996</v>
      </c>
      <c r="M256">
        <f t="shared" si="32"/>
        <v>225.45204081632653</v>
      </c>
      <c r="N256">
        <f t="shared" si="32"/>
        <v>265.50857142857143</v>
      </c>
      <c r="O256">
        <f t="shared" si="32"/>
        <v>299.41142857142859</v>
      </c>
      <c r="P256">
        <f t="shared" si="32"/>
        <v>290.75673469387755</v>
      </c>
      <c r="Q256">
        <f t="shared" si="32"/>
        <v>325.17551020408166</v>
      </c>
      <c r="R256">
        <f t="shared" si="32"/>
        <v>328.31183673469388</v>
      </c>
      <c r="S256">
        <f t="shared" si="32"/>
        <v>295.95428571428573</v>
      </c>
      <c r="T256">
        <f t="shared" si="32"/>
        <v>310.95428571428573</v>
      </c>
      <c r="U256">
        <f t="shared" si="32"/>
        <v>339.18428571428575</v>
      </c>
      <c r="V256">
        <f t="shared" si="32"/>
        <v>366.76612244897956</v>
      </c>
      <c r="W256">
        <f t="shared" si="32"/>
        <v>359.39081632653057</v>
      </c>
      <c r="Y256" s="17">
        <f t="shared" si="29"/>
        <v>6199.2681951530622</v>
      </c>
      <c r="Z256">
        <f t="shared" si="30"/>
        <v>-913.53162076287447</v>
      </c>
    </row>
    <row r="257" spans="1:26" x14ac:dyDescent="0.25">
      <c r="A257" t="s">
        <v>46</v>
      </c>
      <c r="D257">
        <f t="shared" ref="D257:W257" si="33">D5*D41</f>
        <v>359.27265306122456</v>
      </c>
      <c r="E257">
        <f t="shared" si="33"/>
        <v>353.04326530612252</v>
      </c>
      <c r="F257">
        <f t="shared" si="33"/>
        <v>342.73510204081634</v>
      </c>
      <c r="G257">
        <f t="shared" si="33"/>
        <v>326.55183673469384</v>
      </c>
      <c r="H257">
        <f t="shared" si="33"/>
        <v>291.61428571428576</v>
      </c>
      <c r="I257">
        <f t="shared" si="33"/>
        <v>263.50367346938776</v>
      </c>
      <c r="J257">
        <f t="shared" si="33"/>
        <v>239.03142857142856</v>
      </c>
      <c r="K257">
        <f t="shared" si="33"/>
        <v>271.43020408163267</v>
      </c>
      <c r="L257">
        <f t="shared" si="33"/>
        <v>250.11937499999999</v>
      </c>
      <c r="M257">
        <f t="shared" si="33"/>
        <v>275.91836734693885</v>
      </c>
      <c r="N257">
        <f t="shared" si="33"/>
        <v>222.03918367346938</v>
      </c>
      <c r="O257">
        <f t="shared" si="33"/>
        <v>259.4775510204081</v>
      </c>
      <c r="P257">
        <f t="shared" si="33"/>
        <v>294.4432653061225</v>
      </c>
      <c r="Q257">
        <f t="shared" si="33"/>
        <v>326.37673469387755</v>
      </c>
      <c r="R257">
        <f t="shared" si="33"/>
        <v>294.84551020408162</v>
      </c>
      <c r="S257">
        <f t="shared" si="33"/>
        <v>299.48510204081634</v>
      </c>
      <c r="T257">
        <f t="shared" si="33"/>
        <v>306.18285714285713</v>
      </c>
      <c r="U257">
        <f t="shared" si="33"/>
        <v>309.9942857142857</v>
      </c>
      <c r="V257">
        <f t="shared" si="33"/>
        <v>329.43918367346942</v>
      </c>
      <c r="W257">
        <f t="shared" si="33"/>
        <v>368.15204081632652</v>
      </c>
      <c r="Y257" s="17">
        <f t="shared" si="29"/>
        <v>5983.6559056122451</v>
      </c>
      <c r="Z257">
        <f t="shared" si="30"/>
        <v>-859.3094199602873</v>
      </c>
    </row>
    <row r="258" spans="1:26" x14ac:dyDescent="0.25">
      <c r="A258" t="s">
        <v>47</v>
      </c>
      <c r="D258">
        <f t="shared" ref="D258:W258" si="34">D6*D42</f>
        <v>360.43244897959192</v>
      </c>
      <c r="E258">
        <f t="shared" si="34"/>
        <v>329.71591836734689</v>
      </c>
      <c r="F258">
        <f t="shared" si="34"/>
        <v>345.21795918367337</v>
      </c>
      <c r="G258">
        <f t="shared" si="34"/>
        <v>342.3834693877551</v>
      </c>
      <c r="H258">
        <f t="shared" si="34"/>
        <v>297.18918367346942</v>
      </c>
      <c r="I258">
        <f t="shared" si="34"/>
        <v>304.66346938775513</v>
      </c>
      <c r="J258">
        <f t="shared" si="34"/>
        <v>279.92653061224496</v>
      </c>
      <c r="K258">
        <f t="shared" si="34"/>
        <v>220.29428571428568</v>
      </c>
      <c r="L258">
        <f t="shared" si="34"/>
        <v>251.20468750000001</v>
      </c>
      <c r="M258">
        <f t="shared" si="34"/>
        <v>284.99102040816325</v>
      </c>
      <c r="N258">
        <f t="shared" si="34"/>
        <v>309.34591836734688</v>
      </c>
      <c r="O258">
        <f t="shared" si="34"/>
        <v>317.91734693877555</v>
      </c>
      <c r="P258">
        <f t="shared" si="34"/>
        <v>337.51836734693876</v>
      </c>
      <c r="Q258">
        <f t="shared" si="34"/>
        <v>271.71551020408168</v>
      </c>
      <c r="R258">
        <f t="shared" si="34"/>
        <v>256.5397959183673</v>
      </c>
      <c r="S258">
        <f t="shared" si="34"/>
        <v>256.99346938775511</v>
      </c>
      <c r="T258">
        <f t="shared" si="34"/>
        <v>344.53469387755092</v>
      </c>
      <c r="U258">
        <f t="shared" si="34"/>
        <v>280.29387755102044</v>
      </c>
      <c r="V258">
        <f t="shared" si="34"/>
        <v>353.75020408163266</v>
      </c>
      <c r="W258">
        <f t="shared" si="34"/>
        <v>375.92428571428576</v>
      </c>
      <c r="Y258" s="17">
        <f t="shared" si="29"/>
        <v>6120.5524426020402</v>
      </c>
      <c r="Z258">
        <f t="shared" si="30"/>
        <v>-896.13640322319338</v>
      </c>
    </row>
    <row r="259" spans="1:26" x14ac:dyDescent="0.25">
      <c r="A259" t="s">
        <v>48</v>
      </c>
      <c r="D259">
        <f t="shared" ref="D259:W259" si="35">D7*D43</f>
        <v>351.73959183673469</v>
      </c>
      <c r="E259">
        <f t="shared" si="35"/>
        <v>338.41795918367342</v>
      </c>
      <c r="F259">
        <f t="shared" si="35"/>
        <v>344.89285714285711</v>
      </c>
      <c r="G259">
        <f t="shared" si="35"/>
        <v>261.6718367346939</v>
      </c>
      <c r="H259">
        <f t="shared" si="35"/>
        <v>247.14489795918374</v>
      </c>
      <c r="I259">
        <f t="shared" si="35"/>
        <v>252.54204081632648</v>
      </c>
      <c r="J259">
        <f t="shared" si="35"/>
        <v>286.70836734693876</v>
      </c>
      <c r="K259">
        <f t="shared" si="35"/>
        <v>276.56938775510201</v>
      </c>
      <c r="L259">
        <f t="shared" si="35"/>
        <v>250.91359374999999</v>
      </c>
      <c r="M259">
        <f t="shared" si="35"/>
        <v>240.37020408163264</v>
      </c>
      <c r="N259">
        <f t="shared" si="35"/>
        <v>247.57857142857145</v>
      </c>
      <c r="O259">
        <f t="shared" si="35"/>
        <v>276.36938775510203</v>
      </c>
      <c r="P259">
        <f t="shared" si="35"/>
        <v>344.18204081632649</v>
      </c>
      <c r="Q259">
        <f t="shared" si="35"/>
        <v>277.24224489795915</v>
      </c>
      <c r="R259">
        <f t="shared" si="35"/>
        <v>303.09795918367354</v>
      </c>
      <c r="S259">
        <f t="shared" si="35"/>
        <v>271.86612244897958</v>
      </c>
      <c r="T259">
        <f t="shared" si="35"/>
        <v>277.71183673469386</v>
      </c>
      <c r="U259">
        <f t="shared" si="35"/>
        <v>320.31408163265309</v>
      </c>
      <c r="V259">
        <f t="shared" si="35"/>
        <v>313.20632653061227</v>
      </c>
      <c r="W259">
        <f t="shared" si="35"/>
        <v>355.01714285714274</v>
      </c>
      <c r="Y259" s="17">
        <f t="shared" si="29"/>
        <v>5837.5564508928583</v>
      </c>
      <c r="Z259">
        <f t="shared" si="30"/>
        <v>-853.67489372968737</v>
      </c>
    </row>
    <row r="260" spans="1:26" x14ac:dyDescent="0.25">
      <c r="A260" t="s">
        <v>49</v>
      </c>
      <c r="D260">
        <f t="shared" ref="D260:W260" si="36">D8*D44</f>
        <v>346.38693877551026</v>
      </c>
      <c r="E260">
        <f t="shared" si="36"/>
        <v>292.81469387755095</v>
      </c>
      <c r="F260">
        <f t="shared" si="36"/>
        <v>258.59999999999997</v>
      </c>
      <c r="G260">
        <f t="shared" si="36"/>
        <v>298.24857142857144</v>
      </c>
      <c r="H260">
        <f t="shared" si="36"/>
        <v>262.80612244897964</v>
      </c>
      <c r="I260">
        <f t="shared" si="36"/>
        <v>296.4367346938775</v>
      </c>
      <c r="J260">
        <f t="shared" si="36"/>
        <v>283.35183673469385</v>
      </c>
      <c r="K260">
        <f t="shared" si="36"/>
        <v>235.19836734693882</v>
      </c>
      <c r="L260">
        <f t="shared" si="36"/>
        <v>209.62031249999998</v>
      </c>
      <c r="M260">
        <f t="shared" si="36"/>
        <v>259.16693877551018</v>
      </c>
      <c r="N260">
        <f t="shared" si="36"/>
        <v>247.6924081632653</v>
      </c>
      <c r="O260">
        <f t="shared" si="36"/>
        <v>278.09816326530608</v>
      </c>
      <c r="P260">
        <f t="shared" si="36"/>
        <v>291.0587755102041</v>
      </c>
      <c r="Q260">
        <f t="shared" si="36"/>
        <v>227.68795918367348</v>
      </c>
      <c r="R260">
        <f t="shared" si="36"/>
        <v>283.45102040816323</v>
      </c>
      <c r="S260">
        <f t="shared" si="36"/>
        <v>276.51632653061228</v>
      </c>
      <c r="T260">
        <f t="shared" si="36"/>
        <v>307.60459183673476</v>
      </c>
      <c r="U260">
        <f t="shared" si="36"/>
        <v>303.90391836734688</v>
      </c>
      <c r="V260">
        <f t="shared" si="36"/>
        <v>326.93142857142857</v>
      </c>
      <c r="W260">
        <f t="shared" si="36"/>
        <v>342.41840816326527</v>
      </c>
      <c r="Y260" s="17">
        <f t="shared" si="29"/>
        <v>5627.9935165816323</v>
      </c>
      <c r="Z260">
        <f t="shared" si="30"/>
        <v>-762.33469533458151</v>
      </c>
    </row>
    <row r="261" spans="1:26" x14ac:dyDescent="0.25">
      <c r="A261" t="s">
        <v>50</v>
      </c>
      <c r="D261">
        <f t="shared" ref="D261:W261" si="37">D9*D45</f>
        <v>333.87551020408159</v>
      </c>
      <c r="E261">
        <f t="shared" si="37"/>
        <v>332.33122448979594</v>
      </c>
      <c r="F261">
        <f t="shared" si="37"/>
        <v>323.40816326530614</v>
      </c>
      <c r="G261">
        <f t="shared" si="37"/>
        <v>306.71938775510199</v>
      </c>
      <c r="H261">
        <f t="shared" si="37"/>
        <v>301.7</v>
      </c>
      <c r="I261">
        <f t="shared" si="37"/>
        <v>247.38285714285715</v>
      </c>
      <c r="J261">
        <f t="shared" si="37"/>
        <v>236.94755102040821</v>
      </c>
      <c r="K261">
        <f t="shared" si="37"/>
        <v>277.12653061224489</v>
      </c>
      <c r="L261">
        <f t="shared" si="37"/>
        <v>252.59765625000003</v>
      </c>
      <c r="M261">
        <f t="shared" si="37"/>
        <v>286.3448979591837</v>
      </c>
      <c r="N261">
        <f t="shared" si="37"/>
        <v>245.88385714285715</v>
      </c>
      <c r="O261">
        <f t="shared" si="37"/>
        <v>283.27371428571433</v>
      </c>
      <c r="P261">
        <f t="shared" si="37"/>
        <v>272.77755102040811</v>
      </c>
      <c r="Q261">
        <f t="shared" si="37"/>
        <v>331.13714285714281</v>
      </c>
      <c r="R261">
        <f t="shared" si="37"/>
        <v>349.23183673469384</v>
      </c>
      <c r="S261">
        <f t="shared" si="37"/>
        <v>283.01697959183679</v>
      </c>
      <c r="T261">
        <f t="shared" si="37"/>
        <v>263.01183673469387</v>
      </c>
      <c r="U261">
        <f t="shared" si="37"/>
        <v>338.39510204081631</v>
      </c>
      <c r="V261">
        <f t="shared" si="37"/>
        <v>357.31591836734691</v>
      </c>
      <c r="W261">
        <f t="shared" si="37"/>
        <v>382.26653061224494</v>
      </c>
      <c r="Y261" s="17">
        <f t="shared" si="29"/>
        <v>6004.7442480867358</v>
      </c>
      <c r="Z261">
        <f t="shared" si="30"/>
        <v>-877.42570740856559</v>
      </c>
    </row>
    <row r="262" spans="1:26" x14ac:dyDescent="0.25">
      <c r="A262" t="s">
        <v>51</v>
      </c>
      <c r="D262">
        <f t="shared" ref="D262:W262" si="38">D10*D46</f>
        <v>285.60489795918369</v>
      </c>
      <c r="E262">
        <f t="shared" si="38"/>
        <v>303.7116326530612</v>
      </c>
      <c r="F262">
        <f t="shared" si="38"/>
        <v>312.46632653061226</v>
      </c>
      <c r="G262">
        <f t="shared" si="38"/>
        <v>249.62693877551021</v>
      </c>
      <c r="H262">
        <f t="shared" si="38"/>
        <v>329.64285714285705</v>
      </c>
      <c r="I262">
        <f t="shared" si="38"/>
        <v>345.71428571428578</v>
      </c>
      <c r="J262">
        <f t="shared" si="38"/>
        <v>292.43020408163261</v>
      </c>
      <c r="K262">
        <f t="shared" si="38"/>
        <v>242.74151020408161</v>
      </c>
      <c r="L262">
        <f t="shared" si="38"/>
        <v>268.78203124999999</v>
      </c>
      <c r="M262">
        <f t="shared" si="38"/>
        <v>275.07999999999993</v>
      </c>
      <c r="N262">
        <f t="shared" si="38"/>
        <v>234.98448979591839</v>
      </c>
      <c r="O262">
        <f t="shared" si="38"/>
        <v>253.94081632653061</v>
      </c>
      <c r="P262">
        <f t="shared" si="38"/>
        <v>305.12755102040813</v>
      </c>
      <c r="Q262">
        <f t="shared" si="38"/>
        <v>283.61142857142852</v>
      </c>
      <c r="R262">
        <f t="shared" si="38"/>
        <v>288.53877551020406</v>
      </c>
      <c r="S262">
        <f t="shared" si="38"/>
        <v>298.24897959183664</v>
      </c>
      <c r="T262">
        <f t="shared" si="38"/>
        <v>297.14632653061227</v>
      </c>
      <c r="U262">
        <f t="shared" si="38"/>
        <v>314.595918367347</v>
      </c>
      <c r="V262">
        <f t="shared" si="38"/>
        <v>310.45999999999998</v>
      </c>
      <c r="W262">
        <f t="shared" si="38"/>
        <v>342.95510204081643</v>
      </c>
      <c r="Y262" s="17">
        <f t="shared" si="29"/>
        <v>5835.4100720663255</v>
      </c>
      <c r="Z262">
        <f t="shared" si="30"/>
        <v>-817.83918686653067</v>
      </c>
    </row>
    <row r="263" spans="1:26" x14ac:dyDescent="0.25">
      <c r="A263" t="s">
        <v>52</v>
      </c>
      <c r="D263">
        <f t="shared" ref="D263:W263" si="39">D11*D47</f>
        <v>279.73836734693879</v>
      </c>
      <c r="E263">
        <f t="shared" si="39"/>
        <v>325.25265306122452</v>
      </c>
      <c r="F263">
        <f t="shared" si="39"/>
        <v>319.78938775510204</v>
      </c>
      <c r="G263">
        <f t="shared" si="39"/>
        <v>277.89306122448977</v>
      </c>
      <c r="H263">
        <f t="shared" si="39"/>
        <v>297.26938775510206</v>
      </c>
      <c r="I263">
        <f t="shared" si="39"/>
        <v>273.19836734693882</v>
      </c>
      <c r="J263">
        <f t="shared" si="39"/>
        <v>289.27510204081636</v>
      </c>
      <c r="K263">
        <f t="shared" si="39"/>
        <v>272.64653061224487</v>
      </c>
      <c r="L263">
        <f t="shared" si="39"/>
        <v>272.40937500000001</v>
      </c>
      <c r="M263">
        <f t="shared" si="39"/>
        <v>254.64612244897955</v>
      </c>
      <c r="N263">
        <f t="shared" si="39"/>
        <v>197.865306122449</v>
      </c>
      <c r="O263">
        <f t="shared" si="39"/>
        <v>244.34020408163263</v>
      </c>
      <c r="P263">
        <f t="shared" si="39"/>
        <v>272.92571428571426</v>
      </c>
      <c r="Q263">
        <f t="shared" si="39"/>
        <v>292.80142857142857</v>
      </c>
      <c r="R263">
        <f t="shared" si="39"/>
        <v>309.75061224489792</v>
      </c>
      <c r="S263">
        <f t="shared" si="39"/>
        <v>287.83571428571423</v>
      </c>
      <c r="T263">
        <f t="shared" si="39"/>
        <v>329.87020408163261</v>
      </c>
      <c r="U263">
        <f t="shared" si="39"/>
        <v>293.04163265306119</v>
      </c>
      <c r="V263">
        <f t="shared" si="39"/>
        <v>272.70489795918365</v>
      </c>
      <c r="W263">
        <f t="shared" si="39"/>
        <v>346.58000000000004</v>
      </c>
      <c r="Y263" s="17">
        <f t="shared" si="29"/>
        <v>5709.8340688775506</v>
      </c>
      <c r="Z263">
        <f t="shared" si="30"/>
        <v>-796.83883138452438</v>
      </c>
    </row>
    <row r="264" spans="1:26" x14ac:dyDescent="0.25">
      <c r="A264" t="s">
        <v>53</v>
      </c>
      <c r="D264">
        <f t="shared" ref="D264:W264" si="40">D12*D48</f>
        <v>337.2604081632652</v>
      </c>
      <c r="E264">
        <f t="shared" si="40"/>
        <v>323.39999999999998</v>
      </c>
      <c r="F264">
        <f t="shared" si="40"/>
        <v>329.81877551020403</v>
      </c>
      <c r="G264">
        <f t="shared" si="40"/>
        <v>273.70306122448983</v>
      </c>
      <c r="H264">
        <f t="shared" si="40"/>
        <v>282.8314285714286</v>
      </c>
      <c r="I264">
        <f t="shared" si="40"/>
        <v>279.70714285714286</v>
      </c>
      <c r="J264">
        <f t="shared" si="40"/>
        <v>284.14857142857142</v>
      </c>
      <c r="K264">
        <f t="shared" si="40"/>
        <v>277.41775510204081</v>
      </c>
      <c r="L264">
        <f t="shared" si="40"/>
        <v>219.74093749999997</v>
      </c>
      <c r="M264">
        <f t="shared" si="40"/>
        <v>222.02877551020407</v>
      </c>
      <c r="N264">
        <f t="shared" si="40"/>
        <v>264.64142857142861</v>
      </c>
      <c r="O264">
        <f t="shared" si="40"/>
        <v>204.62775510204079</v>
      </c>
      <c r="P264">
        <f t="shared" si="40"/>
        <v>283.51469387755105</v>
      </c>
      <c r="Q264">
        <f t="shared" si="40"/>
        <v>290.27122448979594</v>
      </c>
      <c r="R264">
        <f t="shared" si="40"/>
        <v>298.26775510204078</v>
      </c>
      <c r="S264">
        <f t="shared" si="40"/>
        <v>307.90571428571428</v>
      </c>
      <c r="T264">
        <f t="shared" si="40"/>
        <v>289.471</v>
      </c>
      <c r="U264">
        <f t="shared" si="40"/>
        <v>353.20728571428572</v>
      </c>
      <c r="V264">
        <f t="shared" si="40"/>
        <v>357.25628571428564</v>
      </c>
      <c r="W264">
        <f t="shared" si="40"/>
        <v>283.83299999999997</v>
      </c>
      <c r="Y264" s="17">
        <f t="shared" si="29"/>
        <v>5763.0529987244881</v>
      </c>
      <c r="Z264">
        <f t="shared" si="30"/>
        <v>-766.03938635182828</v>
      </c>
    </row>
    <row r="265" spans="1:26" x14ac:dyDescent="0.25">
      <c r="A265" t="s">
        <v>54</v>
      </c>
      <c r="D265">
        <f t="shared" ref="D265:W265" si="41">D13*D49</f>
        <v>294.25204081632654</v>
      </c>
      <c r="E265">
        <f t="shared" si="41"/>
        <v>280.26224489795919</v>
      </c>
      <c r="F265">
        <f t="shared" si="41"/>
        <v>255.51122448979589</v>
      </c>
      <c r="G265">
        <f t="shared" si="41"/>
        <v>283.97061224489795</v>
      </c>
      <c r="H265">
        <f t="shared" si="41"/>
        <v>299.2885714285714</v>
      </c>
      <c r="I265">
        <f t="shared" si="41"/>
        <v>281.08367346938769</v>
      </c>
      <c r="J265">
        <f t="shared" si="41"/>
        <v>271.32326530612244</v>
      </c>
      <c r="K265">
        <f t="shared" si="41"/>
        <v>236.21346938775508</v>
      </c>
      <c r="L265">
        <f t="shared" si="41"/>
        <v>269.50218749999999</v>
      </c>
      <c r="M265">
        <f t="shared" si="41"/>
        <v>261.89359999999999</v>
      </c>
      <c r="N265">
        <f t="shared" si="41"/>
        <v>164.9727</v>
      </c>
      <c r="O265">
        <f t="shared" si="41"/>
        <v>219.99530000000001</v>
      </c>
      <c r="P265">
        <f t="shared" si="41"/>
        <v>267.66910000000001</v>
      </c>
      <c r="Q265">
        <f t="shared" si="41"/>
        <v>278.48390000000001</v>
      </c>
      <c r="R265">
        <f t="shared" si="41"/>
        <v>279.58500000000004</v>
      </c>
      <c r="S265">
        <f t="shared" si="41"/>
        <v>301.3</v>
      </c>
      <c r="T265">
        <f t="shared" si="41"/>
        <v>297.98400000000004</v>
      </c>
      <c r="U265">
        <f t="shared" si="41"/>
        <v>306.66257142857143</v>
      </c>
      <c r="V265">
        <f t="shared" si="41"/>
        <v>266.3155714285715</v>
      </c>
      <c r="W265">
        <f t="shared" si="41"/>
        <v>282.41014285714283</v>
      </c>
      <c r="Y265" s="17">
        <f t="shared" si="29"/>
        <v>5398.6791752551017</v>
      </c>
      <c r="Z265">
        <f t="shared" si="30"/>
        <v>-719.40991102512965</v>
      </c>
    </row>
    <row r="266" spans="1:26" x14ac:dyDescent="0.25">
      <c r="A266" t="s">
        <v>55</v>
      </c>
      <c r="D266">
        <f t="shared" ref="D266:W266" si="42">D14*D50</f>
        <v>338.04699999999997</v>
      </c>
      <c r="E266">
        <f t="shared" si="42"/>
        <v>336.43599999999998</v>
      </c>
      <c r="F266">
        <f t="shared" si="42"/>
        <v>308.45530000000002</v>
      </c>
      <c r="G266">
        <f t="shared" si="42"/>
        <v>280.06459999999998</v>
      </c>
      <c r="H266">
        <f t="shared" si="42"/>
        <v>219.16800000000001</v>
      </c>
      <c r="I266">
        <f t="shared" si="42"/>
        <v>218.773</v>
      </c>
      <c r="J266">
        <f t="shared" si="42"/>
        <v>249.38759999999999</v>
      </c>
      <c r="K266">
        <f t="shared" si="42"/>
        <v>209.14829999999998</v>
      </c>
      <c r="L266">
        <f t="shared" si="42"/>
        <v>189.79999999999998</v>
      </c>
      <c r="M266">
        <f t="shared" si="42"/>
        <v>219.78367346938779</v>
      </c>
      <c r="N266">
        <f t="shared" si="42"/>
        <v>243.87244897959184</v>
      </c>
      <c r="O266">
        <f t="shared" si="42"/>
        <v>247.86693877551025</v>
      </c>
      <c r="P266">
        <f t="shared" si="42"/>
        <v>239.11224489795913</v>
      </c>
      <c r="Q266">
        <f t="shared" si="42"/>
        <v>279.51122448979589</v>
      </c>
      <c r="R266">
        <f t="shared" si="42"/>
        <v>310.94204081632654</v>
      </c>
      <c r="S266">
        <f t="shared" si="42"/>
        <v>298.76081632653063</v>
      </c>
      <c r="T266">
        <f t="shared" si="42"/>
        <v>312.26122448979595</v>
      </c>
      <c r="U266">
        <f t="shared" si="42"/>
        <v>362.82795918367356</v>
      </c>
      <c r="V266">
        <f t="shared" si="42"/>
        <v>360.18367346938771</v>
      </c>
      <c r="W266">
        <f t="shared" si="42"/>
        <v>336.54857142857139</v>
      </c>
      <c r="Y266" s="17">
        <f t="shared" si="29"/>
        <v>5560.9506163265314</v>
      </c>
      <c r="Z266">
        <f t="shared" si="30"/>
        <v>-704.69473105402346</v>
      </c>
    </row>
    <row r="267" spans="1:26" x14ac:dyDescent="0.25">
      <c r="A267" t="s">
        <v>56</v>
      </c>
      <c r="D267">
        <f t="shared" ref="D267:W267" si="43">D15*D51</f>
        <v>290.70122448979595</v>
      </c>
      <c r="E267">
        <f t="shared" si="43"/>
        <v>306.82653061224488</v>
      </c>
      <c r="F267">
        <f t="shared" si="43"/>
        <v>288.43142857142857</v>
      </c>
      <c r="G267">
        <f t="shared" si="43"/>
        <v>293.18367346938771</v>
      </c>
      <c r="H267">
        <f t="shared" si="43"/>
        <v>304.5622448979592</v>
      </c>
      <c r="I267">
        <f t="shared" si="43"/>
        <v>310.4424489795918</v>
      </c>
      <c r="J267">
        <f t="shared" si="43"/>
        <v>202.2</v>
      </c>
      <c r="K267">
        <f t="shared" si="43"/>
        <v>265.20306122448983</v>
      </c>
      <c r="L267">
        <f t="shared" si="43"/>
        <v>272.38250000000005</v>
      </c>
      <c r="M267">
        <f t="shared" si="43"/>
        <v>250.01122448979589</v>
      </c>
      <c r="N267">
        <f t="shared" si="43"/>
        <v>245.46367346938777</v>
      </c>
      <c r="O267">
        <f t="shared" si="43"/>
        <v>274.41428571428571</v>
      </c>
      <c r="P267">
        <f t="shared" si="43"/>
        <v>268.8</v>
      </c>
      <c r="Q267">
        <f t="shared" si="43"/>
        <v>261.35510204081629</v>
      </c>
      <c r="R267">
        <f t="shared" si="43"/>
        <v>255.98122448979589</v>
      </c>
      <c r="S267">
        <f t="shared" si="43"/>
        <v>304.92959183673469</v>
      </c>
      <c r="T267">
        <f t="shared" si="43"/>
        <v>290.20510204081631</v>
      </c>
      <c r="U267">
        <f t="shared" si="43"/>
        <v>345.51918367346934</v>
      </c>
      <c r="V267">
        <f t="shared" si="43"/>
        <v>312.34000000000003</v>
      </c>
      <c r="W267">
        <f t="shared" si="43"/>
        <v>341.36816326530612</v>
      </c>
      <c r="Y267" s="17">
        <f t="shared" si="29"/>
        <v>5684.3206632653055</v>
      </c>
      <c r="Z267">
        <f t="shared" si="30"/>
        <v>-780.11456546519946</v>
      </c>
    </row>
    <row r="268" spans="1:26" x14ac:dyDescent="0.25">
      <c r="A268" t="s">
        <v>57</v>
      </c>
      <c r="D268">
        <f t="shared" ref="D268:W268" si="44">D16*D52</f>
        <v>339.79346938775518</v>
      </c>
      <c r="E268">
        <f t="shared" si="44"/>
        <v>334.43387755102037</v>
      </c>
      <c r="F268">
        <f t="shared" si="44"/>
        <v>330.28571428571428</v>
      </c>
      <c r="G268">
        <f t="shared" si="44"/>
        <v>254.74428571428575</v>
      </c>
      <c r="H268">
        <f t="shared" si="44"/>
        <v>297.40285714285716</v>
      </c>
      <c r="I268">
        <f t="shared" si="44"/>
        <v>288.78367346938779</v>
      </c>
      <c r="J268">
        <f t="shared" si="44"/>
        <v>272.4693877551021</v>
      </c>
      <c r="K268">
        <f t="shared" si="44"/>
        <v>275.20163265306127</v>
      </c>
      <c r="L268">
        <f t="shared" si="44"/>
        <v>251.1378125</v>
      </c>
      <c r="M268">
        <f t="shared" si="44"/>
        <v>274.01142857142855</v>
      </c>
      <c r="N268">
        <f t="shared" si="44"/>
        <v>277.29959183673475</v>
      </c>
      <c r="O268">
        <f t="shared" si="44"/>
        <v>269.00387755102048</v>
      </c>
      <c r="P268">
        <f t="shared" si="44"/>
        <v>266.27428571428572</v>
      </c>
      <c r="Q268">
        <f t="shared" si="44"/>
        <v>268.15428571428572</v>
      </c>
      <c r="R268">
        <f t="shared" si="44"/>
        <v>274.20673469387754</v>
      </c>
      <c r="S268">
        <f t="shared" si="44"/>
        <v>281.9987755102041</v>
      </c>
      <c r="T268">
        <f t="shared" si="44"/>
        <v>270.40857142857146</v>
      </c>
      <c r="U268">
        <f t="shared" si="44"/>
        <v>343.85714285714283</v>
      </c>
      <c r="V268">
        <f t="shared" si="44"/>
        <v>314.27102040816328</v>
      </c>
      <c r="W268">
        <f t="shared" si="44"/>
        <v>342.27918367346939</v>
      </c>
      <c r="Y268" s="17">
        <f t="shared" si="29"/>
        <v>5826.0176084183677</v>
      </c>
      <c r="Z268">
        <f t="shared" si="30"/>
        <v>-817.46948548489775</v>
      </c>
    </row>
    <row r="269" spans="1:26" x14ac:dyDescent="0.25">
      <c r="A269" t="s">
        <v>58</v>
      </c>
      <c r="D269">
        <f t="shared" ref="D269:W269" si="45">D17*D53</f>
        <v>368.595918367347</v>
      </c>
      <c r="E269">
        <f t="shared" si="45"/>
        <v>346.78979591836725</v>
      </c>
      <c r="F269">
        <f t="shared" si="45"/>
        <v>328.84693877551018</v>
      </c>
      <c r="G269">
        <f t="shared" si="45"/>
        <v>322.41224489795923</v>
      </c>
      <c r="H269">
        <f t="shared" si="45"/>
        <v>292.02448979591833</v>
      </c>
      <c r="I269">
        <f t="shared" si="45"/>
        <v>301.66714285714289</v>
      </c>
      <c r="J269">
        <f t="shared" si="45"/>
        <v>313.12244897959187</v>
      </c>
      <c r="K269">
        <f t="shared" si="45"/>
        <v>290.51836734693876</v>
      </c>
      <c r="L269">
        <f t="shared" si="45"/>
        <v>253.19062499999998</v>
      </c>
      <c r="M269">
        <f t="shared" si="45"/>
        <v>0</v>
      </c>
      <c r="N269">
        <f t="shared" si="45"/>
        <v>230.52081632653062</v>
      </c>
      <c r="O269">
        <f t="shared" si="45"/>
        <v>260.24734693877554</v>
      </c>
      <c r="P269">
        <f t="shared" si="45"/>
        <v>287.52734693877551</v>
      </c>
      <c r="Q269">
        <f t="shared" si="45"/>
        <v>278.11591836734692</v>
      </c>
      <c r="R269">
        <f t="shared" si="45"/>
        <v>238.13877551020414</v>
      </c>
      <c r="S269">
        <f t="shared" si="45"/>
        <v>309.35142857142853</v>
      </c>
      <c r="T269">
        <f t="shared" si="45"/>
        <v>313.36795918367358</v>
      </c>
      <c r="U269">
        <f t="shared" si="45"/>
        <v>340.84591836734694</v>
      </c>
      <c r="V269">
        <f t="shared" si="45"/>
        <v>259.21469387755099</v>
      </c>
      <c r="W269">
        <f t="shared" si="45"/>
        <v>341.82836734693888</v>
      </c>
      <c r="Y269" s="17">
        <f t="shared" si="29"/>
        <v>5676.3265433673469</v>
      </c>
      <c r="Z269">
        <f t="shared" si="30"/>
        <v>-754.36388865280492</v>
      </c>
    </row>
    <row r="270" spans="1:26" x14ac:dyDescent="0.25">
      <c r="A270" t="s">
        <v>59</v>
      </c>
      <c r="D270">
        <f t="shared" ref="D270:W270" si="46">D18*D54</f>
        <v>367.53673469387752</v>
      </c>
      <c r="E270">
        <f t="shared" si="46"/>
        <v>365.6302040816326</v>
      </c>
      <c r="F270">
        <f t="shared" si="46"/>
        <v>338.3079591836734</v>
      </c>
      <c r="G270">
        <f t="shared" si="46"/>
        <v>319.07204081632648</v>
      </c>
      <c r="H270">
        <f t="shared" si="46"/>
        <v>327.06938775510201</v>
      </c>
      <c r="I270">
        <f t="shared" si="46"/>
        <v>293.9795918367347</v>
      </c>
      <c r="J270">
        <f t="shared" si="46"/>
        <v>315.57551020408164</v>
      </c>
      <c r="K270">
        <f t="shared" si="46"/>
        <v>287.32081632653069</v>
      </c>
      <c r="L270">
        <f t="shared" si="46"/>
        <v>287.12387755102048</v>
      </c>
      <c r="M270">
        <f t="shared" si="46"/>
        <v>247.71795918367349</v>
      </c>
      <c r="N270">
        <f t="shared" si="46"/>
        <v>276.79204081632662</v>
      </c>
      <c r="O270">
        <f t="shared" si="46"/>
        <v>243.12816326530609</v>
      </c>
      <c r="P270">
        <f t="shared" si="46"/>
        <v>247.18530612244894</v>
      </c>
      <c r="Q270">
        <f t="shared" si="46"/>
        <v>261.26673469387759</v>
      </c>
      <c r="R270">
        <f t="shared" si="46"/>
        <v>260.79204081632651</v>
      </c>
      <c r="S270">
        <f t="shared" si="46"/>
        <v>305.29265306122448</v>
      </c>
      <c r="T270">
        <f t="shared" si="46"/>
        <v>307.17714285714283</v>
      </c>
      <c r="U270">
        <f t="shared" si="46"/>
        <v>333.42204081632656</v>
      </c>
      <c r="V270">
        <f t="shared" si="46"/>
        <v>317.36938775510203</v>
      </c>
      <c r="W270">
        <f t="shared" si="46"/>
        <v>208.08</v>
      </c>
      <c r="Y270" s="17">
        <f t="shared" si="29"/>
        <v>5909.8395918367351</v>
      </c>
      <c r="Z270">
        <f t="shared" si="30"/>
        <v>-784.087286632614</v>
      </c>
    </row>
    <row r="271" spans="1:26" x14ac:dyDescent="0.25">
      <c r="A271" t="s">
        <v>60</v>
      </c>
      <c r="D271">
        <f t="shared" ref="D271:W271" si="47">D19*D55</f>
        <v>342.07836734693876</v>
      </c>
      <c r="E271">
        <f t="shared" si="47"/>
        <v>276.73469387755102</v>
      </c>
      <c r="F271">
        <f t="shared" si="47"/>
        <v>301.83367346938775</v>
      </c>
      <c r="G271">
        <f t="shared" si="47"/>
        <v>338.86530612244889</v>
      </c>
      <c r="H271">
        <f t="shared" si="47"/>
        <v>292.24</v>
      </c>
      <c r="I271">
        <f t="shared" si="47"/>
        <v>287.14040816326531</v>
      </c>
      <c r="J271">
        <f t="shared" si="47"/>
        <v>300.42122448979586</v>
      </c>
      <c r="K271">
        <f t="shared" si="47"/>
        <v>294.12775510204085</v>
      </c>
      <c r="L271">
        <f t="shared" si="47"/>
        <v>252.44999999999996</v>
      </c>
      <c r="M271">
        <f t="shared" si="47"/>
        <v>220.96163265306126</v>
      </c>
      <c r="N271">
        <f t="shared" si="47"/>
        <v>247.42000000000002</v>
      </c>
      <c r="O271">
        <f t="shared" si="47"/>
        <v>283.23469387755097</v>
      </c>
      <c r="P271">
        <f t="shared" si="47"/>
        <v>287.56897959183669</v>
      </c>
      <c r="Q271">
        <f t="shared" si="47"/>
        <v>264.22530612244896</v>
      </c>
      <c r="R271">
        <f t="shared" si="47"/>
        <v>295.50204081632654</v>
      </c>
      <c r="S271">
        <f t="shared" si="47"/>
        <v>293.84816326530608</v>
      </c>
      <c r="T271">
        <f t="shared" si="47"/>
        <v>330.2522448979592</v>
      </c>
      <c r="U271">
        <f t="shared" si="47"/>
        <v>347.63877551020408</v>
      </c>
      <c r="V271">
        <f t="shared" si="47"/>
        <v>366.94204081632654</v>
      </c>
      <c r="W271">
        <f t="shared" si="47"/>
        <v>375.23918367346948</v>
      </c>
      <c r="Y271" s="17">
        <f t="shared" si="29"/>
        <v>5998.7244897959172</v>
      </c>
      <c r="Z271">
        <f t="shared" si="30"/>
        <v>-804.17163424541798</v>
      </c>
    </row>
    <row r="272" spans="1:26" x14ac:dyDescent="0.25">
      <c r="A272" t="s">
        <v>61</v>
      </c>
      <c r="D272">
        <f t="shared" ref="D272:W272" si="48">D20*D56</f>
        <v>350.39918367346945</v>
      </c>
      <c r="E272">
        <f t="shared" si="48"/>
        <v>336.68448979591841</v>
      </c>
      <c r="F272">
        <f t="shared" si="48"/>
        <v>315.12163265306128</v>
      </c>
      <c r="G272">
        <f t="shared" si="48"/>
        <v>275.71653061224492</v>
      </c>
      <c r="H272">
        <f t="shared" si="48"/>
        <v>300.30612244897958</v>
      </c>
      <c r="I272">
        <f t="shared" si="48"/>
        <v>304.10714285714289</v>
      </c>
      <c r="J272">
        <f t="shared" si="48"/>
        <v>275.19673469387754</v>
      </c>
      <c r="K272">
        <f t="shared" si="48"/>
        <v>247.86428571428567</v>
      </c>
      <c r="L272">
        <f t="shared" si="48"/>
        <v>233.74531250000001</v>
      </c>
      <c r="M272">
        <f t="shared" si="48"/>
        <v>228.30632653061224</v>
      </c>
      <c r="N272">
        <f t="shared" si="48"/>
        <v>255.3618367346939</v>
      </c>
      <c r="O272">
        <f t="shared" si="48"/>
        <v>267.43469387755101</v>
      </c>
      <c r="P272">
        <f t="shared" si="48"/>
        <v>252.34285714285713</v>
      </c>
      <c r="Q272">
        <f t="shared" si="48"/>
        <v>266.77306122448982</v>
      </c>
      <c r="R272">
        <f t="shared" si="48"/>
        <v>297.91020408163263</v>
      </c>
      <c r="S272">
        <f t="shared" si="48"/>
        <v>316.35000000000002</v>
      </c>
      <c r="T272">
        <f t="shared" si="48"/>
        <v>252.52163265306123</v>
      </c>
      <c r="U272">
        <f t="shared" si="48"/>
        <v>350.38775510204079</v>
      </c>
      <c r="V272">
        <f t="shared" si="48"/>
        <v>292.11</v>
      </c>
      <c r="W272">
        <f t="shared" si="48"/>
        <v>367.64081632653063</v>
      </c>
      <c r="Y272" s="17">
        <f t="shared" si="29"/>
        <v>5786.2806186224489</v>
      </c>
      <c r="Z272">
        <f t="shared" si="30"/>
        <v>-787.67909844614962</v>
      </c>
    </row>
    <row r="273" spans="1:26" x14ac:dyDescent="0.25">
      <c r="A273" t="s">
        <v>62</v>
      </c>
      <c r="D273">
        <f t="shared" ref="D273:W273" si="49">D21*D57</f>
        <v>305.77857142857141</v>
      </c>
      <c r="E273">
        <f t="shared" si="49"/>
        <v>309.89959183673466</v>
      </c>
      <c r="F273">
        <f t="shared" si="49"/>
        <v>317.43755102040814</v>
      </c>
      <c r="G273">
        <f t="shared" si="49"/>
        <v>303.10857142857145</v>
      </c>
      <c r="H273">
        <f t="shared" si="49"/>
        <v>308.17959183673469</v>
      </c>
      <c r="I273">
        <f t="shared" si="49"/>
        <v>292.38081632653052</v>
      </c>
      <c r="J273">
        <f t="shared" si="49"/>
        <v>290.73959183673469</v>
      </c>
      <c r="K273">
        <f t="shared" si="49"/>
        <v>269.31469387755101</v>
      </c>
      <c r="L273">
        <f t="shared" si="49"/>
        <v>201.13921875000005</v>
      </c>
      <c r="M273">
        <f t="shared" si="49"/>
        <v>205.12346938775511</v>
      </c>
      <c r="N273">
        <f t="shared" si="49"/>
        <v>258.24</v>
      </c>
      <c r="O273">
        <f t="shared" si="49"/>
        <v>240.27204081632655</v>
      </c>
      <c r="P273">
        <f t="shared" si="49"/>
        <v>190.06693877551024</v>
      </c>
      <c r="Q273">
        <f t="shared" si="49"/>
        <v>249.15653061224484</v>
      </c>
      <c r="R273">
        <f t="shared" si="49"/>
        <v>269.22612244897954</v>
      </c>
      <c r="S273">
        <f t="shared" si="49"/>
        <v>297.074693877551</v>
      </c>
      <c r="T273">
        <f t="shared" si="49"/>
        <v>357.2412244897958</v>
      </c>
      <c r="U273">
        <f t="shared" si="49"/>
        <v>324.50102040816324</v>
      </c>
      <c r="V273">
        <f t="shared" si="49"/>
        <v>274.46979591836737</v>
      </c>
      <c r="W273">
        <f t="shared" si="49"/>
        <v>348.22489795918364</v>
      </c>
      <c r="Y273" s="17">
        <f t="shared" si="29"/>
        <v>5611.5749330357139</v>
      </c>
      <c r="Z273">
        <f t="shared" si="30"/>
        <v>-711.57114340271949</v>
      </c>
    </row>
    <row r="274" spans="1:26" x14ac:dyDescent="0.25">
      <c r="A274" t="s">
        <v>63</v>
      </c>
      <c r="D274">
        <f t="shared" ref="D274:W274" si="50">D22*D58</f>
        <v>327.1663265306122</v>
      </c>
      <c r="E274">
        <f t="shared" si="50"/>
        <v>311.14</v>
      </c>
      <c r="F274">
        <f t="shared" si="50"/>
        <v>316.78000000000003</v>
      </c>
      <c r="G274">
        <f t="shared" si="50"/>
        <v>322.22959183673476</v>
      </c>
      <c r="H274">
        <f t="shared" si="50"/>
        <v>234.9191836734694</v>
      </c>
      <c r="I274">
        <f t="shared" si="50"/>
        <v>600.30816326530601</v>
      </c>
      <c r="J274">
        <f t="shared" si="50"/>
        <v>263.85653061224491</v>
      </c>
      <c r="K274">
        <f t="shared" si="50"/>
        <v>224.87142857142857</v>
      </c>
      <c r="L274">
        <f t="shared" si="50"/>
        <v>243.328125</v>
      </c>
      <c r="M274">
        <f t="shared" si="50"/>
        <v>192.95081632653063</v>
      </c>
      <c r="N274">
        <f t="shared" si="50"/>
        <v>262.12714285714281</v>
      </c>
      <c r="O274">
        <f t="shared" si="50"/>
        <v>276.22571428571428</v>
      </c>
      <c r="P274">
        <f t="shared" si="50"/>
        <v>261.53877551020412</v>
      </c>
      <c r="Q274">
        <f t="shared" si="50"/>
        <v>310.54142857142858</v>
      </c>
      <c r="R274">
        <f t="shared" si="50"/>
        <v>316.57959183673472</v>
      </c>
      <c r="S274">
        <f t="shared" si="50"/>
        <v>322.88142857142856</v>
      </c>
      <c r="T274">
        <f t="shared" si="50"/>
        <v>342.08653061224493</v>
      </c>
      <c r="U274">
        <f t="shared" si="50"/>
        <v>304.00816326530611</v>
      </c>
      <c r="V274">
        <f t="shared" si="50"/>
        <v>286.91795918367347</v>
      </c>
      <c r="W274">
        <f t="shared" si="50"/>
        <v>331.58163265306132</v>
      </c>
      <c r="Y274" s="17">
        <f t="shared" si="29"/>
        <v>6052.038533163266</v>
      </c>
      <c r="Z274">
        <f t="shared" si="30"/>
        <v>-721.34977608178451</v>
      </c>
    </row>
    <row r="275" spans="1:26" x14ac:dyDescent="0.25">
      <c r="A275" t="s">
        <v>64</v>
      </c>
      <c r="D275">
        <f t="shared" ref="D275:W275" si="51">D23*D59</f>
        <v>346.33510204081637</v>
      </c>
      <c r="E275">
        <f t="shared" si="51"/>
        <v>331.66</v>
      </c>
      <c r="F275">
        <f t="shared" si="51"/>
        <v>319.8224489795918</v>
      </c>
      <c r="G275">
        <f t="shared" si="51"/>
        <v>293.0702040816326</v>
      </c>
      <c r="H275">
        <f t="shared" si="51"/>
        <v>248.93428571428569</v>
      </c>
      <c r="I275">
        <f t="shared" si="51"/>
        <v>267.33714285714285</v>
      </c>
      <c r="J275">
        <f t="shared" si="51"/>
        <v>266.83755102040811</v>
      </c>
      <c r="K275">
        <f t="shared" si="51"/>
        <v>286.54122448979592</v>
      </c>
      <c r="L275">
        <f t="shared" si="51"/>
        <v>249.01171874999997</v>
      </c>
      <c r="M275">
        <f t="shared" si="51"/>
        <v>236.08469387755102</v>
      </c>
      <c r="N275">
        <f t="shared" si="51"/>
        <v>221.49306122448979</v>
      </c>
      <c r="O275">
        <f t="shared" si="51"/>
        <v>269.95469387755105</v>
      </c>
      <c r="P275">
        <f t="shared" si="51"/>
        <v>285.80571428571426</v>
      </c>
      <c r="Q275">
        <f t="shared" si="51"/>
        <v>256.91142857142859</v>
      </c>
      <c r="R275">
        <f t="shared" si="51"/>
        <v>276.39081632653057</v>
      </c>
      <c r="S275">
        <f t="shared" si="51"/>
        <v>285.30938775510202</v>
      </c>
      <c r="T275">
        <f t="shared" si="51"/>
        <v>318.20551020408163</v>
      </c>
      <c r="U275">
        <f t="shared" si="51"/>
        <v>330.66122448979593</v>
      </c>
      <c r="V275">
        <f t="shared" si="51"/>
        <v>356.88367346938776</v>
      </c>
      <c r="W275">
        <f t="shared" si="51"/>
        <v>349.56204081632654</v>
      </c>
      <c r="Y275" s="17">
        <f t="shared" si="29"/>
        <v>5796.8119228316327</v>
      </c>
      <c r="Z275">
        <f t="shared" si="30"/>
        <v>-785.31177896863073</v>
      </c>
    </row>
    <row r="276" spans="1:26" x14ac:dyDescent="0.25">
      <c r="A276" t="s">
        <v>65</v>
      </c>
      <c r="D276">
        <f t="shared" ref="D276:W276" si="52">D24*D60</f>
        <v>307.5012244897959</v>
      </c>
      <c r="E276">
        <f t="shared" si="52"/>
        <v>306.80734693877548</v>
      </c>
      <c r="F276">
        <f t="shared" si="52"/>
        <v>308.45346938775515</v>
      </c>
      <c r="G276">
        <f t="shared" si="52"/>
        <v>312.28714285714284</v>
      </c>
      <c r="H276">
        <f t="shared" si="52"/>
        <v>244.24897959183676</v>
      </c>
      <c r="I276">
        <f t="shared" si="52"/>
        <v>220.32857142857142</v>
      </c>
      <c r="J276">
        <f t="shared" si="52"/>
        <v>241.07591836734693</v>
      </c>
      <c r="K276">
        <f t="shared" si="52"/>
        <v>249.2032653061224</v>
      </c>
      <c r="L276">
        <f t="shared" si="52"/>
        <v>263.98124999999999</v>
      </c>
      <c r="M276">
        <f t="shared" si="52"/>
        <v>236.4195918367347</v>
      </c>
      <c r="N276">
        <f t="shared" si="52"/>
        <v>248.15673469387752</v>
      </c>
      <c r="O276">
        <f t="shared" si="52"/>
        <v>261.18673469387755</v>
      </c>
      <c r="P276">
        <f t="shared" si="52"/>
        <v>234.35020408163271</v>
      </c>
      <c r="Q276">
        <f t="shared" si="52"/>
        <v>236.98040816326531</v>
      </c>
      <c r="R276">
        <f t="shared" si="52"/>
        <v>206.75285714285712</v>
      </c>
      <c r="S276">
        <f t="shared" si="52"/>
        <v>308.51183673469387</v>
      </c>
      <c r="T276">
        <f t="shared" si="52"/>
        <v>350.83306122448988</v>
      </c>
      <c r="U276">
        <f t="shared" si="52"/>
        <v>373.75714285714292</v>
      </c>
      <c r="V276">
        <f t="shared" si="52"/>
        <v>340.69387755102036</v>
      </c>
      <c r="W276">
        <f t="shared" si="52"/>
        <v>264.23816326530607</v>
      </c>
      <c r="Y276" s="17">
        <f t="shared" si="29"/>
        <v>5515.7677806122447</v>
      </c>
      <c r="Z276">
        <f t="shared" si="30"/>
        <v>-673.18055680838052</v>
      </c>
    </row>
    <row r="277" spans="1:26" x14ac:dyDescent="0.25">
      <c r="A277" t="s">
        <v>66</v>
      </c>
      <c r="D277">
        <f t="shared" ref="D277:W277" si="53">D25*D61</f>
        <v>334.00000000000006</v>
      </c>
      <c r="E277">
        <f t="shared" si="53"/>
        <v>326.58285714285711</v>
      </c>
      <c r="F277">
        <f t="shared" si="53"/>
        <v>257.82653061224482</v>
      </c>
      <c r="G277">
        <f t="shared" si="53"/>
        <v>227.12551020408168</v>
      </c>
      <c r="H277">
        <f t="shared" si="53"/>
        <v>166.3030612244898</v>
      </c>
      <c r="I277">
        <f t="shared" si="53"/>
        <v>320.2106122448979</v>
      </c>
      <c r="J277">
        <f t="shared" si="53"/>
        <v>214.7065306122449</v>
      </c>
      <c r="K277">
        <f t="shared" si="53"/>
        <v>147.81306122448987</v>
      </c>
      <c r="L277">
        <f t="shared" si="53"/>
        <v>270.66249999999997</v>
      </c>
      <c r="M277">
        <f t="shared" si="53"/>
        <v>232.12918367346936</v>
      </c>
      <c r="N277">
        <f t="shared" si="53"/>
        <v>185.47775510204082</v>
      </c>
      <c r="O277">
        <f t="shared" si="53"/>
        <v>172.59918367346933</v>
      </c>
      <c r="P277">
        <f t="shared" si="53"/>
        <v>194.6577551020408</v>
      </c>
      <c r="Q277">
        <f t="shared" si="53"/>
        <v>296.95857142857142</v>
      </c>
      <c r="R277">
        <f t="shared" si="53"/>
        <v>300.24326530612245</v>
      </c>
      <c r="S277">
        <f t="shared" si="53"/>
        <v>300.54448979591837</v>
      </c>
      <c r="T277">
        <f t="shared" si="53"/>
        <v>291.31510204081638</v>
      </c>
      <c r="U277">
        <f t="shared" si="53"/>
        <v>341.88000000000005</v>
      </c>
      <c r="V277">
        <f t="shared" si="53"/>
        <v>330.31938775510207</v>
      </c>
      <c r="W277">
        <f t="shared" si="53"/>
        <v>337.33061224489802</v>
      </c>
      <c r="Y277" s="17">
        <f t="shared" si="29"/>
        <v>5248.6859693877559</v>
      </c>
      <c r="Z277">
        <f t="shared" si="30"/>
        <v>-588.17920028279696</v>
      </c>
    </row>
    <row r="278" spans="1:26" x14ac:dyDescent="0.25">
      <c r="A278" t="s">
        <v>67</v>
      </c>
      <c r="D278">
        <f t="shared" ref="D278:W278" si="54">D26*D62</f>
        <v>347.480612244898</v>
      </c>
      <c r="E278">
        <f t="shared" si="54"/>
        <v>266.49387755102043</v>
      </c>
      <c r="F278">
        <f t="shared" si="54"/>
        <v>248.3902040816327</v>
      </c>
      <c r="G278">
        <f t="shared" si="54"/>
        <v>292.02081632653062</v>
      </c>
      <c r="H278">
        <f t="shared" si="54"/>
        <v>302.47469387755109</v>
      </c>
      <c r="I278">
        <f t="shared" si="54"/>
        <v>261.44571428571436</v>
      </c>
      <c r="J278">
        <f t="shared" si="54"/>
        <v>268.26979591836732</v>
      </c>
      <c r="K278">
        <f t="shared" si="54"/>
        <v>223.82653061224491</v>
      </c>
      <c r="L278">
        <f t="shared" si="54"/>
        <v>324.71428571428567</v>
      </c>
      <c r="M278">
        <f t="shared" si="54"/>
        <v>231.93734693877553</v>
      </c>
      <c r="N278">
        <f t="shared" si="54"/>
        <v>249.79020408163262</v>
      </c>
      <c r="O278">
        <f t="shared" si="54"/>
        <v>269.74938775510202</v>
      </c>
      <c r="P278">
        <f t="shared" si="54"/>
        <v>303.47591836734699</v>
      </c>
      <c r="Q278">
        <f t="shared" si="54"/>
        <v>270.76897959183674</v>
      </c>
      <c r="R278">
        <f t="shared" si="54"/>
        <v>234.59530612244899</v>
      </c>
      <c r="S278">
        <f t="shared" si="54"/>
        <v>295.97081632653055</v>
      </c>
      <c r="T278">
        <f t="shared" si="54"/>
        <v>283.53000000000003</v>
      </c>
      <c r="U278">
        <f t="shared" si="54"/>
        <v>322.07142857142856</v>
      </c>
      <c r="V278">
        <f t="shared" si="54"/>
        <v>302.20408163265301</v>
      </c>
      <c r="W278">
        <f t="shared" si="54"/>
        <v>362.43367346938777</v>
      </c>
      <c r="Y278" s="17">
        <f t="shared" si="29"/>
        <v>5661.6436734693871</v>
      </c>
      <c r="Z278">
        <f t="shared" si="30"/>
        <v>-786.15393080740159</v>
      </c>
    </row>
    <row r="279" spans="1:26" x14ac:dyDescent="0.25">
      <c r="A279" t="s">
        <v>68</v>
      </c>
      <c r="D279">
        <f>AVERAGE(D268:D277)</f>
        <v>338.91848979591839</v>
      </c>
      <c r="E279">
        <f>AVERAGE(E268:E277)</f>
        <v>324.63628571428569</v>
      </c>
      <c r="F279">
        <f>AVERAGE(F268:F277)</f>
        <v>313.47159183673466</v>
      </c>
      <c r="G279">
        <f>AVERAGE(G268:G277)</f>
        <v>296.86314285714286</v>
      </c>
      <c r="H279">
        <f t="shared" ref="H279:W279" si="55">H27*H63</f>
        <v>231.81244897959184</v>
      </c>
      <c r="I279">
        <f t="shared" si="55"/>
        <v>263.98734693877549</v>
      </c>
      <c r="J279">
        <f t="shared" si="55"/>
        <v>245.18571428571431</v>
      </c>
      <c r="K279">
        <f t="shared" si="55"/>
        <v>273.86408163265315</v>
      </c>
      <c r="L279">
        <f t="shared" si="55"/>
        <v>210.98218750000001</v>
      </c>
      <c r="M279">
        <f t="shared" si="55"/>
        <v>247.0416326530613</v>
      </c>
      <c r="N279">
        <f t="shared" si="55"/>
        <v>275.10530612244895</v>
      </c>
      <c r="O279">
        <f t="shared" si="55"/>
        <v>264.94857142857143</v>
      </c>
      <c r="P279">
        <f t="shared" si="55"/>
        <v>292.05224489795921</v>
      </c>
      <c r="Q279">
        <f t="shared" si="55"/>
        <v>290.50448979591835</v>
      </c>
      <c r="R279">
        <f t="shared" si="55"/>
        <v>306.43265306122453</v>
      </c>
      <c r="S279">
        <f t="shared" si="55"/>
        <v>305.14897959183673</v>
      </c>
      <c r="T279">
        <f t="shared" si="55"/>
        <v>338.82551020408158</v>
      </c>
      <c r="U279">
        <f t="shared" si="55"/>
        <v>325.89918367346939</v>
      </c>
      <c r="V279">
        <f t="shared" si="55"/>
        <v>314.05714285714288</v>
      </c>
      <c r="W279">
        <f t="shared" si="55"/>
        <v>341.76163265306121</v>
      </c>
      <c r="Y279" s="17">
        <f t="shared" si="29"/>
        <v>5801.4986364795923</v>
      </c>
      <c r="Z279">
        <f t="shared" si="30"/>
        <v>-781.03617898883817</v>
      </c>
    </row>
    <row r="280" spans="1:26" x14ac:dyDescent="0.25">
      <c r="A280" t="s">
        <v>69</v>
      </c>
      <c r="D280">
        <f>D28*D64</f>
        <v>313.13040816326526</v>
      </c>
      <c r="E280">
        <f>E28*E64</f>
        <v>337.39183673469387</v>
      </c>
      <c r="F280">
        <f>F28*F64</f>
        <v>336.76693877551025</v>
      </c>
      <c r="G280">
        <f>G28*G64</f>
        <v>328.75183673469388</v>
      </c>
      <c r="H280">
        <f t="shared" ref="H280:W280" si="56">H28*H64</f>
        <v>250.20448979591842</v>
      </c>
      <c r="I280">
        <f t="shared" si="56"/>
        <v>320.32040816326526</v>
      </c>
      <c r="J280">
        <f t="shared" si="56"/>
        <v>282.13428571428568</v>
      </c>
      <c r="K280">
        <f t="shared" si="56"/>
        <v>273.14448979591833</v>
      </c>
      <c r="L280">
        <f t="shared" si="56"/>
        <v>238.2865625</v>
      </c>
      <c r="M280">
        <f t="shared" si="56"/>
        <v>196.3918367346939</v>
      </c>
      <c r="N280">
        <f t="shared" si="56"/>
        <v>241.48122448979586</v>
      </c>
      <c r="O280">
        <f t="shared" si="56"/>
        <v>248.93959183673465</v>
      </c>
      <c r="P280">
        <f t="shared" si="56"/>
        <v>264.9048979591837</v>
      </c>
      <c r="Q280">
        <f t="shared" si="56"/>
        <v>269.66000000000008</v>
      </c>
      <c r="R280">
        <f t="shared" si="56"/>
        <v>226.42589285714288</v>
      </c>
      <c r="S280">
        <f t="shared" si="56"/>
        <v>288.53999999999996</v>
      </c>
      <c r="T280">
        <f t="shared" si="56"/>
        <v>259.29183673469254</v>
      </c>
      <c r="U280">
        <f t="shared" si="56"/>
        <v>352.68734693877315</v>
      </c>
      <c r="V280">
        <f t="shared" si="56"/>
        <v>295.36081632653054</v>
      </c>
      <c r="W280">
        <f t="shared" si="56"/>
        <v>338.96530612244896</v>
      </c>
      <c r="Y280" s="17">
        <f t="shared" si="29"/>
        <v>5662.7800063775458</v>
      </c>
      <c r="Z280">
        <f t="shared" si="30"/>
        <v>-746.42030390602974</v>
      </c>
    </row>
    <row r="281" spans="1:26" x14ac:dyDescent="0.25">
      <c r="Y281" s="17"/>
    </row>
    <row r="282" spans="1:26" x14ac:dyDescent="0.25">
      <c r="A282" t="s">
        <v>70</v>
      </c>
      <c r="D282">
        <f t="shared" ref="D282:W282" si="57">D30*D66</f>
        <v>295.17714285714283</v>
      </c>
      <c r="E282">
        <f t="shared" si="57"/>
        <v>314.21938775510205</v>
      </c>
      <c r="F282">
        <f t="shared" si="57"/>
        <v>316.48469387755102</v>
      </c>
      <c r="G282">
        <f t="shared" si="57"/>
        <v>298.70714285714286</v>
      </c>
      <c r="H282">
        <f t="shared" si="57"/>
        <v>298.11571428571432</v>
      </c>
      <c r="I282">
        <f t="shared" si="57"/>
        <v>269.39755102040823</v>
      </c>
      <c r="J282">
        <f t="shared" si="57"/>
        <v>274.63408163265302</v>
      </c>
      <c r="K282">
        <f t="shared" si="57"/>
        <v>254.62775510204079</v>
      </c>
      <c r="L282">
        <f t="shared" si="57"/>
        <v>266.33749999999998</v>
      </c>
      <c r="M282">
        <f t="shared" si="57"/>
        <v>214.48163265306121</v>
      </c>
      <c r="N282">
        <f t="shared" si="57"/>
        <v>265.18571428571431</v>
      </c>
      <c r="O282">
        <f t="shared" si="57"/>
        <v>229.39918367346939</v>
      </c>
      <c r="P282">
        <f t="shared" si="57"/>
        <v>244.45714285714283</v>
      </c>
      <c r="Q282">
        <f t="shared" si="57"/>
        <v>248.55979591836859</v>
      </c>
      <c r="R282">
        <f t="shared" si="57"/>
        <v>257.9591836734694</v>
      </c>
      <c r="S282">
        <f t="shared" si="57"/>
        <v>303.9684206442908</v>
      </c>
      <c r="T282">
        <f t="shared" si="57"/>
        <v>319.53893877550854</v>
      </c>
      <c r="U282">
        <f t="shared" si="57"/>
        <v>304.71250463821895</v>
      </c>
      <c r="V282">
        <f t="shared" si="57"/>
        <v>343.38917810760626</v>
      </c>
      <c r="W282">
        <f t="shared" si="57"/>
        <v>337.47128014842298</v>
      </c>
      <c r="Y282" s="17">
        <f t="shared" si="29"/>
        <v>5656.8239447630285</v>
      </c>
      <c r="Z282">
        <f>SUMPRODUCT($D$286:$W$286,D282:W282)</f>
        <v>-750.7875177022911</v>
      </c>
    </row>
    <row r="283" spans="1:26" x14ac:dyDescent="0.25">
      <c r="A283" t="s">
        <v>314</v>
      </c>
      <c r="D283">
        <f t="shared" ref="D283:W283" si="58">D31*D67</f>
        <v>288.95999999999998</v>
      </c>
      <c r="E283">
        <f t="shared" si="58"/>
        <v>257.34591836734694</v>
      </c>
      <c r="F283">
        <f t="shared" si="58"/>
        <v>249.43040816326535</v>
      </c>
      <c r="G283">
        <f t="shared" si="58"/>
        <v>304.23469387755108</v>
      </c>
      <c r="H283">
        <f t="shared" si="58"/>
        <v>288.52734693877551</v>
      </c>
      <c r="I283">
        <f t="shared" si="58"/>
        <v>259.63387755102036</v>
      </c>
      <c r="J283">
        <f t="shared" si="58"/>
        <v>275.2</v>
      </c>
      <c r="K283">
        <f t="shared" si="58"/>
        <v>250.82959183673475</v>
      </c>
      <c r="L283">
        <f t="shared" si="58"/>
        <v>91.503749999999997</v>
      </c>
      <c r="M283">
        <f t="shared" si="58"/>
        <v>133.43632653061226</v>
      </c>
      <c r="N283">
        <f t="shared" si="58"/>
        <v>183.84734693877556</v>
      </c>
      <c r="O283">
        <f t="shared" si="58"/>
        <v>206.79367346938778</v>
      </c>
      <c r="P283">
        <f t="shared" si="58"/>
        <v>130.38</v>
      </c>
      <c r="Q283">
        <f t="shared" si="58"/>
        <v>293.90999999999997</v>
      </c>
      <c r="R283">
        <f t="shared" si="58"/>
        <v>290.08000000000004</v>
      </c>
      <c r="S283">
        <f t="shared" si="58"/>
        <v>283.2</v>
      </c>
      <c r="T283">
        <f t="shared" si="58"/>
        <v>258.3238701298701</v>
      </c>
      <c r="U283">
        <f t="shared" si="58"/>
        <v>287.41428571428571</v>
      </c>
      <c r="V283">
        <f t="shared" si="58"/>
        <v>333.5204452690167</v>
      </c>
      <c r="W283">
        <f t="shared" si="58"/>
        <v>353.31428571428575</v>
      </c>
      <c r="Y283" s="17">
        <f t="shared" si="29"/>
        <v>5019.8858205009274</v>
      </c>
      <c r="Z283">
        <f>SUMPRODUCT($D$286:$W$286,D283:W283)</f>
        <v>-631.59572646450977</v>
      </c>
    </row>
    <row r="284" spans="1:26" x14ac:dyDescent="0.25">
      <c r="A284" t="s">
        <v>315</v>
      </c>
      <c r="D284">
        <f t="shared" ref="D284:W284" si="59">D32*D68</f>
        <v>256.63469387755106</v>
      </c>
      <c r="E284">
        <f t="shared" si="59"/>
        <v>321.73714285714294</v>
      </c>
      <c r="F284">
        <f t="shared" si="59"/>
        <v>222.80204081632658</v>
      </c>
      <c r="G284">
        <f t="shared" si="59"/>
        <v>304.11183673469384</v>
      </c>
      <c r="H284">
        <f t="shared" si="59"/>
        <v>292.21224489795918</v>
      </c>
      <c r="I284">
        <f t="shared" si="59"/>
        <v>288.1130612244898</v>
      </c>
      <c r="J284">
        <f t="shared" si="59"/>
        <v>236.68102040816319</v>
      </c>
      <c r="K284">
        <f t="shared" si="59"/>
        <v>201.97775510204082</v>
      </c>
      <c r="L284">
        <f t="shared" si="59"/>
        <v>190.69406250000003</v>
      </c>
      <c r="M284">
        <f t="shared" si="59"/>
        <v>193.14000000000001</v>
      </c>
      <c r="N284">
        <f t="shared" si="59"/>
        <v>216.47999999999996</v>
      </c>
      <c r="O284">
        <f t="shared" si="59"/>
        <v>181.56</v>
      </c>
      <c r="P284">
        <f t="shared" si="59"/>
        <v>251.84025974025971</v>
      </c>
      <c r="Q284">
        <f t="shared" si="59"/>
        <v>272.94137291280157</v>
      </c>
      <c r="R284">
        <f t="shared" si="59"/>
        <v>275.61362193362197</v>
      </c>
      <c r="S284">
        <f t="shared" si="59"/>
        <v>302.66698000412282</v>
      </c>
      <c r="T284">
        <f t="shared" si="59"/>
        <v>344.41253644314867</v>
      </c>
      <c r="U284">
        <f t="shared" si="59"/>
        <v>272.15206997084545</v>
      </c>
      <c r="V284">
        <f t="shared" si="59"/>
        <v>296.17384839650151</v>
      </c>
      <c r="W284">
        <f t="shared" si="59"/>
        <v>309.32486880466467</v>
      </c>
      <c r="Y284" s="17">
        <f t="shared" si="29"/>
        <v>5231.2694166243327</v>
      </c>
      <c r="Z284">
        <f>SUMPRODUCT($D$286:$W$286,D284:W284)</f>
        <v>-675.17617464862167</v>
      </c>
    </row>
    <row r="285" spans="1:26" x14ac:dyDescent="0.25">
      <c r="A285" t="s">
        <v>677</v>
      </c>
      <c r="D285">
        <f t="shared" ref="D285:W285" si="60">D33*D69</f>
        <v>330.90653061224481</v>
      </c>
      <c r="E285">
        <f t="shared" si="60"/>
        <v>322.45387755102035</v>
      </c>
      <c r="F285">
        <f t="shared" si="60"/>
        <v>326.83163265306126</v>
      </c>
      <c r="G285">
        <f t="shared" si="60"/>
        <v>265.60448979591837</v>
      </c>
      <c r="H285">
        <f t="shared" si="60"/>
        <v>264.93632653061223</v>
      </c>
      <c r="I285">
        <f t="shared" si="60"/>
        <v>312.62204081632649</v>
      </c>
      <c r="J285">
        <f t="shared" si="60"/>
        <v>267.480612244898</v>
      </c>
      <c r="K285">
        <f t="shared" si="60"/>
        <v>259.32653061224494</v>
      </c>
      <c r="L285">
        <f t="shared" si="60"/>
        <v>197.33999999999997</v>
      </c>
      <c r="M285">
        <f t="shared" si="60"/>
        <v>290.48530612244895</v>
      </c>
      <c r="N285">
        <f t="shared" si="60"/>
        <v>271.67326530612246</v>
      </c>
      <c r="O285">
        <f t="shared" si="60"/>
        <v>117.69387755102055</v>
      </c>
      <c r="P285">
        <f t="shared" si="60"/>
        <v>271.92857142857139</v>
      </c>
      <c r="Q285">
        <f t="shared" si="60"/>
        <v>279.1144897959183</v>
      </c>
      <c r="R285">
        <f t="shared" si="60"/>
        <v>298.85816326530613</v>
      </c>
      <c r="S285">
        <f t="shared" si="60"/>
        <v>294</v>
      </c>
      <c r="T285">
        <f t="shared" si="60"/>
        <v>307.42034517268451</v>
      </c>
      <c r="U285">
        <f t="shared" si="60"/>
        <v>340.86026295133433</v>
      </c>
      <c r="V285">
        <f t="shared" si="60"/>
        <v>314.7325176609105</v>
      </c>
      <c r="W285">
        <f t="shared" si="60"/>
        <v>335.50901098901107</v>
      </c>
      <c r="Y285" s="17">
        <f t="shared" ref="Y285" si="61">SUM(D285:W285)</f>
        <v>5669.7778510596545</v>
      </c>
      <c r="Z285">
        <f>SUMPRODUCT($D$286:$W$286,D285:W285)</f>
        <v>-731.19812473019419</v>
      </c>
    </row>
    <row r="286" spans="1:26" x14ac:dyDescent="0.25">
      <c r="A286" s="2" t="s">
        <v>71</v>
      </c>
      <c r="D286" s="3">
        <f>CORREL($B$2:$B$28,D254:D280)</f>
        <v>-0.14666066631962463</v>
      </c>
      <c r="E286" s="3">
        <f t="shared" ref="E286:W286" si="62">CORREL($B$2:$B$28,E254:E280)</f>
        <v>-0.2215153400781556</v>
      </c>
      <c r="F286" s="3">
        <f t="shared" si="62"/>
        <v>-0.29009040600912384</v>
      </c>
      <c r="G286" s="3">
        <f t="shared" si="62"/>
        <v>-6.3206624719946591E-2</v>
      </c>
      <c r="H286" s="3">
        <f t="shared" si="62"/>
        <v>-0.57886765316718958</v>
      </c>
      <c r="I286" s="3">
        <f t="shared" si="62"/>
        <v>7.2793526400023539E-2</v>
      </c>
      <c r="J286" s="3">
        <f t="shared" si="62"/>
        <v>9.0781818399943204E-2</v>
      </c>
      <c r="K286" s="3">
        <f t="shared" si="62"/>
        <v>-0.2864932461852413</v>
      </c>
      <c r="L286" s="3">
        <f t="shared" si="62"/>
        <v>-0.10664253971808542</v>
      </c>
      <c r="M286" s="3">
        <f t="shared" si="62"/>
        <v>-0.17778645475123064</v>
      </c>
      <c r="N286" s="3">
        <f t="shared" si="62"/>
        <v>-0.17663671130793304</v>
      </c>
      <c r="O286" s="3">
        <f t="shared" si="62"/>
        <v>-0.3562220193931791</v>
      </c>
      <c r="P286" s="3">
        <f t="shared" si="62"/>
        <v>-0.58977554583972458</v>
      </c>
      <c r="Q286" s="3">
        <f t="shared" si="62"/>
        <v>-0.23434068615932341</v>
      </c>
      <c r="R286" s="3">
        <f t="shared" si="62"/>
        <v>-0.21321841437574465</v>
      </c>
      <c r="S286" s="3">
        <f t="shared" si="62"/>
        <v>0.27602573547795134</v>
      </c>
      <c r="T286" s="3">
        <f t="shared" si="62"/>
        <v>0.18323193167231475</v>
      </c>
      <c r="U286" s="3">
        <f t="shared" si="62"/>
        <v>0.26761498927068839</v>
      </c>
      <c r="V286" s="3">
        <f t="shared" si="62"/>
        <v>-5.7264740219006634E-2</v>
      </c>
      <c r="W286" s="3">
        <f t="shared" si="62"/>
        <v>-0.23125848226423948</v>
      </c>
    </row>
    <row r="289" spans="1:26" x14ac:dyDescent="0.25">
      <c r="D289" t="s">
        <v>110</v>
      </c>
      <c r="E289" t="s">
        <v>111</v>
      </c>
      <c r="F289" t="s">
        <v>112</v>
      </c>
      <c r="G289" t="s">
        <v>113</v>
      </c>
      <c r="H289" t="s">
        <v>114</v>
      </c>
      <c r="I289" t="s">
        <v>115</v>
      </c>
      <c r="J289" t="s">
        <v>116</v>
      </c>
      <c r="K289" t="s">
        <v>117</v>
      </c>
      <c r="L289" t="s">
        <v>348</v>
      </c>
      <c r="M289" t="s">
        <v>392</v>
      </c>
      <c r="N289" t="s">
        <v>393</v>
      </c>
      <c r="O289" t="s">
        <v>394</v>
      </c>
      <c r="P289" t="s">
        <v>485</v>
      </c>
      <c r="Q289" t="s">
        <v>486</v>
      </c>
      <c r="R289" t="s">
        <v>487</v>
      </c>
      <c r="S289" t="s">
        <v>488</v>
      </c>
      <c r="T289" t="s">
        <v>597</v>
      </c>
      <c r="U289" t="s">
        <v>598</v>
      </c>
      <c r="V289" t="s">
        <v>599</v>
      </c>
      <c r="W289" t="s">
        <v>600</v>
      </c>
      <c r="Y289" t="s">
        <v>118</v>
      </c>
      <c r="Z289" t="s">
        <v>119</v>
      </c>
    </row>
    <row r="290" spans="1:26" x14ac:dyDescent="0.25">
      <c r="A290" t="s">
        <v>43</v>
      </c>
      <c r="D290">
        <f t="shared" ref="D290:W290" si="63">D2*D74</f>
        <v>167.17959183673469</v>
      </c>
      <c r="E290">
        <f t="shared" si="63"/>
        <v>160.74408163265309</v>
      </c>
      <c r="F290">
        <f t="shared" si="63"/>
        <v>150.3918367346939</v>
      </c>
      <c r="G290">
        <f t="shared" si="63"/>
        <v>140.31306122448981</v>
      </c>
      <c r="H290">
        <f t="shared" si="63"/>
        <v>142.87102040816328</v>
      </c>
      <c r="I290">
        <f t="shared" si="63"/>
        <v>123.57959183673468</v>
      </c>
      <c r="J290">
        <f t="shared" si="63"/>
        <v>123.05714285714285</v>
      </c>
      <c r="K290">
        <f t="shared" si="63"/>
        <v>140.99632653061221</v>
      </c>
      <c r="L290">
        <f t="shared" si="63"/>
        <v>114.73921874999998</v>
      </c>
      <c r="M290">
        <f t="shared" si="63"/>
        <v>95.421632653061209</v>
      </c>
      <c r="N290">
        <f t="shared" si="63"/>
        <v>117.85877551020407</v>
      </c>
      <c r="O290">
        <f t="shared" si="63"/>
        <v>107.72265306122449</v>
      </c>
      <c r="P290">
        <f t="shared" si="63"/>
        <v>125.92734693877553</v>
      </c>
      <c r="Q290">
        <f t="shared" si="63"/>
        <v>120.79714285714287</v>
      </c>
      <c r="R290">
        <f t="shared" si="63"/>
        <v>119.95102040816325</v>
      </c>
      <c r="S290">
        <f t="shared" si="63"/>
        <v>127.82367346938774</v>
      </c>
      <c r="T290">
        <f t="shared" si="63"/>
        <v>147.04591836734696</v>
      </c>
      <c r="U290">
        <f t="shared" si="63"/>
        <v>167.28979591836736</v>
      </c>
      <c r="V290">
        <f t="shared" si="63"/>
        <v>186.36734693877551</v>
      </c>
      <c r="W290">
        <f t="shared" si="63"/>
        <v>162.00979591836736</v>
      </c>
      <c r="Y290" s="17">
        <f t="shared" ref="Y290:Y319" si="64">SUM(D290:W290)</f>
        <v>2742.086973852041</v>
      </c>
      <c r="Z290">
        <f t="shared" ref="Z290:Z316" si="65">SUMPRODUCT($D$322:$W$322,D290:W290)</f>
        <v>-22.046519406408184</v>
      </c>
    </row>
    <row r="291" spans="1:26" x14ac:dyDescent="0.25">
      <c r="A291" t="s">
        <v>44</v>
      </c>
      <c r="D291">
        <f t="shared" ref="D291:W291" si="66">D3*D75</f>
        <v>171.15</v>
      </c>
      <c r="E291">
        <f t="shared" si="66"/>
        <v>156.56</v>
      </c>
      <c r="F291">
        <f t="shared" si="66"/>
        <v>151</v>
      </c>
      <c r="G291">
        <f t="shared" si="66"/>
        <v>139.16</v>
      </c>
      <c r="H291">
        <f t="shared" si="66"/>
        <v>142.10000000000002</v>
      </c>
      <c r="I291">
        <f t="shared" si="66"/>
        <v>140.76</v>
      </c>
      <c r="J291">
        <f t="shared" si="66"/>
        <v>94.38</v>
      </c>
      <c r="K291">
        <f t="shared" si="66"/>
        <v>133.44</v>
      </c>
      <c r="L291">
        <f t="shared" si="66"/>
        <v>109.61</v>
      </c>
      <c r="M291">
        <f t="shared" si="66"/>
        <v>93.149999999999991</v>
      </c>
      <c r="N291">
        <f t="shared" si="66"/>
        <v>115.62</v>
      </c>
      <c r="O291">
        <f t="shared" si="66"/>
        <v>109.04</v>
      </c>
      <c r="P291">
        <f t="shared" si="66"/>
        <v>118.92303296703295</v>
      </c>
      <c r="Q291">
        <f t="shared" si="66"/>
        <v>111.23186813186813</v>
      </c>
      <c r="R291">
        <f t="shared" si="66"/>
        <v>112.65848351648351</v>
      </c>
      <c r="S291">
        <f t="shared" si="66"/>
        <v>110.4</v>
      </c>
      <c r="T291">
        <f t="shared" si="66"/>
        <v>120.95439768089055</v>
      </c>
      <c r="U291">
        <f t="shared" si="66"/>
        <v>133.57110974025971</v>
      </c>
      <c r="V291">
        <f t="shared" si="66"/>
        <v>142.90820732838591</v>
      </c>
      <c r="W291">
        <f t="shared" si="66"/>
        <v>162.15486296382187</v>
      </c>
      <c r="Y291" s="17">
        <f t="shared" si="64"/>
        <v>2568.7719623287421</v>
      </c>
      <c r="Z291">
        <f t="shared" si="65"/>
        <v>-32.779751198465242</v>
      </c>
    </row>
    <row r="292" spans="1:26" x14ac:dyDescent="0.25">
      <c r="A292" t="s">
        <v>45</v>
      </c>
      <c r="D292">
        <f t="shared" ref="D292:W292" si="67">D4*D76</f>
        <v>183.23265306122448</v>
      </c>
      <c r="E292">
        <f t="shared" si="67"/>
        <v>163.19897959183675</v>
      </c>
      <c r="F292">
        <f t="shared" si="67"/>
        <v>157.13755102040815</v>
      </c>
      <c r="G292">
        <f t="shared" si="67"/>
        <v>134.69387755102045</v>
      </c>
      <c r="H292">
        <f t="shared" si="67"/>
        <v>151.3751020408163</v>
      </c>
      <c r="I292">
        <f t="shared" si="67"/>
        <v>141.97714285714287</v>
      </c>
      <c r="J292">
        <f t="shared" si="67"/>
        <v>81.342857142857142</v>
      </c>
      <c r="K292">
        <f t="shared" si="67"/>
        <v>124.12020408163265</v>
      </c>
      <c r="L292">
        <f t="shared" si="67"/>
        <v>132.99</v>
      </c>
      <c r="M292">
        <f t="shared" si="67"/>
        <v>96.654081632653046</v>
      </c>
      <c r="N292">
        <f t="shared" si="67"/>
        <v>117.41714285714288</v>
      </c>
      <c r="O292">
        <f t="shared" si="67"/>
        <v>112.1730612244898</v>
      </c>
      <c r="P292">
        <f t="shared" si="67"/>
        <v>107.62897959183674</v>
      </c>
      <c r="Q292">
        <f t="shared" si="67"/>
        <v>120.78367346938778</v>
      </c>
      <c r="R292">
        <f t="shared" si="67"/>
        <v>129.72897959183675</v>
      </c>
      <c r="S292">
        <f t="shared" si="67"/>
        <v>126.30857142857141</v>
      </c>
      <c r="T292">
        <f t="shared" si="67"/>
        <v>149.79428571428571</v>
      </c>
      <c r="U292">
        <f t="shared" si="67"/>
        <v>143.76408163265307</v>
      </c>
      <c r="V292">
        <f t="shared" si="67"/>
        <v>172.6130612244898</v>
      </c>
      <c r="W292">
        <f t="shared" si="67"/>
        <v>183.78428571428572</v>
      </c>
      <c r="Y292" s="17">
        <f t="shared" si="64"/>
        <v>2730.7185714285715</v>
      </c>
      <c r="Z292">
        <f t="shared" si="65"/>
        <v>-19.489200406393536</v>
      </c>
    </row>
    <row r="293" spans="1:26" x14ac:dyDescent="0.25">
      <c r="A293" t="s">
        <v>46</v>
      </c>
      <c r="D293">
        <f t="shared" ref="D293:W293" si="68">D5*D77</f>
        <v>168.02816326530615</v>
      </c>
      <c r="E293">
        <f t="shared" si="68"/>
        <v>151.03061224489795</v>
      </c>
      <c r="F293">
        <f t="shared" si="68"/>
        <v>132.90326530612245</v>
      </c>
      <c r="G293">
        <f t="shared" si="68"/>
        <v>133.23428571428565</v>
      </c>
      <c r="H293">
        <f t="shared" si="68"/>
        <v>121.62244897959185</v>
      </c>
      <c r="I293">
        <f t="shared" si="68"/>
        <v>113.03999999999999</v>
      </c>
      <c r="J293">
        <f t="shared" si="68"/>
        <v>120.41857142857141</v>
      </c>
      <c r="K293">
        <f t="shared" si="68"/>
        <v>107.36408163265307</v>
      </c>
      <c r="L293">
        <f t="shared" si="68"/>
        <v>102.9496875</v>
      </c>
      <c r="M293">
        <f t="shared" si="68"/>
        <v>98.364897959183679</v>
      </c>
      <c r="N293">
        <f t="shared" si="68"/>
        <v>79.743673469387758</v>
      </c>
      <c r="O293">
        <f t="shared" si="68"/>
        <v>88.983877551020399</v>
      </c>
      <c r="P293">
        <f t="shared" si="68"/>
        <v>94.413061224489795</v>
      </c>
      <c r="Q293">
        <f t="shared" si="68"/>
        <v>109.94693877551022</v>
      </c>
      <c r="R293">
        <f t="shared" si="68"/>
        <v>105.01346938775511</v>
      </c>
      <c r="S293">
        <f t="shared" si="68"/>
        <v>135.3857142857143</v>
      </c>
      <c r="T293">
        <f t="shared" si="68"/>
        <v>106.05551020408163</v>
      </c>
      <c r="U293">
        <f t="shared" si="68"/>
        <v>135.89000000000001</v>
      </c>
      <c r="V293">
        <f t="shared" si="68"/>
        <v>154.90469387755104</v>
      </c>
      <c r="W293">
        <f t="shared" si="68"/>
        <v>160.07244897959183</v>
      </c>
      <c r="Y293" s="17">
        <f t="shared" si="64"/>
        <v>2419.3654017857139</v>
      </c>
      <c r="Z293">
        <f t="shared" si="65"/>
        <v>-18.746083003652998</v>
      </c>
    </row>
    <row r="294" spans="1:26" x14ac:dyDescent="0.25">
      <c r="A294" t="s">
        <v>47</v>
      </c>
      <c r="D294">
        <f t="shared" ref="D294:W294" si="69">D6*D78</f>
        <v>173.19857142857146</v>
      </c>
      <c r="E294">
        <f t="shared" si="69"/>
        <v>166.39346938775509</v>
      </c>
      <c r="F294">
        <f t="shared" si="69"/>
        <v>162.31448979591835</v>
      </c>
      <c r="G294">
        <f t="shared" si="69"/>
        <v>150.63734693877552</v>
      </c>
      <c r="H294">
        <f t="shared" si="69"/>
        <v>166.07224489795919</v>
      </c>
      <c r="I294">
        <f t="shared" si="69"/>
        <v>131.37122448979591</v>
      </c>
      <c r="J294">
        <f t="shared" si="69"/>
        <v>117.64836734693881</v>
      </c>
      <c r="K294">
        <f t="shared" si="69"/>
        <v>96.385714285714286</v>
      </c>
      <c r="L294">
        <f t="shared" si="69"/>
        <v>106.27890624999999</v>
      </c>
      <c r="M294">
        <f t="shared" si="69"/>
        <v>125.68979591836731</v>
      </c>
      <c r="N294">
        <f t="shared" si="69"/>
        <v>119.14285714285717</v>
      </c>
      <c r="O294">
        <f t="shared" si="69"/>
        <v>104.40775510204082</v>
      </c>
      <c r="P294">
        <f t="shared" si="69"/>
        <v>128.27755102040817</v>
      </c>
      <c r="Q294">
        <f t="shared" si="69"/>
        <v>96.768163265306129</v>
      </c>
      <c r="R294">
        <f t="shared" si="69"/>
        <v>116.91122448979593</v>
      </c>
      <c r="S294">
        <f t="shared" si="69"/>
        <v>123.67346938775508</v>
      </c>
      <c r="T294">
        <f t="shared" si="69"/>
        <v>134.1551020408163</v>
      </c>
      <c r="U294">
        <f t="shared" si="69"/>
        <v>117.4334693877551</v>
      </c>
      <c r="V294">
        <f t="shared" si="69"/>
        <v>133.70204081632653</v>
      </c>
      <c r="W294">
        <f t="shared" si="69"/>
        <v>160.96081632653059</v>
      </c>
      <c r="Y294" s="17">
        <f t="shared" si="64"/>
        <v>2631.4225797193885</v>
      </c>
      <c r="Z294">
        <f t="shared" si="65"/>
        <v>-45.150718398856533</v>
      </c>
    </row>
    <row r="295" spans="1:26" x14ac:dyDescent="0.25">
      <c r="A295" t="s">
        <v>48</v>
      </c>
      <c r="D295">
        <f t="shared" ref="D295:W295" si="70">D7*D79</f>
        <v>197.20530612244895</v>
      </c>
      <c r="E295">
        <f t="shared" si="70"/>
        <v>153.73387755102044</v>
      </c>
      <c r="F295">
        <f t="shared" si="70"/>
        <v>167.63775510204084</v>
      </c>
      <c r="G295">
        <f t="shared" si="70"/>
        <v>161.09816326530614</v>
      </c>
      <c r="H295">
        <f t="shared" si="70"/>
        <v>134.67244897959188</v>
      </c>
      <c r="I295">
        <f t="shared" si="70"/>
        <v>147.29469387755097</v>
      </c>
      <c r="J295">
        <f t="shared" si="70"/>
        <v>123.17632653061226</v>
      </c>
      <c r="K295">
        <f t="shared" si="70"/>
        <v>124.2477551020408</v>
      </c>
      <c r="L295">
        <f t="shared" si="70"/>
        <v>105.07656249999999</v>
      </c>
      <c r="M295">
        <f t="shared" si="70"/>
        <v>72.93224489795918</v>
      </c>
      <c r="N295">
        <f t="shared" si="70"/>
        <v>93.94285714285715</v>
      </c>
      <c r="O295">
        <f t="shared" si="70"/>
        <v>95.284693877551035</v>
      </c>
      <c r="P295">
        <f t="shared" si="70"/>
        <v>125.51326530612243</v>
      </c>
      <c r="Q295">
        <f t="shared" si="70"/>
        <v>101.61367346938775</v>
      </c>
      <c r="R295">
        <f t="shared" si="70"/>
        <v>125.18081632653063</v>
      </c>
      <c r="S295">
        <f t="shared" si="70"/>
        <v>102.26938775510203</v>
      </c>
      <c r="T295">
        <f t="shared" si="70"/>
        <v>134.6108163265306</v>
      </c>
      <c r="U295">
        <f t="shared" si="70"/>
        <v>134.62061224489801</v>
      </c>
      <c r="V295">
        <f t="shared" si="70"/>
        <v>142.57163265306122</v>
      </c>
      <c r="W295">
        <f t="shared" si="70"/>
        <v>163.78775510204076</v>
      </c>
      <c r="Y295" s="17">
        <f t="shared" si="64"/>
        <v>2606.470644132653</v>
      </c>
      <c r="Z295">
        <f t="shared" si="65"/>
        <v>-36.643364338907148</v>
      </c>
    </row>
    <row r="296" spans="1:26" x14ac:dyDescent="0.25">
      <c r="A296" t="s">
        <v>49</v>
      </c>
      <c r="D296">
        <f t="shared" ref="D296:W296" si="71">D8*D80</f>
        <v>151.64081632653063</v>
      </c>
      <c r="E296">
        <f t="shared" si="71"/>
        <v>146.27959183673468</v>
      </c>
      <c r="F296">
        <f t="shared" si="71"/>
        <v>163.80000000000001</v>
      </c>
      <c r="G296">
        <f t="shared" si="71"/>
        <v>165.30571428571429</v>
      </c>
      <c r="H296">
        <f t="shared" si="71"/>
        <v>113.53224489795917</v>
      </c>
      <c r="I296">
        <f t="shared" si="71"/>
        <v>112.54591836734693</v>
      </c>
      <c r="J296">
        <f t="shared" si="71"/>
        <v>124.26285714285714</v>
      </c>
      <c r="K296">
        <f t="shared" si="71"/>
        <v>105.48571428571431</v>
      </c>
      <c r="L296">
        <f t="shared" si="71"/>
        <v>68.632031249999997</v>
      </c>
      <c r="M296">
        <f t="shared" si="71"/>
        <v>73.836734693877546</v>
      </c>
      <c r="N296">
        <f t="shared" si="71"/>
        <v>84.868571428571443</v>
      </c>
      <c r="O296">
        <f t="shared" si="71"/>
        <v>94.923061224489786</v>
      </c>
      <c r="P296">
        <f t="shared" si="71"/>
        <v>110.98938775510203</v>
      </c>
      <c r="Q296">
        <f t="shared" si="71"/>
        <v>107.76244897959182</v>
      </c>
      <c r="R296">
        <f t="shared" si="71"/>
        <v>118.03408163265304</v>
      </c>
      <c r="S296">
        <f t="shared" si="71"/>
        <v>85.694897959183692</v>
      </c>
      <c r="T296">
        <f t="shared" si="71"/>
        <v>101.42061224489797</v>
      </c>
      <c r="U296">
        <f t="shared" si="71"/>
        <v>120.61653061224487</v>
      </c>
      <c r="V296">
        <f t="shared" si="71"/>
        <v>139.68367346938777</v>
      </c>
      <c r="W296">
        <f t="shared" si="71"/>
        <v>147.70653061224488</v>
      </c>
      <c r="Y296" s="17">
        <f t="shared" si="64"/>
        <v>2337.0214190051024</v>
      </c>
      <c r="Z296">
        <f t="shared" si="65"/>
        <v>-41.548234302622873</v>
      </c>
    </row>
    <row r="297" spans="1:26" x14ac:dyDescent="0.25">
      <c r="A297" t="s">
        <v>50</v>
      </c>
      <c r="D297">
        <f t="shared" ref="D297:W297" si="72">D9*D81</f>
        <v>159.26326530612246</v>
      </c>
      <c r="E297">
        <f t="shared" si="72"/>
        <v>148.64061224489794</v>
      </c>
      <c r="F297">
        <f t="shared" si="72"/>
        <v>157.20448979591836</v>
      </c>
      <c r="G297">
        <f t="shared" si="72"/>
        <v>158.93</v>
      </c>
      <c r="H297">
        <f t="shared" si="72"/>
        <v>127.67999999999998</v>
      </c>
      <c r="I297">
        <f t="shared" si="72"/>
        <v>113.73795918367347</v>
      </c>
      <c r="J297">
        <f t="shared" si="72"/>
        <v>104.49877551020411</v>
      </c>
      <c r="K297">
        <f t="shared" si="72"/>
        <v>119.68653061224489</v>
      </c>
      <c r="L297">
        <f t="shared" si="72"/>
        <v>96.609375</v>
      </c>
      <c r="M297">
        <f t="shared" si="72"/>
        <v>117.79591836734694</v>
      </c>
      <c r="N297">
        <f t="shared" si="72"/>
        <v>99.006938775510221</v>
      </c>
      <c r="O297">
        <f t="shared" si="72"/>
        <v>111.39428571428574</v>
      </c>
      <c r="P297">
        <f t="shared" si="72"/>
        <v>98.824897959183659</v>
      </c>
      <c r="Q297">
        <f t="shared" si="72"/>
        <v>107.21591836734693</v>
      </c>
      <c r="R297">
        <f t="shared" si="72"/>
        <v>135.67591836734692</v>
      </c>
      <c r="S297">
        <f t="shared" si="72"/>
        <v>99.204285714285732</v>
      </c>
      <c r="T297">
        <f t="shared" si="72"/>
        <v>131.63224489795917</v>
      </c>
      <c r="U297">
        <f t="shared" si="72"/>
        <v>130.18530612244896</v>
      </c>
      <c r="V297">
        <f t="shared" si="72"/>
        <v>130.31183673469383</v>
      </c>
      <c r="W297">
        <f t="shared" si="72"/>
        <v>172.08367346938778</v>
      </c>
      <c r="Y297" s="17">
        <f t="shared" si="64"/>
        <v>2519.5822321428568</v>
      </c>
      <c r="Z297">
        <f t="shared" si="65"/>
        <v>-30.198743215767923</v>
      </c>
    </row>
    <row r="298" spans="1:26" x14ac:dyDescent="0.25">
      <c r="A298" t="s">
        <v>51</v>
      </c>
      <c r="D298">
        <f t="shared" ref="D298:W298" si="73">D10*D82</f>
        <v>166.96346938775514</v>
      </c>
      <c r="E298">
        <f t="shared" si="73"/>
        <v>162.05061224489796</v>
      </c>
      <c r="F298">
        <f t="shared" si="73"/>
        <v>109.78163265306121</v>
      </c>
      <c r="G298">
        <f t="shared" si="73"/>
        <v>113.33244897959182</v>
      </c>
      <c r="H298">
        <f t="shared" si="73"/>
        <v>146.63673469387751</v>
      </c>
      <c r="I298">
        <f t="shared" si="73"/>
        <v>174.57142857142861</v>
      </c>
      <c r="J298">
        <f t="shared" si="73"/>
        <v>131.74285714285713</v>
      </c>
      <c r="K298">
        <f t="shared" si="73"/>
        <v>95.257959183673464</v>
      </c>
      <c r="L298">
        <f t="shared" si="73"/>
        <v>107.32656250000001</v>
      </c>
      <c r="M298">
        <f t="shared" si="73"/>
        <v>115.04999999999997</v>
      </c>
      <c r="N298">
        <f t="shared" si="73"/>
        <v>115.20000000000002</v>
      </c>
      <c r="O298">
        <f t="shared" si="73"/>
        <v>92.107346938775521</v>
      </c>
      <c r="P298">
        <f t="shared" si="73"/>
        <v>161.44897959183675</v>
      </c>
      <c r="Q298">
        <f t="shared" si="73"/>
        <v>98.12897959183671</v>
      </c>
      <c r="R298">
        <f t="shared" si="73"/>
        <v>99.255102040816311</v>
      </c>
      <c r="S298">
        <f t="shared" si="73"/>
        <v>114.97714285714285</v>
      </c>
      <c r="T298">
        <f t="shared" si="73"/>
        <v>114.5504081632653</v>
      </c>
      <c r="U298">
        <f t="shared" si="73"/>
        <v>137.97551020408162</v>
      </c>
      <c r="V298">
        <f t="shared" si="73"/>
        <v>154.41959183673467</v>
      </c>
      <c r="W298">
        <f t="shared" si="73"/>
        <v>175.8857142857143</v>
      </c>
      <c r="Y298" s="17">
        <f t="shared" si="64"/>
        <v>2586.6624808673464</v>
      </c>
      <c r="Z298">
        <f t="shared" si="65"/>
        <v>-41.183890019295575</v>
      </c>
    </row>
    <row r="299" spans="1:26" x14ac:dyDescent="0.25">
      <c r="A299" t="s">
        <v>52</v>
      </c>
      <c r="D299">
        <f t="shared" ref="D299:W299" si="74">D11*D83</f>
        <v>149.56081632653061</v>
      </c>
      <c r="E299">
        <f t="shared" si="74"/>
        <v>176.55795918367346</v>
      </c>
      <c r="F299">
        <f t="shared" si="74"/>
        <v>166.65469387755104</v>
      </c>
      <c r="G299">
        <f t="shared" si="74"/>
        <v>133.43020408163264</v>
      </c>
      <c r="H299">
        <f t="shared" si="74"/>
        <v>112.87346938775511</v>
      </c>
      <c r="I299">
        <f t="shared" si="74"/>
        <v>97.746122448979619</v>
      </c>
      <c r="J299">
        <f t="shared" si="74"/>
        <v>122.01714285714284</v>
      </c>
      <c r="K299">
        <f t="shared" si="74"/>
        <v>97.025306122448967</v>
      </c>
      <c r="L299">
        <f t="shared" si="74"/>
        <v>91.989843749999991</v>
      </c>
      <c r="M299">
        <f t="shared" si="74"/>
        <v>94.578979591836742</v>
      </c>
      <c r="N299">
        <f t="shared" si="74"/>
        <v>65.378571428571433</v>
      </c>
      <c r="O299">
        <f t="shared" si="74"/>
        <v>94.906734693877539</v>
      </c>
      <c r="P299">
        <f t="shared" si="74"/>
        <v>101.01795918367348</v>
      </c>
      <c r="Q299">
        <f t="shared" si="74"/>
        <v>115.84571428571428</v>
      </c>
      <c r="R299">
        <f t="shared" si="74"/>
        <v>127.32775510204083</v>
      </c>
      <c r="S299">
        <f t="shared" si="74"/>
        <v>120.15224489795918</v>
      </c>
      <c r="T299">
        <f t="shared" si="74"/>
        <v>112.70204081632652</v>
      </c>
      <c r="U299">
        <f t="shared" si="74"/>
        <v>130.14040816326531</v>
      </c>
      <c r="V299">
        <f t="shared" si="74"/>
        <v>115.3004081632653</v>
      </c>
      <c r="W299">
        <f t="shared" si="74"/>
        <v>166.14</v>
      </c>
      <c r="Y299" s="17">
        <f t="shared" si="64"/>
        <v>2391.3463743622442</v>
      </c>
      <c r="Z299">
        <f t="shared" si="65"/>
        <v>-24.336567602454945</v>
      </c>
    </row>
    <row r="300" spans="1:26" x14ac:dyDescent="0.25">
      <c r="A300" t="s">
        <v>53</v>
      </c>
      <c r="D300">
        <f t="shared" ref="D300:W300" si="75">D12*D84</f>
        <v>161.32897959183671</v>
      </c>
      <c r="E300">
        <f t="shared" si="75"/>
        <v>147.56</v>
      </c>
      <c r="F300">
        <f t="shared" si="75"/>
        <v>131.52979591836734</v>
      </c>
      <c r="G300">
        <f t="shared" si="75"/>
        <v>136.78918367346938</v>
      </c>
      <c r="H300">
        <f t="shared" si="75"/>
        <v>134.02142857142857</v>
      </c>
      <c r="I300">
        <f t="shared" si="75"/>
        <v>108.70714285714284</v>
      </c>
      <c r="J300">
        <f t="shared" si="75"/>
        <v>121.44000000000003</v>
      </c>
      <c r="K300">
        <f t="shared" si="75"/>
        <v>117.25224489795919</v>
      </c>
      <c r="L300">
        <f t="shared" si="75"/>
        <v>123.54749999999999</v>
      </c>
      <c r="M300">
        <f t="shared" si="75"/>
        <v>129.97959183673467</v>
      </c>
      <c r="N300">
        <f t="shared" si="75"/>
        <v>116.29571428571431</v>
      </c>
      <c r="O300">
        <f t="shared" si="75"/>
        <v>74.929183673469382</v>
      </c>
      <c r="P300">
        <f t="shared" si="75"/>
        <v>120.51795918367347</v>
      </c>
      <c r="Q300">
        <f t="shared" si="75"/>
        <v>104.43469387755103</v>
      </c>
      <c r="R300">
        <f t="shared" si="75"/>
        <v>115.74775510204081</v>
      </c>
      <c r="S300">
        <f t="shared" si="75"/>
        <v>130.00142857142856</v>
      </c>
      <c r="T300">
        <f t="shared" si="75"/>
        <v>143</v>
      </c>
      <c r="U300">
        <f t="shared" si="75"/>
        <v>137.44367346938776</v>
      </c>
      <c r="V300">
        <f t="shared" si="75"/>
        <v>158.39959183673466</v>
      </c>
      <c r="W300">
        <f t="shared" si="75"/>
        <v>157.52938775510205</v>
      </c>
      <c r="Y300" s="17">
        <f t="shared" si="64"/>
        <v>2570.4552551020406</v>
      </c>
      <c r="Z300">
        <f t="shared" si="65"/>
        <v>-24.914901061024043</v>
      </c>
    </row>
    <row r="301" spans="1:26" x14ac:dyDescent="0.25">
      <c r="A301" t="s">
        <v>54</v>
      </c>
      <c r="D301">
        <f t="shared" ref="D301:W301" si="76">D13*D85</f>
        <v>152.98530612244897</v>
      </c>
      <c r="E301">
        <f t="shared" si="76"/>
        <v>142.8908163265306</v>
      </c>
      <c r="F301">
        <f t="shared" si="76"/>
        <v>122.08408163265305</v>
      </c>
      <c r="G301">
        <f t="shared" si="76"/>
        <v>114.9657142857143</v>
      </c>
      <c r="H301">
        <f t="shared" si="76"/>
        <v>113.46122448979591</v>
      </c>
      <c r="I301">
        <f t="shared" si="76"/>
        <v>116.46816326530609</v>
      </c>
      <c r="J301">
        <f t="shared" si="76"/>
        <v>94.906734693877539</v>
      </c>
      <c r="K301">
        <f t="shared" si="76"/>
        <v>110.94530612244898</v>
      </c>
      <c r="L301">
        <f t="shared" si="76"/>
        <v>105.59109375000001</v>
      </c>
      <c r="M301">
        <f t="shared" si="76"/>
        <v>103.5806</v>
      </c>
      <c r="N301">
        <f t="shared" si="76"/>
        <v>81.073800000000006</v>
      </c>
      <c r="O301">
        <f t="shared" si="76"/>
        <v>75.886299999999991</v>
      </c>
      <c r="P301">
        <f t="shared" si="76"/>
        <v>87.604399999999998</v>
      </c>
      <c r="Q301">
        <f t="shared" si="76"/>
        <v>103.50989999999999</v>
      </c>
      <c r="R301">
        <f t="shared" si="76"/>
        <v>83.286900000000003</v>
      </c>
      <c r="S301">
        <f t="shared" si="76"/>
        <v>112</v>
      </c>
      <c r="T301">
        <f t="shared" si="76"/>
        <v>112.9472</v>
      </c>
      <c r="U301">
        <f t="shared" si="76"/>
        <v>145.71180000000001</v>
      </c>
      <c r="V301">
        <f t="shared" si="76"/>
        <v>126.828</v>
      </c>
      <c r="W301">
        <f t="shared" si="76"/>
        <v>163.58189999999999</v>
      </c>
      <c r="Y301" s="17">
        <f t="shared" si="64"/>
        <v>2270.3092406887754</v>
      </c>
      <c r="Z301">
        <f t="shared" si="65"/>
        <v>-8.1753963904117199</v>
      </c>
    </row>
    <row r="302" spans="1:26" x14ac:dyDescent="0.25">
      <c r="A302" t="s">
        <v>55</v>
      </c>
      <c r="D302">
        <f t="shared" ref="D302:W302" si="77">D14*D86</f>
        <v>196.24299999999999</v>
      </c>
      <c r="E302">
        <f t="shared" si="77"/>
        <v>189.61880000000002</v>
      </c>
      <c r="F302">
        <f t="shared" si="77"/>
        <v>160.40430000000001</v>
      </c>
      <c r="G302">
        <f t="shared" si="77"/>
        <v>163.64419999999998</v>
      </c>
      <c r="H302">
        <f t="shared" si="77"/>
        <v>133.93600000000001</v>
      </c>
      <c r="I302">
        <f t="shared" si="77"/>
        <v>132.77779999999998</v>
      </c>
      <c r="J302">
        <f t="shared" si="77"/>
        <v>118.91879999999999</v>
      </c>
      <c r="K302">
        <f t="shared" si="77"/>
        <v>118.17829999999999</v>
      </c>
      <c r="L302">
        <f t="shared" si="77"/>
        <v>100.66699999999999</v>
      </c>
      <c r="M302">
        <f t="shared" si="77"/>
        <v>113.99142857142859</v>
      </c>
      <c r="N302">
        <f t="shared" si="77"/>
        <v>109.65612244897959</v>
      </c>
      <c r="O302">
        <f t="shared" si="77"/>
        <v>80.329795918367367</v>
      </c>
      <c r="P302">
        <f t="shared" si="77"/>
        <v>95.120816326530573</v>
      </c>
      <c r="Q302">
        <f t="shared" si="77"/>
        <v>128.19285714285715</v>
      </c>
      <c r="R302">
        <f t="shared" si="77"/>
        <v>110.67918367346938</v>
      </c>
      <c r="S302">
        <f t="shared" si="77"/>
        <v>133.14938775510203</v>
      </c>
      <c r="T302">
        <f t="shared" si="77"/>
        <v>116.6969387755102</v>
      </c>
      <c r="U302">
        <f t="shared" si="77"/>
        <v>121.87714285714287</v>
      </c>
      <c r="V302">
        <f t="shared" si="77"/>
        <v>173.06938775510207</v>
      </c>
      <c r="W302">
        <f t="shared" si="77"/>
        <v>155.10857142857142</v>
      </c>
      <c r="Y302" s="17">
        <f t="shared" si="64"/>
        <v>2652.259832653061</v>
      </c>
      <c r="Z302">
        <f t="shared" si="65"/>
        <v>-24.865381588102952</v>
      </c>
    </row>
    <row r="303" spans="1:26" x14ac:dyDescent="0.25">
      <c r="A303" t="s">
        <v>56</v>
      </c>
      <c r="D303">
        <f t="shared" ref="D303:W303" si="78">D15*D87</f>
        <v>182.81714285714287</v>
      </c>
      <c r="E303">
        <f t="shared" si="78"/>
        <v>170.72448979591834</v>
      </c>
      <c r="F303">
        <f t="shared" si="78"/>
        <v>152.74530612244899</v>
      </c>
      <c r="G303">
        <f t="shared" si="78"/>
        <v>139.39551020408163</v>
      </c>
      <c r="H303">
        <f t="shared" si="78"/>
        <v>118.06142857142855</v>
      </c>
      <c r="I303">
        <f t="shared" si="78"/>
        <v>119.90857142857142</v>
      </c>
      <c r="J303">
        <f t="shared" si="78"/>
        <v>95.299999999999983</v>
      </c>
      <c r="K303">
        <f t="shared" si="78"/>
        <v>100.40816326530613</v>
      </c>
      <c r="L303">
        <f t="shared" si="78"/>
        <v>99.669375000000002</v>
      </c>
      <c r="M303">
        <f t="shared" si="78"/>
        <v>97.510612244897956</v>
      </c>
      <c r="N303">
        <f t="shared" si="78"/>
        <v>87.586530612244886</v>
      </c>
      <c r="O303">
        <f t="shared" si="78"/>
        <v>114.54285714285716</v>
      </c>
      <c r="P303">
        <f t="shared" si="78"/>
        <v>111.08571428571427</v>
      </c>
      <c r="Q303">
        <f t="shared" si="78"/>
        <v>93.888979591836701</v>
      </c>
      <c r="R303">
        <f t="shared" si="78"/>
        <v>125.51673469387755</v>
      </c>
      <c r="S303">
        <f t="shared" si="78"/>
        <v>154.60306122448981</v>
      </c>
      <c r="T303">
        <f t="shared" si="78"/>
        <v>152.25408163265308</v>
      </c>
      <c r="U303">
        <f t="shared" si="78"/>
        <v>171.0012244897959</v>
      </c>
      <c r="V303">
        <f t="shared" si="78"/>
        <v>163.09857142857143</v>
      </c>
      <c r="W303">
        <f t="shared" si="78"/>
        <v>163.72040816326529</v>
      </c>
      <c r="Y303" s="17">
        <f t="shared" si="64"/>
        <v>2613.8387627551019</v>
      </c>
      <c r="Z303">
        <f t="shared" si="65"/>
        <v>1.3569858696422585</v>
      </c>
    </row>
    <row r="304" spans="1:26" x14ac:dyDescent="0.25">
      <c r="A304" t="s">
        <v>57</v>
      </c>
      <c r="D304">
        <f t="shared" ref="D304:W304" si="79">D16*D88</f>
        <v>164.0334693877551</v>
      </c>
      <c r="E304">
        <f t="shared" si="79"/>
        <v>158.1538775510204</v>
      </c>
      <c r="F304">
        <f t="shared" si="79"/>
        <v>142.6612244897959</v>
      </c>
      <c r="G304">
        <f t="shared" si="79"/>
        <v>119.44346938775512</v>
      </c>
      <c r="H304">
        <f t="shared" si="79"/>
        <v>120.01653061224491</v>
      </c>
      <c r="I304">
        <f t="shared" si="79"/>
        <v>108.42857142857142</v>
      </c>
      <c r="J304">
        <f t="shared" si="79"/>
        <v>96.985306122449003</v>
      </c>
      <c r="K304">
        <f t="shared" si="79"/>
        <v>106.06040816326532</v>
      </c>
      <c r="L304">
        <f t="shared" si="79"/>
        <v>105.63906250000001</v>
      </c>
      <c r="M304">
        <f t="shared" si="79"/>
        <v>109.76326530612245</v>
      </c>
      <c r="N304">
        <f t="shared" si="79"/>
        <v>101.39265306122451</v>
      </c>
      <c r="O304">
        <f t="shared" si="79"/>
        <v>109.14897959183675</v>
      </c>
      <c r="P304">
        <f t="shared" si="79"/>
        <v>122.09714285714286</v>
      </c>
      <c r="Q304">
        <f t="shared" si="79"/>
        <v>108.51591836734696</v>
      </c>
      <c r="R304">
        <f t="shared" si="79"/>
        <v>111.46163265306122</v>
      </c>
      <c r="S304">
        <f t="shared" si="79"/>
        <v>90.361836734693853</v>
      </c>
      <c r="T304">
        <f t="shared" si="79"/>
        <v>124.88571428571429</v>
      </c>
      <c r="U304">
        <f t="shared" si="79"/>
        <v>131.23979591836738</v>
      </c>
      <c r="V304">
        <f t="shared" si="79"/>
        <v>129.68163265306123</v>
      </c>
      <c r="W304">
        <f t="shared" si="79"/>
        <v>152.15510204081633</v>
      </c>
      <c r="Y304" s="17">
        <f t="shared" si="64"/>
        <v>2412.1255931122455</v>
      </c>
      <c r="Z304">
        <f t="shared" si="65"/>
        <v>-30.793963854119447</v>
      </c>
    </row>
    <row r="305" spans="1:26" x14ac:dyDescent="0.25">
      <c r="A305" t="s">
        <v>58</v>
      </c>
      <c r="D305">
        <f t="shared" ref="D305:W305" si="80">D17*D89</f>
        <v>173.43183673469392</v>
      </c>
      <c r="E305">
        <f t="shared" si="80"/>
        <v>166.34857142857138</v>
      </c>
      <c r="F305">
        <f t="shared" si="80"/>
        <v>153.87755102040819</v>
      </c>
      <c r="G305">
        <f t="shared" si="80"/>
        <v>129.78285714285713</v>
      </c>
      <c r="H305">
        <f t="shared" si="80"/>
        <v>138.3559183673469</v>
      </c>
      <c r="I305">
        <f t="shared" si="80"/>
        <v>100.13142857142857</v>
      </c>
      <c r="J305">
        <f t="shared" si="80"/>
        <v>103.91836734693878</v>
      </c>
      <c r="K305">
        <f t="shared" si="80"/>
        <v>109.54408163265306</v>
      </c>
      <c r="L305">
        <f t="shared" si="80"/>
        <v>95.131874999999994</v>
      </c>
      <c r="M305">
        <f t="shared" si="80"/>
        <v>0</v>
      </c>
      <c r="N305">
        <f t="shared" si="80"/>
        <v>89.872653061224497</v>
      </c>
      <c r="O305">
        <f t="shared" si="80"/>
        <v>97.064489795918377</v>
      </c>
      <c r="P305">
        <f t="shared" si="80"/>
        <v>123.00857142857141</v>
      </c>
      <c r="Q305">
        <f t="shared" si="80"/>
        <v>72.014693877551011</v>
      </c>
      <c r="R305">
        <f t="shared" si="80"/>
        <v>93.037551020408173</v>
      </c>
      <c r="S305">
        <f t="shared" si="80"/>
        <v>78.394285714285715</v>
      </c>
      <c r="T305">
        <f t="shared" si="80"/>
        <v>103.60163265306124</v>
      </c>
      <c r="U305">
        <f t="shared" si="80"/>
        <v>134.81326530612245</v>
      </c>
      <c r="V305">
        <f t="shared" si="80"/>
        <v>117.57857142857141</v>
      </c>
      <c r="W305">
        <f t="shared" si="80"/>
        <v>132.45673469387754</v>
      </c>
      <c r="Y305" s="17">
        <f t="shared" si="64"/>
        <v>2212.3649362244901</v>
      </c>
      <c r="Z305">
        <f t="shared" si="65"/>
        <v>-44.058177378837172</v>
      </c>
    </row>
    <row r="306" spans="1:26" x14ac:dyDescent="0.25">
      <c r="A306" t="s">
        <v>59</v>
      </c>
      <c r="D306">
        <f t="shared" ref="D306:W306" si="81">D18*D90</f>
        <v>172.36693877551022</v>
      </c>
      <c r="E306">
        <f t="shared" si="81"/>
        <v>181.75591836734691</v>
      </c>
      <c r="F306">
        <f t="shared" si="81"/>
        <v>160.05816326530615</v>
      </c>
      <c r="G306">
        <f t="shared" si="81"/>
        <v>143.76673469387754</v>
      </c>
      <c r="H306">
        <f t="shared" si="81"/>
        <v>142.75102040816327</v>
      </c>
      <c r="I306">
        <f t="shared" si="81"/>
        <v>120.32653061224488</v>
      </c>
      <c r="J306">
        <f t="shared" si="81"/>
        <v>114.35102040816327</v>
      </c>
      <c r="K306">
        <f t="shared" si="81"/>
        <v>120.15714285714287</v>
      </c>
      <c r="L306">
        <f t="shared" si="81"/>
        <v>124.24285714285716</v>
      </c>
      <c r="M306">
        <f t="shared" si="81"/>
        <v>103.14367346938775</v>
      </c>
      <c r="N306">
        <f t="shared" si="81"/>
        <v>115.40775510204084</v>
      </c>
      <c r="O306">
        <f t="shared" si="81"/>
        <v>100.3161224489796</v>
      </c>
      <c r="P306">
        <f t="shared" si="81"/>
        <v>92.894693877550992</v>
      </c>
      <c r="Q306">
        <f t="shared" si="81"/>
        <v>96.161632653061218</v>
      </c>
      <c r="R306">
        <f t="shared" si="81"/>
        <v>94.701020408163245</v>
      </c>
      <c r="S306">
        <f t="shared" si="81"/>
        <v>135.19285714285715</v>
      </c>
      <c r="T306">
        <f t="shared" si="81"/>
        <v>146.03265306122452</v>
      </c>
      <c r="U306">
        <f t="shared" si="81"/>
        <v>152.91326530612247</v>
      </c>
      <c r="V306">
        <f t="shared" si="81"/>
        <v>157.93714285714287</v>
      </c>
      <c r="W306">
        <f t="shared" si="81"/>
        <v>108.24489795918367</v>
      </c>
      <c r="Y306" s="17">
        <f t="shared" si="64"/>
        <v>2582.7220408163266</v>
      </c>
      <c r="Z306">
        <f t="shared" si="65"/>
        <v>2.8009731137749263</v>
      </c>
    </row>
    <row r="307" spans="1:26" x14ac:dyDescent="0.25">
      <c r="A307" t="s">
        <v>60</v>
      </c>
      <c r="D307">
        <f t="shared" ref="D307:W307" si="82">D19*D91</f>
        <v>152.80040816326527</v>
      </c>
      <c r="E307">
        <f t="shared" si="82"/>
        <v>136.52244897959184</v>
      </c>
      <c r="F307">
        <f t="shared" si="82"/>
        <v>134.39693877551019</v>
      </c>
      <c r="G307">
        <f t="shared" si="82"/>
        <v>136.58061224489791</v>
      </c>
      <c r="H307">
        <f t="shared" si="82"/>
        <v>105.04</v>
      </c>
      <c r="I307">
        <f t="shared" si="82"/>
        <v>113.88367346938774</v>
      </c>
      <c r="J307">
        <f t="shared" si="82"/>
        <v>114.33142857142855</v>
      </c>
      <c r="K307">
        <f t="shared" si="82"/>
        <v>120.23510204081634</v>
      </c>
      <c r="L307">
        <f t="shared" si="82"/>
        <v>98.099999999999966</v>
      </c>
      <c r="M307">
        <f t="shared" si="82"/>
        <v>106.38</v>
      </c>
      <c r="N307">
        <f t="shared" si="82"/>
        <v>122.69285714285715</v>
      </c>
      <c r="O307">
        <f t="shared" si="82"/>
        <v>106.38571428571426</v>
      </c>
      <c r="P307">
        <f t="shared" si="82"/>
        <v>110.44897959183673</v>
      </c>
      <c r="Q307">
        <f t="shared" si="82"/>
        <v>130.39346938775509</v>
      </c>
      <c r="R307">
        <f t="shared" si="82"/>
        <v>123.21877551020411</v>
      </c>
      <c r="S307">
        <f t="shared" si="82"/>
        <v>124.44244897959182</v>
      </c>
      <c r="T307">
        <f t="shared" si="82"/>
        <v>160.77306122448985</v>
      </c>
      <c r="U307">
        <f t="shared" si="82"/>
        <v>167.52469387755104</v>
      </c>
      <c r="V307">
        <f t="shared" si="82"/>
        <v>129.30612244897961</v>
      </c>
      <c r="W307">
        <f t="shared" si="82"/>
        <v>150.75591836734696</v>
      </c>
      <c r="Y307" s="17">
        <f t="shared" si="64"/>
        <v>2544.212653061224</v>
      </c>
      <c r="Z307">
        <f t="shared" si="65"/>
        <v>4.1779670872874242</v>
      </c>
    </row>
    <row r="308" spans="1:26" x14ac:dyDescent="0.25">
      <c r="A308" t="s">
        <v>61</v>
      </c>
      <c r="D308">
        <f t="shared" ref="D308:W308" si="83">D20*D92</f>
        <v>191.48734693877552</v>
      </c>
      <c r="E308">
        <f t="shared" si="83"/>
        <v>188.27571428571432</v>
      </c>
      <c r="F308">
        <f t="shared" si="83"/>
        <v>156.61653061224493</v>
      </c>
      <c r="G308">
        <f t="shared" si="83"/>
        <v>153.63612244897956</v>
      </c>
      <c r="H308">
        <f t="shared" si="83"/>
        <v>153.22285714285712</v>
      </c>
      <c r="I308">
        <f t="shared" si="83"/>
        <v>125.3857142857143</v>
      </c>
      <c r="J308">
        <f t="shared" si="83"/>
        <v>128.87510204081633</v>
      </c>
      <c r="K308">
        <f t="shared" si="83"/>
        <v>107.14897959183673</v>
      </c>
      <c r="L308">
        <f t="shared" si="83"/>
        <v>94.185937499999994</v>
      </c>
      <c r="M308">
        <f t="shared" si="83"/>
        <v>93.527551020408183</v>
      </c>
      <c r="N308">
        <f t="shared" si="83"/>
        <v>98.770816326530607</v>
      </c>
      <c r="O308">
        <f t="shared" si="83"/>
        <v>102.62326530612245</v>
      </c>
      <c r="P308">
        <f t="shared" si="83"/>
        <v>85.851428571428585</v>
      </c>
      <c r="Q308">
        <f t="shared" si="83"/>
        <v>98.574693877551027</v>
      </c>
      <c r="R308">
        <f t="shared" si="83"/>
        <v>83.026530612244926</v>
      </c>
      <c r="S308">
        <f t="shared" si="83"/>
        <v>128.83551020408163</v>
      </c>
      <c r="T308">
        <f t="shared" si="83"/>
        <v>121.58448979591834</v>
      </c>
      <c r="U308">
        <f t="shared" si="83"/>
        <v>132.78612244897957</v>
      </c>
      <c r="V308">
        <f t="shared" si="83"/>
        <v>123.88999999999999</v>
      </c>
      <c r="W308">
        <f t="shared" si="83"/>
        <v>166.33469387755102</v>
      </c>
      <c r="Y308" s="17">
        <f t="shared" si="64"/>
        <v>2534.6394068877553</v>
      </c>
      <c r="Z308">
        <f t="shared" si="65"/>
        <v>-23.500299725891043</v>
      </c>
    </row>
    <row r="309" spans="1:26" x14ac:dyDescent="0.25">
      <c r="A309" t="s">
        <v>62</v>
      </c>
      <c r="D309">
        <f t="shared" ref="D309:W309" si="84">D21*D93</f>
        <v>166.81142857142859</v>
      </c>
      <c r="E309">
        <f t="shared" si="84"/>
        <v>176.04</v>
      </c>
      <c r="F309">
        <f t="shared" si="84"/>
        <v>180.33265306122448</v>
      </c>
      <c r="G309">
        <f t="shared" si="84"/>
        <v>141.89142857142861</v>
      </c>
      <c r="H309">
        <f t="shared" si="84"/>
        <v>142.5061224489796</v>
      </c>
      <c r="I309">
        <f t="shared" si="84"/>
        <v>131.79999999999998</v>
      </c>
      <c r="J309">
        <f t="shared" si="84"/>
        <v>118.75469387755103</v>
      </c>
      <c r="K309">
        <f t="shared" si="84"/>
        <v>110.26755102040818</v>
      </c>
      <c r="L309">
        <f t="shared" si="84"/>
        <v>117.21656250000001</v>
      </c>
      <c r="M309">
        <f t="shared" si="84"/>
        <v>85.628571428571419</v>
      </c>
      <c r="N309">
        <f t="shared" si="84"/>
        <v>89.691428571428574</v>
      </c>
      <c r="O309">
        <f t="shared" si="84"/>
        <v>87.133061224489779</v>
      </c>
      <c r="P309">
        <f t="shared" si="84"/>
        <v>78.471836734693881</v>
      </c>
      <c r="Q309">
        <f t="shared" si="84"/>
        <v>98.745306122448966</v>
      </c>
      <c r="R309">
        <f t="shared" si="84"/>
        <v>126.29571428571428</v>
      </c>
      <c r="S309">
        <f t="shared" si="84"/>
        <v>140.0277551020408</v>
      </c>
      <c r="T309">
        <f t="shared" si="84"/>
        <v>86.190612244897949</v>
      </c>
      <c r="U309">
        <f t="shared" si="84"/>
        <v>156.85326530612241</v>
      </c>
      <c r="V309">
        <f t="shared" si="84"/>
        <v>153.52734693877551</v>
      </c>
      <c r="W309">
        <f t="shared" si="84"/>
        <v>181.88326530612244</v>
      </c>
      <c r="Y309" s="17">
        <f t="shared" si="64"/>
        <v>2570.0686033163265</v>
      </c>
      <c r="Z309">
        <f t="shared" si="65"/>
        <v>-13.345867201828373</v>
      </c>
    </row>
    <row r="310" spans="1:26" x14ac:dyDescent="0.25">
      <c r="A310" t="s">
        <v>63</v>
      </c>
      <c r="D310">
        <f t="shared" ref="D310:W310" si="85">D22*D94</f>
        <v>155.92040816326531</v>
      </c>
      <c r="E310">
        <f t="shared" si="85"/>
        <v>145.0995918367347</v>
      </c>
      <c r="F310">
        <f t="shared" si="85"/>
        <v>137.82612244897962</v>
      </c>
      <c r="G310">
        <f t="shared" si="85"/>
        <v>136.02142857142857</v>
      </c>
      <c r="H310">
        <f t="shared" si="85"/>
        <v>114.12897959183674</v>
      </c>
      <c r="I310">
        <f t="shared" si="85"/>
        <v>289.21020408163264</v>
      </c>
      <c r="J310">
        <f t="shared" si="85"/>
        <v>96.67326530612246</v>
      </c>
      <c r="K310">
        <f t="shared" si="85"/>
        <v>85.463265306122452</v>
      </c>
      <c r="L310">
        <f t="shared" si="85"/>
        <v>82.921875</v>
      </c>
      <c r="M310">
        <f t="shared" si="85"/>
        <v>89.199183673469406</v>
      </c>
      <c r="N310">
        <f t="shared" si="85"/>
        <v>99.509999999999977</v>
      </c>
      <c r="O310">
        <f t="shared" si="85"/>
        <v>123.14</v>
      </c>
      <c r="P310">
        <f t="shared" si="85"/>
        <v>83.945510204081614</v>
      </c>
      <c r="Q310">
        <f t="shared" si="85"/>
        <v>120.31591836734695</v>
      </c>
      <c r="R310">
        <f t="shared" si="85"/>
        <v>115.45510204081633</v>
      </c>
      <c r="S310">
        <f t="shared" si="85"/>
        <v>140.01428571428571</v>
      </c>
      <c r="T310">
        <f t="shared" si="85"/>
        <v>153.730612244898</v>
      </c>
      <c r="U310">
        <f t="shared" si="85"/>
        <v>151.04979591836732</v>
      </c>
      <c r="V310">
        <f t="shared" si="85"/>
        <v>132.53632653061229</v>
      </c>
      <c r="W310">
        <f t="shared" si="85"/>
        <v>165.17551020408169</v>
      </c>
      <c r="Y310" s="17">
        <f t="shared" si="64"/>
        <v>2617.3373852040813</v>
      </c>
      <c r="Z310">
        <f t="shared" si="65"/>
        <v>46.112998503908585</v>
      </c>
    </row>
    <row r="311" spans="1:26" x14ac:dyDescent="0.25">
      <c r="A311" t="s">
        <v>64</v>
      </c>
      <c r="D311">
        <f t="shared" ref="D311:W311" si="86">D23*D95</f>
        <v>180.05408163265304</v>
      </c>
      <c r="E311">
        <f t="shared" si="86"/>
        <v>179.20000000000002</v>
      </c>
      <c r="F311">
        <f t="shared" si="86"/>
        <v>160.80000000000001</v>
      </c>
      <c r="G311">
        <f t="shared" si="86"/>
        <v>150.3677551020408</v>
      </c>
      <c r="H311">
        <f t="shared" si="86"/>
        <v>121.28775510204082</v>
      </c>
      <c r="I311">
        <f t="shared" si="86"/>
        <v>138.82857142857142</v>
      </c>
      <c r="J311">
        <f t="shared" si="86"/>
        <v>115.75265306122448</v>
      </c>
      <c r="K311">
        <f t="shared" si="86"/>
        <v>129.8195918367347</v>
      </c>
      <c r="L311">
        <f t="shared" si="86"/>
        <v>122.9765625</v>
      </c>
      <c r="M311">
        <f t="shared" si="86"/>
        <v>104.28673469387755</v>
      </c>
      <c r="N311">
        <f t="shared" si="86"/>
        <v>98.27918367346939</v>
      </c>
      <c r="O311">
        <f t="shared" si="86"/>
        <v>99.486122448979586</v>
      </c>
      <c r="P311">
        <f t="shared" si="86"/>
        <v>123.42857142857143</v>
      </c>
      <c r="Q311">
        <f t="shared" si="86"/>
        <v>109.98612244897961</v>
      </c>
      <c r="R311">
        <f t="shared" si="86"/>
        <v>135.74</v>
      </c>
      <c r="S311">
        <f t="shared" si="86"/>
        <v>131.98367346938775</v>
      </c>
      <c r="T311">
        <f t="shared" si="86"/>
        <v>154.67346938775509</v>
      </c>
      <c r="U311">
        <f t="shared" si="86"/>
        <v>144.19918367346938</v>
      </c>
      <c r="V311">
        <f t="shared" si="86"/>
        <v>150.98367346938772</v>
      </c>
      <c r="W311">
        <f t="shared" si="86"/>
        <v>160.86040816326533</v>
      </c>
      <c r="Y311" s="17">
        <f t="shared" si="64"/>
        <v>2712.9941135204076</v>
      </c>
      <c r="Z311">
        <f t="shared" si="65"/>
        <v>-13.968993846571287</v>
      </c>
    </row>
    <row r="312" spans="1:26" x14ac:dyDescent="0.25">
      <c r="A312" t="s">
        <v>65</v>
      </c>
      <c r="D312">
        <f t="shared" ref="D312:W312" si="87">D24*D96</f>
        <v>185.57836734693873</v>
      </c>
      <c r="E312">
        <f t="shared" si="87"/>
        <v>168.75020408163263</v>
      </c>
      <c r="F312">
        <f t="shared" si="87"/>
        <v>150.90653061224492</v>
      </c>
      <c r="G312">
        <f t="shared" si="87"/>
        <v>122.44102040816325</v>
      </c>
      <c r="H312">
        <f t="shared" si="87"/>
        <v>112.78163265306122</v>
      </c>
      <c r="I312">
        <f t="shared" si="87"/>
        <v>115.51836734693876</v>
      </c>
      <c r="J312">
        <f t="shared" si="87"/>
        <v>115.55102040816325</v>
      </c>
      <c r="K312">
        <f t="shared" si="87"/>
        <v>122.97530612244896</v>
      </c>
      <c r="L312">
        <f t="shared" si="87"/>
        <v>119.13</v>
      </c>
      <c r="M312">
        <f t="shared" si="87"/>
        <v>113.47142857142856</v>
      </c>
      <c r="N312">
        <f t="shared" si="87"/>
        <v>114.17142857142855</v>
      </c>
      <c r="O312">
        <f t="shared" si="87"/>
        <v>103.67142857142858</v>
      </c>
      <c r="P312">
        <f t="shared" si="87"/>
        <v>71.441632653061248</v>
      </c>
      <c r="Q312">
        <f t="shared" si="87"/>
        <v>84.964897959183673</v>
      </c>
      <c r="R312">
        <f t="shared" si="87"/>
        <v>62.383469387755085</v>
      </c>
      <c r="S312">
        <f t="shared" si="87"/>
        <v>100.54979591836732</v>
      </c>
      <c r="T312">
        <f t="shared" si="87"/>
        <v>125.3922448979592</v>
      </c>
      <c r="U312">
        <f t="shared" si="87"/>
        <v>117.4457142857143</v>
      </c>
      <c r="V312">
        <f t="shared" si="87"/>
        <v>147.65714285714284</v>
      </c>
      <c r="W312">
        <f t="shared" si="87"/>
        <v>138.28163265306122</v>
      </c>
      <c r="Y312" s="17">
        <f t="shared" si="64"/>
        <v>2393.0632653061225</v>
      </c>
      <c r="Z312">
        <f t="shared" si="65"/>
        <v>-3.077755769052434</v>
      </c>
    </row>
    <row r="313" spans="1:26" x14ac:dyDescent="0.25">
      <c r="A313" t="s">
        <v>66</v>
      </c>
      <c r="D313">
        <f t="shared" ref="D313:W313" si="88">D25*D97</f>
        <v>167.54530612244901</v>
      </c>
      <c r="E313">
        <f t="shared" si="88"/>
        <v>156.71142857142857</v>
      </c>
      <c r="F313">
        <f t="shared" si="88"/>
        <v>125.26530612244896</v>
      </c>
      <c r="G313">
        <f t="shared" si="88"/>
        <v>118.87040816326534</v>
      </c>
      <c r="H313">
        <f t="shared" si="88"/>
        <v>93.268367346938803</v>
      </c>
      <c r="I313">
        <f t="shared" si="88"/>
        <v>161.7991836734694</v>
      </c>
      <c r="J313">
        <f t="shared" si="88"/>
        <v>119.32612244897959</v>
      </c>
      <c r="K313">
        <f t="shared" si="88"/>
        <v>82.327142857142874</v>
      </c>
      <c r="L313">
        <f t="shared" si="88"/>
        <v>94.158437500000019</v>
      </c>
      <c r="M313">
        <f t="shared" si="88"/>
        <v>94.350816326530591</v>
      </c>
      <c r="N313">
        <f t="shared" si="88"/>
        <v>102.70918367346937</v>
      </c>
      <c r="O313">
        <f t="shared" si="88"/>
        <v>96.886530612244883</v>
      </c>
      <c r="P313">
        <f t="shared" si="88"/>
        <v>87.85612244897959</v>
      </c>
      <c r="Q313">
        <f t="shared" si="88"/>
        <v>105.8685714285714</v>
      </c>
      <c r="R313">
        <f t="shared" si="88"/>
        <v>120.18204081632653</v>
      </c>
      <c r="S313">
        <f t="shared" si="88"/>
        <v>132.00163265306122</v>
      </c>
      <c r="T313">
        <f t="shared" si="88"/>
        <v>146.10612244897959</v>
      </c>
      <c r="U313">
        <f t="shared" si="88"/>
        <v>172.48</v>
      </c>
      <c r="V313">
        <f t="shared" si="88"/>
        <v>155.6140816326531</v>
      </c>
      <c r="W313">
        <f t="shared" si="88"/>
        <v>167.65306122448979</v>
      </c>
      <c r="Y313" s="17">
        <f t="shared" si="64"/>
        <v>2500.9798660714287</v>
      </c>
      <c r="Z313">
        <f t="shared" si="65"/>
        <v>29.621604073156998</v>
      </c>
    </row>
    <row r="314" spans="1:26" x14ac:dyDescent="0.25">
      <c r="A314" t="s">
        <v>67</v>
      </c>
      <c r="D314">
        <f t="shared" ref="D314:W314" si="89">D26*D98</f>
        <v>162.20367346938778</v>
      </c>
      <c r="E314">
        <f t="shared" si="89"/>
        <v>142.92346938775509</v>
      </c>
      <c r="F314">
        <f t="shared" si="89"/>
        <v>165.09469387755104</v>
      </c>
      <c r="G314">
        <f t="shared" si="89"/>
        <v>142.64040816326531</v>
      </c>
      <c r="H314">
        <f t="shared" si="89"/>
        <v>136.17551020408163</v>
      </c>
      <c r="I314">
        <f t="shared" si="89"/>
        <v>121.53959183673473</v>
      </c>
      <c r="J314">
        <f t="shared" si="89"/>
        <v>143.89346938775512</v>
      </c>
      <c r="K314">
        <f t="shared" si="89"/>
        <v>130.69285714285712</v>
      </c>
      <c r="L314">
        <f t="shared" si="89"/>
        <v>142.14285714285714</v>
      </c>
      <c r="M314">
        <f t="shared" si="89"/>
        <v>93.836326530612268</v>
      </c>
      <c r="N314">
        <f t="shared" si="89"/>
        <v>112.52734693877549</v>
      </c>
      <c r="O314">
        <f t="shared" si="89"/>
        <v>111.25102040816327</v>
      </c>
      <c r="P314">
        <f t="shared" si="89"/>
        <v>116.05979591836733</v>
      </c>
      <c r="Q314">
        <f t="shared" si="89"/>
        <v>120.39918367346939</v>
      </c>
      <c r="R314">
        <f t="shared" si="89"/>
        <v>122.20979591836735</v>
      </c>
      <c r="S314">
        <f t="shared" si="89"/>
        <v>122.25795918367344</v>
      </c>
      <c r="T314">
        <f t="shared" si="89"/>
        <v>134.29</v>
      </c>
      <c r="U314">
        <f t="shared" si="89"/>
        <v>160.34693877551021</v>
      </c>
      <c r="V314">
        <f t="shared" si="89"/>
        <v>165.45673469387751</v>
      </c>
      <c r="W314">
        <f t="shared" si="89"/>
        <v>166.82142857142858</v>
      </c>
      <c r="Y314" s="17">
        <f t="shared" si="64"/>
        <v>2712.7630612244898</v>
      </c>
      <c r="Z314">
        <f t="shared" si="65"/>
        <v>-17.922536161931372</v>
      </c>
    </row>
    <row r="315" spans="1:26" x14ac:dyDescent="0.25">
      <c r="A315" t="s">
        <v>68</v>
      </c>
      <c r="D315">
        <f t="shared" ref="D315:W315" si="90">D27*D99</f>
        <v>173.51142857142855</v>
      </c>
      <c r="E315">
        <f t="shared" si="90"/>
        <v>158.50775510204082</v>
      </c>
      <c r="F315">
        <f t="shared" si="90"/>
        <v>143.16734693877552</v>
      </c>
      <c r="G315">
        <f t="shared" si="90"/>
        <v>179.98530612244903</v>
      </c>
      <c r="H315">
        <f t="shared" si="90"/>
        <v>148.90224489795918</v>
      </c>
      <c r="I315">
        <f t="shared" si="90"/>
        <v>145.07530612244895</v>
      </c>
      <c r="J315">
        <f t="shared" si="90"/>
        <v>88.2</v>
      </c>
      <c r="K315">
        <f t="shared" si="90"/>
        <v>91.746530612244911</v>
      </c>
      <c r="L315">
        <f t="shared" si="90"/>
        <v>99.329999999999984</v>
      </c>
      <c r="M315">
        <f t="shared" si="90"/>
        <v>81.292653061224513</v>
      </c>
      <c r="N315">
        <f t="shared" si="90"/>
        <v>81.627755102040808</v>
      </c>
      <c r="O315">
        <f t="shared" si="90"/>
        <v>88.824285714285736</v>
      </c>
      <c r="P315">
        <f t="shared" si="90"/>
        <v>111.56734693877553</v>
      </c>
      <c r="Q315">
        <f t="shared" si="90"/>
        <v>114.01142857142854</v>
      </c>
      <c r="R315">
        <f t="shared" si="90"/>
        <v>129.03163265306122</v>
      </c>
      <c r="S315">
        <f t="shared" si="90"/>
        <v>145.32244897959185</v>
      </c>
      <c r="T315">
        <f t="shared" si="90"/>
        <v>137.02612244897958</v>
      </c>
      <c r="U315">
        <f t="shared" si="90"/>
        <v>143.21571428571431</v>
      </c>
      <c r="V315">
        <f t="shared" si="90"/>
        <v>149.73795918367347</v>
      </c>
      <c r="W315">
        <f t="shared" si="90"/>
        <v>165.26163265306118</v>
      </c>
      <c r="Y315" s="17">
        <f t="shared" si="64"/>
        <v>2575.3448979591835</v>
      </c>
      <c r="Z315">
        <f t="shared" si="65"/>
        <v>-22.854038288659464</v>
      </c>
    </row>
    <row r="316" spans="1:26" x14ac:dyDescent="0.25">
      <c r="A316" t="s">
        <v>69</v>
      </c>
      <c r="D316">
        <f t="shared" ref="D316:W316" si="91">D28*D100</f>
        <v>148.62122448979591</v>
      </c>
      <c r="E316">
        <f t="shared" si="91"/>
        <v>155.7295918367347</v>
      </c>
      <c r="F316">
        <f t="shared" si="91"/>
        <v>142.11183673469387</v>
      </c>
      <c r="G316">
        <f t="shared" si="91"/>
        <v>120.81142857142858</v>
      </c>
      <c r="H316">
        <f t="shared" si="91"/>
        <v>92.710204081632668</v>
      </c>
      <c r="I316">
        <f t="shared" si="91"/>
        <v>119.82612244897958</v>
      </c>
      <c r="J316">
        <f t="shared" si="91"/>
        <v>90.374285714285719</v>
      </c>
      <c r="K316">
        <f t="shared" si="91"/>
        <v>127.67673469387756</v>
      </c>
      <c r="L316">
        <f t="shared" si="91"/>
        <v>98.348906249999985</v>
      </c>
      <c r="M316">
        <f t="shared" si="91"/>
        <v>82.858142857142866</v>
      </c>
      <c r="N316">
        <f t="shared" si="91"/>
        <v>117.58257142857143</v>
      </c>
      <c r="O316">
        <f t="shared" si="91"/>
        <v>84.983285714285699</v>
      </c>
      <c r="P316">
        <f t="shared" si="91"/>
        <v>84.106285714285718</v>
      </c>
      <c r="Q316">
        <f t="shared" si="91"/>
        <v>102.14100000000001</v>
      </c>
      <c r="R316">
        <f t="shared" si="91"/>
        <v>73.332375000000013</v>
      </c>
      <c r="S316">
        <f t="shared" si="91"/>
        <v>109.75999999999998</v>
      </c>
      <c r="T316">
        <f t="shared" si="91"/>
        <v>99.34285714285663</v>
      </c>
      <c r="U316">
        <f t="shared" si="91"/>
        <v>144.49102040816231</v>
      </c>
      <c r="V316">
        <f t="shared" si="91"/>
        <v>102.46285714285712</v>
      </c>
      <c r="W316">
        <f t="shared" si="91"/>
        <v>137.41836734693874</v>
      </c>
      <c r="Y316" s="17">
        <f t="shared" si="64"/>
        <v>2234.6890975765291</v>
      </c>
      <c r="Z316">
        <f t="shared" si="65"/>
        <v>5.6241393203948995</v>
      </c>
    </row>
    <row r="317" spans="1:26" x14ac:dyDescent="0.25">
      <c r="Y317" s="17"/>
    </row>
    <row r="318" spans="1:26" x14ac:dyDescent="0.25">
      <c r="A318" t="s">
        <v>70</v>
      </c>
      <c r="D318">
        <f t="shared" ref="D318:W318" si="92">D30*D102</f>
        <v>163.93142857142857</v>
      </c>
      <c r="E318">
        <f t="shared" si="92"/>
        <v>178.94387755102039</v>
      </c>
      <c r="F318">
        <f t="shared" si="92"/>
        <v>164.43591836734697</v>
      </c>
      <c r="G318">
        <f t="shared" si="92"/>
        <v>139.51428571428568</v>
      </c>
      <c r="H318">
        <f t="shared" si="92"/>
        <v>114.75469387755103</v>
      </c>
      <c r="I318">
        <f t="shared" si="92"/>
        <v>90.429795918367375</v>
      </c>
      <c r="J318">
        <f t="shared" si="92"/>
        <v>116.21571428571426</v>
      </c>
      <c r="K318">
        <f t="shared" si="92"/>
        <v>87.819591836734688</v>
      </c>
      <c r="L318">
        <f t="shared" si="92"/>
        <v>93.241406249999997</v>
      </c>
      <c r="M318">
        <f t="shared" si="92"/>
        <v>82.738775510204093</v>
      </c>
      <c r="N318">
        <f t="shared" si="92"/>
        <v>76.95</v>
      </c>
      <c r="O318">
        <f t="shared" si="92"/>
        <v>84.048163265306115</v>
      </c>
      <c r="P318">
        <f t="shared" si="92"/>
        <v>98.447142857142865</v>
      </c>
      <c r="Q318">
        <f t="shared" si="92"/>
        <v>97.419591836735179</v>
      </c>
      <c r="R318">
        <f t="shared" si="92"/>
        <v>117.42040816326531</v>
      </c>
      <c r="S318">
        <f t="shared" si="92"/>
        <v>120.99985157699446</v>
      </c>
      <c r="T318">
        <f t="shared" si="92"/>
        <v>149.30155102040737</v>
      </c>
      <c r="U318">
        <f t="shared" si="92"/>
        <v>128.60870500927643</v>
      </c>
      <c r="V318">
        <f t="shared" si="92"/>
        <v>157.5756901669757</v>
      </c>
      <c r="W318">
        <f t="shared" si="92"/>
        <v>164.48403339517625</v>
      </c>
      <c r="Y318" s="17">
        <f t="shared" si="64"/>
        <v>2427.2806251739325</v>
      </c>
      <c r="Z318">
        <f>SUMPRODUCT($D$322:$W$322,D318:W318)</f>
        <v>-17.715761871497165</v>
      </c>
    </row>
    <row r="319" spans="1:26" x14ac:dyDescent="0.25">
      <c r="A319" t="s">
        <v>314</v>
      </c>
      <c r="D319">
        <f t="shared" ref="D319:W319" si="93">D31*D103</f>
        <v>150.71999999999997</v>
      </c>
      <c r="E319">
        <f t="shared" si="93"/>
        <v>144.55918367346936</v>
      </c>
      <c r="F319">
        <f t="shared" si="93"/>
        <v>131.08836734693878</v>
      </c>
      <c r="G319">
        <f t="shared" si="93"/>
        <v>142.34081632653061</v>
      </c>
      <c r="H319">
        <f t="shared" si="93"/>
        <v>150.9061224489796</v>
      </c>
      <c r="I319">
        <f t="shared" si="93"/>
        <v>115.0473469387755</v>
      </c>
      <c r="J319">
        <f t="shared" si="93"/>
        <v>101.35510204081633</v>
      </c>
      <c r="K319">
        <f t="shared" si="93"/>
        <v>88.071836734693903</v>
      </c>
      <c r="L319">
        <f t="shared" si="93"/>
        <v>48.408749999999998</v>
      </c>
      <c r="M319">
        <f t="shared" si="93"/>
        <v>66.031836734693883</v>
      </c>
      <c r="N319">
        <f t="shared" si="93"/>
        <v>77.715918367346958</v>
      </c>
      <c r="O319">
        <f t="shared" si="93"/>
        <v>88.160000000000011</v>
      </c>
      <c r="P319">
        <f t="shared" si="93"/>
        <v>82.149999999999991</v>
      </c>
      <c r="Q319">
        <f t="shared" si="93"/>
        <v>128.04</v>
      </c>
      <c r="R319">
        <f t="shared" si="93"/>
        <v>123.48</v>
      </c>
      <c r="S319">
        <f t="shared" si="93"/>
        <v>122.88</v>
      </c>
      <c r="T319">
        <f t="shared" si="93"/>
        <v>122.44081632653061</v>
      </c>
      <c r="U319">
        <f t="shared" si="93"/>
        <v>113.66530612244897</v>
      </c>
      <c r="V319">
        <f t="shared" si="93"/>
        <v>165.54122448979598</v>
      </c>
      <c r="W319">
        <f t="shared" si="93"/>
        <v>182.82612244897962</v>
      </c>
      <c r="Y319" s="17">
        <f t="shared" si="64"/>
        <v>2345.4287500000005</v>
      </c>
      <c r="Z319">
        <f>SUMPRODUCT($D$322:$W$322,D319:W319)</f>
        <v>-39.550199705194686</v>
      </c>
    </row>
    <row r="320" spans="1:26" x14ac:dyDescent="0.25">
      <c r="A320" t="s">
        <v>315</v>
      </c>
      <c r="D320">
        <f t="shared" ref="D320:W320" si="94">D32*D104</f>
        <v>138.5418367346939</v>
      </c>
      <c r="E320">
        <f t="shared" si="94"/>
        <v>162.84</v>
      </c>
      <c r="F320">
        <f t="shared" si="94"/>
        <v>146.34673469387755</v>
      </c>
      <c r="G320">
        <f t="shared" si="94"/>
        <v>149.65469387755098</v>
      </c>
      <c r="H320">
        <f t="shared" si="94"/>
        <v>139.5697959183673</v>
      </c>
      <c r="I320">
        <f t="shared" si="94"/>
        <v>134.81367346938777</v>
      </c>
      <c r="J320">
        <f t="shared" si="94"/>
        <v>102.09306122448977</v>
      </c>
      <c r="K320">
        <f t="shared" si="94"/>
        <v>79.344489795918378</v>
      </c>
      <c r="L320">
        <f t="shared" si="94"/>
        <v>69.315937500000004</v>
      </c>
      <c r="M320">
        <f t="shared" si="94"/>
        <v>91.76</v>
      </c>
      <c r="N320">
        <f t="shared" si="94"/>
        <v>77.08</v>
      </c>
      <c r="O320">
        <f t="shared" si="94"/>
        <v>70.040000000000006</v>
      </c>
      <c r="P320">
        <f t="shared" si="94"/>
        <v>99.770259740259718</v>
      </c>
      <c r="Q320">
        <f t="shared" si="94"/>
        <v>105.58867093945017</v>
      </c>
      <c r="R320">
        <f t="shared" si="94"/>
        <v>110.75586439534491</v>
      </c>
      <c r="S320">
        <f t="shared" si="94"/>
        <v>119.98663180974869</v>
      </c>
      <c r="T320">
        <f t="shared" si="94"/>
        <v>158.42419825072884</v>
      </c>
      <c r="U320">
        <f t="shared" si="94"/>
        <v>137.0539941690962</v>
      </c>
      <c r="V320">
        <f t="shared" si="94"/>
        <v>147.23169096209912</v>
      </c>
      <c r="W320">
        <f t="shared" si="94"/>
        <v>158.50037900874639</v>
      </c>
      <c r="Y320" s="17">
        <f t="shared" ref="Y320:Y321" si="95">SUM(D320:W320)</f>
        <v>2398.711912489759</v>
      </c>
      <c r="Z320">
        <f t="shared" ref="Z320:Z321" si="96">SUMPRODUCT($D$322:$W$322,D320:W320)</f>
        <v>-14.912373687334195</v>
      </c>
    </row>
    <row r="321" spans="1:26" x14ac:dyDescent="0.25">
      <c r="A321" t="s">
        <v>677</v>
      </c>
      <c r="D321">
        <f t="shared" ref="D321:W321" si="97">D33*D105</f>
        <v>167.26530612244895</v>
      </c>
      <c r="E321">
        <f t="shared" si="97"/>
        <v>152.47020408163266</v>
      </c>
      <c r="F321">
        <f t="shared" si="97"/>
        <v>151.05102040816328</v>
      </c>
      <c r="G321">
        <f t="shared" si="97"/>
        <v>143.82224489795919</v>
      </c>
      <c r="H321">
        <f t="shared" si="97"/>
        <v>131.76040816326531</v>
      </c>
      <c r="I321">
        <f t="shared" si="97"/>
        <v>111.25387755102039</v>
      </c>
      <c r="J321">
        <f t="shared" si="97"/>
        <v>98.517346938775503</v>
      </c>
      <c r="K321">
        <f t="shared" si="97"/>
        <v>75.391836734693896</v>
      </c>
      <c r="L321">
        <f t="shared" si="97"/>
        <v>64.349999999999994</v>
      </c>
      <c r="M321">
        <f t="shared" si="97"/>
        <v>97.132244897959197</v>
      </c>
      <c r="N321">
        <f t="shared" si="97"/>
        <v>93.916530612244898</v>
      </c>
      <c r="O321">
        <f t="shared" si="97"/>
        <v>30.697142857142858</v>
      </c>
      <c r="P321">
        <f t="shared" si="97"/>
        <v>63.780612244897952</v>
      </c>
      <c r="Q321">
        <f t="shared" si="97"/>
        <v>121.12020408163264</v>
      </c>
      <c r="R321">
        <f t="shared" si="97"/>
        <v>110.55612244897959</v>
      </c>
      <c r="S321">
        <f t="shared" si="97"/>
        <v>128</v>
      </c>
      <c r="T321">
        <f t="shared" si="97"/>
        <v>130.42619897959185</v>
      </c>
      <c r="U321">
        <f t="shared" si="97"/>
        <v>150.83548752834466</v>
      </c>
      <c r="V321">
        <f t="shared" si="97"/>
        <v>143.57078514739231</v>
      </c>
      <c r="W321">
        <f t="shared" si="97"/>
        <v>161.69740079365079</v>
      </c>
      <c r="Y321" s="17">
        <f t="shared" si="95"/>
        <v>2327.6149744897957</v>
      </c>
      <c r="Z321">
        <f t="shared" si="96"/>
        <v>-4.0753365814501343</v>
      </c>
    </row>
    <row r="322" spans="1:26" x14ac:dyDescent="0.25">
      <c r="A322" s="2" t="s">
        <v>71</v>
      </c>
      <c r="D322" s="3">
        <f>CORREL($B$2:$B$28,D290:D316)</f>
        <v>-8.7105717188165968E-2</v>
      </c>
      <c r="E322" s="3">
        <f t="shared" ref="E322:W322" si="98">CORREL($B$2:$B$28,E290:E316)</f>
        <v>5.3151711162419402E-2</v>
      </c>
      <c r="F322" s="3">
        <f t="shared" si="98"/>
        <v>-5.9926788595005848E-3</v>
      </c>
      <c r="G322" s="3">
        <f t="shared" si="98"/>
        <v>-7.8481563270080865E-2</v>
      </c>
      <c r="H322" s="3">
        <f t="shared" si="98"/>
        <v>-0.39977696688034431</v>
      </c>
      <c r="I322" s="3">
        <f t="shared" si="98"/>
        <v>0.21711250972090509</v>
      </c>
      <c r="J322" s="3">
        <f t="shared" si="98"/>
        <v>-1.1965452217378695E-2</v>
      </c>
      <c r="K322" s="3">
        <f t="shared" si="98"/>
        <v>-0.12173938074849458</v>
      </c>
      <c r="L322" s="3">
        <f t="shared" si="98"/>
        <v>0.13889215380952</v>
      </c>
      <c r="M322" s="3">
        <f t="shared" si="98"/>
        <v>-1.8543735361751263E-2</v>
      </c>
      <c r="N322" s="3">
        <f t="shared" si="98"/>
        <v>9.7052863974627215E-2</v>
      </c>
      <c r="O322" s="3">
        <f t="shared" si="98"/>
        <v>3.5282281843601146E-2</v>
      </c>
      <c r="P322" s="3">
        <f t="shared" si="98"/>
        <v>-0.44578965239201024</v>
      </c>
      <c r="Q322" s="3">
        <f t="shared" si="98"/>
        <v>-1.4155374698517489E-2</v>
      </c>
      <c r="R322" s="3">
        <f t="shared" si="98"/>
        <v>-4.2693089215785872E-2</v>
      </c>
      <c r="S322" s="3">
        <f t="shared" si="98"/>
        <v>0.19293844837928001</v>
      </c>
      <c r="T322" s="3">
        <f t="shared" si="98"/>
        <v>0.21025527284743881</v>
      </c>
      <c r="U322" s="3">
        <f t="shared" si="98"/>
        <v>0.31660909985684643</v>
      </c>
      <c r="V322" s="3">
        <f t="shared" si="98"/>
        <v>-2.9086553295609937E-2</v>
      </c>
      <c r="W322" s="3">
        <f t="shared" si="98"/>
        <v>-0.15279129611990161</v>
      </c>
    </row>
    <row r="325" spans="1:26" x14ac:dyDescent="0.25">
      <c r="D325" t="s">
        <v>120</v>
      </c>
      <c r="E325" t="s">
        <v>121</v>
      </c>
      <c r="F325" t="s">
        <v>122</v>
      </c>
      <c r="G325" t="s">
        <v>123</v>
      </c>
      <c r="H325" t="s">
        <v>124</v>
      </c>
      <c r="I325" t="s">
        <v>125</v>
      </c>
      <c r="J325" t="s">
        <v>126</v>
      </c>
      <c r="K325" t="s">
        <v>127</v>
      </c>
      <c r="L325" t="s">
        <v>349</v>
      </c>
      <c r="M325" t="s">
        <v>395</v>
      </c>
      <c r="N325" t="s">
        <v>396</v>
      </c>
      <c r="O325" t="s">
        <v>397</v>
      </c>
      <c r="P325" t="s">
        <v>489</v>
      </c>
      <c r="Q325" t="s">
        <v>490</v>
      </c>
      <c r="R325" t="s">
        <v>491</v>
      </c>
      <c r="S325" t="s">
        <v>492</v>
      </c>
      <c r="T325" t="s">
        <v>601</v>
      </c>
      <c r="U325" t="s">
        <v>602</v>
      </c>
      <c r="V325" t="s">
        <v>603</v>
      </c>
      <c r="W325" t="s">
        <v>604</v>
      </c>
      <c r="Y325" t="s">
        <v>128</v>
      </c>
      <c r="Z325" t="s">
        <v>129</v>
      </c>
    </row>
    <row r="326" spans="1:26" x14ac:dyDescent="0.25">
      <c r="A326" t="s">
        <v>43</v>
      </c>
      <c r="D326">
        <f t="shared" ref="D326:W326" si="99">D2*D110</f>
        <v>910.65306122448976</v>
      </c>
      <c r="E326">
        <f t="shared" si="99"/>
        <v>800.05714285714294</v>
      </c>
      <c r="F326">
        <f t="shared" si="99"/>
        <v>761.40408163265317</v>
      </c>
      <c r="G326">
        <f t="shared" si="99"/>
        <v>857.94693877551026</v>
      </c>
      <c r="H326">
        <f t="shared" si="99"/>
        <v>799.13265306122457</v>
      </c>
      <c r="I326">
        <f t="shared" si="99"/>
        <v>761.88775510204061</v>
      </c>
      <c r="J326">
        <f t="shared" si="99"/>
        <v>709.20408163265301</v>
      </c>
      <c r="K326">
        <f t="shared" si="99"/>
        <v>780.39183673469381</v>
      </c>
      <c r="L326">
        <f t="shared" si="99"/>
        <v>872.99062499999991</v>
      </c>
      <c r="M326">
        <f t="shared" si="99"/>
        <v>489.00612244897951</v>
      </c>
      <c r="N326">
        <f t="shared" si="99"/>
        <v>654.13061224489797</v>
      </c>
      <c r="O326">
        <f t="shared" si="99"/>
        <v>800.06938775510207</v>
      </c>
      <c r="P326">
        <f t="shared" si="99"/>
        <v>767.95510204081643</v>
      </c>
      <c r="Q326">
        <f t="shared" si="99"/>
        <v>821.82857142857154</v>
      </c>
      <c r="R326">
        <f t="shared" si="99"/>
        <v>687.06122448979579</v>
      </c>
      <c r="S326">
        <f t="shared" si="99"/>
        <v>796.08163265306121</v>
      </c>
      <c r="T326">
        <f t="shared" si="99"/>
        <v>618.34693877551024</v>
      </c>
      <c r="U326">
        <f t="shared" si="99"/>
        <v>591.7102040816327</v>
      </c>
      <c r="V326">
        <f t="shared" si="99"/>
        <v>812.25102040816319</v>
      </c>
      <c r="W326">
        <f t="shared" si="99"/>
        <v>750.07346938775515</v>
      </c>
      <c r="Y326" s="17">
        <f t="shared" ref="Y326:Y356" si="100">SUM(D326:W326)</f>
        <v>15042.182461734694</v>
      </c>
      <c r="Z326">
        <f t="shared" ref="Z326:Z352" si="101">SUMPRODUCT($D$358:$W$358,D326:W326)</f>
        <v>-1523.0415853139436</v>
      </c>
    </row>
    <row r="327" spans="1:26" x14ac:dyDescent="0.25">
      <c r="A327" t="s">
        <v>44</v>
      </c>
      <c r="D327">
        <f t="shared" ref="D327:W327" si="102">D3*D111</f>
        <v>780.15</v>
      </c>
      <c r="E327">
        <f t="shared" si="102"/>
        <v>670.53</v>
      </c>
      <c r="F327">
        <f t="shared" si="102"/>
        <v>663</v>
      </c>
      <c r="G327">
        <f t="shared" si="102"/>
        <v>699.72000000000014</v>
      </c>
      <c r="H327">
        <f t="shared" si="102"/>
        <v>768.32000000000016</v>
      </c>
      <c r="I327">
        <f t="shared" si="102"/>
        <v>730.31999999999994</v>
      </c>
      <c r="J327">
        <f t="shared" si="102"/>
        <v>564.95999999999992</v>
      </c>
      <c r="K327">
        <f t="shared" si="102"/>
        <v>744.95999999999992</v>
      </c>
      <c r="L327">
        <f t="shared" si="102"/>
        <v>782.79</v>
      </c>
      <c r="M327">
        <f t="shared" si="102"/>
        <v>492.47999999999996</v>
      </c>
      <c r="N327">
        <f t="shared" si="102"/>
        <v>665.52</v>
      </c>
      <c r="O327">
        <f t="shared" si="102"/>
        <v>792.42</v>
      </c>
      <c r="P327">
        <f t="shared" si="102"/>
        <v>830.15177142857124</v>
      </c>
      <c r="Q327">
        <f t="shared" si="102"/>
        <v>788.19714285714281</v>
      </c>
      <c r="R327">
        <f t="shared" si="102"/>
        <v>756.35622857142857</v>
      </c>
      <c r="S327">
        <f t="shared" si="102"/>
        <v>732.99719999999991</v>
      </c>
      <c r="T327">
        <f t="shared" si="102"/>
        <v>740.18279833024133</v>
      </c>
      <c r="U327">
        <f t="shared" si="102"/>
        <v>751.97556567717982</v>
      </c>
      <c r="V327">
        <f t="shared" si="102"/>
        <v>658.47350767625232</v>
      </c>
      <c r="W327">
        <f t="shared" si="102"/>
        <v>671.5743490259739</v>
      </c>
      <c r="Y327" s="17">
        <f t="shared" si="100"/>
        <v>14285.078563566789</v>
      </c>
      <c r="Z327">
        <f t="shared" si="101"/>
        <v>-1374.7004264203297</v>
      </c>
    </row>
    <row r="328" spans="1:26" x14ac:dyDescent="0.25">
      <c r="A328" t="s">
        <v>45</v>
      </c>
      <c r="D328">
        <f t="shared" ref="D328:W328" si="103">D4*D112</f>
        <v>680.32653061224494</v>
      </c>
      <c r="E328">
        <f t="shared" si="103"/>
        <v>605.15306122448987</v>
      </c>
      <c r="F328">
        <f t="shared" si="103"/>
        <v>554.17755102040815</v>
      </c>
      <c r="G328">
        <f t="shared" si="103"/>
        <v>751.59183673469386</v>
      </c>
      <c r="H328">
        <f t="shared" si="103"/>
        <v>800.08571428571418</v>
      </c>
      <c r="I328">
        <f t="shared" si="103"/>
        <v>657.94285714285706</v>
      </c>
      <c r="J328">
        <f t="shared" si="103"/>
        <v>458.44897959183675</v>
      </c>
      <c r="K328">
        <f t="shared" si="103"/>
        <v>736.28163265306125</v>
      </c>
      <c r="L328">
        <f t="shared" si="103"/>
        <v>743.03125</v>
      </c>
      <c r="M328">
        <f t="shared" si="103"/>
        <v>620.63265306122446</v>
      </c>
      <c r="N328">
        <f t="shared" si="103"/>
        <v>709.02857142857147</v>
      </c>
      <c r="O328">
        <f t="shared" si="103"/>
        <v>841.29795918367358</v>
      </c>
      <c r="P328">
        <f t="shared" si="103"/>
        <v>659.89387755102041</v>
      </c>
      <c r="Q328">
        <f t="shared" si="103"/>
        <v>744.97959183673481</v>
      </c>
      <c r="R328">
        <f t="shared" si="103"/>
        <v>890.96326530612248</v>
      </c>
      <c r="S328">
        <f t="shared" si="103"/>
        <v>692.57142857142856</v>
      </c>
      <c r="T328">
        <f t="shared" si="103"/>
        <v>654.25714285714275</v>
      </c>
      <c r="U328">
        <f t="shared" si="103"/>
        <v>734.82653061224482</v>
      </c>
      <c r="V328">
        <f t="shared" si="103"/>
        <v>823.50204081632648</v>
      </c>
      <c r="W328">
        <f t="shared" si="103"/>
        <v>791.95102040816334</v>
      </c>
      <c r="Y328" s="17">
        <f t="shared" si="100"/>
        <v>14150.94349489796</v>
      </c>
      <c r="Z328">
        <f t="shared" si="101"/>
        <v>-1346.5282992576258</v>
      </c>
    </row>
    <row r="329" spans="1:26" x14ac:dyDescent="0.25">
      <c r="A329" t="s">
        <v>46</v>
      </c>
      <c r="D329">
        <f t="shared" ref="D329:W329" si="104">D5*D113</f>
        <v>766.13877551020414</v>
      </c>
      <c r="E329">
        <f t="shared" si="104"/>
        <v>777.99183673469395</v>
      </c>
      <c r="F329">
        <f t="shared" si="104"/>
        <v>712.13877551020403</v>
      </c>
      <c r="G329">
        <f t="shared" si="104"/>
        <v>832.35918367346915</v>
      </c>
      <c r="H329">
        <f t="shared" si="104"/>
        <v>629.08163265306132</v>
      </c>
      <c r="I329">
        <f t="shared" si="104"/>
        <v>622.87346938775511</v>
      </c>
      <c r="J329">
        <f t="shared" si="104"/>
        <v>527.04285714285709</v>
      </c>
      <c r="K329">
        <f t="shared" si="104"/>
        <v>740.82448979591857</v>
      </c>
      <c r="L329">
        <f t="shared" si="104"/>
        <v>730.09062500000005</v>
      </c>
      <c r="M329">
        <f t="shared" si="104"/>
        <v>845.68979591836739</v>
      </c>
      <c r="N329">
        <f t="shared" si="104"/>
        <v>699.57551020408152</v>
      </c>
      <c r="O329">
        <f t="shared" si="104"/>
        <v>826.37959183673456</v>
      </c>
      <c r="P329">
        <f t="shared" si="104"/>
        <v>776.81632653061229</v>
      </c>
      <c r="Q329">
        <f t="shared" si="104"/>
        <v>899.15510204081636</v>
      </c>
      <c r="R329">
        <f t="shared" si="104"/>
        <v>882.59183673469397</v>
      </c>
      <c r="S329">
        <f t="shared" si="104"/>
        <v>871.82448979591834</v>
      </c>
      <c r="T329">
        <f t="shared" si="104"/>
        <v>771.44897959183675</v>
      </c>
      <c r="U329">
        <f t="shared" si="104"/>
        <v>796.38571428571436</v>
      </c>
      <c r="V329">
        <f t="shared" si="104"/>
        <v>594.5836734693878</v>
      </c>
      <c r="W329">
        <f t="shared" si="104"/>
        <v>820.0612244897959</v>
      </c>
      <c r="Y329" s="17">
        <f t="shared" si="100"/>
        <v>15123.053890306122</v>
      </c>
      <c r="Z329">
        <f t="shared" si="101"/>
        <v>-1324.4255728875605</v>
      </c>
    </row>
    <row r="330" spans="1:26" x14ac:dyDescent="0.25">
      <c r="A330" t="s">
        <v>47</v>
      </c>
      <c r="D330">
        <f t="shared" ref="D330:W330" si="105">D6*D114</f>
        <v>755.30204081632655</v>
      </c>
      <c r="E330">
        <f t="shared" si="105"/>
        <v>590.47346938775502</v>
      </c>
      <c r="F330">
        <f t="shared" si="105"/>
        <v>685.35918367346926</v>
      </c>
      <c r="G330">
        <f t="shared" si="105"/>
        <v>836.4</v>
      </c>
      <c r="H330">
        <f t="shared" si="105"/>
        <v>625.87959183673468</v>
      </c>
      <c r="I330">
        <f t="shared" si="105"/>
        <v>677.18571428571431</v>
      </c>
      <c r="J330">
        <f t="shared" si="105"/>
        <v>748.67142857142881</v>
      </c>
      <c r="K330">
        <f t="shared" si="105"/>
        <v>619.5428571428572</v>
      </c>
      <c r="L330">
        <f t="shared" si="105"/>
        <v>599.4921875</v>
      </c>
      <c r="M330">
        <f t="shared" si="105"/>
        <v>706.12244897959181</v>
      </c>
      <c r="N330">
        <f t="shared" si="105"/>
        <v>826.90816326530626</v>
      </c>
      <c r="O330">
        <f t="shared" si="105"/>
        <v>864.84897959183684</v>
      </c>
      <c r="P330">
        <f t="shared" si="105"/>
        <v>841.95918367346951</v>
      </c>
      <c r="Q330">
        <f t="shared" si="105"/>
        <v>680.27755102040817</v>
      </c>
      <c r="R330">
        <f t="shared" si="105"/>
        <v>584.0020408163266</v>
      </c>
      <c r="S330">
        <f t="shared" si="105"/>
        <v>690.09795918367342</v>
      </c>
      <c r="T330">
        <f t="shared" si="105"/>
        <v>873.53265306122432</v>
      </c>
      <c r="U330">
        <f t="shared" si="105"/>
        <v>677.77959183673465</v>
      </c>
      <c r="V330">
        <f t="shared" si="105"/>
        <v>597.55102040816325</v>
      </c>
      <c r="W330">
        <f t="shared" si="105"/>
        <v>746.46326530612248</v>
      </c>
      <c r="Y330" s="17">
        <f t="shared" si="100"/>
        <v>14227.849330357141</v>
      </c>
      <c r="Z330">
        <f t="shared" si="101"/>
        <v>-1318.3808878560567</v>
      </c>
    </row>
    <row r="331" spans="1:26" x14ac:dyDescent="0.25">
      <c r="A331" t="s">
        <v>48</v>
      </c>
      <c r="D331">
        <f t="shared" ref="D331:W331" si="106">D7*D115</f>
        <v>771.93061224489793</v>
      </c>
      <c r="E331">
        <f t="shared" si="106"/>
        <v>783.2</v>
      </c>
      <c r="F331">
        <f t="shared" si="106"/>
        <v>750.15306122448987</v>
      </c>
      <c r="G331">
        <f t="shared" si="106"/>
        <v>745.61020408163256</v>
      </c>
      <c r="H331">
        <f t="shared" si="106"/>
        <v>619.56122448979602</v>
      </c>
      <c r="I331">
        <f t="shared" si="106"/>
        <v>673.27346938775497</v>
      </c>
      <c r="J331">
        <f t="shared" si="106"/>
        <v>885.85714285714289</v>
      </c>
      <c r="K331">
        <f t="shared" si="106"/>
        <v>772.7265306122448</v>
      </c>
      <c r="L331">
        <f t="shared" si="106"/>
        <v>790.96093749999989</v>
      </c>
      <c r="M331">
        <f t="shared" si="106"/>
        <v>748.80816326530612</v>
      </c>
      <c r="N331">
        <f t="shared" si="106"/>
        <v>817.80612244897964</v>
      </c>
      <c r="O331">
        <f t="shared" si="106"/>
        <v>669.76530612244892</v>
      </c>
      <c r="P331">
        <f t="shared" si="106"/>
        <v>893.82857142857142</v>
      </c>
      <c r="Q331">
        <f t="shared" si="106"/>
        <v>879.53673469387741</v>
      </c>
      <c r="R331">
        <f t="shared" si="106"/>
        <v>789.68571428571443</v>
      </c>
      <c r="S331">
        <f t="shared" si="106"/>
        <v>744.29387755102039</v>
      </c>
      <c r="T331">
        <f t="shared" si="106"/>
        <v>692.91020408163274</v>
      </c>
      <c r="U331">
        <f t="shared" si="106"/>
        <v>831.18571428571443</v>
      </c>
      <c r="V331">
        <f t="shared" si="106"/>
        <v>723.43469387755113</v>
      </c>
      <c r="W331">
        <f t="shared" si="106"/>
        <v>691.06938775510184</v>
      </c>
      <c r="Y331" s="17">
        <f t="shared" si="100"/>
        <v>15275.597672193879</v>
      </c>
      <c r="Z331">
        <f t="shared" si="101"/>
        <v>-1321.2335675793104</v>
      </c>
    </row>
    <row r="332" spans="1:26" x14ac:dyDescent="0.25">
      <c r="A332" t="s">
        <v>49</v>
      </c>
      <c r="D332">
        <f t="shared" ref="D332:W332" si="107">D8*D116</f>
        <v>624.8163265306124</v>
      </c>
      <c r="E332">
        <f t="shared" si="107"/>
        <v>737.14693877551008</v>
      </c>
      <c r="F332">
        <f t="shared" si="107"/>
        <v>571.20000000000005</v>
      </c>
      <c r="G332">
        <f t="shared" si="107"/>
        <v>639.20000000000005</v>
      </c>
      <c r="H332">
        <f t="shared" si="107"/>
        <v>664.12653061224478</v>
      </c>
      <c r="I332">
        <f t="shared" si="107"/>
        <v>738.45918367346928</v>
      </c>
      <c r="J332">
        <f t="shared" si="107"/>
        <v>684.32653061224482</v>
      </c>
      <c r="K332">
        <f t="shared" si="107"/>
        <v>676.96326530612259</v>
      </c>
      <c r="L332">
        <f t="shared" si="107"/>
        <v>739.52343749999989</v>
      </c>
      <c r="M332">
        <f t="shared" si="107"/>
        <v>690.51020408163265</v>
      </c>
      <c r="N332">
        <f t="shared" si="107"/>
        <v>726.15510204081636</v>
      </c>
      <c r="O332">
        <f t="shared" si="107"/>
        <v>712.96530612244896</v>
      </c>
      <c r="P332">
        <f t="shared" si="107"/>
        <v>757.44489795918366</v>
      </c>
      <c r="Q332">
        <f t="shared" si="107"/>
        <v>732.05714285714282</v>
      </c>
      <c r="R332">
        <f t="shared" si="107"/>
        <v>819.32857142857131</v>
      </c>
      <c r="S332">
        <f t="shared" si="107"/>
        <v>812.21428571428578</v>
      </c>
      <c r="T332">
        <f t="shared" si="107"/>
        <v>755.32040816326548</v>
      </c>
      <c r="U332">
        <f t="shared" si="107"/>
        <v>729.50204081632637</v>
      </c>
      <c r="V332">
        <f t="shared" si="107"/>
        <v>772.2</v>
      </c>
      <c r="W332">
        <f t="shared" si="107"/>
        <v>598.84897959183661</v>
      </c>
      <c r="Y332" s="17">
        <f t="shared" si="100"/>
        <v>14182.309151785714</v>
      </c>
      <c r="Z332">
        <f t="shared" si="101"/>
        <v>-1190.2731396778045</v>
      </c>
    </row>
    <row r="333" spans="1:26" x14ac:dyDescent="0.25">
      <c r="A333" t="s">
        <v>50</v>
      </c>
      <c r="D333">
        <f t="shared" ref="D333:W333" si="108">D9*D117</f>
        <v>657.61224489795916</v>
      </c>
      <c r="E333">
        <f t="shared" si="108"/>
        <v>643.77551020408168</v>
      </c>
      <c r="F333">
        <f t="shared" si="108"/>
        <v>669.31428571428569</v>
      </c>
      <c r="G333">
        <f t="shared" si="108"/>
        <v>809.4571428571428</v>
      </c>
      <c r="H333">
        <f t="shared" si="108"/>
        <v>764.39999999999986</v>
      </c>
      <c r="I333">
        <f t="shared" si="108"/>
        <v>660.95510204081643</v>
      </c>
      <c r="J333">
        <f t="shared" si="108"/>
        <v>627.44897959183675</v>
      </c>
      <c r="K333">
        <f t="shared" si="108"/>
        <v>725.61632653061213</v>
      </c>
      <c r="L333">
        <f t="shared" si="108"/>
        <v>728.7890625</v>
      </c>
      <c r="M333">
        <f t="shared" si="108"/>
        <v>864.89795918367349</v>
      </c>
      <c r="N333">
        <f t="shared" si="108"/>
        <v>804.27551020408168</v>
      </c>
      <c r="O333">
        <f t="shared" si="108"/>
        <v>847.32244897959185</v>
      </c>
      <c r="P333">
        <f t="shared" si="108"/>
        <v>749.97551020408162</v>
      </c>
      <c r="Q333">
        <f t="shared" si="108"/>
        <v>756.31836734693877</v>
      </c>
      <c r="R333">
        <f t="shared" si="108"/>
        <v>784.57959183673461</v>
      </c>
      <c r="S333">
        <f t="shared" si="108"/>
        <v>768.20408163265313</v>
      </c>
      <c r="T333">
        <f t="shared" si="108"/>
        <v>699.84897959183672</v>
      </c>
      <c r="U333">
        <f t="shared" si="108"/>
        <v>738.34285714285716</v>
      </c>
      <c r="V333">
        <f t="shared" si="108"/>
        <v>669.51836734693859</v>
      </c>
      <c r="W333">
        <f t="shared" si="108"/>
        <v>727.99183673469395</v>
      </c>
      <c r="Y333" s="17">
        <f t="shared" si="100"/>
        <v>14698.644164540819</v>
      </c>
      <c r="Z333">
        <f t="shared" si="101"/>
        <v>-1347.2353626852989</v>
      </c>
    </row>
    <row r="334" spans="1:26" x14ac:dyDescent="0.25">
      <c r="A334" t="s">
        <v>51</v>
      </c>
      <c r="D334">
        <f t="shared" ref="D334:W334" si="109">D10*D118</f>
        <v>677.95102040816323</v>
      </c>
      <c r="E334">
        <f t="shared" si="109"/>
        <v>764.94285714285706</v>
      </c>
      <c r="F334">
        <f t="shared" si="109"/>
        <v>750.31632653061229</v>
      </c>
      <c r="G334">
        <f t="shared" si="109"/>
        <v>663.85306122448981</v>
      </c>
      <c r="H334">
        <f t="shared" si="109"/>
        <v>770.85714285714266</v>
      </c>
      <c r="I334">
        <f t="shared" si="109"/>
        <v>800.00000000000011</v>
      </c>
      <c r="J334">
        <f t="shared" si="109"/>
        <v>764.4979591836734</v>
      </c>
      <c r="K334">
        <f t="shared" si="109"/>
        <v>672.269387755102</v>
      </c>
      <c r="L334">
        <f t="shared" si="109"/>
        <v>646.0546875</v>
      </c>
      <c r="M334">
        <f t="shared" si="109"/>
        <v>792.99999999999977</v>
      </c>
      <c r="N334">
        <f t="shared" si="109"/>
        <v>780.53877551020423</v>
      </c>
      <c r="O334">
        <f t="shared" si="109"/>
        <v>852.2081632653061</v>
      </c>
      <c r="P334">
        <f t="shared" si="109"/>
        <v>847.19387755102036</v>
      </c>
      <c r="Q334">
        <f t="shared" si="109"/>
        <v>735.60816326530596</v>
      </c>
      <c r="R334">
        <f t="shared" si="109"/>
        <v>833.18367346938783</v>
      </c>
      <c r="S334">
        <f t="shared" si="109"/>
        <v>815.5020408163266</v>
      </c>
      <c r="T334">
        <f t="shared" si="109"/>
        <v>748.92857142857144</v>
      </c>
      <c r="U334">
        <f t="shared" si="109"/>
        <v>718.53061224489807</v>
      </c>
      <c r="V334">
        <f t="shared" si="109"/>
        <v>646.85306122448969</v>
      </c>
      <c r="W334">
        <f t="shared" si="109"/>
        <v>711.18367346938771</v>
      </c>
      <c r="Y334" s="17">
        <f t="shared" si="100"/>
        <v>14993.47305484694</v>
      </c>
      <c r="Z334">
        <f t="shared" si="101"/>
        <v>-1351.0094189955321</v>
      </c>
    </row>
    <row r="335" spans="1:26" x14ac:dyDescent="0.25">
      <c r="A335" t="s">
        <v>52</v>
      </c>
      <c r="D335">
        <f t="shared" ref="D335:W335" si="110">D11*D119</f>
        <v>596.40816326530614</v>
      </c>
      <c r="E335">
        <f t="shared" si="110"/>
        <v>559.98367346938767</v>
      </c>
      <c r="F335">
        <f t="shared" si="110"/>
        <v>751.87755102040819</v>
      </c>
      <c r="G335">
        <f t="shared" si="110"/>
        <v>612.63673469387754</v>
      </c>
      <c r="H335">
        <f t="shared" si="110"/>
        <v>853.9591836734694</v>
      </c>
      <c r="I335">
        <f t="shared" si="110"/>
        <v>838.40816326530626</v>
      </c>
      <c r="J335">
        <f t="shared" si="110"/>
        <v>721.19183673469399</v>
      </c>
      <c r="K335">
        <f t="shared" si="110"/>
        <v>672.13061224489797</v>
      </c>
      <c r="L335">
        <f t="shared" si="110"/>
        <v>810.796875</v>
      </c>
      <c r="M335">
        <f t="shared" si="110"/>
        <v>799.65918367346944</v>
      </c>
      <c r="N335">
        <f t="shared" si="110"/>
        <v>739.11224489795927</v>
      </c>
      <c r="O335">
        <f t="shared" si="110"/>
        <v>819.961224489796</v>
      </c>
      <c r="P335">
        <f t="shared" si="110"/>
        <v>786.60408163265311</v>
      </c>
      <c r="Q335">
        <f t="shared" si="110"/>
        <v>733.0428571428572</v>
      </c>
      <c r="R335">
        <f t="shared" si="110"/>
        <v>759.15102040816328</v>
      </c>
      <c r="S335">
        <f t="shared" si="110"/>
        <v>844.68979591836728</v>
      </c>
      <c r="T335">
        <f t="shared" si="110"/>
        <v>754.23673469387745</v>
      </c>
      <c r="U335">
        <f t="shared" si="110"/>
        <v>692.62040816326521</v>
      </c>
      <c r="V335">
        <f t="shared" si="110"/>
        <v>486.89591836734695</v>
      </c>
      <c r="W335">
        <f t="shared" si="110"/>
        <v>536.9</v>
      </c>
      <c r="Y335" s="17">
        <f t="shared" si="100"/>
        <v>14370.266262755102</v>
      </c>
      <c r="Z335">
        <f t="shared" si="101"/>
        <v>-1287.6981579057306</v>
      </c>
    </row>
    <row r="336" spans="1:26" x14ac:dyDescent="0.25">
      <c r="A336" t="s">
        <v>53</v>
      </c>
      <c r="D336">
        <f t="shared" ref="D336:W336" si="111">D12*D120</f>
        <v>680.9795918367347</v>
      </c>
      <c r="E336">
        <f t="shared" si="111"/>
        <v>767.19999999999993</v>
      </c>
      <c r="F336">
        <f t="shared" si="111"/>
        <v>785.48571428571415</v>
      </c>
      <c r="G336">
        <f t="shared" si="111"/>
        <v>632.19795918367356</v>
      </c>
      <c r="H336">
        <f t="shared" si="111"/>
        <v>751.31224489795932</v>
      </c>
      <c r="I336">
        <f t="shared" si="111"/>
        <v>595.78571428571433</v>
      </c>
      <c r="J336">
        <f t="shared" si="111"/>
        <v>813.5428571428572</v>
      </c>
      <c r="K336">
        <f t="shared" si="111"/>
        <v>831.85714285714289</v>
      </c>
      <c r="L336">
        <f t="shared" si="111"/>
        <v>670.22499999999991</v>
      </c>
      <c r="M336">
        <f t="shared" si="111"/>
        <v>687.71020408163258</v>
      </c>
      <c r="N336">
        <f t="shared" si="111"/>
        <v>794.05510204081634</v>
      </c>
      <c r="O336">
        <f t="shared" si="111"/>
        <v>742.3</v>
      </c>
      <c r="P336">
        <f t="shared" si="111"/>
        <v>823.28571428571433</v>
      </c>
      <c r="Q336">
        <f t="shared" si="111"/>
        <v>713.87551020408171</v>
      </c>
      <c r="R336">
        <f t="shared" si="111"/>
        <v>729.80408163265304</v>
      </c>
      <c r="S336">
        <f t="shared" si="111"/>
        <v>744.51428571428562</v>
      </c>
      <c r="T336">
        <f t="shared" si="111"/>
        <v>815.09999999999991</v>
      </c>
      <c r="U336">
        <f t="shared" si="111"/>
        <v>728.82448979591834</v>
      </c>
      <c r="V336">
        <f t="shared" si="111"/>
        <v>741.44489795918366</v>
      </c>
      <c r="W336">
        <f t="shared" si="111"/>
        <v>444.8020408163265</v>
      </c>
      <c r="Y336" s="17">
        <f t="shared" si="100"/>
        <v>14494.302551020408</v>
      </c>
      <c r="Z336">
        <f t="shared" si="101"/>
        <v>-1314.9754855549079</v>
      </c>
    </row>
    <row r="337" spans="1:26" x14ac:dyDescent="0.25">
      <c r="A337" t="s">
        <v>54</v>
      </c>
      <c r="D337">
        <f t="shared" ref="D337:W337" si="112">D13*D121</f>
        <v>844.7673469387754</v>
      </c>
      <c r="E337">
        <f t="shared" si="112"/>
        <v>670.91224489795911</v>
      </c>
      <c r="F337">
        <f t="shared" si="112"/>
        <v>661.87346938775511</v>
      </c>
      <c r="G337">
        <f t="shared" si="112"/>
        <v>780.12448979591829</v>
      </c>
      <c r="H337">
        <f t="shared" si="112"/>
        <v>838.50612244897957</v>
      </c>
      <c r="I337">
        <f t="shared" si="112"/>
        <v>817.69795918367333</v>
      </c>
      <c r="J337">
        <f t="shared" si="112"/>
        <v>658.56530612244887</v>
      </c>
      <c r="K337">
        <f t="shared" si="112"/>
        <v>562.6836734693876</v>
      </c>
      <c r="L337">
        <f t="shared" si="112"/>
        <v>764.31093750000002</v>
      </c>
      <c r="M337">
        <f t="shared" si="112"/>
        <v>710.12019999999995</v>
      </c>
      <c r="N337">
        <f t="shared" si="112"/>
        <v>579.07979999999998</v>
      </c>
      <c r="O337">
        <f t="shared" si="112"/>
        <v>751.19940000000008</v>
      </c>
      <c r="P337">
        <f t="shared" si="112"/>
        <v>834.8184</v>
      </c>
      <c r="Q337">
        <f t="shared" si="112"/>
        <v>825.81830000000002</v>
      </c>
      <c r="R337">
        <f t="shared" si="112"/>
        <v>827.76779999999997</v>
      </c>
      <c r="S337">
        <f t="shared" si="112"/>
        <v>843.8</v>
      </c>
      <c r="T337">
        <f t="shared" si="112"/>
        <v>779.67360000000008</v>
      </c>
      <c r="U337">
        <f t="shared" si="112"/>
        <v>778.95479999999998</v>
      </c>
      <c r="V337">
        <f t="shared" si="112"/>
        <v>593.73390000000006</v>
      </c>
      <c r="W337">
        <f t="shared" si="112"/>
        <v>670.67699999999991</v>
      </c>
      <c r="Y337" s="17">
        <f t="shared" si="100"/>
        <v>14795.084749744896</v>
      </c>
      <c r="Z337">
        <f t="shared" si="101"/>
        <v>-1346.5187806078839</v>
      </c>
    </row>
    <row r="338" spans="1:26" x14ac:dyDescent="0.25">
      <c r="A338" t="s">
        <v>55</v>
      </c>
      <c r="D338">
        <f t="shared" ref="D338:W338" si="113">D14*D122</f>
        <v>841.32999999999993</v>
      </c>
      <c r="E338">
        <f t="shared" si="113"/>
        <v>835.49880000000007</v>
      </c>
      <c r="F338">
        <f t="shared" si="113"/>
        <v>815.78930000000003</v>
      </c>
      <c r="G338">
        <f t="shared" si="113"/>
        <v>763.90919999999994</v>
      </c>
      <c r="H338">
        <f t="shared" si="113"/>
        <v>628.43380000000002</v>
      </c>
      <c r="I338">
        <f t="shared" si="113"/>
        <v>690.0055000000001</v>
      </c>
      <c r="J338">
        <f t="shared" si="113"/>
        <v>789.1884</v>
      </c>
      <c r="K338">
        <f t="shared" si="113"/>
        <v>739.58609999999999</v>
      </c>
      <c r="L338">
        <f t="shared" si="113"/>
        <v>604.221</v>
      </c>
      <c r="M338">
        <f t="shared" si="113"/>
        <v>652.51836734693893</v>
      </c>
      <c r="N338">
        <f t="shared" si="113"/>
        <v>722.96938775510205</v>
      </c>
      <c r="O338">
        <f t="shared" si="113"/>
        <v>792.29387755102061</v>
      </c>
      <c r="P338">
        <f t="shared" si="113"/>
        <v>683.92653061224473</v>
      </c>
      <c r="Q338">
        <f t="shared" si="113"/>
        <v>768.62244897959181</v>
      </c>
      <c r="R338">
        <f t="shared" si="113"/>
        <v>848.15510204081647</v>
      </c>
      <c r="S338">
        <f t="shared" si="113"/>
        <v>823.93061224489793</v>
      </c>
      <c r="T338">
        <f t="shared" si="113"/>
        <v>788.67346938775518</v>
      </c>
      <c r="U338">
        <f t="shared" si="113"/>
        <v>768.74081632653076</v>
      </c>
      <c r="V338">
        <f t="shared" si="113"/>
        <v>738.48979591836735</v>
      </c>
      <c r="W338">
        <f t="shared" si="113"/>
        <v>814.62857142857149</v>
      </c>
      <c r="Y338" s="17">
        <f t="shared" si="100"/>
        <v>15110.911079591837</v>
      </c>
      <c r="Z338">
        <f t="shared" si="101"/>
        <v>-1333.5225818888375</v>
      </c>
    </row>
    <row r="339" spans="1:26" x14ac:dyDescent="0.25">
      <c r="A339" t="s">
        <v>56</v>
      </c>
      <c r="D339">
        <f t="shared" ref="D339:W339" si="114">D15*D123</f>
        <v>684.64897959183668</v>
      </c>
      <c r="E339">
        <f t="shared" si="114"/>
        <v>764.08163265306132</v>
      </c>
      <c r="F339">
        <f t="shared" si="114"/>
        <v>768.9755102040815</v>
      </c>
      <c r="G339">
        <f t="shared" si="114"/>
        <v>815.58367346938769</v>
      </c>
      <c r="H339">
        <f t="shared" si="114"/>
        <v>846.08367346938758</v>
      </c>
      <c r="I339">
        <f t="shared" si="114"/>
        <v>797.51836734693859</v>
      </c>
      <c r="J339">
        <f t="shared" si="114"/>
        <v>514</v>
      </c>
      <c r="K339">
        <f t="shared" si="114"/>
        <v>832.13265306122446</v>
      </c>
      <c r="L339">
        <f t="shared" si="114"/>
        <v>827.04375000000005</v>
      </c>
      <c r="M339">
        <f t="shared" si="114"/>
        <v>739.4346938775509</v>
      </c>
      <c r="N339">
        <f t="shared" si="114"/>
        <v>798.37959183673468</v>
      </c>
      <c r="O339">
        <f t="shared" si="114"/>
        <v>777.64285714285722</v>
      </c>
      <c r="P339">
        <f t="shared" si="114"/>
        <v>883.19999999999993</v>
      </c>
      <c r="Q339">
        <f t="shared" si="114"/>
        <v>798.269387755102</v>
      </c>
      <c r="R339">
        <f t="shared" si="114"/>
        <v>858.04489795918357</v>
      </c>
      <c r="S339">
        <f t="shared" si="114"/>
        <v>771.07142857142856</v>
      </c>
      <c r="T339">
        <f t="shared" si="114"/>
        <v>796.69387755102036</v>
      </c>
      <c r="U339">
        <f t="shared" si="114"/>
        <v>712.13877551020403</v>
      </c>
      <c r="V339">
        <f t="shared" si="114"/>
        <v>712.25714285714287</v>
      </c>
      <c r="W339">
        <f t="shared" si="114"/>
        <v>696.36734693877543</v>
      </c>
      <c r="Y339" s="17">
        <f t="shared" si="100"/>
        <v>15393.568239795919</v>
      </c>
      <c r="Z339">
        <f t="shared" si="101"/>
        <v>-1476.1774233746473</v>
      </c>
    </row>
    <row r="340" spans="1:26" x14ac:dyDescent="0.25">
      <c r="A340" t="s">
        <v>57</v>
      </c>
      <c r="D340">
        <f t="shared" ref="D340:W340" si="115">D16*D124</f>
        <v>841.55102040816337</v>
      </c>
      <c r="E340">
        <f t="shared" si="115"/>
        <v>810.83265306122439</v>
      </c>
      <c r="F340">
        <f t="shared" si="115"/>
        <v>782.69387755102036</v>
      </c>
      <c r="G340">
        <f t="shared" si="115"/>
        <v>618.32244897959197</v>
      </c>
      <c r="H340">
        <f t="shared" si="115"/>
        <v>627.82040816326537</v>
      </c>
      <c r="I340">
        <f t="shared" si="115"/>
        <v>782.57142857142856</v>
      </c>
      <c r="J340">
        <f t="shared" si="115"/>
        <v>771.19183673469399</v>
      </c>
      <c r="K340">
        <f t="shared" si="115"/>
        <v>663.86938775510203</v>
      </c>
      <c r="L340">
        <f t="shared" si="115"/>
        <v>679.57500000000005</v>
      </c>
      <c r="M340">
        <f t="shared" si="115"/>
        <v>765.69795918367333</v>
      </c>
      <c r="N340">
        <f t="shared" si="115"/>
        <v>842.27755102040828</v>
      </c>
      <c r="O340">
        <f t="shared" si="115"/>
        <v>668.7102040816327</v>
      </c>
      <c r="P340">
        <f t="shared" si="115"/>
        <v>758.34285714285727</v>
      </c>
      <c r="Q340">
        <f t="shared" si="115"/>
        <v>837.0448979591838</v>
      </c>
      <c r="R340">
        <f t="shared" si="115"/>
        <v>737.98163265306118</v>
      </c>
      <c r="S340">
        <f t="shared" si="115"/>
        <v>707.17959183673463</v>
      </c>
      <c r="T340">
        <f t="shared" si="115"/>
        <v>606.08163265306132</v>
      </c>
      <c r="U340">
        <f t="shared" si="115"/>
        <v>739.79591836734699</v>
      </c>
      <c r="V340">
        <f t="shared" si="115"/>
        <v>642.88979591836733</v>
      </c>
      <c r="W340">
        <f t="shared" si="115"/>
        <v>869.65714285714296</v>
      </c>
      <c r="Y340" s="17">
        <f t="shared" si="100"/>
        <v>14754.087244897961</v>
      </c>
      <c r="Z340">
        <f t="shared" si="101"/>
        <v>-1317.2500542192906</v>
      </c>
    </row>
    <row r="341" spans="1:26" x14ac:dyDescent="0.25">
      <c r="A341" t="s">
        <v>58</v>
      </c>
      <c r="D341">
        <f t="shared" ref="D341:W341" si="116">D17*D125</f>
        <v>700.26122448979606</v>
      </c>
      <c r="E341">
        <f t="shared" si="116"/>
        <v>766.80612244897941</v>
      </c>
      <c r="F341">
        <f t="shared" si="116"/>
        <v>786.63265306122446</v>
      </c>
      <c r="G341">
        <f t="shared" si="116"/>
        <v>770.24489795918362</v>
      </c>
      <c r="H341">
        <f t="shared" si="116"/>
        <v>666.71020408163258</v>
      </c>
      <c r="I341">
        <f t="shared" si="116"/>
        <v>664.71428571428567</v>
      </c>
      <c r="J341">
        <f t="shared" si="116"/>
        <v>839.55102040816314</v>
      </c>
      <c r="K341">
        <f t="shared" si="116"/>
        <v>800.92448979591836</v>
      </c>
      <c r="L341">
        <f t="shared" si="116"/>
        <v>653.63437499999998</v>
      </c>
      <c r="M341">
        <f t="shared" si="116"/>
        <v>0</v>
      </c>
      <c r="N341">
        <f t="shared" si="116"/>
        <v>723.55102040816337</v>
      </c>
      <c r="O341">
        <f t="shared" si="116"/>
        <v>654.36734693877543</v>
      </c>
      <c r="P341">
        <f t="shared" si="116"/>
        <v>704.28979591836719</v>
      </c>
      <c r="Q341">
        <f t="shared" si="116"/>
        <v>748.55510204081622</v>
      </c>
      <c r="R341">
        <f t="shared" si="116"/>
        <v>559.15918367346944</v>
      </c>
      <c r="S341">
        <f t="shared" si="116"/>
        <v>880.11428571428576</v>
      </c>
      <c r="T341">
        <f t="shared" si="116"/>
        <v>745.98571428571449</v>
      </c>
      <c r="U341">
        <f t="shared" si="116"/>
        <v>840.24489795918362</v>
      </c>
      <c r="V341">
        <f t="shared" si="116"/>
        <v>483.31836734693871</v>
      </c>
      <c r="W341">
        <f t="shared" si="116"/>
        <v>681.96938775510216</v>
      </c>
      <c r="Y341" s="17">
        <f t="shared" si="100"/>
        <v>13671.034375000001</v>
      </c>
      <c r="Z341">
        <f t="shared" si="101"/>
        <v>-1319.393244805538</v>
      </c>
    </row>
    <row r="342" spans="1:26" x14ac:dyDescent="0.25">
      <c r="A342" t="s">
        <v>59</v>
      </c>
      <c r="D342">
        <f t="shared" ref="D342:W342" si="117">D18*D126</f>
        <v>780.39591836734689</v>
      </c>
      <c r="E342">
        <f t="shared" si="117"/>
        <v>795.09387755102046</v>
      </c>
      <c r="F342">
        <f t="shared" si="117"/>
        <v>703.69183673469399</v>
      </c>
      <c r="G342">
        <f t="shared" si="117"/>
        <v>593.90816326530603</v>
      </c>
      <c r="H342">
        <f t="shared" si="117"/>
        <v>657.69387755102036</v>
      </c>
      <c r="I342">
        <f t="shared" si="117"/>
        <v>600.26530612244892</v>
      </c>
      <c r="J342">
        <f t="shared" si="117"/>
        <v>832.65306122448965</v>
      </c>
      <c r="K342">
        <f t="shared" si="117"/>
        <v>747.35102040816332</v>
      </c>
      <c r="L342">
        <f t="shared" si="117"/>
        <v>690.84489795918387</v>
      </c>
      <c r="M342">
        <f t="shared" si="117"/>
        <v>578.7918367346939</v>
      </c>
      <c r="N342">
        <f t="shared" si="117"/>
        <v>712.96938775510228</v>
      </c>
      <c r="O342">
        <f t="shared" si="117"/>
        <v>740.4591836734694</v>
      </c>
      <c r="P342">
        <f t="shared" si="117"/>
        <v>778.12653061224489</v>
      </c>
      <c r="Q342">
        <f t="shared" si="117"/>
        <v>609.30000000000007</v>
      </c>
      <c r="R342">
        <f t="shared" si="117"/>
        <v>683.43673469387738</v>
      </c>
      <c r="S342">
        <f t="shared" si="117"/>
        <v>802.57346938775504</v>
      </c>
      <c r="T342">
        <f t="shared" si="117"/>
        <v>883.46122448979611</v>
      </c>
      <c r="U342">
        <f t="shared" si="117"/>
        <v>661.4387755102041</v>
      </c>
      <c r="V342">
        <f t="shared" si="117"/>
        <v>671.4367346938775</v>
      </c>
      <c r="W342">
        <f t="shared" si="117"/>
        <v>372.19591836734691</v>
      </c>
      <c r="Y342" s="17">
        <f t="shared" si="100"/>
        <v>13896.087755102038</v>
      </c>
      <c r="Z342">
        <f t="shared" si="101"/>
        <v>-1233.8361599950738</v>
      </c>
    </row>
    <row r="343" spans="1:26" x14ac:dyDescent="0.25">
      <c r="A343" t="s">
        <v>60</v>
      </c>
      <c r="D343">
        <f t="shared" ref="D343:W343" si="118">D19*D127</f>
        <v>829.52653061224487</v>
      </c>
      <c r="E343">
        <f t="shared" si="118"/>
        <v>577.68367346938771</v>
      </c>
      <c r="F343">
        <f t="shared" si="118"/>
        <v>746.35714285714278</v>
      </c>
      <c r="G343">
        <f t="shared" si="118"/>
        <v>861.14285714285688</v>
      </c>
      <c r="H343">
        <f t="shared" si="118"/>
        <v>704.6</v>
      </c>
      <c r="I343">
        <f t="shared" si="118"/>
        <v>644.91428571428571</v>
      </c>
      <c r="J343">
        <f t="shared" si="118"/>
        <v>764.44081632653047</v>
      </c>
      <c r="K343">
        <f t="shared" si="118"/>
        <v>858.25714285714298</v>
      </c>
      <c r="L343">
        <f t="shared" si="118"/>
        <v>782.99999999999989</v>
      </c>
      <c r="M343">
        <f t="shared" si="118"/>
        <v>603.0612244897959</v>
      </c>
      <c r="N343">
        <f t="shared" si="118"/>
        <v>479.32857142857142</v>
      </c>
      <c r="O343">
        <f t="shared" si="118"/>
        <v>534.69183673469377</v>
      </c>
      <c r="P343">
        <f t="shared" si="118"/>
        <v>789.87755102040808</v>
      </c>
      <c r="Q343">
        <f t="shared" si="118"/>
        <v>757.76326530612243</v>
      </c>
      <c r="R343">
        <f t="shared" si="118"/>
        <v>726.2102040816327</v>
      </c>
      <c r="S343">
        <f t="shared" si="118"/>
        <v>674.44897959183675</v>
      </c>
      <c r="T343">
        <f t="shared" si="118"/>
        <v>811.12040816326544</v>
      </c>
      <c r="U343">
        <f t="shared" si="118"/>
        <v>731.04285714285709</v>
      </c>
      <c r="V343">
        <f t="shared" si="118"/>
        <v>479.86938775510214</v>
      </c>
      <c r="W343">
        <f t="shared" si="118"/>
        <v>563.9591836734694</v>
      </c>
      <c r="Y343" s="17">
        <f t="shared" si="100"/>
        <v>13921.295918367347</v>
      </c>
      <c r="Z343">
        <f t="shared" si="101"/>
        <v>-1319.9689243575228</v>
      </c>
    </row>
    <row r="344" spans="1:26" x14ac:dyDescent="0.25">
      <c r="A344" t="s">
        <v>61</v>
      </c>
      <c r="D344">
        <f t="shared" ref="D344:W344" si="119">D20*D128</f>
        <v>777.5632653061225</v>
      </c>
      <c r="E344">
        <f t="shared" si="119"/>
        <v>819.18367346938783</v>
      </c>
      <c r="F344">
        <f t="shared" si="119"/>
        <v>840.41428571428594</v>
      </c>
      <c r="G344">
        <f t="shared" si="119"/>
        <v>657.91836734693868</v>
      </c>
      <c r="H344">
        <f t="shared" si="119"/>
        <v>800.81632653061206</v>
      </c>
      <c r="I344">
        <f t="shared" si="119"/>
        <v>874.22448979591843</v>
      </c>
      <c r="J344">
        <f t="shared" si="119"/>
        <v>720.78367346938785</v>
      </c>
      <c r="K344">
        <f t="shared" si="119"/>
        <v>733.19387755102036</v>
      </c>
      <c r="L344">
        <f t="shared" si="119"/>
        <v>721.09375</v>
      </c>
      <c r="M344">
        <f t="shared" si="119"/>
        <v>141.59204081632654</v>
      </c>
      <c r="N344">
        <f t="shared" si="119"/>
        <v>148.22061224489795</v>
      </c>
      <c r="O344">
        <f t="shared" si="119"/>
        <v>158.28551020408162</v>
      </c>
      <c r="P344">
        <f t="shared" si="119"/>
        <v>150.9942857142857</v>
      </c>
      <c r="Q344">
        <f t="shared" si="119"/>
        <v>160.71346938775511</v>
      </c>
      <c r="R344">
        <f t="shared" si="119"/>
        <v>153.15714285714287</v>
      </c>
      <c r="S344">
        <f t="shared" si="119"/>
        <v>189.66653061224486</v>
      </c>
      <c r="T344">
        <f t="shared" si="119"/>
        <v>191.38040816326529</v>
      </c>
      <c r="U344">
        <f t="shared" si="119"/>
        <v>206.76489795918366</v>
      </c>
      <c r="V344">
        <f t="shared" si="119"/>
        <v>199.54999999999998</v>
      </c>
      <c r="W344">
        <f t="shared" si="119"/>
        <v>244.06530612244902</v>
      </c>
      <c r="Y344" s="17">
        <f t="shared" si="100"/>
        <v>8889.5819132653069</v>
      </c>
      <c r="Z344">
        <f t="shared" si="101"/>
        <v>-1245.0673184574766</v>
      </c>
    </row>
    <row r="345" spans="1:26" x14ac:dyDescent="0.25">
      <c r="A345" t="s">
        <v>62</v>
      </c>
      <c r="D345">
        <f t="shared" ref="D345:W345" si="120">D21*D129</f>
        <v>218.05</v>
      </c>
      <c r="E345">
        <f t="shared" si="120"/>
        <v>223.54285714285712</v>
      </c>
      <c r="F345">
        <f t="shared" si="120"/>
        <v>231.11224489795919</v>
      </c>
      <c r="G345">
        <f t="shared" si="120"/>
        <v>200.50428571428571</v>
      </c>
      <c r="H345">
        <f t="shared" si="120"/>
        <v>197.73061224489797</v>
      </c>
      <c r="I345">
        <f t="shared" si="120"/>
        <v>188.55469387755099</v>
      </c>
      <c r="J345">
        <f t="shared" si="120"/>
        <v>170.90408163265309</v>
      </c>
      <c r="K345">
        <f t="shared" si="120"/>
        <v>186.38938775510201</v>
      </c>
      <c r="L345">
        <f t="shared" si="120"/>
        <v>149.96015625000001</v>
      </c>
      <c r="M345">
        <f t="shared" si="120"/>
        <v>699.97959183673481</v>
      </c>
      <c r="N345">
        <f t="shared" si="120"/>
        <v>848.91428571428571</v>
      </c>
      <c r="O345">
        <f t="shared" si="120"/>
        <v>711.23673469387757</v>
      </c>
      <c r="P345">
        <f t="shared" si="120"/>
        <v>552.7510204081633</v>
      </c>
      <c r="Q345">
        <f t="shared" si="120"/>
        <v>805.34081632653056</v>
      </c>
      <c r="R345">
        <f t="shared" si="120"/>
        <v>827.89591836734701</v>
      </c>
      <c r="S345">
        <f t="shared" si="120"/>
        <v>849.57551020408152</v>
      </c>
      <c r="T345">
        <f t="shared" si="120"/>
        <v>645.70408163265301</v>
      </c>
      <c r="U345">
        <f t="shared" si="120"/>
        <v>784.9326530612243</v>
      </c>
      <c r="V345">
        <f t="shared" si="120"/>
        <v>729.80408163265304</v>
      </c>
      <c r="W345">
        <f t="shared" si="120"/>
        <v>744.7673469387754</v>
      </c>
      <c r="Y345" s="17">
        <f t="shared" si="100"/>
        <v>9967.6503603316323</v>
      </c>
      <c r="Z345">
        <f t="shared" si="101"/>
        <v>-457.28759795911367</v>
      </c>
    </row>
    <row r="346" spans="1:26" x14ac:dyDescent="0.25">
      <c r="A346" t="s">
        <v>63</v>
      </c>
      <c r="D346">
        <f t="shared" ref="D346:W346" si="121">D22*D130</f>
        <v>807.58775510204066</v>
      </c>
      <c r="E346">
        <f t="shared" si="121"/>
        <v>782.24081632653053</v>
      </c>
      <c r="F346">
        <f t="shared" si="121"/>
        <v>826.68163265306134</v>
      </c>
      <c r="G346">
        <f t="shared" si="121"/>
        <v>819.20408163265301</v>
      </c>
      <c r="H346">
        <f t="shared" si="121"/>
        <v>633.92653061224496</v>
      </c>
      <c r="I346">
        <f t="shared" si="121"/>
        <v>1555.4897959183672</v>
      </c>
      <c r="J346">
        <f t="shared" si="121"/>
        <v>808.44489795918366</v>
      </c>
      <c r="K346">
        <f t="shared" si="121"/>
        <v>707.95102040816323</v>
      </c>
      <c r="L346">
        <f t="shared" si="121"/>
        <v>771.4453125</v>
      </c>
      <c r="M346">
        <f t="shared" si="121"/>
        <v>597.80204081632655</v>
      </c>
      <c r="N346">
        <f t="shared" si="121"/>
        <v>805.11428571428564</v>
      </c>
      <c r="O346">
        <f t="shared" si="121"/>
        <v>848.68571428571443</v>
      </c>
      <c r="P346">
        <f t="shared" si="121"/>
        <v>783.2102040816327</v>
      </c>
      <c r="Q346">
        <f t="shared" si="121"/>
        <v>771.88979591836733</v>
      </c>
      <c r="R346">
        <f t="shared" si="121"/>
        <v>883.64285714285711</v>
      </c>
      <c r="S346">
        <f t="shared" si="121"/>
        <v>858.47142857142853</v>
      </c>
      <c r="T346">
        <f t="shared" si="121"/>
        <v>886.46530612244908</v>
      </c>
      <c r="U346">
        <f t="shared" si="121"/>
        <v>654.36734693877543</v>
      </c>
      <c r="V346">
        <f t="shared" si="121"/>
        <v>599.22040816326535</v>
      </c>
      <c r="W346">
        <f t="shared" si="121"/>
        <v>675.46938775510216</v>
      </c>
      <c r="Y346" s="17">
        <f t="shared" si="100"/>
        <v>16077.310618622449</v>
      </c>
      <c r="Z346">
        <f t="shared" si="101"/>
        <v>-1355.749050806422</v>
      </c>
    </row>
    <row r="347" spans="1:26" x14ac:dyDescent="0.25">
      <c r="A347" t="s">
        <v>64</v>
      </c>
      <c r="D347">
        <f t="shared" ref="D347:W347" si="122">D23*D131</f>
        <v>724.5204081632653</v>
      </c>
      <c r="E347">
        <f t="shared" si="122"/>
        <v>793.80000000000007</v>
      </c>
      <c r="F347">
        <f t="shared" si="122"/>
        <v>821.77551020408168</v>
      </c>
      <c r="G347">
        <f t="shared" si="122"/>
        <v>808.68979591836739</v>
      </c>
      <c r="H347">
        <f t="shared" si="122"/>
        <v>658.25102040816341</v>
      </c>
      <c r="I347">
        <f t="shared" si="122"/>
        <v>791.19999999999993</v>
      </c>
      <c r="J347">
        <f t="shared" si="122"/>
        <v>806.84081632653056</v>
      </c>
      <c r="K347">
        <f t="shared" si="122"/>
        <v>840.17142857142869</v>
      </c>
      <c r="L347">
        <f t="shared" si="122"/>
        <v>755.15625</v>
      </c>
      <c r="M347">
        <f t="shared" si="122"/>
        <v>835.57346938775515</v>
      </c>
      <c r="N347">
        <f t="shared" si="122"/>
        <v>678.71020408163258</v>
      </c>
      <c r="O347">
        <f t="shared" si="122"/>
        <v>785.92653061224485</v>
      </c>
      <c r="P347">
        <f t="shared" si="122"/>
        <v>751.5428571428572</v>
      </c>
      <c r="Q347">
        <f t="shared" si="122"/>
        <v>743.53469387755115</v>
      </c>
      <c r="R347">
        <f t="shared" si="122"/>
        <v>789.50816326530605</v>
      </c>
      <c r="S347">
        <f t="shared" si="122"/>
        <v>895.80408163265292</v>
      </c>
      <c r="T347">
        <f t="shared" si="122"/>
        <v>781.80408163265315</v>
      </c>
      <c r="U347">
        <f t="shared" si="122"/>
        <v>827.00408163265297</v>
      </c>
      <c r="V347">
        <f t="shared" si="122"/>
        <v>720.14285714285711</v>
      </c>
      <c r="W347">
        <f t="shared" si="122"/>
        <v>752.27551020408168</v>
      </c>
      <c r="Y347" s="17">
        <f t="shared" si="100"/>
        <v>15562.23176020408</v>
      </c>
      <c r="Z347">
        <f t="shared" si="101"/>
        <v>-1335.410079315247</v>
      </c>
    </row>
    <row r="348" spans="1:26" x14ac:dyDescent="0.25">
      <c r="A348" t="s">
        <v>65</v>
      </c>
      <c r="D348">
        <f t="shared" ref="D348:W348" si="123">D24*D132</f>
        <v>644.07346938775504</v>
      </c>
      <c r="E348">
        <f t="shared" si="123"/>
        <v>754.38367346938776</v>
      </c>
      <c r="F348">
        <f t="shared" si="123"/>
        <v>716.12244897959192</v>
      </c>
      <c r="G348">
        <f t="shared" si="123"/>
        <v>737.98163265306118</v>
      </c>
      <c r="H348">
        <f t="shared" si="123"/>
        <v>652.88775510204084</v>
      </c>
      <c r="I348">
        <f t="shared" si="123"/>
        <v>607.87755102040819</v>
      </c>
      <c r="J348">
        <f t="shared" si="123"/>
        <v>642.22040816326535</v>
      </c>
      <c r="K348">
        <f t="shared" si="123"/>
        <v>680.55510204081622</v>
      </c>
      <c r="L348">
        <f t="shared" si="123"/>
        <v>745.69062500000007</v>
      </c>
      <c r="M348">
        <f t="shared" si="123"/>
        <v>665.86530612244894</v>
      </c>
      <c r="N348">
        <f t="shared" si="123"/>
        <v>651.19999999999982</v>
      </c>
      <c r="O348">
        <f t="shared" si="123"/>
        <v>642.61224489795916</v>
      </c>
      <c r="P348">
        <f t="shared" si="123"/>
        <v>745.53673469387763</v>
      </c>
      <c r="Q348">
        <f t="shared" si="123"/>
        <v>762.63673469387754</v>
      </c>
      <c r="R348">
        <f t="shared" si="123"/>
        <v>750.98571428571415</v>
      </c>
      <c r="S348">
        <f t="shared" si="123"/>
        <v>723.5408163265306</v>
      </c>
      <c r="T348">
        <f t="shared" si="123"/>
        <v>828.08979591836749</v>
      </c>
      <c r="U348">
        <f t="shared" si="123"/>
        <v>711.08571428571429</v>
      </c>
      <c r="V348">
        <f t="shared" si="123"/>
        <v>723.0204081632653</v>
      </c>
      <c r="W348">
        <f t="shared" si="123"/>
        <v>460.93877551020398</v>
      </c>
      <c r="Y348" s="17">
        <f t="shared" si="100"/>
        <v>13847.304910714287</v>
      </c>
      <c r="Z348">
        <f t="shared" si="101"/>
        <v>-1196.9672193700085</v>
      </c>
    </row>
    <row r="349" spans="1:26" x14ac:dyDescent="0.25">
      <c r="A349" t="s">
        <v>66</v>
      </c>
      <c r="D349">
        <f t="shared" ref="D349:W349" si="124">D25*D133</f>
        <v>766.15510204081647</v>
      </c>
      <c r="E349">
        <f t="shared" si="124"/>
        <v>722.45714285714291</v>
      </c>
      <c r="F349">
        <f t="shared" si="124"/>
        <v>598.26530612244892</v>
      </c>
      <c r="G349">
        <f t="shared" si="124"/>
        <v>512.89795918367349</v>
      </c>
      <c r="H349">
        <f t="shared" si="124"/>
        <v>332.12244897959187</v>
      </c>
      <c r="I349">
        <f t="shared" si="124"/>
        <v>697.87755102040819</v>
      </c>
      <c r="J349">
        <f t="shared" si="124"/>
        <v>606.69183673469388</v>
      </c>
      <c r="K349">
        <f t="shared" si="124"/>
        <v>382.05918367346948</v>
      </c>
      <c r="L349">
        <f t="shared" si="124"/>
        <v>832.63125000000002</v>
      </c>
      <c r="M349">
        <f t="shared" si="124"/>
        <v>653.19795918367345</v>
      </c>
      <c r="N349">
        <f t="shared" si="124"/>
        <v>554.12857142857138</v>
      </c>
      <c r="O349">
        <f t="shared" si="124"/>
        <v>508.49387755102038</v>
      </c>
      <c r="P349">
        <f t="shared" si="124"/>
        <v>558.54897959183677</v>
      </c>
      <c r="Q349">
        <f t="shared" si="124"/>
        <v>839.74285714285702</v>
      </c>
      <c r="R349">
        <f t="shared" si="124"/>
        <v>776.73469387755108</v>
      </c>
      <c r="S349">
        <f t="shared" si="124"/>
        <v>790.31020408163261</v>
      </c>
      <c r="T349">
        <f t="shared" si="124"/>
        <v>607.49387755102032</v>
      </c>
      <c r="U349">
        <f t="shared" si="124"/>
        <v>758.80000000000007</v>
      </c>
      <c r="V349">
        <f t="shared" si="124"/>
        <v>659.26530612244903</v>
      </c>
      <c r="W349">
        <f t="shared" si="124"/>
        <v>559.26530612244903</v>
      </c>
      <c r="Y349" s="17">
        <f t="shared" si="100"/>
        <v>12717.139413265304</v>
      </c>
      <c r="Z349">
        <f t="shared" si="101"/>
        <v>-861.02289461794101</v>
      </c>
    </row>
    <row r="350" spans="1:26" x14ac:dyDescent="0.25">
      <c r="A350" t="s">
        <v>67</v>
      </c>
      <c r="D350">
        <f t="shared" ref="D350:W350" si="125">D26*D134</f>
        <v>777.85918367346949</v>
      </c>
      <c r="E350">
        <f t="shared" si="125"/>
        <v>593.9387755102041</v>
      </c>
      <c r="F350">
        <f t="shared" si="125"/>
        <v>801.78163265306137</v>
      </c>
      <c r="G350">
        <f t="shared" si="125"/>
        <v>756.53061224489807</v>
      </c>
      <c r="H350">
        <f t="shared" si="125"/>
        <v>829.43265306122453</v>
      </c>
      <c r="I350">
        <f t="shared" si="125"/>
        <v>775.33877551020419</v>
      </c>
      <c r="J350">
        <f t="shared" si="125"/>
        <v>728.55918367346942</v>
      </c>
      <c r="K350">
        <f t="shared" si="125"/>
        <v>685.67346938775506</v>
      </c>
      <c r="L350">
        <f t="shared" si="125"/>
        <v>998.57142857142867</v>
      </c>
      <c r="M350">
        <f t="shared" si="125"/>
        <v>687.48979591836758</v>
      </c>
      <c r="N350">
        <f t="shared" si="125"/>
        <v>681.82857142857142</v>
      </c>
      <c r="O350">
        <f t="shared" si="125"/>
        <v>777.38367346938776</v>
      </c>
      <c r="P350">
        <f t="shared" si="125"/>
        <v>795.35510204081618</v>
      </c>
      <c r="Q350">
        <f t="shared" si="125"/>
        <v>747.97346938775502</v>
      </c>
      <c r="R350">
        <f t="shared" si="125"/>
        <v>604.57142857142867</v>
      </c>
      <c r="S350">
        <f t="shared" si="125"/>
        <v>692.60816326530608</v>
      </c>
      <c r="T350">
        <f t="shared" si="125"/>
        <v>616.19999999999993</v>
      </c>
      <c r="U350">
        <f t="shared" si="125"/>
        <v>714.94897959183663</v>
      </c>
      <c r="V350">
        <f t="shared" si="125"/>
        <v>550.26326530612243</v>
      </c>
      <c r="W350">
        <f t="shared" si="125"/>
        <v>681.88775510204073</v>
      </c>
      <c r="Y350" s="17">
        <f t="shared" si="100"/>
        <v>14498.195918367348</v>
      </c>
      <c r="Z350">
        <f t="shared" si="101"/>
        <v>-1426.6846111278962</v>
      </c>
    </row>
    <row r="351" spans="1:26" x14ac:dyDescent="0.25">
      <c r="A351" t="s">
        <v>68</v>
      </c>
      <c r="D351">
        <f t="shared" ref="D351:W351" si="126">D27*D135</f>
        <v>710.30408163265292</v>
      </c>
      <c r="E351">
        <f t="shared" si="126"/>
        <v>564.63673469387766</v>
      </c>
      <c r="F351">
        <f t="shared" si="126"/>
        <v>597.13469387755094</v>
      </c>
      <c r="G351">
        <f t="shared" si="126"/>
        <v>839.7551020408165</v>
      </c>
      <c r="H351">
        <f t="shared" si="126"/>
        <v>718.18163265306123</v>
      </c>
      <c r="I351">
        <f t="shared" si="126"/>
        <v>701.17551020408155</v>
      </c>
      <c r="J351">
        <f t="shared" si="126"/>
        <v>812.57142857142878</v>
      </c>
      <c r="K351">
        <f t="shared" si="126"/>
        <v>863.82040816326537</v>
      </c>
      <c r="L351">
        <f t="shared" si="126"/>
        <v>689.47812499999998</v>
      </c>
      <c r="M351">
        <f t="shared" si="126"/>
        <v>719.39183673469392</v>
      </c>
      <c r="N351">
        <f t="shared" si="126"/>
        <v>797.91836734693879</v>
      </c>
      <c r="O351">
        <f t="shared" si="126"/>
        <v>809.25714285714298</v>
      </c>
      <c r="P351">
        <f t="shared" si="126"/>
        <v>845.93469387755101</v>
      </c>
      <c r="Q351">
        <f t="shared" si="126"/>
        <v>843.85306122448969</v>
      </c>
      <c r="R351">
        <f t="shared" si="126"/>
        <v>879.3163265306124</v>
      </c>
      <c r="S351">
        <f t="shared" si="126"/>
        <v>811.10204081632662</v>
      </c>
      <c r="T351">
        <f t="shared" si="126"/>
        <v>792.83673469387747</v>
      </c>
      <c r="U351">
        <f t="shared" si="126"/>
        <v>786.45306122448994</v>
      </c>
      <c r="V351">
        <f t="shared" si="126"/>
        <v>672.9795918367347</v>
      </c>
      <c r="W351">
        <f t="shared" si="126"/>
        <v>648.36734693877554</v>
      </c>
      <c r="Y351" s="17">
        <f t="shared" si="100"/>
        <v>15104.467920918369</v>
      </c>
      <c r="Z351">
        <f t="shared" si="101"/>
        <v>-1335.4288864879779</v>
      </c>
    </row>
    <row r="352" spans="1:26" x14ac:dyDescent="0.25">
      <c r="A352" t="s">
        <v>69</v>
      </c>
      <c r="D352">
        <f t="shared" ref="D352:W352" si="127">D28*D136</f>
        <v>664.29183673469379</v>
      </c>
      <c r="E352">
        <f t="shared" si="127"/>
        <v>729.85714285714289</v>
      </c>
      <c r="F352">
        <f t="shared" si="127"/>
        <v>827.62448979591841</v>
      </c>
      <c r="G352">
        <f t="shared" si="127"/>
        <v>776.6448979591836</v>
      </c>
      <c r="H352">
        <f t="shared" si="127"/>
        <v>564.17551020408177</v>
      </c>
      <c r="I352">
        <f t="shared" si="127"/>
        <v>864.79591836734699</v>
      </c>
      <c r="J352">
        <f t="shared" si="127"/>
        <v>764.0857142857144</v>
      </c>
      <c r="K352">
        <f t="shared" si="127"/>
        <v>792.7469387755101</v>
      </c>
      <c r="L352">
        <f t="shared" si="127"/>
        <v>734.16874999999993</v>
      </c>
      <c r="M352">
        <f t="shared" si="127"/>
        <v>684.16938775510209</v>
      </c>
      <c r="N352">
        <f t="shared" si="127"/>
        <v>769.09183673469386</v>
      </c>
      <c r="O352">
        <f t="shared" si="127"/>
        <v>807.58775510204066</v>
      </c>
      <c r="P352">
        <f t="shared" si="127"/>
        <v>767.93877551020398</v>
      </c>
      <c r="Q352">
        <f t="shared" si="127"/>
        <v>692.857142857143</v>
      </c>
      <c r="R352">
        <f t="shared" si="127"/>
        <v>662.92812500000014</v>
      </c>
      <c r="S352">
        <f t="shared" si="127"/>
        <v>771.39999999999986</v>
      </c>
      <c r="T352">
        <f t="shared" si="127"/>
        <v>690.97959183673106</v>
      </c>
      <c r="U352">
        <f t="shared" si="127"/>
        <v>790.9306122448927</v>
      </c>
      <c r="V352">
        <f t="shared" si="127"/>
        <v>610.46530612244885</v>
      </c>
      <c r="W352">
        <f t="shared" si="127"/>
        <v>572.91836734693868</v>
      </c>
      <c r="Y352" s="17">
        <f t="shared" si="100"/>
        <v>14539.658099489785</v>
      </c>
      <c r="Z352">
        <f t="shared" si="101"/>
        <v>-1261.1882756426946</v>
      </c>
    </row>
    <row r="353" spans="1:26" x14ac:dyDescent="0.25">
      <c r="Y353" s="17"/>
    </row>
    <row r="354" spans="1:26" x14ac:dyDescent="0.25">
      <c r="A354" t="s">
        <v>70</v>
      </c>
      <c r="D354">
        <f t="shared" ref="D354:W354" si="128">D30*D138</f>
        <v>648.6857142857142</v>
      </c>
      <c r="E354">
        <f t="shared" si="128"/>
        <v>834.79591836734687</v>
      </c>
      <c r="F354">
        <f t="shared" si="128"/>
        <v>876.62857142857138</v>
      </c>
      <c r="G354">
        <f t="shared" si="128"/>
        <v>840.07142857142856</v>
      </c>
      <c r="H354">
        <f t="shared" si="128"/>
        <v>891.47142857142876</v>
      </c>
      <c r="I354">
        <f t="shared" si="128"/>
        <v>739.07755102040835</v>
      </c>
      <c r="J354">
        <f t="shared" si="128"/>
        <v>871.9346938775509</v>
      </c>
      <c r="K354">
        <f t="shared" si="128"/>
        <v>765.35510204081629</v>
      </c>
      <c r="L354">
        <f t="shared" si="128"/>
        <v>805.53125</v>
      </c>
      <c r="M354">
        <f t="shared" si="128"/>
        <v>769.38775510204096</v>
      </c>
      <c r="N354">
        <f t="shared" si="128"/>
        <v>834.64285714285722</v>
      </c>
      <c r="O354">
        <f t="shared" si="128"/>
        <v>801.55918367346931</v>
      </c>
      <c r="P354">
        <f t="shared" si="128"/>
        <v>688.19999999999993</v>
      </c>
      <c r="Q354">
        <f t="shared" si="128"/>
        <v>745.79591836735085</v>
      </c>
      <c r="R354">
        <f t="shared" si="128"/>
        <v>758.85714285714278</v>
      </c>
      <c r="S354">
        <f t="shared" si="128"/>
        <v>742.03458863214712</v>
      </c>
      <c r="T354">
        <f t="shared" si="128"/>
        <v>881.750204081628</v>
      </c>
      <c r="U354">
        <f t="shared" si="128"/>
        <v>743.89907235621536</v>
      </c>
      <c r="V354">
        <f t="shared" si="128"/>
        <v>716.91818181818098</v>
      </c>
      <c r="W354">
        <f t="shared" si="128"/>
        <v>773.26096474953613</v>
      </c>
      <c r="Y354" s="17">
        <f t="shared" si="100"/>
        <v>15729.857526943832</v>
      </c>
      <c r="Z354">
        <f>SUMPRODUCT($D$358:$W$358,D354:W354)</f>
        <v>-1482.4529651745679</v>
      </c>
    </row>
    <row r="355" spans="1:26" x14ac:dyDescent="0.25">
      <c r="A355" t="s">
        <v>314</v>
      </c>
      <c r="D355">
        <f t="shared" ref="D355:W355" si="129">D31*D139</f>
        <v>788.40000000000009</v>
      </c>
      <c r="E355">
        <f t="shared" si="129"/>
        <v>673.66326530612241</v>
      </c>
      <c r="F355">
        <f t="shared" si="129"/>
        <v>629.13061224489809</v>
      </c>
      <c r="G355">
        <f t="shared" si="129"/>
        <v>791.69387755102048</v>
      </c>
      <c r="H355">
        <f t="shared" si="129"/>
        <v>710.67755102040815</v>
      </c>
      <c r="I355">
        <f t="shared" si="129"/>
        <v>771.36734693877531</v>
      </c>
      <c r="J355">
        <f t="shared" si="129"/>
        <v>864.65306122448976</v>
      </c>
      <c r="K355">
        <f t="shared" si="129"/>
        <v>833.17959183673474</v>
      </c>
      <c r="L355">
        <f t="shared" si="129"/>
        <v>294.9375</v>
      </c>
      <c r="M355">
        <f t="shared" si="129"/>
        <v>478.26122448979589</v>
      </c>
      <c r="N355">
        <f t="shared" si="129"/>
        <v>642.61224489795927</v>
      </c>
      <c r="O355">
        <f t="shared" si="129"/>
        <v>733.16734693877561</v>
      </c>
      <c r="P355">
        <f t="shared" si="129"/>
        <v>514.1</v>
      </c>
      <c r="Q355">
        <f t="shared" si="129"/>
        <v>902.09999999999991</v>
      </c>
      <c r="R355">
        <f t="shared" si="129"/>
        <v>852.6</v>
      </c>
      <c r="S355">
        <f t="shared" si="129"/>
        <v>825.6</v>
      </c>
      <c r="T355">
        <f t="shared" si="129"/>
        <v>730.02448979591838</v>
      </c>
      <c r="U355">
        <f t="shared" si="129"/>
        <v>728.46938775510205</v>
      </c>
      <c r="V355">
        <f t="shared" si="129"/>
        <v>779.26530612244926</v>
      </c>
      <c r="W355">
        <f t="shared" si="129"/>
        <v>808.97755102040821</v>
      </c>
      <c r="Y355" s="17">
        <f t="shared" si="100"/>
        <v>14352.88035714286</v>
      </c>
      <c r="Z355">
        <f>SUMPRODUCT($D$358:$W$358,D355:W355)</f>
        <v>-1275.7972122314143</v>
      </c>
    </row>
    <row r="356" spans="1:26" x14ac:dyDescent="0.25">
      <c r="A356" t="s">
        <v>315</v>
      </c>
      <c r="D356">
        <f t="shared" ref="D356:W356" si="130">D32*D140</f>
        <v>626.76122448979606</v>
      </c>
      <c r="E356">
        <f t="shared" si="130"/>
        <v>795.14285714285722</v>
      </c>
      <c r="F356">
        <f t="shared" si="130"/>
        <v>565.78775510204093</v>
      </c>
      <c r="G356">
        <f t="shared" si="130"/>
        <v>846.269387755102</v>
      </c>
      <c r="H356">
        <f t="shared" si="130"/>
        <v>874.07346938775515</v>
      </c>
      <c r="I356">
        <f t="shared" si="130"/>
        <v>779.04081632653072</v>
      </c>
      <c r="J356">
        <f t="shared" si="130"/>
        <v>732.61224489795904</v>
      </c>
      <c r="K356">
        <f t="shared" si="130"/>
        <v>721.11428571428576</v>
      </c>
      <c r="L356">
        <f t="shared" si="130"/>
        <v>604.88437499999998</v>
      </c>
      <c r="M356">
        <f t="shared" si="130"/>
        <v>691.16000000000008</v>
      </c>
      <c r="N356">
        <f t="shared" si="130"/>
        <v>760.14</v>
      </c>
      <c r="O356">
        <f t="shared" si="130"/>
        <v>612.67999999999995</v>
      </c>
      <c r="P356">
        <f t="shared" si="130"/>
        <v>655.34688311688296</v>
      </c>
      <c r="Q356">
        <f t="shared" si="130"/>
        <v>698.42296846011141</v>
      </c>
      <c r="R356">
        <f t="shared" si="130"/>
        <v>689.28682951968665</v>
      </c>
      <c r="S356">
        <f t="shared" si="130"/>
        <v>737.59022057307766</v>
      </c>
      <c r="T356">
        <f t="shared" si="130"/>
        <v>846.41399416909621</v>
      </c>
      <c r="U356">
        <f t="shared" si="130"/>
        <v>868.98658892128287</v>
      </c>
      <c r="V356">
        <f t="shared" si="130"/>
        <v>753.92099125364439</v>
      </c>
      <c r="W356">
        <f t="shared" si="130"/>
        <v>770.28221574344013</v>
      </c>
      <c r="Y356" s="17">
        <f t="shared" si="100"/>
        <v>14629.917107573548</v>
      </c>
      <c r="Z356">
        <f>SUMPRODUCT($D$358:$W$358,D356:W356)</f>
        <v>-1340.7248234327253</v>
      </c>
    </row>
    <row r="357" spans="1:26" x14ac:dyDescent="0.25">
      <c r="A357" t="s">
        <v>677</v>
      </c>
      <c r="D357">
        <f t="shared" ref="D357:W357" si="131">D33*D141</f>
        <v>756.87551020408159</v>
      </c>
      <c r="E357">
        <f t="shared" si="131"/>
        <v>828.02653061224498</v>
      </c>
      <c r="F357">
        <f t="shared" si="131"/>
        <v>814.07142857142867</v>
      </c>
      <c r="G357">
        <f t="shared" si="131"/>
        <v>533.00816326530605</v>
      </c>
      <c r="H357">
        <f t="shared" si="131"/>
        <v>568.5632653061225</v>
      </c>
      <c r="I357">
        <f t="shared" si="131"/>
        <v>819.83673469387759</v>
      </c>
      <c r="J357">
        <f t="shared" si="131"/>
        <v>798.03061224489807</v>
      </c>
      <c r="K357">
        <f t="shared" si="131"/>
        <v>731.19387755102036</v>
      </c>
      <c r="L357">
        <f t="shared" si="131"/>
        <v>535.27499999999998</v>
      </c>
      <c r="M357">
        <f t="shared" si="131"/>
        <v>858.04489795918357</v>
      </c>
      <c r="N357">
        <f t="shared" si="131"/>
        <v>834.52653061224498</v>
      </c>
      <c r="O357">
        <f t="shared" si="131"/>
        <v>227.64897959183673</v>
      </c>
      <c r="P357">
        <f t="shared" si="131"/>
        <v>905.05102040816325</v>
      </c>
      <c r="Q357">
        <f t="shared" si="131"/>
        <v>808.34285714285704</v>
      </c>
      <c r="R357">
        <f t="shared" si="131"/>
        <v>766.04693877551017</v>
      </c>
      <c r="S357">
        <f t="shared" si="131"/>
        <v>794.40000000000009</v>
      </c>
      <c r="T357">
        <f t="shared" si="131"/>
        <v>712.11565384615392</v>
      </c>
      <c r="U357">
        <f t="shared" si="131"/>
        <v>711.02392464678178</v>
      </c>
      <c r="V357">
        <f t="shared" si="131"/>
        <v>615.35180553375187</v>
      </c>
      <c r="W357">
        <f t="shared" si="131"/>
        <v>642.27145604395594</v>
      </c>
      <c r="Y357" s="17">
        <f t="shared" ref="Y357" si="132">SUM(D357:W357)</f>
        <v>14259.705187009418</v>
      </c>
      <c r="Z357">
        <f>SUMPRODUCT($D$358:$W$358,D357:W357)</f>
        <v>-1147.4919565572884</v>
      </c>
    </row>
    <row r="358" spans="1:26" x14ac:dyDescent="0.25">
      <c r="A358" s="2" t="s">
        <v>71</v>
      </c>
      <c r="D358" s="3">
        <f>CORREL($B$2:$B$28,D326:D352)</f>
        <v>-0.21236946666726156</v>
      </c>
      <c r="E358" s="3">
        <f t="shared" ref="E358:W358" si="133">CORREL($B$2:$B$28,E326:E352)</f>
        <v>-0.17510989015945788</v>
      </c>
      <c r="F358" s="3">
        <f t="shared" si="133"/>
        <v>-0.12435582885449546</v>
      </c>
      <c r="G358" s="3">
        <f t="shared" si="133"/>
        <v>-0.21300838818004758</v>
      </c>
      <c r="H358" s="3">
        <f t="shared" si="133"/>
        <v>-0.51544045986905307</v>
      </c>
      <c r="I358" s="3">
        <f t="shared" si="133"/>
        <v>5.5698348787031173E-3</v>
      </c>
      <c r="J358" s="3">
        <f t="shared" si="133"/>
        <v>-5.8710010046262944E-4</v>
      </c>
      <c r="K358" s="3">
        <f t="shared" si="133"/>
        <v>-0.24692183643490528</v>
      </c>
      <c r="L358" s="3">
        <f t="shared" si="133"/>
        <v>-7.7941131326463492E-2</v>
      </c>
      <c r="M358" s="3">
        <f t="shared" si="133"/>
        <v>6.3040481495888936E-2</v>
      </c>
      <c r="N358" s="3">
        <f t="shared" si="133"/>
        <v>-7.6425489932660337E-2</v>
      </c>
      <c r="O358" s="3">
        <f t="shared" si="133"/>
        <v>-0.18923611945780514</v>
      </c>
      <c r="P358" s="3">
        <f t="shared" si="133"/>
        <v>-0.22656638320779704</v>
      </c>
      <c r="Q358" s="3">
        <f t="shared" si="133"/>
        <v>1.9368809717055301E-2</v>
      </c>
      <c r="R358" s="3">
        <f t="shared" si="133"/>
        <v>3.1515395812282333E-2</v>
      </c>
      <c r="S358" s="3">
        <f t="shared" si="133"/>
        <v>0.12571158556928994</v>
      </c>
      <c r="T358" s="3">
        <f t="shared" si="133"/>
        <v>4.0899694777100488E-2</v>
      </c>
      <c r="U358" s="3">
        <f t="shared" si="133"/>
        <v>0.13465637479562131</v>
      </c>
      <c r="V358" s="3">
        <f t="shared" si="133"/>
        <v>1.788212376743897E-2</v>
      </c>
      <c r="W358" s="3">
        <f t="shared" si="133"/>
        <v>-0.2078172855222756</v>
      </c>
    </row>
    <row r="361" spans="1:26" x14ac:dyDescent="0.25">
      <c r="D361" t="s">
        <v>130</v>
      </c>
      <c r="E361" t="s">
        <v>131</v>
      </c>
      <c r="F361" t="s">
        <v>132</v>
      </c>
      <c r="G361" t="s">
        <v>133</v>
      </c>
      <c r="H361" t="s">
        <v>134</v>
      </c>
      <c r="I361" t="s">
        <v>135</v>
      </c>
      <c r="J361" t="s">
        <v>136</v>
      </c>
      <c r="K361" t="s">
        <v>137</v>
      </c>
      <c r="L361" t="s">
        <v>350</v>
      </c>
      <c r="M361" t="s">
        <v>398</v>
      </c>
      <c r="N361" t="s">
        <v>399</v>
      </c>
      <c r="O361" t="s">
        <v>400</v>
      </c>
      <c r="P361" t="s">
        <v>493</v>
      </c>
      <c r="Q361" t="s">
        <v>494</v>
      </c>
      <c r="R361" t="s">
        <v>495</v>
      </c>
      <c r="S361" t="s">
        <v>496</v>
      </c>
      <c r="T361" t="s">
        <v>605</v>
      </c>
      <c r="U361" t="s">
        <v>606</v>
      </c>
      <c r="V361" t="s">
        <v>607</v>
      </c>
      <c r="W361" t="s">
        <v>608</v>
      </c>
      <c r="Y361" t="s">
        <v>138</v>
      </c>
      <c r="Z361" t="s">
        <v>139</v>
      </c>
    </row>
    <row r="362" spans="1:26" x14ac:dyDescent="0.25">
      <c r="A362" t="s">
        <v>43</v>
      </c>
      <c r="D362">
        <f t="shared" ref="D362:W362" si="134">D2*D146</f>
        <v>268.51428571428568</v>
      </c>
      <c r="E362">
        <f t="shared" si="134"/>
        <v>282.80408163265309</v>
      </c>
      <c r="F362">
        <f t="shared" si="134"/>
        <v>274.62857142857143</v>
      </c>
      <c r="G362">
        <f t="shared" si="134"/>
        <v>324.24081632653059</v>
      </c>
      <c r="H362">
        <f t="shared" si="134"/>
        <v>287.68775510204085</v>
      </c>
      <c r="I362">
        <f t="shared" si="134"/>
        <v>280.98979591836729</v>
      </c>
      <c r="J362">
        <f t="shared" si="134"/>
        <v>320.28571428571428</v>
      </c>
      <c r="K362">
        <f t="shared" si="134"/>
        <v>312.71020408163264</v>
      </c>
      <c r="L362">
        <f t="shared" si="134"/>
        <v>313.76718749999998</v>
      </c>
      <c r="M362">
        <f t="shared" si="134"/>
        <v>323.62448979591829</v>
      </c>
      <c r="N362">
        <f t="shared" si="134"/>
        <v>265.11020408163262</v>
      </c>
      <c r="O362">
        <f t="shared" si="134"/>
        <v>299.0020408163266</v>
      </c>
      <c r="P362">
        <f t="shared" si="134"/>
        <v>302.57142857142861</v>
      </c>
      <c r="Q362">
        <f t="shared" si="134"/>
        <v>319.11428571428576</v>
      </c>
      <c r="R362">
        <f t="shared" si="134"/>
        <v>308.73469387755097</v>
      </c>
      <c r="S362">
        <f t="shared" si="134"/>
        <v>268.865306122449</v>
      </c>
      <c r="T362">
        <f t="shared" si="134"/>
        <v>294.09183673469391</v>
      </c>
      <c r="U362">
        <f t="shared" si="134"/>
        <v>224.60204081632656</v>
      </c>
      <c r="V362">
        <f t="shared" si="134"/>
        <v>253.14897959183673</v>
      </c>
      <c r="W362">
        <f t="shared" si="134"/>
        <v>201.94285714285718</v>
      </c>
      <c r="Y362" s="17">
        <f t="shared" ref="Y362:Y392" si="135">SUM(D362:W362)</f>
        <v>5726.4365752551021</v>
      </c>
      <c r="Z362">
        <f t="shared" ref="Z362:Z388" si="136">SUMPRODUCT($D$394:$W$394,D362:W362)</f>
        <v>656.18460282787635</v>
      </c>
    </row>
    <row r="363" spans="1:26" x14ac:dyDescent="0.25">
      <c r="A363" t="s">
        <v>44</v>
      </c>
      <c r="D363">
        <f t="shared" ref="D363:W363" si="137">D3*D147</f>
        <v>234.15</v>
      </c>
      <c r="E363">
        <f t="shared" si="137"/>
        <v>256.47000000000003</v>
      </c>
      <c r="F363">
        <f t="shared" si="137"/>
        <v>257</v>
      </c>
      <c r="G363">
        <f t="shared" si="137"/>
        <v>280.28000000000003</v>
      </c>
      <c r="H363">
        <f t="shared" si="137"/>
        <v>251.86</v>
      </c>
      <c r="I363">
        <f t="shared" si="137"/>
        <v>261.12</v>
      </c>
      <c r="J363">
        <f t="shared" si="137"/>
        <v>352.44</v>
      </c>
      <c r="K363">
        <f t="shared" si="137"/>
        <v>294.71999999999997</v>
      </c>
      <c r="L363">
        <f t="shared" si="137"/>
        <v>318.15999999999997</v>
      </c>
      <c r="M363">
        <f t="shared" si="137"/>
        <v>302.94</v>
      </c>
      <c r="N363">
        <f t="shared" si="137"/>
        <v>299.86</v>
      </c>
      <c r="O363">
        <f t="shared" si="137"/>
        <v>307.38000000000005</v>
      </c>
      <c r="P363">
        <f t="shared" si="137"/>
        <v>328.60965306122438</v>
      </c>
      <c r="Q363">
        <f t="shared" si="137"/>
        <v>301.22448979591837</v>
      </c>
      <c r="R363">
        <f t="shared" si="137"/>
        <v>283.34861224489794</v>
      </c>
      <c r="S363">
        <f t="shared" si="137"/>
        <v>269.8428571428571</v>
      </c>
      <c r="T363">
        <f t="shared" si="137"/>
        <v>259.55275850340144</v>
      </c>
      <c r="U363">
        <f t="shared" si="137"/>
        <v>271.6165306122449</v>
      </c>
      <c r="V363">
        <f t="shared" si="137"/>
        <v>214.64561224489796</v>
      </c>
      <c r="W363">
        <f t="shared" si="137"/>
        <v>227.63284495464848</v>
      </c>
      <c r="Y363" s="17">
        <f t="shared" si="135"/>
        <v>5572.8533585600899</v>
      </c>
      <c r="Z363">
        <f t="shared" si="136"/>
        <v>648.08336660841155</v>
      </c>
    </row>
    <row r="364" spans="1:26" x14ac:dyDescent="0.25">
      <c r="A364" t="s">
        <v>45</v>
      </c>
      <c r="D364">
        <f t="shared" ref="D364:W364" si="138">D4*D148</f>
        <v>214.53061224489798</v>
      </c>
      <c r="E364">
        <f t="shared" si="138"/>
        <v>213.50510204081638</v>
      </c>
      <c r="F364">
        <f t="shared" si="138"/>
        <v>241.63877551020408</v>
      </c>
      <c r="G364">
        <f t="shared" si="138"/>
        <v>251.87755102040819</v>
      </c>
      <c r="H364">
        <f t="shared" si="138"/>
        <v>259.26122448979589</v>
      </c>
      <c r="I364">
        <f t="shared" si="138"/>
        <v>294.3428571428571</v>
      </c>
      <c r="J364">
        <f t="shared" si="138"/>
        <v>344.63265306122446</v>
      </c>
      <c r="K364">
        <f t="shared" si="138"/>
        <v>272.10408163265305</v>
      </c>
      <c r="L364">
        <f t="shared" si="138"/>
        <v>327.4375</v>
      </c>
      <c r="M364">
        <f t="shared" si="138"/>
        <v>278.0612244897959</v>
      </c>
      <c r="N364">
        <f t="shared" si="138"/>
        <v>341.94285714285712</v>
      </c>
      <c r="O364">
        <f t="shared" si="138"/>
        <v>345.58367346938775</v>
      </c>
      <c r="P364">
        <f t="shared" si="138"/>
        <v>252.14285714285714</v>
      </c>
      <c r="Q364">
        <f t="shared" si="138"/>
        <v>251.26530612244898</v>
      </c>
      <c r="R364">
        <f t="shared" si="138"/>
        <v>348.70204081632659</v>
      </c>
      <c r="S364">
        <f t="shared" si="138"/>
        <v>271.54285714285714</v>
      </c>
      <c r="T364">
        <f t="shared" si="138"/>
        <v>310.37142857142851</v>
      </c>
      <c r="U364">
        <f t="shared" si="138"/>
        <v>339.03877551020406</v>
      </c>
      <c r="V364">
        <f t="shared" si="138"/>
        <v>322.36734693877548</v>
      </c>
      <c r="W364">
        <f t="shared" si="138"/>
        <v>295.54693877551017</v>
      </c>
      <c r="Y364" s="17">
        <f t="shared" si="135"/>
        <v>5775.8956632653071</v>
      </c>
      <c r="Z364">
        <f t="shared" si="136"/>
        <v>665.66217559433744</v>
      </c>
    </row>
    <row r="365" spans="1:26" x14ac:dyDescent="0.25">
      <c r="A365" t="s">
        <v>46</v>
      </c>
      <c r="D365">
        <f t="shared" ref="D365:W365" si="139">D5*D149</f>
        <v>224.90816326530614</v>
      </c>
      <c r="E365">
        <f t="shared" si="139"/>
        <v>222.49387755102043</v>
      </c>
      <c r="F365">
        <f t="shared" si="139"/>
        <v>205.14285714285711</v>
      </c>
      <c r="G365">
        <f t="shared" si="139"/>
        <v>257.0938775510204</v>
      </c>
      <c r="H365">
        <f t="shared" si="139"/>
        <v>265.61224489795921</v>
      </c>
      <c r="I365">
        <f t="shared" si="139"/>
        <v>238.38367346938776</v>
      </c>
      <c r="J365">
        <f t="shared" si="139"/>
        <v>258.44285714285712</v>
      </c>
      <c r="K365">
        <f t="shared" si="139"/>
        <v>273.64897959183679</v>
      </c>
      <c r="L365">
        <f t="shared" si="139"/>
        <v>343.16562500000003</v>
      </c>
      <c r="M365">
        <f t="shared" si="139"/>
        <v>358.69387755102048</v>
      </c>
      <c r="N365">
        <f t="shared" si="139"/>
        <v>249.94285714285712</v>
      </c>
      <c r="O365">
        <f t="shared" si="139"/>
        <v>260.88775510204079</v>
      </c>
      <c r="P365">
        <f t="shared" si="139"/>
        <v>231.55102040816325</v>
      </c>
      <c r="Q365">
        <f t="shared" si="139"/>
        <v>275.62040816326532</v>
      </c>
      <c r="R365">
        <f t="shared" si="139"/>
        <v>350.04489795918369</v>
      </c>
      <c r="S365">
        <f t="shared" si="139"/>
        <v>388.30408163265304</v>
      </c>
      <c r="T365">
        <f t="shared" si="139"/>
        <v>226.19183673469391</v>
      </c>
      <c r="U365">
        <f t="shared" si="139"/>
        <v>218.58571428571429</v>
      </c>
      <c r="V365">
        <f t="shared" si="139"/>
        <v>197.72040816326532</v>
      </c>
      <c r="W365">
        <f t="shared" si="139"/>
        <v>351.66326530612247</v>
      </c>
      <c r="Y365" s="17">
        <f t="shared" si="135"/>
        <v>5398.0982780612258</v>
      </c>
      <c r="Z365">
        <f t="shared" si="136"/>
        <v>602.66682597785723</v>
      </c>
    </row>
    <row r="366" spans="1:26" x14ac:dyDescent="0.25">
      <c r="A366" t="s">
        <v>47</v>
      </c>
      <c r="D366">
        <f t="shared" ref="D366:W366" si="140">D6*D150</f>
        <v>282.15306122448982</v>
      </c>
      <c r="E366">
        <f t="shared" si="140"/>
        <v>258.24489795918362</v>
      </c>
      <c r="F366">
        <f t="shared" si="140"/>
        <v>251.01632653061219</v>
      </c>
      <c r="G366">
        <f t="shared" si="140"/>
        <v>275.95510204081631</v>
      </c>
      <c r="H366">
        <f t="shared" si="140"/>
        <v>301.19591836734696</v>
      </c>
      <c r="I366">
        <f t="shared" si="140"/>
        <v>250.96530612244902</v>
      </c>
      <c r="J366">
        <f t="shared" si="140"/>
        <v>297.09183673469397</v>
      </c>
      <c r="K366">
        <f t="shared" si="140"/>
        <v>264.08571428571423</v>
      </c>
      <c r="L366">
        <f t="shared" si="140"/>
        <v>298</v>
      </c>
      <c r="M366">
        <f t="shared" si="140"/>
        <v>347.41224489795917</v>
      </c>
      <c r="N366">
        <f t="shared" si="140"/>
        <v>307.78571428571428</v>
      </c>
      <c r="O366">
        <f t="shared" si="140"/>
        <v>243.23877551020408</v>
      </c>
      <c r="P366">
        <f t="shared" si="140"/>
        <v>252.73469387755105</v>
      </c>
      <c r="Q366">
        <f t="shared" si="140"/>
        <v>209.62040816326532</v>
      </c>
      <c r="R366">
        <f t="shared" si="140"/>
        <v>232.71428571428572</v>
      </c>
      <c r="S366">
        <f t="shared" si="140"/>
        <v>306.71020408163264</v>
      </c>
      <c r="T366">
        <f t="shared" si="140"/>
        <v>350.6326530612244</v>
      </c>
      <c r="U366">
        <f t="shared" si="140"/>
        <v>270.62857142857143</v>
      </c>
      <c r="V366">
        <f t="shared" si="140"/>
        <v>173.28979591836736</v>
      </c>
      <c r="W366">
        <f t="shared" si="140"/>
        <v>200.4530612244898</v>
      </c>
      <c r="Y366" s="17">
        <f t="shared" si="135"/>
        <v>5373.9285714285716</v>
      </c>
      <c r="Z366">
        <f t="shared" si="136"/>
        <v>591.72921188271926</v>
      </c>
    </row>
    <row r="367" spans="1:26" x14ac:dyDescent="0.25">
      <c r="A367" t="s">
        <v>48</v>
      </c>
      <c r="D367">
        <f t="shared" ref="D367:W367" si="141">D7*D151</f>
        <v>331.88571428571424</v>
      </c>
      <c r="E367">
        <f t="shared" si="141"/>
        <v>252.83265306122453</v>
      </c>
      <c r="F367">
        <f t="shared" si="141"/>
        <v>290</v>
      </c>
      <c r="G367">
        <f t="shared" si="141"/>
        <v>452.00204081632654</v>
      </c>
      <c r="H367">
        <f t="shared" si="141"/>
        <v>333.00000000000006</v>
      </c>
      <c r="I367">
        <f t="shared" si="141"/>
        <v>448.84897959183667</v>
      </c>
      <c r="J367">
        <f t="shared" si="141"/>
        <v>382.46530612244896</v>
      </c>
      <c r="K367">
        <f t="shared" si="141"/>
        <v>369.68571428571425</v>
      </c>
      <c r="L367">
        <f t="shared" si="141"/>
        <v>340.63281249999994</v>
      </c>
      <c r="M367">
        <f t="shared" si="141"/>
        <v>289.50204081632654</v>
      </c>
      <c r="N367">
        <f t="shared" si="141"/>
        <v>376.05102040816331</v>
      </c>
      <c r="O367">
        <f t="shared" si="141"/>
        <v>278.70408163265301</v>
      </c>
      <c r="P367">
        <f t="shared" si="141"/>
        <v>288.75306122448978</v>
      </c>
      <c r="Q367">
        <f t="shared" si="141"/>
        <v>319.19795918367345</v>
      </c>
      <c r="R367">
        <f t="shared" si="141"/>
        <v>299.02040816326536</v>
      </c>
      <c r="S367">
        <f t="shared" si="141"/>
        <v>238.62857142857138</v>
      </c>
      <c r="T367">
        <f t="shared" si="141"/>
        <v>297.15714285714284</v>
      </c>
      <c r="U367">
        <f t="shared" si="141"/>
        <v>271.81632653061229</v>
      </c>
      <c r="V367">
        <f t="shared" si="141"/>
        <v>205.88979591836735</v>
      </c>
      <c r="W367">
        <f t="shared" si="141"/>
        <v>196.83265306122448</v>
      </c>
      <c r="Y367" s="17">
        <f t="shared" si="135"/>
        <v>6262.9062818877564</v>
      </c>
      <c r="Z367">
        <f t="shared" si="136"/>
        <v>666.36868827189915</v>
      </c>
    </row>
    <row r="368" spans="1:26" x14ac:dyDescent="0.25">
      <c r="A368" t="s">
        <v>49</v>
      </c>
      <c r="D368">
        <f t="shared" ref="D368:W368" si="142">D8*D152</f>
        <v>202.18775510204088</v>
      </c>
      <c r="E368">
        <f t="shared" si="142"/>
        <v>255.51020408163262</v>
      </c>
      <c r="F368">
        <f t="shared" si="142"/>
        <v>364.8</v>
      </c>
      <c r="G368">
        <f t="shared" si="142"/>
        <v>341.08571428571429</v>
      </c>
      <c r="H368">
        <f t="shared" si="142"/>
        <v>238.68979591836734</v>
      </c>
      <c r="I368">
        <f t="shared" si="142"/>
        <v>246.15306122448979</v>
      </c>
      <c r="J368">
        <f t="shared" si="142"/>
        <v>281.86122448979592</v>
      </c>
      <c r="K368">
        <f t="shared" si="142"/>
        <v>303.70612244897967</v>
      </c>
      <c r="L368">
        <f t="shared" si="142"/>
        <v>269.20781249999999</v>
      </c>
      <c r="M368">
        <f t="shared" si="142"/>
        <v>255.69387755102042</v>
      </c>
      <c r="N368">
        <f t="shared" si="142"/>
        <v>276.01632653061228</v>
      </c>
      <c r="O368">
        <f t="shared" si="142"/>
        <v>233.48571428571427</v>
      </c>
      <c r="P368">
        <f t="shared" si="142"/>
        <v>275.55102040816325</v>
      </c>
      <c r="Q368">
        <f t="shared" si="142"/>
        <v>333.06326530612239</v>
      </c>
      <c r="R368">
        <f t="shared" si="142"/>
        <v>282.0408163265306</v>
      </c>
      <c r="S368">
        <f t="shared" si="142"/>
        <v>269.80612244897964</v>
      </c>
      <c r="T368">
        <f t="shared" si="142"/>
        <v>191.88836734693882</v>
      </c>
      <c r="U368">
        <f t="shared" si="142"/>
        <v>236.25918367346932</v>
      </c>
      <c r="V368">
        <f t="shared" si="142"/>
        <v>293.69387755102042</v>
      </c>
      <c r="W368">
        <f t="shared" si="142"/>
        <v>166.04448979591834</v>
      </c>
      <c r="Y368" s="17">
        <f t="shared" si="135"/>
        <v>5316.7447512755107</v>
      </c>
      <c r="Z368">
        <f t="shared" si="136"/>
        <v>625.39807390432497</v>
      </c>
    </row>
    <row r="369" spans="1:26" x14ac:dyDescent="0.25">
      <c r="A369" t="s">
        <v>50</v>
      </c>
      <c r="D369">
        <f t="shared" ref="D369:W369" si="143">D9*D153</f>
        <v>237.9795918367347</v>
      </c>
      <c r="E369">
        <f t="shared" si="143"/>
        <v>211.73061224489794</v>
      </c>
      <c r="F369">
        <f t="shared" si="143"/>
        <v>310.75306122448978</v>
      </c>
      <c r="G369">
        <f t="shared" si="143"/>
        <v>379.34489795918364</v>
      </c>
      <c r="H369">
        <f t="shared" si="143"/>
        <v>312.2</v>
      </c>
      <c r="I369">
        <f t="shared" si="143"/>
        <v>281.82857142857142</v>
      </c>
      <c r="J369">
        <f t="shared" si="143"/>
        <v>266.95102040816329</v>
      </c>
      <c r="K369">
        <f t="shared" si="143"/>
        <v>333.35510204081623</v>
      </c>
      <c r="L369">
        <f t="shared" si="143"/>
        <v>301.640625</v>
      </c>
      <c r="M369">
        <f t="shared" si="143"/>
        <v>378.06122448979596</v>
      </c>
      <c r="N369">
        <f t="shared" si="143"/>
        <v>355.37755102040819</v>
      </c>
      <c r="O369">
        <f t="shared" si="143"/>
        <v>348.97959183673476</v>
      </c>
      <c r="P369">
        <f t="shared" si="143"/>
        <v>257.80408163265304</v>
      </c>
      <c r="Q369">
        <f t="shared" si="143"/>
        <v>226.61224489795916</v>
      </c>
      <c r="R369">
        <f t="shared" si="143"/>
        <v>193.61632653061224</v>
      </c>
      <c r="S369">
        <f t="shared" si="143"/>
        <v>233.11020408163267</v>
      </c>
      <c r="T369">
        <f t="shared" si="143"/>
        <v>184.43673469387755</v>
      </c>
      <c r="U369">
        <f t="shared" si="143"/>
        <v>290.42448979591836</v>
      </c>
      <c r="V369">
        <f t="shared" si="143"/>
        <v>211.19999999999996</v>
      </c>
      <c r="W369">
        <f t="shared" si="143"/>
        <v>259.1877551020408</v>
      </c>
      <c r="Y369" s="17">
        <f t="shared" si="135"/>
        <v>5574.5936862244898</v>
      </c>
      <c r="Z369">
        <f t="shared" si="136"/>
        <v>558.12229211305225</v>
      </c>
    </row>
    <row r="370" spans="1:26" x14ac:dyDescent="0.25">
      <c r="A370" t="s">
        <v>51</v>
      </c>
      <c r="D370">
        <f t="shared" ref="D370:W370" si="144">D10*D154</f>
        <v>264.44897959183675</v>
      </c>
      <c r="E370">
        <f t="shared" si="144"/>
        <v>282.52244897959179</v>
      </c>
      <c r="F370">
        <f t="shared" si="144"/>
        <v>414.16326530612247</v>
      </c>
      <c r="G370">
        <f t="shared" si="144"/>
        <v>430.8224489795918</v>
      </c>
      <c r="H370">
        <f t="shared" si="144"/>
        <v>223.14285714285708</v>
      </c>
      <c r="I370">
        <f t="shared" si="144"/>
        <v>342.85714285714289</v>
      </c>
      <c r="J370">
        <f t="shared" si="144"/>
        <v>250.5061224489796</v>
      </c>
      <c r="K370">
        <f t="shared" si="144"/>
        <v>255.36734693877548</v>
      </c>
      <c r="L370">
        <f t="shared" si="144"/>
        <v>299.1640625</v>
      </c>
      <c r="M370">
        <f t="shared" si="144"/>
        <v>350.99999999999989</v>
      </c>
      <c r="N370">
        <f t="shared" si="144"/>
        <v>412.60408163265316</v>
      </c>
      <c r="O370">
        <f t="shared" si="144"/>
        <v>344.32653061224488</v>
      </c>
      <c r="P370">
        <f t="shared" si="144"/>
        <v>414.64285714285711</v>
      </c>
      <c r="Q370">
        <f t="shared" si="144"/>
        <v>215.51020408163259</v>
      </c>
      <c r="R370">
        <f t="shared" si="144"/>
        <v>299.16326530612247</v>
      </c>
      <c r="S370">
        <f t="shared" si="144"/>
        <v>247.82040816326531</v>
      </c>
      <c r="T370">
        <f t="shared" si="144"/>
        <v>308.13061224489797</v>
      </c>
      <c r="U370">
        <f t="shared" si="144"/>
        <v>210.12244897959184</v>
      </c>
      <c r="V370">
        <f t="shared" si="144"/>
        <v>159.134693877551</v>
      </c>
      <c r="W370">
        <f t="shared" si="144"/>
        <v>188.08163265306123</v>
      </c>
      <c r="Y370" s="17">
        <f t="shared" si="135"/>
        <v>5913.5314094387768</v>
      </c>
      <c r="Z370">
        <f t="shared" si="136"/>
        <v>638.15112285940472</v>
      </c>
    </row>
    <row r="371" spans="1:26" x14ac:dyDescent="0.25">
      <c r="A371" t="s">
        <v>52</v>
      </c>
      <c r="D371">
        <f t="shared" ref="D371:W371" si="145">D11*D155</f>
        <v>260.35510204081635</v>
      </c>
      <c r="E371">
        <f t="shared" si="145"/>
        <v>251.44897959183672</v>
      </c>
      <c r="F371">
        <f t="shared" si="145"/>
        <v>322.8244897959184</v>
      </c>
      <c r="G371">
        <f t="shared" si="145"/>
        <v>250.5061224489796</v>
      </c>
      <c r="H371">
        <f t="shared" si="145"/>
        <v>284.20408163265307</v>
      </c>
      <c r="I371">
        <f t="shared" si="145"/>
        <v>348.99591836734697</v>
      </c>
      <c r="J371">
        <f t="shared" si="145"/>
        <v>278.09795918367348</v>
      </c>
      <c r="K371">
        <f t="shared" si="145"/>
        <v>271.0204081632653</v>
      </c>
      <c r="L371">
        <f t="shared" si="145"/>
        <v>318.1171875</v>
      </c>
      <c r="M371">
        <f t="shared" si="145"/>
        <v>349.08979591836732</v>
      </c>
      <c r="N371">
        <f t="shared" si="145"/>
        <v>312.47959183673476</v>
      </c>
      <c r="O371">
        <f t="shared" si="145"/>
        <v>399.67959183673463</v>
      </c>
      <c r="P371">
        <f t="shared" si="145"/>
        <v>264.47346938775513</v>
      </c>
      <c r="Q371">
        <f t="shared" si="145"/>
        <v>309.01428571428573</v>
      </c>
      <c r="R371">
        <f t="shared" si="145"/>
        <v>280.43265306122447</v>
      </c>
      <c r="S371">
        <f t="shared" si="145"/>
        <v>317.80408163265304</v>
      </c>
      <c r="T371">
        <f t="shared" si="145"/>
        <v>241.29795918367347</v>
      </c>
      <c r="U371">
        <f t="shared" si="145"/>
        <v>285.04489795918369</v>
      </c>
      <c r="V371">
        <f t="shared" si="145"/>
        <v>202.96326530612245</v>
      </c>
      <c r="W371">
        <f t="shared" si="145"/>
        <v>266.5</v>
      </c>
      <c r="Y371" s="17">
        <f t="shared" si="135"/>
        <v>5814.3498405612245</v>
      </c>
      <c r="Z371">
        <f t="shared" si="136"/>
        <v>702.9710191143547</v>
      </c>
    </row>
    <row r="372" spans="1:26" x14ac:dyDescent="0.25">
      <c r="A372" t="s">
        <v>53</v>
      </c>
      <c r="D372">
        <f t="shared" ref="D372:W372" si="146">D12*D156</f>
        <v>289.24081632653053</v>
      </c>
      <c r="E372">
        <f t="shared" si="146"/>
        <v>305.2</v>
      </c>
      <c r="F372">
        <f t="shared" si="146"/>
        <v>332.37551020408159</v>
      </c>
      <c r="G372">
        <f t="shared" si="146"/>
        <v>468.84897959183678</v>
      </c>
      <c r="H372">
        <f t="shared" si="146"/>
        <v>339.3448979591837</v>
      </c>
      <c r="I372">
        <f t="shared" si="146"/>
        <v>256.5</v>
      </c>
      <c r="J372">
        <f t="shared" si="146"/>
        <v>323.3142857142858</v>
      </c>
      <c r="K372">
        <f t="shared" si="146"/>
        <v>319.53877551020412</v>
      </c>
      <c r="L372">
        <f t="shared" si="146"/>
        <v>401.73124999999999</v>
      </c>
      <c r="M372">
        <f t="shared" si="146"/>
        <v>489.19591836734691</v>
      </c>
      <c r="N372">
        <f t="shared" si="146"/>
        <v>353.20408163265307</v>
      </c>
      <c r="O372">
        <f t="shared" si="146"/>
        <v>348.4265306122449</v>
      </c>
      <c r="P372">
        <f t="shared" si="146"/>
        <v>343.15102040816333</v>
      </c>
      <c r="Q372">
        <f t="shared" si="146"/>
        <v>264.66326530612241</v>
      </c>
      <c r="R372">
        <f t="shared" si="146"/>
        <v>251.08571428571426</v>
      </c>
      <c r="S372">
        <f t="shared" si="146"/>
        <v>285.68571428571425</v>
      </c>
      <c r="T372">
        <f t="shared" si="146"/>
        <v>292.5</v>
      </c>
      <c r="U372">
        <f t="shared" si="146"/>
        <v>269.72244897959183</v>
      </c>
      <c r="V372">
        <f t="shared" si="146"/>
        <v>209.53877551020406</v>
      </c>
      <c r="W372">
        <f t="shared" si="146"/>
        <v>180.38571428571427</v>
      </c>
      <c r="Y372" s="17">
        <f t="shared" si="135"/>
        <v>6323.6536989795914</v>
      </c>
      <c r="Z372">
        <f t="shared" si="136"/>
        <v>662.46937020212556</v>
      </c>
    </row>
    <row r="373" spans="1:26" x14ac:dyDescent="0.25">
      <c r="A373" t="s">
        <v>54</v>
      </c>
      <c r="D373">
        <f t="shared" ref="D373:W373" si="147">D13*D157</f>
        <v>341.25510204081633</v>
      </c>
      <c r="E373">
        <f t="shared" si="147"/>
        <v>298.04693877551023</v>
      </c>
      <c r="F373">
        <f t="shared" si="147"/>
        <v>273.63673469387754</v>
      </c>
      <c r="G373">
        <f t="shared" si="147"/>
        <v>312.57959183673466</v>
      </c>
      <c r="H373">
        <f t="shared" si="147"/>
        <v>298.87346938775511</v>
      </c>
      <c r="I373">
        <f t="shared" si="147"/>
        <v>346.98367346938767</v>
      </c>
      <c r="J373">
        <f t="shared" si="147"/>
        <v>296.14285714285711</v>
      </c>
      <c r="K373">
        <f t="shared" si="147"/>
        <v>311.46530612244896</v>
      </c>
      <c r="L373">
        <f t="shared" si="147"/>
        <v>307.546875</v>
      </c>
      <c r="M373">
        <f t="shared" si="147"/>
        <v>356.41439999999994</v>
      </c>
      <c r="N373">
        <f t="shared" si="147"/>
        <v>359.31330000000003</v>
      </c>
      <c r="O373">
        <f t="shared" si="147"/>
        <v>377.18240000000003</v>
      </c>
      <c r="P373">
        <f t="shared" si="147"/>
        <v>286.29990000000004</v>
      </c>
      <c r="Q373">
        <f t="shared" si="147"/>
        <v>353.88</v>
      </c>
      <c r="R373">
        <f t="shared" si="147"/>
        <v>231.31979999999999</v>
      </c>
      <c r="S373">
        <f t="shared" si="147"/>
        <v>300</v>
      </c>
      <c r="T373">
        <f t="shared" si="147"/>
        <v>198.86080000000001</v>
      </c>
      <c r="U373">
        <f t="shared" si="147"/>
        <v>233.01720000000003</v>
      </c>
      <c r="V373">
        <f t="shared" si="147"/>
        <v>174.06330000000003</v>
      </c>
      <c r="W373">
        <f t="shared" si="147"/>
        <v>247.35059999999999</v>
      </c>
      <c r="Y373" s="17">
        <f t="shared" si="135"/>
        <v>5904.2322484693887</v>
      </c>
      <c r="Z373">
        <f t="shared" si="136"/>
        <v>696.45071006505395</v>
      </c>
    </row>
    <row r="374" spans="1:26" x14ac:dyDescent="0.25">
      <c r="A374" t="s">
        <v>55</v>
      </c>
      <c r="D374">
        <f t="shared" ref="D374:W374" si="148">D14*D158</f>
        <v>405.91899999999998</v>
      </c>
      <c r="E374">
        <f t="shared" si="148"/>
        <v>359.09000000000003</v>
      </c>
      <c r="F374">
        <f t="shared" si="148"/>
        <v>324.10909999999996</v>
      </c>
      <c r="G374">
        <f t="shared" si="148"/>
        <v>457.53039999999999</v>
      </c>
      <c r="H374">
        <f t="shared" si="148"/>
        <v>422.81160000000006</v>
      </c>
      <c r="I374">
        <f t="shared" si="148"/>
        <v>447.23559999999998</v>
      </c>
      <c r="J374">
        <f t="shared" si="148"/>
        <v>398.42879999999997</v>
      </c>
      <c r="K374">
        <f t="shared" si="148"/>
        <v>480.73509999999999</v>
      </c>
      <c r="L374">
        <f t="shared" si="148"/>
        <v>377.702</v>
      </c>
      <c r="M374">
        <f t="shared" si="148"/>
        <v>365.54693877551023</v>
      </c>
      <c r="N374">
        <f t="shared" si="148"/>
        <v>324.01020408163265</v>
      </c>
      <c r="O374">
        <f t="shared" si="148"/>
        <v>309.48979591836741</v>
      </c>
      <c r="P374">
        <f t="shared" si="148"/>
        <v>351.13469387755094</v>
      </c>
      <c r="Q374">
        <f t="shared" si="148"/>
        <v>383.64285714285717</v>
      </c>
      <c r="R374">
        <f t="shared" si="148"/>
        <v>293.31428571428575</v>
      </c>
      <c r="S374">
        <f t="shared" si="148"/>
        <v>383.76734693877546</v>
      </c>
      <c r="T374">
        <f t="shared" si="148"/>
        <v>340.86734693877554</v>
      </c>
      <c r="U374">
        <f t="shared" si="148"/>
        <v>258.21428571428578</v>
      </c>
      <c r="V374">
        <f t="shared" si="148"/>
        <v>296</v>
      </c>
      <c r="W374">
        <f t="shared" si="148"/>
        <v>283.8857142857143</v>
      </c>
      <c r="Y374" s="17">
        <f t="shared" si="135"/>
        <v>7263.435069387755</v>
      </c>
      <c r="Z374">
        <f t="shared" si="136"/>
        <v>753.87959523300503</v>
      </c>
    </row>
    <row r="375" spans="1:26" x14ac:dyDescent="0.25">
      <c r="A375" t="s">
        <v>56</v>
      </c>
      <c r="D375">
        <f t="shared" ref="D375:W375" si="149">D15*D159</f>
        <v>384.42857142857144</v>
      </c>
      <c r="E375">
        <f t="shared" si="149"/>
        <v>318.36734693877554</v>
      </c>
      <c r="F375">
        <f t="shared" si="149"/>
        <v>385.79999999999995</v>
      </c>
      <c r="G375">
        <f t="shared" si="149"/>
        <v>339.82653061224488</v>
      </c>
      <c r="H375">
        <f t="shared" si="149"/>
        <v>277.38163265306116</v>
      </c>
      <c r="I375">
        <f t="shared" si="149"/>
        <v>276.60408163265305</v>
      </c>
      <c r="J375">
        <f t="shared" si="149"/>
        <v>236</v>
      </c>
      <c r="K375">
        <f t="shared" si="149"/>
        <v>360.21428571428572</v>
      </c>
      <c r="L375">
        <f t="shared" si="149"/>
        <v>339.3</v>
      </c>
      <c r="M375">
        <f t="shared" si="149"/>
        <v>324.20408163265307</v>
      </c>
      <c r="N375">
        <f t="shared" si="149"/>
        <v>322.39591836734689</v>
      </c>
      <c r="O375">
        <f t="shared" si="149"/>
        <v>403.07142857142861</v>
      </c>
      <c r="P375">
        <f t="shared" si="149"/>
        <v>445.71428571428572</v>
      </c>
      <c r="Q375">
        <f t="shared" si="149"/>
        <v>339.47755102040816</v>
      </c>
      <c r="R375">
        <f t="shared" si="149"/>
        <v>470.03673469387752</v>
      </c>
      <c r="S375">
        <f t="shared" si="149"/>
        <v>386.18367346938771</v>
      </c>
      <c r="T375">
        <f t="shared" si="149"/>
        <v>291.40816326530614</v>
      </c>
      <c r="U375">
        <f t="shared" si="149"/>
        <v>213.93469387755101</v>
      </c>
      <c r="V375">
        <f t="shared" si="149"/>
        <v>286.84285714285716</v>
      </c>
      <c r="W375">
        <f t="shared" si="149"/>
        <v>205.94693877551018</v>
      </c>
      <c r="Y375" s="17">
        <f t="shared" si="135"/>
        <v>6607.1387755102032</v>
      </c>
      <c r="Z375">
        <f t="shared" si="136"/>
        <v>797.93187889715546</v>
      </c>
    </row>
    <row r="376" spans="1:26" x14ac:dyDescent="0.25">
      <c r="A376" t="s">
        <v>57</v>
      </c>
      <c r="D376">
        <f t="shared" ref="D376:W376" si="150">D16*D160</f>
        <v>289.71428571428578</v>
      </c>
      <c r="E376">
        <f t="shared" si="150"/>
        <v>254.59591836734691</v>
      </c>
      <c r="F376">
        <f t="shared" si="150"/>
        <v>226.20408163265304</v>
      </c>
      <c r="G376">
        <f t="shared" si="150"/>
        <v>240.71224489795921</v>
      </c>
      <c r="H376">
        <f t="shared" si="150"/>
        <v>251.66938775510206</v>
      </c>
      <c r="I376">
        <f t="shared" si="150"/>
        <v>309.79591836734693</v>
      </c>
      <c r="J376">
        <f t="shared" si="150"/>
        <v>379.38775510204084</v>
      </c>
      <c r="K376">
        <f t="shared" si="150"/>
        <v>259.20000000000005</v>
      </c>
      <c r="L376">
        <f t="shared" si="150"/>
        <v>301.67031250000002</v>
      </c>
      <c r="M376">
        <f t="shared" si="150"/>
        <v>279.03673469387752</v>
      </c>
      <c r="N376">
        <f t="shared" si="150"/>
        <v>337.97551020408167</v>
      </c>
      <c r="O376">
        <f t="shared" si="150"/>
        <v>317.77551020408163</v>
      </c>
      <c r="P376">
        <f t="shared" si="150"/>
        <v>352.22857142857146</v>
      </c>
      <c r="Q376">
        <f t="shared" si="150"/>
        <v>348.99591836734697</v>
      </c>
      <c r="R376">
        <f t="shared" si="150"/>
        <v>269.62040816326527</v>
      </c>
      <c r="S376">
        <f t="shared" si="150"/>
        <v>186.25306122448978</v>
      </c>
      <c r="T376">
        <f t="shared" si="150"/>
        <v>254.32653061224491</v>
      </c>
      <c r="U376">
        <f t="shared" si="150"/>
        <v>210.10204081632654</v>
      </c>
      <c r="V376">
        <f t="shared" si="150"/>
        <v>200.0408163265306</v>
      </c>
      <c r="W376">
        <f t="shared" si="150"/>
        <v>274.99591836734697</v>
      </c>
      <c r="Y376" s="17">
        <f t="shared" si="135"/>
        <v>5544.3009247448972</v>
      </c>
      <c r="Z376">
        <f t="shared" si="136"/>
        <v>652.1056494122796</v>
      </c>
    </row>
    <row r="377" spans="1:26" x14ac:dyDescent="0.25">
      <c r="A377" t="s">
        <v>58</v>
      </c>
      <c r="D377">
        <f t="shared" ref="D377:W377" si="151">D17*D161</f>
        <v>272.71836734693881</v>
      </c>
      <c r="E377">
        <f t="shared" si="151"/>
        <v>266.6551020408163</v>
      </c>
      <c r="F377">
        <f t="shared" si="151"/>
        <v>285.20408163265307</v>
      </c>
      <c r="G377">
        <f t="shared" si="151"/>
        <v>267.2</v>
      </c>
      <c r="H377">
        <f t="shared" si="151"/>
        <v>314.3836734693877</v>
      </c>
      <c r="I377">
        <f t="shared" si="151"/>
        <v>254.57142857142858</v>
      </c>
      <c r="J377">
        <f t="shared" si="151"/>
        <v>289.87755102040813</v>
      </c>
      <c r="K377">
        <f t="shared" si="151"/>
        <v>342.49183673469383</v>
      </c>
      <c r="L377">
        <f t="shared" si="151"/>
        <v>290.26875000000001</v>
      </c>
      <c r="M377">
        <f t="shared" si="151"/>
        <v>0</v>
      </c>
      <c r="N377">
        <f t="shared" si="151"/>
        <v>316.07755102040818</v>
      </c>
      <c r="O377">
        <f t="shared" si="151"/>
        <v>268.56326530612245</v>
      </c>
      <c r="P377">
        <f t="shared" si="151"/>
        <v>327.93061224489793</v>
      </c>
      <c r="Q377">
        <f t="shared" si="151"/>
        <v>234.36734693877548</v>
      </c>
      <c r="R377">
        <f t="shared" si="151"/>
        <v>236.97142857142862</v>
      </c>
      <c r="S377">
        <f t="shared" si="151"/>
        <v>217.1142857142857</v>
      </c>
      <c r="T377">
        <f t="shared" si="151"/>
        <v>244.16530612244904</v>
      </c>
      <c r="U377">
        <f t="shared" si="151"/>
        <v>312.21428571428572</v>
      </c>
      <c r="V377">
        <f t="shared" si="151"/>
        <v>185.30816326530609</v>
      </c>
      <c r="W377">
        <f t="shared" si="151"/>
        <v>195.45102040816329</v>
      </c>
      <c r="Y377" s="17">
        <f t="shared" si="135"/>
        <v>5121.5340561224484</v>
      </c>
      <c r="Z377">
        <f t="shared" si="136"/>
        <v>507.89698762440935</v>
      </c>
    </row>
    <row r="378" spans="1:26" x14ac:dyDescent="0.25">
      <c r="A378" t="s">
        <v>59</v>
      </c>
      <c r="D378">
        <f t="shared" ref="D378:W378" si="152">D18*D162</f>
        <v>220.9469387755102</v>
      </c>
      <c r="E378">
        <f t="shared" si="152"/>
        <v>271.15102040816328</v>
      </c>
      <c r="F378">
        <f t="shared" si="152"/>
        <v>249.60612244897959</v>
      </c>
      <c r="G378">
        <f t="shared" si="152"/>
        <v>236.19795918367342</v>
      </c>
      <c r="H378">
        <f t="shared" si="152"/>
        <v>265.26530612244898</v>
      </c>
      <c r="I378">
        <f t="shared" si="152"/>
        <v>397.89795918367344</v>
      </c>
      <c r="J378">
        <f t="shared" si="152"/>
        <v>273.38775510204079</v>
      </c>
      <c r="K378">
        <f t="shared" si="152"/>
        <v>307.65510204081636</v>
      </c>
      <c r="L378">
        <f t="shared" si="152"/>
        <v>299.0020408163266</v>
      </c>
      <c r="M378">
        <f t="shared" si="152"/>
        <v>273.31836734693877</v>
      </c>
      <c r="N378">
        <f t="shared" si="152"/>
        <v>303.84489795918375</v>
      </c>
      <c r="O378">
        <f t="shared" si="152"/>
        <v>336.10408163265305</v>
      </c>
      <c r="P378">
        <f t="shared" si="152"/>
        <v>380.38775510204079</v>
      </c>
      <c r="Q378">
        <f t="shared" si="152"/>
        <v>288.76122448979595</v>
      </c>
      <c r="R378">
        <f t="shared" si="152"/>
        <v>340.39387755102041</v>
      </c>
      <c r="S378">
        <f t="shared" si="152"/>
        <v>447.78163265306125</v>
      </c>
      <c r="T378">
        <f t="shared" si="152"/>
        <v>435.91836734693879</v>
      </c>
      <c r="U378">
        <f t="shared" si="152"/>
        <v>253.19591836734693</v>
      </c>
      <c r="V378">
        <f t="shared" si="152"/>
        <v>221.5469387755102</v>
      </c>
      <c r="W378">
        <f t="shared" si="152"/>
        <v>147.37959183673468</v>
      </c>
      <c r="Y378" s="17">
        <f t="shared" si="135"/>
        <v>5949.7428571428572</v>
      </c>
      <c r="Z378">
        <f t="shared" si="136"/>
        <v>757.97348026131044</v>
      </c>
    </row>
    <row r="379" spans="1:26" x14ac:dyDescent="0.25">
      <c r="A379" t="s">
        <v>60</v>
      </c>
      <c r="D379">
        <f t="shared" ref="D379:W379" si="153">D19*D163</f>
        <v>194.54693877551023</v>
      </c>
      <c r="E379">
        <f t="shared" si="153"/>
        <v>257.13265306122446</v>
      </c>
      <c r="F379">
        <f t="shared" si="153"/>
        <v>247.46938775510202</v>
      </c>
      <c r="G379">
        <f t="shared" si="153"/>
        <v>212.48979591836729</v>
      </c>
      <c r="H379">
        <f t="shared" si="153"/>
        <v>191.1</v>
      </c>
      <c r="I379">
        <f t="shared" si="153"/>
        <v>261.03673469387758</v>
      </c>
      <c r="J379">
        <f t="shared" si="153"/>
        <v>285.15918367346933</v>
      </c>
      <c r="K379">
        <f t="shared" si="153"/>
        <v>333.54693877551028</v>
      </c>
      <c r="L379">
        <f t="shared" si="153"/>
        <v>319.49999999999994</v>
      </c>
      <c r="M379">
        <f t="shared" si="153"/>
        <v>325.65306122448976</v>
      </c>
      <c r="N379">
        <f t="shared" si="153"/>
        <v>317.85714285714289</v>
      </c>
      <c r="O379">
        <f t="shared" si="153"/>
        <v>279.08979591836726</v>
      </c>
      <c r="P379">
        <f t="shared" si="153"/>
        <v>271.77142857142854</v>
      </c>
      <c r="Q379">
        <f t="shared" si="153"/>
        <v>376.89795918367344</v>
      </c>
      <c r="R379">
        <f t="shared" si="153"/>
        <v>326.16734693877555</v>
      </c>
      <c r="S379">
        <f t="shared" si="153"/>
        <v>276.39183673469387</v>
      </c>
      <c r="T379">
        <f t="shared" si="153"/>
        <v>359.85306122448986</v>
      </c>
      <c r="U379">
        <f t="shared" si="153"/>
        <v>274.67755102040815</v>
      </c>
      <c r="V379">
        <f t="shared" si="153"/>
        <v>124.70857142857147</v>
      </c>
      <c r="W379">
        <f t="shared" si="153"/>
        <v>200.8244897959184</v>
      </c>
      <c r="Y379" s="17">
        <f t="shared" si="135"/>
        <v>5435.8738775510192</v>
      </c>
      <c r="Z379">
        <f t="shared" si="136"/>
        <v>700.35595703776926</v>
      </c>
    </row>
    <row r="380" spans="1:26" x14ac:dyDescent="0.25">
      <c r="A380" t="s">
        <v>61</v>
      </c>
      <c r="D380">
        <f t="shared" ref="D380:W380" si="154">D20*D164</f>
        <v>371.07755102040818</v>
      </c>
      <c r="E380">
        <f t="shared" si="154"/>
        <v>305.82857142857148</v>
      </c>
      <c r="F380">
        <f t="shared" si="154"/>
        <v>283.28571428571433</v>
      </c>
      <c r="G380">
        <f t="shared" si="154"/>
        <v>346.01632653061222</v>
      </c>
      <c r="H380">
        <f t="shared" si="154"/>
        <v>310.98367346938772</v>
      </c>
      <c r="I380">
        <f t="shared" si="154"/>
        <v>288.73469387755102</v>
      </c>
      <c r="J380">
        <f t="shared" si="154"/>
        <v>331.10204081632656</v>
      </c>
      <c r="K380">
        <f t="shared" si="154"/>
        <v>390.94897959183675</v>
      </c>
      <c r="L380">
        <f t="shared" si="154"/>
        <v>329.484375</v>
      </c>
      <c r="M380">
        <f t="shared" si="154"/>
        <v>163.89000000000001</v>
      </c>
      <c r="N380">
        <f t="shared" si="154"/>
        <v>172.43040816326533</v>
      </c>
      <c r="O380">
        <f t="shared" si="154"/>
        <v>181.83</v>
      </c>
      <c r="P380">
        <f t="shared" si="154"/>
        <v>178.83428571428573</v>
      </c>
      <c r="Q380">
        <f t="shared" si="154"/>
        <v>190.5118367346939</v>
      </c>
      <c r="R380">
        <f t="shared" si="154"/>
        <v>191.265306122449</v>
      </c>
      <c r="S380">
        <f t="shared" si="154"/>
        <v>217.92999999999998</v>
      </c>
      <c r="T380">
        <f t="shared" si="154"/>
        <v>222.36979591836734</v>
      </c>
      <c r="U380">
        <f t="shared" si="154"/>
        <v>240.57551020408161</v>
      </c>
      <c r="V380">
        <f t="shared" si="154"/>
        <v>225.02999999999997</v>
      </c>
      <c r="W380">
        <f t="shared" si="154"/>
        <v>274.92244897959188</v>
      </c>
      <c r="Y380" s="17">
        <f t="shared" si="135"/>
        <v>5217.0515178571422</v>
      </c>
      <c r="Z380">
        <f t="shared" si="136"/>
        <v>435.1748957289268</v>
      </c>
    </row>
    <row r="381" spans="1:26" x14ac:dyDescent="0.25">
      <c r="A381" t="s">
        <v>62</v>
      </c>
      <c r="D381">
        <f t="shared" ref="D381:W381" si="155">D21*D165</f>
        <v>239.79142857142861</v>
      </c>
      <c r="E381">
        <f t="shared" si="155"/>
        <v>247.09469387755098</v>
      </c>
      <c r="F381">
        <f t="shared" si="155"/>
        <v>251.42408163265307</v>
      </c>
      <c r="G381">
        <f t="shared" si="155"/>
        <v>221.35571428571427</v>
      </c>
      <c r="H381">
        <f t="shared" si="155"/>
        <v>224.26530612244898</v>
      </c>
      <c r="I381">
        <f t="shared" si="155"/>
        <v>211.28346938775508</v>
      </c>
      <c r="J381">
        <f t="shared" si="155"/>
        <v>197.38408163265305</v>
      </c>
      <c r="K381">
        <f t="shared" si="155"/>
        <v>198.96938775510205</v>
      </c>
      <c r="L381">
        <f t="shared" si="155"/>
        <v>164.63515624999999</v>
      </c>
      <c r="M381">
        <f t="shared" si="155"/>
        <v>354.5204081632653</v>
      </c>
      <c r="N381">
        <f t="shared" si="155"/>
        <v>341.48571428571427</v>
      </c>
      <c r="O381">
        <f t="shared" si="155"/>
        <v>320.18775510204074</v>
      </c>
      <c r="P381">
        <f t="shared" si="155"/>
        <v>285.25714285714287</v>
      </c>
      <c r="Q381">
        <f t="shared" si="155"/>
        <v>395.25102040816319</v>
      </c>
      <c r="R381">
        <f t="shared" si="155"/>
        <v>431.22244897959189</v>
      </c>
      <c r="S381">
        <f t="shared" si="155"/>
        <v>422.02040816326524</v>
      </c>
      <c r="T381">
        <f t="shared" si="155"/>
        <v>256.83061224489791</v>
      </c>
      <c r="U381">
        <f t="shared" si="155"/>
        <v>314.50612244897957</v>
      </c>
      <c r="V381">
        <f t="shared" si="155"/>
        <v>346.59591836734694</v>
      </c>
      <c r="W381">
        <f t="shared" si="155"/>
        <v>252.35918367346935</v>
      </c>
      <c r="Y381" s="17">
        <f t="shared" si="135"/>
        <v>5676.4400542091826</v>
      </c>
      <c r="Z381">
        <f t="shared" si="136"/>
        <v>796.62275109818665</v>
      </c>
    </row>
    <row r="382" spans="1:26" x14ac:dyDescent="0.25">
      <c r="A382" t="s">
        <v>63</v>
      </c>
      <c r="D382">
        <f t="shared" ref="D382:W382" si="156">D22*D166</f>
        <v>337.16122448979593</v>
      </c>
      <c r="E382">
        <f t="shared" si="156"/>
        <v>349.91428571428571</v>
      </c>
      <c r="F382">
        <f t="shared" si="156"/>
        <v>398.89795918367355</v>
      </c>
      <c r="G382">
        <f t="shared" si="156"/>
        <v>303.35714285714289</v>
      </c>
      <c r="H382">
        <f t="shared" si="156"/>
        <v>291.98367346938778</v>
      </c>
      <c r="I382">
        <f t="shared" si="156"/>
        <v>933.87755102040808</v>
      </c>
      <c r="J382">
        <f t="shared" si="156"/>
        <v>410.76326530612238</v>
      </c>
      <c r="K382">
        <f t="shared" si="156"/>
        <v>309.12244897959187</v>
      </c>
      <c r="L382">
        <f t="shared" si="156"/>
        <v>287.734375</v>
      </c>
      <c r="M382">
        <f t="shared" si="156"/>
        <v>417.72857142857146</v>
      </c>
      <c r="N382">
        <f t="shared" si="156"/>
        <v>325.49999999999994</v>
      </c>
      <c r="O382">
        <f t="shared" si="156"/>
        <v>359.8857142857143</v>
      </c>
      <c r="P382">
        <f t="shared" si="156"/>
        <v>307.94081632653064</v>
      </c>
      <c r="Q382">
        <f t="shared" si="156"/>
        <v>306.28367346938774</v>
      </c>
      <c r="R382">
        <f t="shared" si="156"/>
        <v>239.70408163265307</v>
      </c>
      <c r="S382">
        <f t="shared" si="156"/>
        <v>305.48571428571432</v>
      </c>
      <c r="T382">
        <f t="shared" si="156"/>
        <v>288.78367346938779</v>
      </c>
      <c r="U382">
        <f t="shared" si="156"/>
        <v>242.6612244897959</v>
      </c>
      <c r="V382">
        <f t="shared" si="156"/>
        <v>290.45714285714291</v>
      </c>
      <c r="W382">
        <f t="shared" si="156"/>
        <v>263.89795918367355</v>
      </c>
      <c r="Y382" s="17">
        <f t="shared" si="135"/>
        <v>6971.1404974489787</v>
      </c>
      <c r="Z382">
        <f t="shared" si="136"/>
        <v>882.780057277433</v>
      </c>
    </row>
    <row r="383" spans="1:26" x14ac:dyDescent="0.25">
      <c r="A383" t="s">
        <v>64</v>
      </c>
      <c r="D383">
        <f t="shared" ref="D383:W383" si="157">D23*D167</f>
        <v>351.5</v>
      </c>
      <c r="E383">
        <f t="shared" si="157"/>
        <v>376.6</v>
      </c>
      <c r="F383">
        <f t="shared" si="157"/>
        <v>542.83673469387759</v>
      </c>
      <c r="G383">
        <f t="shared" si="157"/>
        <v>296.39183673469392</v>
      </c>
      <c r="H383">
        <f t="shared" si="157"/>
        <v>354.44285714285718</v>
      </c>
      <c r="I383">
        <f t="shared" si="157"/>
        <v>406.65714285714284</v>
      </c>
      <c r="J383">
        <f t="shared" si="157"/>
        <v>481.20408163265307</v>
      </c>
      <c r="K383">
        <f t="shared" si="157"/>
        <v>408.35918367346943</v>
      </c>
      <c r="L383">
        <f t="shared" si="157"/>
        <v>392.34375</v>
      </c>
      <c r="M383">
        <f t="shared" si="157"/>
        <v>412.02857142857141</v>
      </c>
      <c r="N383">
        <f t="shared" si="157"/>
        <v>313.81224489795915</v>
      </c>
      <c r="O383">
        <f t="shared" si="157"/>
        <v>345.91836734693874</v>
      </c>
      <c r="P383">
        <f t="shared" si="157"/>
        <v>357.94285714285712</v>
      </c>
      <c r="Q383">
        <f t="shared" si="157"/>
        <v>320.69387755102042</v>
      </c>
      <c r="R383">
        <f t="shared" si="157"/>
        <v>380.27346938775509</v>
      </c>
      <c r="S383">
        <f t="shared" si="157"/>
        <v>327.15102040816322</v>
      </c>
      <c r="T383">
        <f t="shared" si="157"/>
        <v>271.38163265306127</v>
      </c>
      <c r="U383">
        <f t="shared" si="157"/>
        <v>325.74693877551022</v>
      </c>
      <c r="V383">
        <f t="shared" si="157"/>
        <v>272.40816326530609</v>
      </c>
      <c r="W383">
        <f t="shared" si="157"/>
        <v>241.85306122448984</v>
      </c>
      <c r="Y383" s="17">
        <f t="shared" si="135"/>
        <v>7179.5457908163271</v>
      </c>
      <c r="Z383">
        <f t="shared" si="136"/>
        <v>881.14760340950454</v>
      </c>
    </row>
    <row r="384" spans="1:26" x14ac:dyDescent="0.25">
      <c r="A384" t="s">
        <v>65</v>
      </c>
      <c r="D384">
        <f t="shared" ref="D384:W384" si="158">D24*D168</f>
        <v>309.50612244897957</v>
      </c>
      <c r="E384">
        <f t="shared" si="158"/>
        <v>269.95102040816323</v>
      </c>
      <c r="F384">
        <f t="shared" si="158"/>
        <v>225.25306122448984</v>
      </c>
      <c r="G384">
        <f t="shared" si="158"/>
        <v>200.13061224489795</v>
      </c>
      <c r="H384">
        <f t="shared" si="158"/>
        <v>236.90816326530611</v>
      </c>
      <c r="I384">
        <f t="shared" si="158"/>
        <v>311.51020408163265</v>
      </c>
      <c r="J384">
        <f t="shared" si="158"/>
        <v>332.05714285714288</v>
      </c>
      <c r="K384">
        <f t="shared" si="158"/>
        <v>321.51224489795914</v>
      </c>
      <c r="L384">
        <f t="shared" si="158"/>
        <v>328.28437500000001</v>
      </c>
      <c r="M384">
        <f t="shared" si="158"/>
        <v>404.00816326530605</v>
      </c>
      <c r="N384">
        <f t="shared" si="158"/>
        <v>306.87346938775505</v>
      </c>
      <c r="O384">
        <f t="shared" si="158"/>
        <v>331.34693877551024</v>
      </c>
      <c r="P384">
        <f t="shared" si="158"/>
        <v>277.37755102040819</v>
      </c>
      <c r="Q384">
        <f t="shared" si="158"/>
        <v>479.84693877551018</v>
      </c>
      <c r="R384">
        <f t="shared" si="158"/>
        <v>491.38571428571424</v>
      </c>
      <c r="S384">
        <f t="shared" si="158"/>
        <v>293.89183673469381</v>
      </c>
      <c r="T384">
        <f t="shared" si="158"/>
        <v>240.17551020408163</v>
      </c>
      <c r="U384">
        <f t="shared" si="158"/>
        <v>144.25714285714287</v>
      </c>
      <c r="V384">
        <f t="shared" si="158"/>
        <v>213.71428571428569</v>
      </c>
      <c r="W384">
        <f t="shared" si="158"/>
        <v>170.34693877551018</v>
      </c>
      <c r="Y384" s="17">
        <f t="shared" si="135"/>
        <v>5888.3374362244895</v>
      </c>
      <c r="Z384">
        <f t="shared" si="136"/>
        <v>875.60108431964238</v>
      </c>
    </row>
    <row r="385" spans="1:26" x14ac:dyDescent="0.25">
      <c r="A385" t="s">
        <v>66</v>
      </c>
      <c r="D385">
        <f t="shared" ref="D385:W385" si="159">D25*D169</f>
        <v>267.20000000000005</v>
      </c>
      <c r="E385">
        <f t="shared" si="159"/>
        <v>237.68571428571428</v>
      </c>
      <c r="F385">
        <f t="shared" si="159"/>
        <v>222.24489795918365</v>
      </c>
      <c r="G385">
        <f t="shared" si="159"/>
        <v>265.9081632653062</v>
      </c>
      <c r="H385">
        <f t="shared" si="159"/>
        <v>205.56122448979593</v>
      </c>
      <c r="I385">
        <f t="shared" si="159"/>
        <v>284.57142857142856</v>
      </c>
      <c r="J385">
        <f t="shared" si="159"/>
        <v>312.90408163265306</v>
      </c>
      <c r="K385">
        <f t="shared" si="159"/>
        <v>210.16734693877558</v>
      </c>
      <c r="L385">
        <f t="shared" si="159"/>
        <v>311.95000000000005</v>
      </c>
      <c r="M385">
        <f t="shared" si="159"/>
        <v>365.26734693877546</v>
      </c>
      <c r="N385">
        <f t="shared" si="159"/>
        <v>392.79999999999995</v>
      </c>
      <c r="O385">
        <f t="shared" si="159"/>
        <v>269.48571428571427</v>
      </c>
      <c r="P385">
        <f t="shared" si="159"/>
        <v>266.02244897959184</v>
      </c>
      <c r="Q385">
        <f t="shared" si="159"/>
        <v>281.29999999999995</v>
      </c>
      <c r="R385">
        <f t="shared" si="159"/>
        <v>368.59591836734694</v>
      </c>
      <c r="S385">
        <f t="shared" si="159"/>
        <v>324.33877551020413</v>
      </c>
      <c r="T385">
        <f t="shared" si="159"/>
        <v>246.0734693877551</v>
      </c>
      <c r="U385">
        <f t="shared" si="159"/>
        <v>242.20000000000002</v>
      </c>
      <c r="V385">
        <f t="shared" si="159"/>
        <v>225.24897959183676</v>
      </c>
      <c r="W385">
        <f t="shared" si="159"/>
        <v>158.16326530612247</v>
      </c>
      <c r="Y385" s="17">
        <f t="shared" si="135"/>
        <v>5457.6887755102034</v>
      </c>
      <c r="Z385">
        <f t="shared" si="136"/>
        <v>736.64186497688604</v>
      </c>
    </row>
    <row r="386" spans="1:26" x14ac:dyDescent="0.25">
      <c r="A386" t="s">
        <v>67</v>
      </c>
      <c r="D386">
        <f t="shared" ref="D386:W386" si="160">D26*D170</f>
        <v>218.2979591836735</v>
      </c>
      <c r="E386">
        <f t="shared" si="160"/>
        <v>330.33673469387759</v>
      </c>
      <c r="F386">
        <f t="shared" si="160"/>
        <v>480.07142857142861</v>
      </c>
      <c r="G386">
        <f t="shared" si="160"/>
        <v>342.50204081632654</v>
      </c>
      <c r="H386">
        <f t="shared" si="160"/>
        <v>308.11428571428576</v>
      </c>
      <c r="I386">
        <f t="shared" si="160"/>
        <v>297.06938775510213</v>
      </c>
      <c r="J386">
        <f t="shared" si="160"/>
        <v>344.27755102040817</v>
      </c>
      <c r="K386">
        <f t="shared" si="160"/>
        <v>400.70408163265307</v>
      </c>
      <c r="L386">
        <f t="shared" si="160"/>
        <v>437.14285714285717</v>
      </c>
      <c r="M386">
        <f t="shared" si="160"/>
        <v>422.14285714285722</v>
      </c>
      <c r="N386">
        <f t="shared" si="160"/>
        <v>362.70204081632653</v>
      </c>
      <c r="O386">
        <f t="shared" si="160"/>
        <v>357.10204081632656</v>
      </c>
      <c r="P386">
        <f t="shared" si="160"/>
        <v>331.39795918367338</v>
      </c>
      <c r="Q386">
        <f t="shared" si="160"/>
        <v>337.16938775510204</v>
      </c>
      <c r="R386">
        <f t="shared" si="160"/>
        <v>283.93265306122453</v>
      </c>
      <c r="S386">
        <f t="shared" si="160"/>
        <v>286.01632653061222</v>
      </c>
      <c r="T386">
        <f t="shared" si="160"/>
        <v>246.99999999999997</v>
      </c>
      <c r="U386">
        <f t="shared" si="160"/>
        <v>239.69387755102039</v>
      </c>
      <c r="V386">
        <f t="shared" si="160"/>
        <v>235.46734693877548</v>
      </c>
      <c r="W386">
        <f t="shared" si="160"/>
        <v>159.79591836734696</v>
      </c>
      <c r="Y386" s="17">
        <f t="shared" si="135"/>
        <v>6420.936734693878</v>
      </c>
      <c r="Z386">
        <f t="shared" si="136"/>
        <v>774.42306471209008</v>
      </c>
    </row>
    <row r="387" spans="1:26" x14ac:dyDescent="0.25">
      <c r="A387" t="s">
        <v>68</v>
      </c>
      <c r="D387">
        <f t="shared" ref="D387:W387" si="161">D27*D171</f>
        <v>295.84897959183655</v>
      </c>
      <c r="E387">
        <f t="shared" si="161"/>
        <v>245.68163265306146</v>
      </c>
      <c r="F387">
        <f t="shared" si="161"/>
        <v>234.68571428571428</v>
      </c>
      <c r="G387">
        <f t="shared" si="161"/>
        <v>353.09387755102011</v>
      </c>
      <c r="H387">
        <f t="shared" si="161"/>
        <v>471.69183673469388</v>
      </c>
      <c r="I387">
        <f t="shared" si="161"/>
        <v>378.05918367346948</v>
      </c>
      <c r="J387">
        <f t="shared" si="161"/>
        <v>363.85714285714272</v>
      </c>
      <c r="K387">
        <f t="shared" si="161"/>
        <v>323.24489795918367</v>
      </c>
      <c r="L387">
        <f t="shared" si="161"/>
        <v>330.15937499999995</v>
      </c>
      <c r="M387">
        <f t="shared" si="161"/>
        <v>427.78367346938757</v>
      </c>
      <c r="N387">
        <f t="shared" si="161"/>
        <v>378.48163265306124</v>
      </c>
      <c r="O387">
        <f t="shared" si="161"/>
        <v>386.61428571428615</v>
      </c>
      <c r="P387">
        <f t="shared" si="161"/>
        <v>389.77959183673471</v>
      </c>
      <c r="Q387">
        <f t="shared" si="161"/>
        <v>369.27346938775503</v>
      </c>
      <c r="R387">
        <f t="shared" si="161"/>
        <v>468.31632653061268</v>
      </c>
      <c r="S387">
        <f t="shared" si="161"/>
        <v>387.24489795918367</v>
      </c>
      <c r="T387">
        <f t="shared" si="161"/>
        <v>291.70408163265307</v>
      </c>
      <c r="U387">
        <f t="shared" si="161"/>
        <v>309.06734693877553</v>
      </c>
      <c r="V387">
        <f t="shared" si="161"/>
        <v>200.49183673469386</v>
      </c>
      <c r="W387">
        <f t="shared" si="161"/>
        <v>165.69387755102039</v>
      </c>
      <c r="Y387" s="17">
        <f t="shared" si="135"/>
        <v>6770.773660714287</v>
      </c>
      <c r="Z387">
        <f t="shared" si="136"/>
        <v>863.10723354086338</v>
      </c>
    </row>
    <row r="388" spans="1:26" x14ac:dyDescent="0.25">
      <c r="A388" t="s">
        <v>69</v>
      </c>
      <c r="D388">
        <f t="shared" ref="D388:W388" si="162">D28*D172</f>
        <v>331.52040816326524</v>
      </c>
      <c r="E388">
        <f t="shared" si="162"/>
        <v>324.82653061224494</v>
      </c>
      <c r="F388">
        <f t="shared" si="162"/>
        <v>318.52653061224493</v>
      </c>
      <c r="G388">
        <f t="shared" si="162"/>
        <v>328.47346938775507</v>
      </c>
      <c r="H388">
        <f t="shared" si="162"/>
        <v>244.21224489795924</v>
      </c>
      <c r="I388">
        <f t="shared" si="162"/>
        <v>356.98775510204075</v>
      </c>
      <c r="J388">
        <f t="shared" si="162"/>
        <v>282</v>
      </c>
      <c r="K388">
        <f t="shared" si="162"/>
        <v>358.43673469387755</v>
      </c>
      <c r="L388">
        <f t="shared" si="162"/>
        <v>286.45312499999994</v>
      </c>
      <c r="M388">
        <f t="shared" si="162"/>
        <v>285.10971428571429</v>
      </c>
      <c r="N388">
        <f t="shared" si="162"/>
        <v>521.11757142857141</v>
      </c>
      <c r="O388">
        <f t="shared" si="162"/>
        <v>422.39771428571424</v>
      </c>
      <c r="P388">
        <f t="shared" si="162"/>
        <v>274.86771428571427</v>
      </c>
      <c r="Q388">
        <f t="shared" si="162"/>
        <v>349.20000000000005</v>
      </c>
      <c r="R388">
        <f t="shared" si="162"/>
        <v>203.67225000000002</v>
      </c>
      <c r="S388">
        <f t="shared" si="162"/>
        <v>293.99999999999994</v>
      </c>
      <c r="T388">
        <f t="shared" si="162"/>
        <v>215.20408163265191</v>
      </c>
      <c r="U388">
        <f t="shared" si="162"/>
        <v>309.29387755101834</v>
      </c>
      <c r="V388">
        <f t="shared" si="162"/>
        <v>173.60816326530608</v>
      </c>
      <c r="W388">
        <f t="shared" si="162"/>
        <v>183.22448979591832</v>
      </c>
      <c r="Y388" s="17">
        <f t="shared" si="135"/>
        <v>6063.1323749999956</v>
      </c>
      <c r="Z388">
        <f t="shared" si="136"/>
        <v>751.72007075377371</v>
      </c>
    </row>
    <row r="389" spans="1:26" x14ac:dyDescent="0.25">
      <c r="Y389" s="17"/>
    </row>
    <row r="390" spans="1:26" x14ac:dyDescent="0.25">
      <c r="A390" t="s">
        <v>70</v>
      </c>
      <c r="D390">
        <f t="shared" ref="D390:W390" si="163">D30*D174</f>
        <v>285.37142857142857</v>
      </c>
      <c r="E390">
        <f t="shared" si="163"/>
        <v>254.84693877551018</v>
      </c>
      <c r="F390">
        <f t="shared" si="163"/>
        <v>318.52653061224493</v>
      </c>
      <c r="G390">
        <f t="shared" si="163"/>
        <v>261.92857142857144</v>
      </c>
      <c r="H390">
        <f t="shared" si="163"/>
        <v>288.94081632653064</v>
      </c>
      <c r="I390">
        <f t="shared" si="163"/>
        <v>322.87346938775516</v>
      </c>
      <c r="J390">
        <f t="shared" si="163"/>
        <v>264.87551020408159</v>
      </c>
      <c r="K390">
        <f t="shared" si="163"/>
        <v>245.30612244897961</v>
      </c>
      <c r="L390">
        <f t="shared" si="163"/>
        <v>322.4453125</v>
      </c>
      <c r="M390">
        <f t="shared" si="163"/>
        <v>305.38775510204084</v>
      </c>
      <c r="N390">
        <f t="shared" si="163"/>
        <v>367.78571428571428</v>
      </c>
      <c r="O390">
        <f t="shared" si="163"/>
        <v>353.95102040816323</v>
      </c>
      <c r="P390">
        <f t="shared" si="163"/>
        <v>257.74285714285713</v>
      </c>
      <c r="Q390">
        <f t="shared" si="163"/>
        <v>259.86326530612382</v>
      </c>
      <c r="R390">
        <f t="shared" si="163"/>
        <v>258.61224489795916</v>
      </c>
      <c r="S390">
        <f t="shared" si="163"/>
        <v>320.04601113172544</v>
      </c>
      <c r="T390">
        <f t="shared" si="163"/>
        <v>397.32244897958975</v>
      </c>
      <c r="U390">
        <f t="shared" si="163"/>
        <v>274.67042671614098</v>
      </c>
      <c r="V390">
        <f t="shared" si="163"/>
        <v>229.70643784786614</v>
      </c>
      <c r="W390">
        <f t="shared" si="163"/>
        <v>249.78189239332096</v>
      </c>
      <c r="Y390" s="17">
        <f t="shared" si="135"/>
        <v>5839.9847744666049</v>
      </c>
      <c r="Z390">
        <f>SUMPRODUCT($D$394:$W$394,D390:W390)</f>
        <v>664.11620035389626</v>
      </c>
    </row>
    <row r="391" spans="1:26" x14ac:dyDescent="0.25">
      <c r="A391" t="s">
        <v>314</v>
      </c>
      <c r="D391">
        <f t="shared" ref="D391:W391" si="164">D31*D175</f>
        <v>380.40000000000003</v>
      </c>
      <c r="E391">
        <f t="shared" si="164"/>
        <v>328.64285714285717</v>
      </c>
      <c r="F391">
        <f t="shared" si="164"/>
        <v>337.95306122448983</v>
      </c>
      <c r="G391">
        <f t="shared" si="164"/>
        <v>340.46938775510205</v>
      </c>
      <c r="H391">
        <f t="shared" si="164"/>
        <v>377.91020408163263</v>
      </c>
      <c r="I391">
        <f t="shared" si="164"/>
        <v>331.26938775510195</v>
      </c>
      <c r="J391">
        <f t="shared" si="164"/>
        <v>344.81632653061223</v>
      </c>
      <c r="K391">
        <f t="shared" si="164"/>
        <v>346.53265306122449</v>
      </c>
      <c r="L391">
        <f t="shared" si="164"/>
        <v>198.41249999999999</v>
      </c>
      <c r="M391">
        <f t="shared" si="164"/>
        <v>265.13877551020408</v>
      </c>
      <c r="N391">
        <f t="shared" si="164"/>
        <v>345.40408163265312</v>
      </c>
      <c r="O391">
        <f t="shared" si="164"/>
        <v>330.60000000000008</v>
      </c>
      <c r="P391">
        <f t="shared" si="164"/>
        <v>355.09999999999997</v>
      </c>
      <c r="Q391">
        <f t="shared" si="164"/>
        <v>407.4</v>
      </c>
      <c r="R391">
        <f t="shared" si="164"/>
        <v>415.52000000000004</v>
      </c>
      <c r="S391">
        <f t="shared" si="164"/>
        <v>408.96</v>
      </c>
      <c r="T391">
        <f t="shared" si="164"/>
        <v>349.99591836734692</v>
      </c>
      <c r="U391">
        <f t="shared" si="164"/>
        <v>279.34693877551024</v>
      </c>
      <c r="V391">
        <f t="shared" si="164"/>
        <v>314.51428571428579</v>
      </c>
      <c r="W391">
        <f t="shared" si="164"/>
        <v>243.95510204081634</v>
      </c>
      <c r="Y391" s="17">
        <f t="shared" si="135"/>
        <v>6702.341479591837</v>
      </c>
      <c r="Z391">
        <f>SUMPRODUCT($D$394:$W$394,D391:W391)</f>
        <v>815.66957827198428</v>
      </c>
    </row>
    <row r="392" spans="1:26" x14ac:dyDescent="0.25">
      <c r="A392" t="s">
        <v>315</v>
      </c>
      <c r="D392">
        <f t="shared" ref="D392:W392" si="165">D32*D176</f>
        <v>263.7918367346939</v>
      </c>
      <c r="E392">
        <f t="shared" si="165"/>
        <v>350.91428571428577</v>
      </c>
      <c r="F392">
        <f t="shared" si="165"/>
        <v>338.36326530612251</v>
      </c>
      <c r="G392">
        <f t="shared" si="165"/>
        <v>327.08571428571429</v>
      </c>
      <c r="H392">
        <f t="shared" si="165"/>
        <v>362.70204081632653</v>
      </c>
      <c r="I392">
        <f t="shared" si="165"/>
        <v>385.55918367346942</v>
      </c>
      <c r="J392">
        <f t="shared" si="165"/>
        <v>573.09183673469386</v>
      </c>
      <c r="K392">
        <f t="shared" si="165"/>
        <v>373.70816326530615</v>
      </c>
      <c r="L392">
        <f t="shared" si="165"/>
        <v>248.77500000000001</v>
      </c>
      <c r="M392">
        <f t="shared" si="165"/>
        <v>330.04</v>
      </c>
      <c r="N392">
        <f t="shared" si="165"/>
        <v>350.95999999999992</v>
      </c>
      <c r="O392">
        <f t="shared" si="165"/>
        <v>297.16000000000003</v>
      </c>
      <c r="P392">
        <f t="shared" si="165"/>
        <v>300.91955844155837</v>
      </c>
      <c r="Q392">
        <f t="shared" si="165"/>
        <v>327.56124489795917</v>
      </c>
      <c r="R392">
        <f t="shared" si="165"/>
        <v>338.43556586270876</v>
      </c>
      <c r="S392">
        <f t="shared" si="165"/>
        <v>311.09510575139149</v>
      </c>
      <c r="T392">
        <f t="shared" si="165"/>
        <v>346.63994169096208</v>
      </c>
      <c r="U392">
        <f t="shared" si="165"/>
        <v>486.18542274052481</v>
      </c>
      <c r="V392">
        <f t="shared" si="165"/>
        <v>311.83119533527696</v>
      </c>
      <c r="W392">
        <f t="shared" si="165"/>
        <v>350.12827988338194</v>
      </c>
      <c r="Y392" s="17">
        <f t="shared" si="135"/>
        <v>6974.9476411343758</v>
      </c>
      <c r="Z392">
        <f>SUMPRODUCT($D$394:$W$394,D392:W392)</f>
        <v>801.3135856990524</v>
      </c>
    </row>
    <row r="393" spans="1:26" x14ac:dyDescent="0.25">
      <c r="A393" t="s">
        <v>677</v>
      </c>
      <c r="D393">
        <f t="shared" ref="D393:W393" si="166">D33*D177</f>
        <v>388.89183673469381</v>
      </c>
      <c r="E393">
        <f t="shared" si="166"/>
        <v>276.86734693877554</v>
      </c>
      <c r="F393">
        <f t="shared" si="166"/>
        <v>322.15306122448982</v>
      </c>
      <c r="G393">
        <f t="shared" si="166"/>
        <v>286.74489795918373</v>
      </c>
      <c r="H393">
        <f t="shared" si="166"/>
        <v>274.8448979591837</v>
      </c>
      <c r="I393">
        <f t="shared" si="166"/>
        <v>299.47755102040816</v>
      </c>
      <c r="J393">
        <f t="shared" si="166"/>
        <v>303.4387755102041</v>
      </c>
      <c r="K393">
        <f t="shared" si="166"/>
        <v>284.72448979591837</v>
      </c>
      <c r="L393">
        <f t="shared" si="166"/>
        <v>220.35</v>
      </c>
      <c r="M393">
        <f t="shared" si="166"/>
        <v>332.0204081632653</v>
      </c>
      <c r="N393">
        <f t="shared" si="166"/>
        <v>356.54693877551023</v>
      </c>
      <c r="O393">
        <f t="shared" si="166"/>
        <v>94.155102040816331</v>
      </c>
      <c r="P393">
        <f t="shared" si="166"/>
        <v>322.34693877551018</v>
      </c>
      <c r="Q393">
        <f t="shared" si="166"/>
        <v>371.365306122449</v>
      </c>
      <c r="R393">
        <f t="shared" si="166"/>
        <v>251.06938775510204</v>
      </c>
      <c r="S393">
        <f t="shared" si="166"/>
        <v>314.20666666666671</v>
      </c>
      <c r="T393">
        <f t="shared" si="166"/>
        <v>284.11048469387754</v>
      </c>
      <c r="U393">
        <f t="shared" si="166"/>
        <v>262.93166909620982</v>
      </c>
      <c r="V393">
        <f t="shared" si="166"/>
        <v>245.32703717201161</v>
      </c>
      <c r="W393">
        <f t="shared" si="166"/>
        <v>234.72579081632657</v>
      </c>
      <c r="Y393" s="17">
        <f t="shared" ref="Y393" si="167">SUM(D393:W393)</f>
        <v>5726.2985872206036</v>
      </c>
      <c r="Z393">
        <f>SUMPRODUCT($D$394:$W$394,D393:W393)</f>
        <v>675.18577404555708</v>
      </c>
    </row>
    <row r="394" spans="1:26" x14ac:dyDescent="0.25">
      <c r="A394" s="2" t="s">
        <v>71</v>
      </c>
      <c r="D394" s="3">
        <f>CORREL($B$2:$B$28,D362:D388)</f>
        <v>4.6410526418465263E-2</v>
      </c>
      <c r="E394" s="3">
        <f t="shared" ref="E394:W394" si="168">CORREL($B$2:$B$28,E362:E388)</f>
        <v>0.22833419006386532</v>
      </c>
      <c r="F394" s="3">
        <f t="shared" si="168"/>
        <v>0.13413771126996246</v>
      </c>
      <c r="G394" s="3">
        <f t="shared" si="168"/>
        <v>-0.33822891594498306</v>
      </c>
      <c r="H394" s="3">
        <f t="shared" si="168"/>
        <v>-2.8328635912465844E-2</v>
      </c>
      <c r="I394" s="3">
        <f t="shared" si="168"/>
        <v>0.21500362749695812</v>
      </c>
      <c r="J394" s="3">
        <f t="shared" si="168"/>
        <v>0.23881523172858612</v>
      </c>
      <c r="K394" s="3">
        <f t="shared" si="168"/>
        <v>-8.0578419939121657E-3</v>
      </c>
      <c r="L394" s="3">
        <f t="shared" si="168"/>
        <v>-1.8497942836045722E-2</v>
      </c>
      <c r="M394" s="3">
        <f t="shared" si="168"/>
        <v>0.28080850114974865</v>
      </c>
      <c r="N394" s="3">
        <f t="shared" si="168"/>
        <v>0.28348866710593296</v>
      </c>
      <c r="O394" s="3">
        <f t="shared" si="168"/>
        <v>0.1920867723484912</v>
      </c>
      <c r="P394" s="3">
        <f t="shared" si="168"/>
        <v>2.112995616547899E-2</v>
      </c>
      <c r="Q394" s="3">
        <f t="shared" si="168"/>
        <v>0.39459557427107739</v>
      </c>
      <c r="R394" s="3">
        <f t="shared" si="168"/>
        <v>0.37208504721272689</v>
      </c>
      <c r="S394" s="3">
        <f t="shared" si="168"/>
        <v>0.26056886027169085</v>
      </c>
      <c r="T394" s="3">
        <f t="shared" si="168"/>
        <v>-1.8090932862116254E-2</v>
      </c>
      <c r="U394" s="3">
        <f t="shared" si="168"/>
        <v>0.11012764566347368</v>
      </c>
      <c r="V394" s="3">
        <f t="shared" si="168"/>
        <v>0.13579508473393509</v>
      </c>
      <c r="W394" s="3">
        <f t="shared" si="168"/>
        <v>-0.31175271320044057</v>
      </c>
    </row>
    <row r="397" spans="1:26" x14ac:dyDescent="0.25">
      <c r="D397" t="s">
        <v>140</v>
      </c>
      <c r="E397" t="s">
        <v>141</v>
      </c>
      <c r="F397" t="s">
        <v>142</v>
      </c>
      <c r="G397" t="s">
        <v>143</v>
      </c>
      <c r="H397" t="s">
        <v>144</v>
      </c>
      <c r="I397" t="s">
        <v>145</v>
      </c>
      <c r="J397" t="s">
        <v>146</v>
      </c>
      <c r="K397" t="s">
        <v>147</v>
      </c>
      <c r="L397" t="s">
        <v>351</v>
      </c>
      <c r="M397" t="s">
        <v>401</v>
      </c>
      <c r="N397" t="s">
        <v>402</v>
      </c>
      <c r="O397" t="s">
        <v>403</v>
      </c>
      <c r="P397" t="s">
        <v>497</v>
      </c>
      <c r="Q397" t="s">
        <v>498</v>
      </c>
      <c r="R397" t="s">
        <v>499</v>
      </c>
      <c r="S397" t="s">
        <v>500</v>
      </c>
      <c r="T397" t="s">
        <v>609</v>
      </c>
      <c r="U397" t="s">
        <v>610</v>
      </c>
      <c r="V397" t="s">
        <v>611</v>
      </c>
      <c r="W397" t="s">
        <v>612</v>
      </c>
      <c r="Y397" t="s">
        <v>148</v>
      </c>
      <c r="Z397" t="s">
        <v>149</v>
      </c>
    </row>
    <row r="398" spans="1:26" x14ac:dyDescent="0.25">
      <c r="A398" t="s">
        <v>43</v>
      </c>
      <c r="D398">
        <f t="shared" ref="D398:W398" si="169">D2*D182</f>
        <v>134.40816326530611</v>
      </c>
      <c r="E398">
        <f t="shared" si="169"/>
        <v>120.15510204081633</v>
      </c>
      <c r="F398">
        <f t="shared" si="169"/>
        <v>109.99673469387757</v>
      </c>
      <c r="G398">
        <f t="shared" si="169"/>
        <v>116.21020408163265</v>
      </c>
      <c r="H398">
        <f t="shared" si="169"/>
        <v>106.87530612244899</v>
      </c>
      <c r="I398">
        <f t="shared" si="169"/>
        <v>90.028571428571396</v>
      </c>
      <c r="J398">
        <f t="shared" si="169"/>
        <v>94.761224489795936</v>
      </c>
      <c r="K398">
        <f t="shared" si="169"/>
        <v>104.19061224489795</v>
      </c>
      <c r="L398">
        <f t="shared" si="169"/>
        <v>101.77171875000001</v>
      </c>
      <c r="M398">
        <f t="shared" si="169"/>
        <v>50.447346938775503</v>
      </c>
      <c r="N398">
        <f t="shared" si="169"/>
        <v>71.896734693877548</v>
      </c>
      <c r="O398">
        <f t="shared" si="169"/>
        <v>84.512448979591852</v>
      </c>
      <c r="P398">
        <f t="shared" si="169"/>
        <v>87.313469387755106</v>
      </c>
      <c r="Q398">
        <f t="shared" si="169"/>
        <v>92.528571428571439</v>
      </c>
      <c r="R398">
        <f t="shared" si="169"/>
        <v>87.053061224489767</v>
      </c>
      <c r="S398">
        <f t="shared" si="169"/>
        <v>91.924897959183681</v>
      </c>
      <c r="T398">
        <f t="shared" si="169"/>
        <v>78.122857142857157</v>
      </c>
      <c r="U398">
        <f t="shared" si="169"/>
        <v>85.348775510204106</v>
      </c>
      <c r="V398">
        <f t="shared" si="169"/>
        <v>124.71081632653062</v>
      </c>
      <c r="W398">
        <f t="shared" si="169"/>
        <v>109.01877551020408</v>
      </c>
      <c r="Y398" s="17">
        <f t="shared" ref="Y398:Y428" si="170">SUM(D398:W398)</f>
        <v>1941.2753922193876</v>
      </c>
      <c r="Z398">
        <f t="shared" ref="Z398:Z424" si="171">SUMPRODUCT($D$430:$W$430,D398:W398)</f>
        <v>-130.1350912864373</v>
      </c>
    </row>
    <row r="399" spans="1:26" x14ac:dyDescent="0.25">
      <c r="A399" t="s">
        <v>44</v>
      </c>
      <c r="D399">
        <f t="shared" ref="D399:W399" si="172">D3*D183</f>
        <v>131.25</v>
      </c>
      <c r="E399">
        <f t="shared" si="172"/>
        <v>90.640000000000015</v>
      </c>
      <c r="F399">
        <f t="shared" si="172"/>
        <v>96</v>
      </c>
      <c r="G399">
        <f t="shared" si="172"/>
        <v>105.84000000000002</v>
      </c>
      <c r="H399">
        <f t="shared" si="172"/>
        <v>115.64000000000001</v>
      </c>
      <c r="I399">
        <f t="shared" si="172"/>
        <v>79.559999999999988</v>
      </c>
      <c r="J399">
        <f t="shared" si="172"/>
        <v>463.97999999999996</v>
      </c>
      <c r="K399">
        <f t="shared" si="172"/>
        <v>93.11999999999999</v>
      </c>
      <c r="L399">
        <f t="shared" si="172"/>
        <v>83.419999999999987</v>
      </c>
      <c r="M399">
        <f t="shared" si="172"/>
        <v>67.23</v>
      </c>
      <c r="N399">
        <f t="shared" si="172"/>
        <v>78.02000000000001</v>
      </c>
      <c r="O399">
        <f t="shared" si="172"/>
        <v>94.94</v>
      </c>
      <c r="P399">
        <f t="shared" si="172"/>
        <v>90.43902857142858</v>
      </c>
      <c r="Q399">
        <f t="shared" si="172"/>
        <v>84.037142857142868</v>
      </c>
      <c r="R399">
        <f t="shared" si="172"/>
        <v>83.842628571428563</v>
      </c>
      <c r="S399">
        <f t="shared" si="172"/>
        <v>85.995000000000005</v>
      </c>
      <c r="T399">
        <f t="shared" si="172"/>
        <v>84.958905612244919</v>
      </c>
      <c r="U399">
        <f t="shared" si="172"/>
        <v>99.033463010204088</v>
      </c>
      <c r="V399">
        <f t="shared" si="172"/>
        <v>94.863251594387748</v>
      </c>
      <c r="W399">
        <f t="shared" si="172"/>
        <v>109.91620057397957</v>
      </c>
      <c r="Y399" s="17">
        <f t="shared" si="170"/>
        <v>2232.7256207908163</v>
      </c>
      <c r="Z399">
        <f t="shared" si="171"/>
        <v>-244.18684238128978</v>
      </c>
    </row>
    <row r="400" spans="1:26" x14ac:dyDescent="0.25">
      <c r="A400" t="s">
        <v>45</v>
      </c>
      <c r="D400">
        <f t="shared" ref="D400:W400" si="173">D4*D184</f>
        <v>130.18775510204082</v>
      </c>
      <c r="E400">
        <f t="shared" si="173"/>
        <v>96.61734693877554</v>
      </c>
      <c r="F400">
        <f t="shared" si="173"/>
        <v>88.263265306122435</v>
      </c>
      <c r="G400">
        <f t="shared" si="173"/>
        <v>106.00408163265305</v>
      </c>
      <c r="H400">
        <f t="shared" si="173"/>
        <v>118.47959183673468</v>
      </c>
      <c r="I400">
        <f t="shared" si="173"/>
        <v>88.302857142857135</v>
      </c>
      <c r="J400">
        <f t="shared" si="173"/>
        <v>62.957142857142856</v>
      </c>
      <c r="K400">
        <f t="shared" si="173"/>
        <v>84.395918367346937</v>
      </c>
      <c r="L400">
        <f t="shared" si="173"/>
        <v>90.549062499999977</v>
      </c>
      <c r="M400">
        <f t="shared" si="173"/>
        <v>71.517346938775503</v>
      </c>
      <c r="N400">
        <f t="shared" si="173"/>
        <v>88.125714285714295</v>
      </c>
      <c r="O400">
        <f t="shared" si="173"/>
        <v>93.760816326530602</v>
      </c>
      <c r="P400">
        <f t="shared" si="173"/>
        <v>71.032244897959188</v>
      </c>
      <c r="Q400">
        <f t="shared" si="173"/>
        <v>82.579591836734693</v>
      </c>
      <c r="R400">
        <f t="shared" si="173"/>
        <v>107.27020408163264</v>
      </c>
      <c r="S400">
        <f t="shared" si="173"/>
        <v>89.691428571428574</v>
      </c>
      <c r="T400">
        <f t="shared" si="173"/>
        <v>96.17142857142855</v>
      </c>
      <c r="U400">
        <f t="shared" si="173"/>
        <v>102.1481632653061</v>
      </c>
      <c r="V400">
        <f t="shared" si="173"/>
        <v>133.34285714285713</v>
      </c>
      <c r="W400">
        <f t="shared" si="173"/>
        <v>150.64285714285714</v>
      </c>
      <c r="Y400" s="17">
        <f t="shared" si="170"/>
        <v>1952.0396747448976</v>
      </c>
      <c r="Z400">
        <f t="shared" si="171"/>
        <v>-132.24923525527043</v>
      </c>
    </row>
    <row r="401" spans="1:26" x14ac:dyDescent="0.25">
      <c r="A401" t="s">
        <v>46</v>
      </c>
      <c r="D401">
        <f t="shared" ref="D401:W401" si="174">D5*D185</f>
        <v>124.78775510204083</v>
      </c>
      <c r="E401">
        <f t="shared" si="174"/>
        <v>116.40408163265307</v>
      </c>
      <c r="F401">
        <f t="shared" si="174"/>
        <v>97.442857142857136</v>
      </c>
      <c r="G401">
        <f t="shared" si="174"/>
        <v>107.52489795918366</v>
      </c>
      <c r="H401">
        <f t="shared" si="174"/>
        <v>78.425510204081633</v>
      </c>
      <c r="I401">
        <f t="shared" si="174"/>
        <v>77.282448979591834</v>
      </c>
      <c r="J401">
        <f t="shared" si="174"/>
        <v>70.19714285714285</v>
      </c>
      <c r="K401">
        <f t="shared" si="174"/>
        <v>83.943673469387761</v>
      </c>
      <c r="L401">
        <f t="shared" si="174"/>
        <v>76.348593750000006</v>
      </c>
      <c r="M401">
        <f t="shared" si="174"/>
        <v>82.913469387755114</v>
      </c>
      <c r="N401">
        <f t="shared" si="174"/>
        <v>63.080816326530609</v>
      </c>
      <c r="O401">
        <f t="shared" si="174"/>
        <v>73.753673469387735</v>
      </c>
      <c r="P401">
        <f t="shared" si="174"/>
        <v>69.76408163265306</v>
      </c>
      <c r="Q401">
        <f t="shared" si="174"/>
        <v>88.56</v>
      </c>
      <c r="R401">
        <f t="shared" si="174"/>
        <v>88.857551020408167</v>
      </c>
      <c r="S401">
        <f t="shared" si="174"/>
        <v>108.75489795918367</v>
      </c>
      <c r="T401">
        <f t="shared" si="174"/>
        <v>79.242040816326536</v>
      </c>
      <c r="U401">
        <f t="shared" si="174"/>
        <v>93.548571428571449</v>
      </c>
      <c r="V401">
        <f t="shared" si="174"/>
        <v>87.19612244897958</v>
      </c>
      <c r="W401">
        <f t="shared" si="174"/>
        <v>122.57142857142856</v>
      </c>
      <c r="Y401" s="17">
        <f t="shared" si="170"/>
        <v>1790.5996141581631</v>
      </c>
      <c r="Z401">
        <f t="shared" si="171"/>
        <v>-105.63700404484898</v>
      </c>
    </row>
    <row r="402" spans="1:26" x14ac:dyDescent="0.25">
      <c r="A402" t="s">
        <v>47</v>
      </c>
      <c r="D402">
        <f t="shared" ref="D402:W402" si="175">D6*D186</f>
        <v>127.33061224489798</v>
      </c>
      <c r="E402">
        <f t="shared" si="175"/>
        <v>100.3665306122449</v>
      </c>
      <c r="F402">
        <f t="shared" si="175"/>
        <v>111.12408163265303</v>
      </c>
      <c r="G402">
        <f t="shared" si="175"/>
        <v>119.48571428571429</v>
      </c>
      <c r="H402">
        <f t="shared" si="175"/>
        <v>96.437959183673485</v>
      </c>
      <c r="I402">
        <f t="shared" si="175"/>
        <v>84.963673469387757</v>
      </c>
      <c r="J402">
        <f t="shared" si="175"/>
        <v>86.750816326530639</v>
      </c>
      <c r="K402">
        <f t="shared" si="175"/>
        <v>71.537142857142868</v>
      </c>
      <c r="L402">
        <f t="shared" si="175"/>
        <v>64.139843749999997</v>
      </c>
      <c r="M402">
        <f t="shared" si="175"/>
        <v>82.333877551020379</v>
      </c>
      <c r="N402">
        <f t="shared" si="175"/>
        <v>90.633673469387759</v>
      </c>
      <c r="O402">
        <f t="shared" si="175"/>
        <v>86.200408163265323</v>
      </c>
      <c r="P402">
        <f t="shared" si="175"/>
        <v>95.216326530612236</v>
      </c>
      <c r="Q402">
        <f t="shared" si="175"/>
        <v>69.873469387755108</v>
      </c>
      <c r="R402">
        <f t="shared" si="175"/>
        <v>82.779795918367356</v>
      </c>
      <c r="S402">
        <f t="shared" si="175"/>
        <v>92.136734693877528</v>
      </c>
      <c r="T402">
        <f t="shared" si="175"/>
        <v>103.51285714285713</v>
      </c>
      <c r="U402">
        <f t="shared" si="175"/>
        <v>89.162448979591844</v>
      </c>
      <c r="V402">
        <f t="shared" si="175"/>
        <v>77.532244897959202</v>
      </c>
      <c r="W402">
        <f t="shared" si="175"/>
        <v>110.39877551020408</v>
      </c>
      <c r="Y402" s="17">
        <f t="shared" si="170"/>
        <v>1841.9169866071427</v>
      </c>
      <c r="Z402">
        <f t="shared" si="171"/>
        <v>-123.35196205006507</v>
      </c>
    </row>
    <row r="403" spans="1:26" x14ac:dyDescent="0.25">
      <c r="A403" t="s">
        <v>48</v>
      </c>
      <c r="D403">
        <f t="shared" ref="D403:W403" si="176">D7*D187</f>
        <v>151.12653061224486</v>
      </c>
      <c r="E403">
        <f t="shared" si="176"/>
        <v>119.15102040816328</v>
      </c>
      <c r="F403">
        <f t="shared" si="176"/>
        <v>118.07142857142858</v>
      </c>
      <c r="G403">
        <f t="shared" si="176"/>
        <v>124.91224489795918</v>
      </c>
      <c r="H403">
        <f t="shared" si="176"/>
        <v>98.540816326530631</v>
      </c>
      <c r="I403">
        <f t="shared" si="176"/>
        <v>99.314285714285688</v>
      </c>
      <c r="J403">
        <f t="shared" si="176"/>
        <v>102.50632653061226</v>
      </c>
      <c r="K403">
        <f t="shared" si="176"/>
        <v>90.614693877551019</v>
      </c>
      <c r="L403">
        <f t="shared" si="176"/>
        <v>88.564531249999987</v>
      </c>
      <c r="M403">
        <f t="shared" si="176"/>
        <v>59.848979591836731</v>
      </c>
      <c r="N403">
        <f t="shared" si="176"/>
        <v>78.844897959183683</v>
      </c>
      <c r="O403">
        <f t="shared" si="176"/>
        <v>63.912244897959177</v>
      </c>
      <c r="P403">
        <f t="shared" si="176"/>
        <v>96.492857142857133</v>
      </c>
      <c r="Q403">
        <f t="shared" si="176"/>
        <v>93.52918367346939</v>
      </c>
      <c r="R403">
        <f t="shared" si="176"/>
        <v>95.686530612244937</v>
      </c>
      <c r="S403">
        <f t="shared" si="176"/>
        <v>74.855510204081611</v>
      </c>
      <c r="T403">
        <f t="shared" si="176"/>
        <v>97.089591836734698</v>
      </c>
      <c r="U403">
        <f t="shared" si="176"/>
        <v>108.29734693877553</v>
      </c>
      <c r="V403">
        <f t="shared" si="176"/>
        <v>101.53469387755104</v>
      </c>
      <c r="W403">
        <f t="shared" si="176"/>
        <v>109.3355102040816</v>
      </c>
      <c r="Y403" s="17">
        <f t="shared" si="170"/>
        <v>1972.2292251275512</v>
      </c>
      <c r="Z403">
        <f t="shared" si="171"/>
        <v>-120.57043132668097</v>
      </c>
    </row>
    <row r="404" spans="1:26" x14ac:dyDescent="0.25">
      <c r="A404" t="s">
        <v>49</v>
      </c>
      <c r="D404">
        <f t="shared" ref="D404:W404" si="177">D8*D188</f>
        <v>98.004897959183694</v>
      </c>
      <c r="E404">
        <f t="shared" si="177"/>
        <v>110.89142857142855</v>
      </c>
      <c r="F404">
        <f t="shared" si="177"/>
        <v>105.60000000000001</v>
      </c>
      <c r="G404">
        <f t="shared" si="177"/>
        <v>107.96571428571428</v>
      </c>
      <c r="H404">
        <f t="shared" si="177"/>
        <v>83.850612244897945</v>
      </c>
      <c r="I404">
        <f t="shared" si="177"/>
        <v>84.113265306122443</v>
      </c>
      <c r="J404">
        <f t="shared" si="177"/>
        <v>84.016326530612247</v>
      </c>
      <c r="K404">
        <f t="shared" si="177"/>
        <v>80.099591836734703</v>
      </c>
      <c r="L404">
        <f t="shared" si="177"/>
        <v>63.737343749999994</v>
      </c>
      <c r="M404">
        <f t="shared" si="177"/>
        <v>58.522448979591829</v>
      </c>
      <c r="N404">
        <f t="shared" si="177"/>
        <v>69.262040816326532</v>
      </c>
      <c r="O404">
        <f t="shared" si="177"/>
        <v>69.767755102040809</v>
      </c>
      <c r="P404">
        <f t="shared" si="177"/>
        <v>88.432653061224499</v>
      </c>
      <c r="Q404">
        <f t="shared" si="177"/>
        <v>90.71142857142857</v>
      </c>
      <c r="R404">
        <f t="shared" si="177"/>
        <v>93.214489795918368</v>
      </c>
      <c r="S404">
        <f t="shared" si="177"/>
        <v>74.23163265306124</v>
      </c>
      <c r="T404">
        <f t="shared" si="177"/>
        <v>78.376938775510226</v>
      </c>
      <c r="U404">
        <f t="shared" si="177"/>
        <v>91.464081632653034</v>
      </c>
      <c r="V404">
        <f t="shared" si="177"/>
        <v>107.44897959183673</v>
      </c>
      <c r="W404">
        <f t="shared" si="177"/>
        <v>92.262857142857143</v>
      </c>
      <c r="Y404" s="17">
        <f t="shared" si="170"/>
        <v>1731.9744866071428</v>
      </c>
      <c r="Z404">
        <f t="shared" si="171"/>
        <v>-114.52332961682285</v>
      </c>
    </row>
    <row r="405" spans="1:26" x14ac:dyDescent="0.25">
      <c r="A405" t="s">
        <v>50</v>
      </c>
      <c r="D405">
        <f t="shared" ref="D405:W405" si="178">D9*D189</f>
        <v>115.46938775510203</v>
      </c>
      <c r="E405">
        <f t="shared" si="178"/>
        <v>100.28591836734694</v>
      </c>
      <c r="F405">
        <f t="shared" si="178"/>
        <v>109.39632653061223</v>
      </c>
      <c r="G405">
        <f t="shared" si="178"/>
        <v>126.77734693877549</v>
      </c>
      <c r="H405">
        <f t="shared" si="178"/>
        <v>95.759999999999991</v>
      </c>
      <c r="I405">
        <f t="shared" si="178"/>
        <v>90.587755102040816</v>
      </c>
      <c r="J405">
        <f t="shared" si="178"/>
        <v>79.286734693877563</v>
      </c>
      <c r="K405">
        <f t="shared" si="178"/>
        <v>83.271836734693863</v>
      </c>
      <c r="L405">
        <f t="shared" si="178"/>
        <v>77.625</v>
      </c>
      <c r="M405">
        <f t="shared" si="178"/>
        <v>103.46938775510205</v>
      </c>
      <c r="N405">
        <f t="shared" si="178"/>
        <v>84.916530612244898</v>
      </c>
      <c r="O405">
        <f t="shared" si="178"/>
        <v>91.71183673469389</v>
      </c>
      <c r="P405">
        <f t="shared" si="178"/>
        <v>74.997551020408153</v>
      </c>
      <c r="Q405">
        <f t="shared" si="178"/>
        <v>79.314285714285703</v>
      </c>
      <c r="R405">
        <f t="shared" si="178"/>
        <v>81.636734693877543</v>
      </c>
      <c r="S405">
        <f t="shared" si="178"/>
        <v>96.555306122448997</v>
      </c>
      <c r="T405">
        <f t="shared" si="178"/>
        <v>77.311836734693884</v>
      </c>
      <c r="U405">
        <f t="shared" si="178"/>
        <v>104.32163265306123</v>
      </c>
      <c r="V405">
        <f t="shared" si="178"/>
        <v>105.02530612244894</v>
      </c>
      <c r="W405">
        <f t="shared" si="178"/>
        <v>125.6281632653061</v>
      </c>
      <c r="Y405" s="17">
        <f t="shared" si="170"/>
        <v>1903.34887755102</v>
      </c>
      <c r="Z405">
        <f t="shared" si="171"/>
        <v>-119.60410383335427</v>
      </c>
    </row>
    <row r="406" spans="1:26" x14ac:dyDescent="0.25">
      <c r="A406" t="s">
        <v>51</v>
      </c>
      <c r="D406">
        <f t="shared" ref="D406:W406" si="179">D10*D190</f>
        <v>121.4061224489796</v>
      </c>
      <c r="E406">
        <f t="shared" si="179"/>
        <v>129.26734693877549</v>
      </c>
      <c r="F406">
        <f t="shared" si="179"/>
        <v>145.09897959183672</v>
      </c>
      <c r="G406">
        <f t="shared" si="179"/>
        <v>115.15122448979591</v>
      </c>
      <c r="H406">
        <f t="shared" si="179"/>
        <v>90.271428571428558</v>
      </c>
      <c r="I406">
        <f t="shared" si="179"/>
        <v>109.28571428571431</v>
      </c>
      <c r="J406">
        <f t="shared" si="179"/>
        <v>84.237551020408162</v>
      </c>
      <c r="K406">
        <f t="shared" si="179"/>
        <v>71.740408163265286</v>
      </c>
      <c r="L406">
        <f t="shared" si="179"/>
        <v>73.685156250000006</v>
      </c>
      <c r="M406">
        <f t="shared" si="179"/>
        <v>93.079999999999984</v>
      </c>
      <c r="N406">
        <f t="shared" si="179"/>
        <v>98.742857142857162</v>
      </c>
      <c r="O406">
        <f t="shared" si="179"/>
        <v>77.903877551020415</v>
      </c>
      <c r="P406">
        <f t="shared" si="179"/>
        <v>125.35714285714285</v>
      </c>
      <c r="Q406">
        <f t="shared" si="179"/>
        <v>72.124081632653045</v>
      </c>
      <c r="R406">
        <f t="shared" si="179"/>
        <v>84.576530612244895</v>
      </c>
      <c r="S406">
        <f t="shared" si="179"/>
        <v>90.195102040816323</v>
      </c>
      <c r="T406">
        <f t="shared" si="179"/>
        <v>84.307959183673475</v>
      </c>
      <c r="U406">
        <f t="shared" si="179"/>
        <v>91.248979591836729</v>
      </c>
      <c r="V406">
        <f t="shared" si="179"/>
        <v>93.123265306122434</v>
      </c>
      <c r="W406">
        <f t="shared" si="179"/>
        <v>123.42857142857144</v>
      </c>
      <c r="Y406" s="17">
        <f t="shared" si="170"/>
        <v>1974.2322991071433</v>
      </c>
      <c r="Z406">
        <f t="shared" si="171"/>
        <v>-121.65985506770078</v>
      </c>
    </row>
    <row r="407" spans="1:26" x14ac:dyDescent="0.25">
      <c r="A407" t="s">
        <v>52</v>
      </c>
      <c r="D407">
        <f t="shared" ref="D407:W407" si="180">D11*D191</f>
        <v>115.84081632653061</v>
      </c>
      <c r="E407">
        <f t="shared" si="180"/>
        <v>100.57959183673469</v>
      </c>
      <c r="F407">
        <f t="shared" si="180"/>
        <v>125.54285714285713</v>
      </c>
      <c r="G407">
        <f t="shared" si="180"/>
        <v>84.237551020408162</v>
      </c>
      <c r="H407">
        <f t="shared" si="180"/>
        <v>98.191836734693879</v>
      </c>
      <c r="I407">
        <f t="shared" si="180"/>
        <v>106.33469387755103</v>
      </c>
      <c r="J407">
        <f t="shared" si="180"/>
        <v>70.123265306122448</v>
      </c>
      <c r="K407">
        <f t="shared" si="180"/>
        <v>72.497959183673473</v>
      </c>
      <c r="L407">
        <f t="shared" si="180"/>
        <v>80.046093749999997</v>
      </c>
      <c r="M407">
        <f t="shared" si="180"/>
        <v>77.39510204081634</v>
      </c>
      <c r="N407">
        <f t="shared" si="180"/>
        <v>65.263265306122463</v>
      </c>
      <c r="O407">
        <f t="shared" si="180"/>
        <v>79.798571428571421</v>
      </c>
      <c r="P407">
        <f t="shared" si="180"/>
        <v>79.887346938775494</v>
      </c>
      <c r="Q407">
        <f t="shared" si="180"/>
        <v>84.112857142857166</v>
      </c>
      <c r="R407">
        <f t="shared" si="180"/>
        <v>90.361632653061221</v>
      </c>
      <c r="S407">
        <f t="shared" si="180"/>
        <v>100.35918367346939</v>
      </c>
      <c r="T407">
        <f t="shared" si="180"/>
        <v>88.861224489795916</v>
      </c>
      <c r="U407">
        <f t="shared" si="180"/>
        <v>95.573877551020402</v>
      </c>
      <c r="V407">
        <f t="shared" si="180"/>
        <v>72.548571428571421</v>
      </c>
      <c r="W407">
        <f t="shared" si="180"/>
        <v>94.25</v>
      </c>
      <c r="Y407" s="17">
        <f t="shared" si="170"/>
        <v>1781.8062978316325</v>
      </c>
      <c r="Z407">
        <f t="shared" si="171"/>
        <v>-99.525698737086515</v>
      </c>
    </row>
    <row r="408" spans="1:26" x14ac:dyDescent="0.25">
      <c r="A408" t="s">
        <v>53</v>
      </c>
      <c r="D408">
        <f t="shared" ref="D408:W408" si="181">D12*D192</f>
        <v>122.15510204081632</v>
      </c>
      <c r="E408">
        <f t="shared" si="181"/>
        <v>111.99999999999999</v>
      </c>
      <c r="F408">
        <f t="shared" si="181"/>
        <v>109.37142857142855</v>
      </c>
      <c r="G408">
        <f t="shared" si="181"/>
        <v>102.12428571428573</v>
      </c>
      <c r="H408">
        <f t="shared" si="181"/>
        <v>100.21897959183676</v>
      </c>
      <c r="I408">
        <f t="shared" si="181"/>
        <v>76.271428571428572</v>
      </c>
      <c r="J408">
        <f t="shared" si="181"/>
        <v>99.8857142857143</v>
      </c>
      <c r="K408">
        <f t="shared" si="181"/>
        <v>98.502448979591847</v>
      </c>
      <c r="L408">
        <f t="shared" si="181"/>
        <v>92.761562499999997</v>
      </c>
      <c r="M408">
        <f t="shared" si="181"/>
        <v>96.539387755102041</v>
      </c>
      <c r="N408">
        <f t="shared" si="181"/>
        <v>93.664489795918371</v>
      </c>
      <c r="O408">
        <f t="shared" si="181"/>
        <v>70.501020408163271</v>
      </c>
      <c r="P408">
        <f t="shared" si="181"/>
        <v>93.121224489795921</v>
      </c>
      <c r="Q408">
        <f t="shared" si="181"/>
        <v>72.102857142857147</v>
      </c>
      <c r="R408">
        <f t="shared" si="181"/>
        <v>82.085714285714275</v>
      </c>
      <c r="S408">
        <f t="shared" si="181"/>
        <v>89.601428571428571</v>
      </c>
      <c r="T408">
        <f t="shared" si="181"/>
        <v>120.51</v>
      </c>
      <c r="U408">
        <f t="shared" si="181"/>
        <v>95.694081632653052</v>
      </c>
      <c r="V408">
        <f t="shared" si="181"/>
        <v>115.61265306122449</v>
      </c>
      <c r="W408">
        <f t="shared" si="181"/>
        <v>95.346734693877536</v>
      </c>
      <c r="Y408" s="17">
        <f t="shared" si="170"/>
        <v>1938.0705420918366</v>
      </c>
      <c r="Z408">
        <f t="shared" si="171"/>
        <v>-126.34556778469353</v>
      </c>
    </row>
    <row r="409" spans="1:26" x14ac:dyDescent="0.25">
      <c r="A409" t="s">
        <v>54</v>
      </c>
      <c r="D409">
        <f t="shared" ref="D409:W409" si="182">D13*D193</f>
        <v>136.50204081632651</v>
      </c>
      <c r="E409">
        <f t="shared" si="182"/>
        <v>112.71816326530613</v>
      </c>
      <c r="F409">
        <f t="shared" si="182"/>
        <v>109.45469387755099</v>
      </c>
      <c r="G409">
        <f t="shared" si="182"/>
        <v>96.157959183673441</v>
      </c>
      <c r="H409">
        <f t="shared" si="182"/>
        <v>104.19061224489795</v>
      </c>
      <c r="I409">
        <f t="shared" si="182"/>
        <v>93.604897959183674</v>
      </c>
      <c r="J409">
        <f t="shared" si="182"/>
        <v>67.971836734693866</v>
      </c>
      <c r="K409">
        <f t="shared" si="182"/>
        <v>70.136530612244897</v>
      </c>
      <c r="L409">
        <f t="shared" si="182"/>
        <v>82.923749999999998</v>
      </c>
      <c r="M409">
        <f t="shared" si="182"/>
        <v>73.599199999999996</v>
      </c>
      <c r="N409">
        <f t="shared" si="182"/>
        <v>64.911600000000007</v>
      </c>
      <c r="O409">
        <f t="shared" si="182"/>
        <v>69.638799999999989</v>
      </c>
      <c r="P409">
        <f t="shared" si="182"/>
        <v>76.009699999999995</v>
      </c>
      <c r="Q409">
        <f t="shared" si="182"/>
        <v>87.192099999999996</v>
      </c>
      <c r="R409">
        <f t="shared" si="182"/>
        <v>71.809200000000004</v>
      </c>
      <c r="S409">
        <f t="shared" si="182"/>
        <v>94.5</v>
      </c>
      <c r="T409">
        <f t="shared" si="182"/>
        <v>85.606399999999994</v>
      </c>
      <c r="U409">
        <f t="shared" si="182"/>
        <v>109.61340000000001</v>
      </c>
      <c r="V409">
        <f t="shared" si="182"/>
        <v>92.356800000000007</v>
      </c>
      <c r="W409">
        <f t="shared" si="182"/>
        <v>124.37849999999999</v>
      </c>
      <c r="Y409" s="17">
        <f t="shared" si="170"/>
        <v>1823.2761846938772</v>
      </c>
      <c r="Z409">
        <f t="shared" si="171"/>
        <v>-104.15413926312904</v>
      </c>
    </row>
    <row r="410" spans="1:26" x14ac:dyDescent="0.25">
      <c r="A410" t="s">
        <v>55</v>
      </c>
      <c r="D410">
        <f t="shared" ref="D410:W410" si="183">D14*D194</f>
        <v>166.54899999999998</v>
      </c>
      <c r="E410">
        <f t="shared" si="183"/>
        <v>164.26560000000001</v>
      </c>
      <c r="F410">
        <f t="shared" si="183"/>
        <v>134.84899999999999</v>
      </c>
      <c r="G410">
        <f t="shared" si="183"/>
        <v>133.6088</v>
      </c>
      <c r="H410">
        <f t="shared" si="183"/>
        <v>103.9526</v>
      </c>
      <c r="I410">
        <f t="shared" si="183"/>
        <v>110.82480000000001</v>
      </c>
      <c r="J410">
        <f t="shared" si="183"/>
        <v>96.280799999999999</v>
      </c>
      <c r="K410">
        <f t="shared" si="183"/>
        <v>93.864499999999992</v>
      </c>
      <c r="L410">
        <f t="shared" si="183"/>
        <v>76.138999999999996</v>
      </c>
      <c r="M410">
        <f t="shared" si="183"/>
        <v>81.991836734693891</v>
      </c>
      <c r="N410">
        <f t="shared" si="183"/>
        <v>92.01428571428572</v>
      </c>
      <c r="O410">
        <f t="shared" si="183"/>
        <v>73.177142857142869</v>
      </c>
      <c r="P410">
        <f t="shared" si="183"/>
        <v>68.654693877551011</v>
      </c>
      <c r="Q410">
        <f t="shared" si="183"/>
        <v>102.26020408163266</v>
      </c>
      <c r="R410">
        <f t="shared" si="183"/>
        <v>86.404897959183685</v>
      </c>
      <c r="S410">
        <f t="shared" si="183"/>
        <v>108.9404081632653</v>
      </c>
      <c r="T410">
        <f t="shared" si="183"/>
        <v>94.239795918367349</v>
      </c>
      <c r="U410">
        <f t="shared" si="183"/>
        <v>88.530612244897981</v>
      </c>
      <c r="V410">
        <f t="shared" si="183"/>
        <v>116.43673469387755</v>
      </c>
      <c r="W410">
        <f t="shared" si="183"/>
        <v>130.14857142857144</v>
      </c>
      <c r="Y410" s="17">
        <f t="shared" si="170"/>
        <v>2123.1332836734696</v>
      </c>
      <c r="Z410">
        <f t="shared" si="171"/>
        <v>-112.5875712345547</v>
      </c>
    </row>
    <row r="411" spans="1:26" x14ac:dyDescent="0.25">
      <c r="A411" t="s">
        <v>56</v>
      </c>
      <c r="D411">
        <f t="shared" ref="D411:W411" si="184">D15*D195</f>
        <v>147.66938775510204</v>
      </c>
      <c r="E411">
        <f t="shared" si="184"/>
        <v>135.30612244897961</v>
      </c>
      <c r="F411">
        <f t="shared" si="184"/>
        <v>125.97551020408162</v>
      </c>
      <c r="G411">
        <f t="shared" si="184"/>
        <v>111.94285714285712</v>
      </c>
      <c r="H411">
        <f t="shared" si="184"/>
        <v>98.407755102040824</v>
      </c>
      <c r="I411">
        <f t="shared" si="184"/>
        <v>93.231020408163261</v>
      </c>
      <c r="J411">
        <f t="shared" si="184"/>
        <v>63.599999999999994</v>
      </c>
      <c r="K411">
        <f t="shared" si="184"/>
        <v>88.484693877551024</v>
      </c>
      <c r="L411">
        <f t="shared" si="184"/>
        <v>84.825000000000017</v>
      </c>
      <c r="M411">
        <f t="shared" si="184"/>
        <v>79.804081632653052</v>
      </c>
      <c r="N411">
        <f t="shared" si="184"/>
        <v>75.410204081632642</v>
      </c>
      <c r="O411">
        <f t="shared" si="184"/>
        <v>90.792857142857159</v>
      </c>
      <c r="P411">
        <f t="shared" si="184"/>
        <v>95.725714285714304</v>
      </c>
      <c r="Q411">
        <f t="shared" si="184"/>
        <v>75.423673469387751</v>
      </c>
      <c r="R411">
        <f t="shared" si="184"/>
        <v>106.11632653061224</v>
      </c>
      <c r="S411">
        <f t="shared" si="184"/>
        <v>120.52040816326532</v>
      </c>
      <c r="T411">
        <f t="shared" si="184"/>
        <v>114.9591836734694</v>
      </c>
      <c r="U411">
        <f t="shared" si="184"/>
        <v>113.41469387755103</v>
      </c>
      <c r="V411">
        <f t="shared" si="184"/>
        <v>120.55714285714285</v>
      </c>
      <c r="W411">
        <f t="shared" si="184"/>
        <v>108.30734693877548</v>
      </c>
      <c r="Y411" s="17">
        <f t="shared" si="170"/>
        <v>2050.4739795918367</v>
      </c>
      <c r="Z411">
        <f t="shared" si="171"/>
        <v>-118.1248835360031</v>
      </c>
    </row>
    <row r="412" spans="1:26" x14ac:dyDescent="0.25">
      <c r="A412" t="s">
        <v>57</v>
      </c>
      <c r="D412">
        <f t="shared" ref="D412:W412" si="185">D16*D196</f>
        <v>137.95918367346943</v>
      </c>
      <c r="E412">
        <f t="shared" si="185"/>
        <v>128.68163265306123</v>
      </c>
      <c r="F412">
        <f t="shared" si="185"/>
        <v>113.79591836734693</v>
      </c>
      <c r="G412">
        <f t="shared" si="185"/>
        <v>87.500612244897951</v>
      </c>
      <c r="H412">
        <f t="shared" si="185"/>
        <v>76.583265306122442</v>
      </c>
      <c r="I412">
        <f t="shared" si="185"/>
        <v>86.473469387755117</v>
      </c>
      <c r="J412">
        <f t="shared" si="185"/>
        <v>75.187755102040839</v>
      </c>
      <c r="K412">
        <f t="shared" si="185"/>
        <v>71.412244897959198</v>
      </c>
      <c r="L412">
        <f t="shared" si="185"/>
        <v>75.036406250000013</v>
      </c>
      <c r="M412">
        <f t="shared" si="185"/>
        <v>81.330612244897964</v>
      </c>
      <c r="N412">
        <f t="shared" si="185"/>
        <v>88.618775510204088</v>
      </c>
      <c r="O412">
        <f t="shared" si="185"/>
        <v>70.877755102040823</v>
      </c>
      <c r="P412">
        <f t="shared" si="185"/>
        <v>90.817142857142855</v>
      </c>
      <c r="Q412">
        <f t="shared" si="185"/>
        <v>95.019591836734705</v>
      </c>
      <c r="R412">
        <f t="shared" si="185"/>
        <v>80.052244897959184</v>
      </c>
      <c r="S412">
        <f t="shared" si="185"/>
        <v>65.04306122448979</v>
      </c>
      <c r="T412">
        <f t="shared" si="185"/>
        <v>75.412244897959184</v>
      </c>
      <c r="U412">
        <f t="shared" si="185"/>
        <v>92.326530612244909</v>
      </c>
      <c r="V412">
        <f t="shared" si="185"/>
        <v>86.362448979591832</v>
      </c>
      <c r="W412">
        <f t="shared" si="185"/>
        <v>129.82040816326531</v>
      </c>
      <c r="Y412" s="17">
        <f t="shared" si="170"/>
        <v>1808.3113042091836</v>
      </c>
      <c r="Z412">
        <f t="shared" si="171"/>
        <v>-101.92439295738221</v>
      </c>
    </row>
    <row r="413" spans="1:26" x14ac:dyDescent="0.25">
      <c r="A413" t="s">
        <v>58</v>
      </c>
      <c r="D413">
        <f t="shared" ref="D413:W413" si="186">D17*D197</f>
        <v>120.02448979591838</v>
      </c>
      <c r="E413">
        <f t="shared" si="186"/>
        <v>122.96530612244894</v>
      </c>
      <c r="F413">
        <f t="shared" si="186"/>
        <v>123.36734693877553</v>
      </c>
      <c r="G413">
        <f t="shared" si="186"/>
        <v>100.2</v>
      </c>
      <c r="H413">
        <f t="shared" si="186"/>
        <v>89.57224489795918</v>
      </c>
      <c r="I413">
        <f t="shared" si="186"/>
        <v>67.037142857142868</v>
      </c>
      <c r="J413">
        <f t="shared" si="186"/>
        <v>86.963265306122437</v>
      </c>
      <c r="K413">
        <f t="shared" si="186"/>
        <v>87.821836734693875</v>
      </c>
      <c r="L413">
        <f t="shared" si="186"/>
        <v>71.19</v>
      </c>
      <c r="M413">
        <f t="shared" si="186"/>
        <v>0</v>
      </c>
      <c r="N413">
        <f t="shared" si="186"/>
        <v>72.989795918367363</v>
      </c>
      <c r="O413">
        <f t="shared" si="186"/>
        <v>64.209795918367334</v>
      </c>
      <c r="P413">
        <f t="shared" si="186"/>
        <v>80.529795918367341</v>
      </c>
      <c r="Q413">
        <f t="shared" si="186"/>
        <v>64.060408163265294</v>
      </c>
      <c r="R413">
        <f t="shared" si="186"/>
        <v>57.550204081632664</v>
      </c>
      <c r="S413">
        <f t="shared" si="186"/>
        <v>75.48</v>
      </c>
      <c r="T413">
        <f t="shared" si="186"/>
        <v>79.320000000000022</v>
      </c>
      <c r="U413">
        <f t="shared" si="186"/>
        <v>104.45510204081631</v>
      </c>
      <c r="V413">
        <f t="shared" si="186"/>
        <v>71.197346938775482</v>
      </c>
      <c r="W413">
        <f t="shared" si="186"/>
        <v>93.928979591836736</v>
      </c>
      <c r="Y413" s="17">
        <f t="shared" si="170"/>
        <v>1632.8630612244899</v>
      </c>
      <c r="Z413">
        <f t="shared" si="171"/>
        <v>-107.18647096122238</v>
      </c>
    </row>
    <row r="414" spans="1:26" x14ac:dyDescent="0.25">
      <c r="A414" t="s">
        <v>59</v>
      </c>
      <c r="D414">
        <f t="shared" ref="D414:W414" si="187">D18*D198</f>
        <v>135.96734693877551</v>
      </c>
      <c r="E414">
        <f t="shared" si="187"/>
        <v>142.63673469387757</v>
      </c>
      <c r="F414">
        <f t="shared" si="187"/>
        <v>111.12408163265306</v>
      </c>
      <c r="G414">
        <f t="shared" si="187"/>
        <v>88.608367346938749</v>
      </c>
      <c r="H414">
        <f t="shared" si="187"/>
        <v>99.406122448979588</v>
      </c>
      <c r="I414">
        <f t="shared" si="187"/>
        <v>73.289795918367346</v>
      </c>
      <c r="J414">
        <f t="shared" si="187"/>
        <v>92.563265306122446</v>
      </c>
      <c r="K414">
        <f t="shared" si="187"/>
        <v>90.976122448979609</v>
      </c>
      <c r="L414">
        <f t="shared" si="187"/>
        <v>84.512448979591852</v>
      </c>
      <c r="M414">
        <f t="shared" si="187"/>
        <v>65.299591836734692</v>
      </c>
      <c r="N414">
        <f t="shared" si="187"/>
        <v>80.892040816326528</v>
      </c>
      <c r="O414">
        <f t="shared" si="187"/>
        <v>79.196938775510205</v>
      </c>
      <c r="P414">
        <f t="shared" si="187"/>
        <v>76.077551020408151</v>
      </c>
      <c r="Q414">
        <f t="shared" si="187"/>
        <v>60.377346938775517</v>
      </c>
      <c r="R414">
        <f t="shared" si="187"/>
        <v>70.992653061224487</v>
      </c>
      <c r="S414">
        <f t="shared" si="187"/>
        <v>98.712244897959195</v>
      </c>
      <c r="T414">
        <f t="shared" si="187"/>
        <v>122.05714285714288</v>
      </c>
      <c r="U414">
        <f t="shared" si="187"/>
        <v>97.011020408163276</v>
      </c>
      <c r="V414">
        <f t="shared" si="187"/>
        <v>106.56000000000002</v>
      </c>
      <c r="W414">
        <f t="shared" si="187"/>
        <v>67.195102040816323</v>
      </c>
      <c r="Y414" s="17">
        <f t="shared" si="170"/>
        <v>1843.4559183673468</v>
      </c>
      <c r="Z414">
        <f t="shared" si="171"/>
        <v>-109.47815057355905</v>
      </c>
    </row>
    <row r="415" spans="1:26" x14ac:dyDescent="0.25">
      <c r="A415" t="s">
        <v>60</v>
      </c>
      <c r="D415">
        <f t="shared" ref="D415:W415" si="188">D19*D199</f>
        <v>131.04897959183674</v>
      </c>
      <c r="E415">
        <f t="shared" si="188"/>
        <v>98.010204081632651</v>
      </c>
      <c r="F415">
        <f t="shared" si="188"/>
        <v>105.83265306122448</v>
      </c>
      <c r="G415">
        <f t="shared" si="188"/>
        <v>113.23469387755098</v>
      </c>
      <c r="H415">
        <f t="shared" si="188"/>
        <v>83.460000000000008</v>
      </c>
      <c r="I415">
        <f t="shared" si="188"/>
        <v>82.021836734693878</v>
      </c>
      <c r="J415">
        <f t="shared" si="188"/>
        <v>91.438367346938747</v>
      </c>
      <c r="K415">
        <f t="shared" si="188"/>
        <v>102.83265306122449</v>
      </c>
      <c r="L415">
        <f t="shared" si="188"/>
        <v>84.149999999999977</v>
      </c>
      <c r="M415">
        <f t="shared" si="188"/>
        <v>72.970408163265304</v>
      </c>
      <c r="N415">
        <f t="shared" si="188"/>
        <v>63.062857142857133</v>
      </c>
      <c r="O415">
        <f t="shared" si="188"/>
        <v>59.13387755102039</v>
      </c>
      <c r="P415">
        <f t="shared" si="188"/>
        <v>89.697959183673461</v>
      </c>
      <c r="Q415">
        <f t="shared" si="188"/>
        <v>100.2416326530612</v>
      </c>
      <c r="R415">
        <f t="shared" si="188"/>
        <v>92.414081632653065</v>
      </c>
      <c r="S415">
        <f t="shared" si="188"/>
        <v>90.323265306122437</v>
      </c>
      <c r="T415">
        <f t="shared" si="188"/>
        <v>121.45040816326532</v>
      </c>
      <c r="U415">
        <f t="shared" si="188"/>
        <v>122.3173469387755</v>
      </c>
      <c r="V415">
        <f t="shared" si="188"/>
        <v>65.371428571428581</v>
      </c>
      <c r="W415">
        <f t="shared" si="188"/>
        <v>86.794693877551026</v>
      </c>
      <c r="Y415" s="17">
        <f t="shared" si="170"/>
        <v>1855.8073469387755</v>
      </c>
      <c r="Z415">
        <f t="shared" si="171"/>
        <v>-109.60838031938361</v>
      </c>
    </row>
    <row r="416" spans="1:26" x14ac:dyDescent="0.25">
      <c r="A416" t="s">
        <v>61</v>
      </c>
      <c r="D416">
        <f t="shared" ref="D416:W416" si="189">D20*D200</f>
        <v>145.88163265306122</v>
      </c>
      <c r="E416">
        <f t="shared" si="189"/>
        <v>150.18367346938777</v>
      </c>
      <c r="F416">
        <f t="shared" si="189"/>
        <v>125.45510204081636</v>
      </c>
      <c r="G416">
        <f t="shared" si="189"/>
        <v>115.74489795918367</v>
      </c>
      <c r="H416">
        <f t="shared" si="189"/>
        <v>120.12244897959182</v>
      </c>
      <c r="I416">
        <f t="shared" si="189"/>
        <v>106.9387755102041</v>
      </c>
      <c r="J416">
        <f t="shared" si="189"/>
        <v>98.184489795918367</v>
      </c>
      <c r="K416">
        <f t="shared" si="189"/>
        <v>83.85</v>
      </c>
      <c r="L416">
        <f t="shared" si="189"/>
        <v>75.770312500000003</v>
      </c>
      <c r="M416">
        <f t="shared" si="189"/>
        <v>68.330857142857155</v>
      </c>
      <c r="N416">
        <f t="shared" si="189"/>
        <v>89.061142857142869</v>
      </c>
      <c r="O416">
        <f t="shared" si="189"/>
        <v>74.881714285714281</v>
      </c>
      <c r="P416">
        <f t="shared" si="189"/>
        <v>73.631999999999991</v>
      </c>
      <c r="Q416">
        <f t="shared" si="189"/>
        <v>87.686285714285717</v>
      </c>
      <c r="R416">
        <f t="shared" si="189"/>
        <v>74.2457142857143</v>
      </c>
      <c r="S416">
        <f t="shared" si="189"/>
        <v>94.904999999999987</v>
      </c>
      <c r="T416">
        <f t="shared" si="189"/>
        <v>247.91510204081632</v>
      </c>
      <c r="U416">
        <f t="shared" si="189"/>
        <v>272.79673469387757</v>
      </c>
      <c r="V416">
        <f t="shared" si="189"/>
        <v>254.92999999999998</v>
      </c>
      <c r="W416">
        <f t="shared" si="189"/>
        <v>304.89795918367349</v>
      </c>
      <c r="Y416" s="17">
        <f t="shared" si="170"/>
        <v>2665.4138431122446</v>
      </c>
      <c r="Z416">
        <f t="shared" si="171"/>
        <v>-155.07768953793877</v>
      </c>
    </row>
    <row r="417" spans="1:26" x14ac:dyDescent="0.25">
      <c r="A417" t="s">
        <v>62</v>
      </c>
      <c r="D417">
        <f t="shared" ref="D417:W417" si="190">D21*D201</f>
        <v>127.14285714285715</v>
      </c>
      <c r="E417">
        <f t="shared" si="190"/>
        <v>123.7469387755102</v>
      </c>
      <c r="F417">
        <f t="shared" si="190"/>
        <v>106.7673469387755</v>
      </c>
      <c r="G417">
        <f t="shared" si="190"/>
        <v>97.51857142857142</v>
      </c>
      <c r="H417">
        <f t="shared" si="190"/>
        <v>76.236734693877551</v>
      </c>
      <c r="I417">
        <f t="shared" si="190"/>
        <v>86.342448979591836</v>
      </c>
      <c r="J417">
        <f t="shared" si="190"/>
        <v>73.630612244897961</v>
      </c>
      <c r="K417">
        <f t="shared" si="190"/>
        <v>69.318367346938771</v>
      </c>
      <c r="L417">
        <f t="shared" si="190"/>
        <v>63.194218750000012</v>
      </c>
      <c r="M417">
        <f t="shared" si="190"/>
        <v>58.558163265306128</v>
      </c>
      <c r="N417">
        <f t="shared" si="190"/>
        <v>78.445714285714288</v>
      </c>
      <c r="O417">
        <f t="shared" si="190"/>
        <v>67.1869387755102</v>
      </c>
      <c r="P417">
        <f t="shared" si="190"/>
        <v>57.469387755102041</v>
      </c>
      <c r="Q417">
        <f t="shared" si="190"/>
        <v>66.639591836734695</v>
      </c>
      <c r="R417">
        <f t="shared" si="190"/>
        <v>12.667959183673471</v>
      </c>
      <c r="S417">
        <f t="shared" si="190"/>
        <v>10.239183673469388</v>
      </c>
      <c r="T417">
        <f t="shared" si="190"/>
        <v>59.782040816326528</v>
      </c>
      <c r="U417">
        <f t="shared" si="190"/>
        <v>92.347859693877538</v>
      </c>
      <c r="V417">
        <f t="shared" si="190"/>
        <v>91.686214285714286</v>
      </c>
      <c r="W417">
        <f t="shared" si="190"/>
        <v>127.28558673469388</v>
      </c>
      <c r="Y417" s="17">
        <f t="shared" si="170"/>
        <v>1546.2067366071428</v>
      </c>
      <c r="Z417">
        <f t="shared" si="171"/>
        <v>-79.417423529822699</v>
      </c>
    </row>
    <row r="418" spans="1:26" x14ac:dyDescent="0.25">
      <c r="A418" t="s">
        <v>63</v>
      </c>
      <c r="D418">
        <f t="shared" ref="D418:W418" si="191">D22*D202</f>
        <v>135.50249744897957</v>
      </c>
      <c r="E418">
        <f t="shared" si="191"/>
        <v>13.375102040816328</v>
      </c>
      <c r="F418">
        <f t="shared" si="191"/>
        <v>123.7615306122449</v>
      </c>
      <c r="G418">
        <f t="shared" si="191"/>
        <v>118.27783163265306</v>
      </c>
      <c r="H418">
        <f t="shared" si="191"/>
        <v>20.538775510204083</v>
      </c>
      <c r="I418">
        <f t="shared" si="191"/>
        <v>110.6061224489796</v>
      </c>
      <c r="J418">
        <f t="shared" si="191"/>
        <v>68.286122448979583</v>
      </c>
      <c r="K418">
        <f t="shared" si="191"/>
        <v>69.825306122448978</v>
      </c>
      <c r="L418">
        <f t="shared" si="191"/>
        <v>72.5</v>
      </c>
      <c r="M418">
        <f t="shared" si="191"/>
        <v>70.820173469387768</v>
      </c>
      <c r="N418">
        <f t="shared" si="191"/>
        <v>91.399071428571418</v>
      </c>
      <c r="O418">
        <f t="shared" si="191"/>
        <v>78.644428571428577</v>
      </c>
      <c r="P418">
        <f t="shared" si="191"/>
        <v>91.308318877551017</v>
      </c>
      <c r="Q418">
        <f t="shared" si="191"/>
        <v>82.183257653061233</v>
      </c>
      <c r="R418">
        <f t="shared" si="191"/>
        <v>86.953010204081636</v>
      </c>
      <c r="S418">
        <f t="shared" si="191"/>
        <v>97.700625000000031</v>
      </c>
      <c r="T418">
        <f t="shared" si="191"/>
        <v>98.617469387755136</v>
      </c>
      <c r="U418">
        <f t="shared" si="191"/>
        <v>93.821622448979596</v>
      </c>
      <c r="V418">
        <f t="shared" si="191"/>
        <v>89.794581632653063</v>
      </c>
      <c r="W418">
        <f t="shared" si="191"/>
        <v>117.9934948979592</v>
      </c>
      <c r="Y418" s="17">
        <f t="shared" si="170"/>
        <v>1731.9093418367345</v>
      </c>
      <c r="Z418">
        <f t="shared" si="171"/>
        <v>-83.473194197268356</v>
      </c>
    </row>
    <row r="419" spans="1:26" x14ac:dyDescent="0.25">
      <c r="A419" t="s">
        <v>64</v>
      </c>
      <c r="D419">
        <f t="shared" ref="D419:W419" si="192">D23*D203</f>
        <v>146.32622193877549</v>
      </c>
      <c r="E419">
        <f t="shared" si="192"/>
        <v>130.58150000000001</v>
      </c>
      <c r="F419">
        <f t="shared" si="192"/>
        <v>125.62499999999999</v>
      </c>
      <c r="G419">
        <f t="shared" si="192"/>
        <v>105.47141836734694</v>
      </c>
      <c r="H419">
        <f t="shared" si="192"/>
        <v>84.683581632653073</v>
      </c>
      <c r="I419">
        <f t="shared" si="192"/>
        <v>86.119785714285712</v>
      </c>
      <c r="J419">
        <f t="shared" si="192"/>
        <v>81.811285714285702</v>
      </c>
      <c r="K419">
        <f t="shared" si="192"/>
        <v>89.682091836734713</v>
      </c>
      <c r="L419">
        <f t="shared" si="192"/>
        <v>77.683007812499994</v>
      </c>
      <c r="M419">
        <f t="shared" si="192"/>
        <v>91.106938775510187</v>
      </c>
      <c r="N419">
        <f t="shared" si="192"/>
        <v>72.857959183673458</v>
      </c>
      <c r="O419">
        <f t="shared" si="192"/>
        <v>77.900816326530602</v>
      </c>
      <c r="P419">
        <f t="shared" si="192"/>
        <v>90.102857142857133</v>
      </c>
      <c r="Q419">
        <f t="shared" si="192"/>
        <v>94.545306122448991</v>
      </c>
      <c r="R419">
        <f t="shared" si="192"/>
        <v>115.21530612244896</v>
      </c>
      <c r="S419">
        <f t="shared" si="192"/>
        <v>112.46693877551022</v>
      </c>
      <c r="T419">
        <f t="shared" si="192"/>
        <v>114.73959183673469</v>
      </c>
      <c r="U419">
        <f t="shared" si="192"/>
        <v>114.8538775510204</v>
      </c>
      <c r="V419">
        <f t="shared" si="192"/>
        <v>106.5</v>
      </c>
      <c r="W419">
        <f t="shared" si="192"/>
        <v>122.89510204081631</v>
      </c>
      <c r="Y419" s="17">
        <f t="shared" si="170"/>
        <v>2041.1685868941322</v>
      </c>
      <c r="Z419">
        <f t="shared" si="171"/>
        <v>-116.6720574292282</v>
      </c>
    </row>
    <row r="420" spans="1:26" x14ac:dyDescent="0.25">
      <c r="A420" t="s">
        <v>65</v>
      </c>
      <c r="D420">
        <f t="shared" ref="D420:W420" si="193">D24*D204</f>
        <v>134.57877551020408</v>
      </c>
      <c r="E420">
        <f t="shared" si="193"/>
        <v>149.76734693877549</v>
      </c>
      <c r="F420">
        <f t="shared" si="193"/>
        <v>110.67346938775512</v>
      </c>
      <c r="G420">
        <f t="shared" si="193"/>
        <v>94.923061224489786</v>
      </c>
      <c r="H420">
        <f t="shared" si="193"/>
        <v>90.425510204081633</v>
      </c>
      <c r="I420">
        <f t="shared" si="193"/>
        <v>86.097959183673453</v>
      </c>
      <c r="J420">
        <f t="shared" si="193"/>
        <v>80.03428571428573</v>
      </c>
      <c r="K420">
        <f t="shared" si="193"/>
        <v>83.818367346938771</v>
      </c>
      <c r="L420">
        <f t="shared" si="193"/>
        <v>89.234687500000007</v>
      </c>
      <c r="M420">
        <f t="shared" si="193"/>
        <v>78.058367346938766</v>
      </c>
      <c r="N420">
        <f t="shared" si="193"/>
        <v>80.705306122448974</v>
      </c>
      <c r="O420">
        <f t="shared" si="193"/>
        <v>72.544897959183686</v>
      </c>
      <c r="P420">
        <f t="shared" si="193"/>
        <v>67.788367346938799</v>
      </c>
      <c r="Q420">
        <f t="shared" si="193"/>
        <v>77.031428571428549</v>
      </c>
      <c r="R420">
        <f t="shared" si="193"/>
        <v>60.926530612244882</v>
      </c>
      <c r="S420">
        <f t="shared" si="193"/>
        <v>74.890204081632632</v>
      </c>
      <c r="T420">
        <f t="shared" si="193"/>
        <v>96.806938775510218</v>
      </c>
      <c r="U420">
        <f t="shared" si="193"/>
        <v>82.62</v>
      </c>
      <c r="V420">
        <f t="shared" si="193"/>
        <v>106.71836734693876</v>
      </c>
      <c r="W420">
        <f t="shared" si="193"/>
        <v>82.167346938775495</v>
      </c>
      <c r="Y420" s="17">
        <f t="shared" si="170"/>
        <v>1799.8112181122447</v>
      </c>
      <c r="Z420">
        <f t="shared" si="171"/>
        <v>-93.635062356089577</v>
      </c>
    </row>
    <row r="421" spans="1:26" x14ac:dyDescent="0.25">
      <c r="A421" t="s">
        <v>66</v>
      </c>
      <c r="D421">
        <f t="shared" ref="D421:W421" si="194">D25*D205</f>
        <v>136.32653061224494</v>
      </c>
      <c r="E421">
        <f t="shared" si="194"/>
        <v>119.38000000000001</v>
      </c>
      <c r="F421">
        <f t="shared" si="194"/>
        <v>93.5</v>
      </c>
      <c r="G421">
        <f t="shared" si="194"/>
        <v>82.820408163265327</v>
      </c>
      <c r="H421">
        <f t="shared" si="194"/>
        <v>53.042857142857152</v>
      </c>
      <c r="I421">
        <f t="shared" si="194"/>
        <v>117.08081632653062</v>
      </c>
      <c r="J421">
        <f t="shared" si="194"/>
        <v>95.380408163265301</v>
      </c>
      <c r="K421">
        <f t="shared" si="194"/>
        <v>61.588775510204094</v>
      </c>
      <c r="L421">
        <f t="shared" si="194"/>
        <v>85.78625000000001</v>
      </c>
      <c r="M421">
        <f t="shared" si="194"/>
        <v>72.577551020408151</v>
      </c>
      <c r="N421">
        <f t="shared" si="194"/>
        <v>82.067142857142841</v>
      </c>
      <c r="O421">
        <f t="shared" si="194"/>
        <v>76.434489795918353</v>
      </c>
      <c r="P421">
        <f t="shared" si="194"/>
        <v>63.904285714285706</v>
      </c>
      <c r="Q421">
        <f t="shared" si="194"/>
        <v>85.775714285714287</v>
      </c>
      <c r="R421">
        <f t="shared" si="194"/>
        <v>96.315102040816342</v>
      </c>
      <c r="S421">
        <f t="shared" si="194"/>
        <v>101.1257142857143</v>
      </c>
      <c r="T421">
        <f t="shared" si="194"/>
        <v>90.35510204081632</v>
      </c>
      <c r="U421">
        <f t="shared" si="194"/>
        <v>122.78</v>
      </c>
      <c r="V421">
        <f t="shared" si="194"/>
        <v>106.1691836734694</v>
      </c>
      <c r="W421">
        <f t="shared" si="194"/>
        <v>98.314285714285717</v>
      </c>
      <c r="Y421" s="17">
        <f t="shared" si="170"/>
        <v>1840.7246173469387</v>
      </c>
      <c r="Z421">
        <f t="shared" si="171"/>
        <v>-82.952768481415049</v>
      </c>
    </row>
    <row r="422" spans="1:26" x14ac:dyDescent="0.25">
      <c r="A422" t="s">
        <v>67</v>
      </c>
      <c r="D422">
        <f t="shared" ref="D422:W422" si="195">D26*D206</f>
        <v>124.07061224489796</v>
      </c>
      <c r="E422">
        <f t="shared" si="195"/>
        <v>111.66938775510202</v>
      </c>
      <c r="F422">
        <f t="shared" si="195"/>
        <v>143.89673469387756</v>
      </c>
      <c r="G422">
        <f t="shared" si="195"/>
        <v>108.39020408163267</v>
      </c>
      <c r="H422">
        <f t="shared" si="195"/>
        <v>108.39020408163267</v>
      </c>
      <c r="I422">
        <f t="shared" si="195"/>
        <v>102.92653061224493</v>
      </c>
      <c r="J422">
        <f t="shared" si="195"/>
        <v>100.3738775510204</v>
      </c>
      <c r="K422">
        <f t="shared" si="195"/>
        <v>106.99999999999999</v>
      </c>
      <c r="L422">
        <f t="shared" si="195"/>
        <v>114.57142857142856</v>
      </c>
      <c r="M422">
        <f t="shared" si="195"/>
        <v>81.413265306122483</v>
      </c>
      <c r="N422">
        <f t="shared" si="195"/>
        <v>79.589387755102052</v>
      </c>
      <c r="O422">
        <f t="shared" si="195"/>
        <v>82.133469387755099</v>
      </c>
      <c r="P422">
        <f t="shared" si="195"/>
        <v>76.010000000000005</v>
      </c>
      <c r="Q422">
        <f t="shared" si="195"/>
        <v>88.878367346938759</v>
      </c>
      <c r="R422">
        <f t="shared" si="195"/>
        <v>88.74244897959187</v>
      </c>
      <c r="S422">
        <f t="shared" si="195"/>
        <v>84.543061224489804</v>
      </c>
      <c r="T422">
        <f t="shared" si="195"/>
        <v>89.179999999999993</v>
      </c>
      <c r="U422">
        <f t="shared" si="195"/>
        <v>115.57653061224489</v>
      </c>
      <c r="V422">
        <f t="shared" si="195"/>
        <v>103.37897959183672</v>
      </c>
      <c r="W422">
        <f t="shared" si="195"/>
        <v>120.8112244897959</v>
      </c>
      <c r="Y422" s="17">
        <f t="shared" si="170"/>
        <v>2031.5457142857144</v>
      </c>
      <c r="Z422">
        <f t="shared" si="171"/>
        <v>-118.88194645757778</v>
      </c>
    </row>
    <row r="423" spans="1:26" x14ac:dyDescent="0.25">
      <c r="A423" t="s">
        <v>68</v>
      </c>
      <c r="D423">
        <f t="shared" ref="D423:W423" si="196">D27*D207</f>
        <v>132.19918367346938</v>
      </c>
      <c r="E423">
        <f t="shared" si="196"/>
        <v>115.19020408163269</v>
      </c>
      <c r="F423">
        <f t="shared" si="196"/>
        <v>141.26448979591834</v>
      </c>
      <c r="G423">
        <f t="shared" si="196"/>
        <v>150.89142857142863</v>
      </c>
      <c r="H423">
        <f t="shared" si="196"/>
        <v>126.7181632653061</v>
      </c>
      <c r="I423">
        <f t="shared" si="196"/>
        <v>102.42918367346938</v>
      </c>
      <c r="J423">
        <f t="shared" si="196"/>
        <v>80.742857142857162</v>
      </c>
      <c r="K423">
        <f t="shared" si="196"/>
        <v>78.266530612244907</v>
      </c>
      <c r="L423">
        <f t="shared" si="196"/>
        <v>84.32703124999999</v>
      </c>
      <c r="M423">
        <f t="shared" si="196"/>
        <v>61.897959183673485</v>
      </c>
      <c r="N423">
        <f t="shared" si="196"/>
        <v>75.837551020408156</v>
      </c>
      <c r="O423">
        <f t="shared" si="196"/>
        <v>78.015714285714296</v>
      </c>
      <c r="P423">
        <f t="shared" si="196"/>
        <v>93.349387755102057</v>
      </c>
      <c r="Q423">
        <f t="shared" si="196"/>
        <v>95.617959183673449</v>
      </c>
      <c r="R423">
        <f t="shared" si="196"/>
        <v>110.71836734693879</v>
      </c>
      <c r="S423">
        <f t="shared" si="196"/>
        <v>115.32857142857145</v>
      </c>
      <c r="T423">
        <f t="shared" si="196"/>
        <v>103.51755102040815</v>
      </c>
      <c r="U423">
        <f t="shared" si="196"/>
        <v>111.5834693877551</v>
      </c>
      <c r="V423">
        <f t="shared" si="196"/>
        <v>102.48918367346938</v>
      </c>
      <c r="W423">
        <f t="shared" si="196"/>
        <v>106.33224489795919</v>
      </c>
      <c r="Y423" s="17">
        <f t="shared" si="170"/>
        <v>2066.7170312499998</v>
      </c>
      <c r="Z423">
        <f t="shared" si="171"/>
        <v>-131.29409521731333</v>
      </c>
    </row>
    <row r="424" spans="1:26" x14ac:dyDescent="0.25">
      <c r="A424" t="s">
        <v>69</v>
      </c>
      <c r="D424">
        <f t="shared" ref="D424:W424" si="197">D28*D208</f>
        <v>132.10775510204081</v>
      </c>
      <c r="E424">
        <f t="shared" si="197"/>
        <v>145.3030612244898</v>
      </c>
      <c r="F424">
        <f t="shared" si="197"/>
        <v>138.98102040816326</v>
      </c>
      <c r="G424">
        <f t="shared" si="197"/>
        <v>141.13224489795917</v>
      </c>
      <c r="H424">
        <f t="shared" si="197"/>
        <v>101.41591836734696</v>
      </c>
      <c r="I424">
        <f t="shared" si="197"/>
        <v>134.76979591836735</v>
      </c>
      <c r="J424">
        <f t="shared" si="197"/>
        <v>93.597142857142856</v>
      </c>
      <c r="K424">
        <f t="shared" si="197"/>
        <v>94.972653061224477</v>
      </c>
      <c r="L424">
        <f t="shared" si="197"/>
        <v>76.281406250000003</v>
      </c>
      <c r="M424">
        <f t="shared" si="197"/>
        <v>75.247959183673473</v>
      </c>
      <c r="N424">
        <f t="shared" si="197"/>
        <v>59.621632653061226</v>
      </c>
      <c r="O424">
        <f t="shared" si="197"/>
        <v>78.759795918367345</v>
      </c>
      <c r="P424">
        <f t="shared" si="197"/>
        <v>81.27918367346939</v>
      </c>
      <c r="Q424">
        <f t="shared" si="197"/>
        <v>77.877142857142871</v>
      </c>
      <c r="R424">
        <f t="shared" si="197"/>
        <v>51.393125000000005</v>
      </c>
      <c r="S424">
        <f t="shared" si="197"/>
        <v>89.88</v>
      </c>
      <c r="T424">
        <f t="shared" si="197"/>
        <v>82.359183673468948</v>
      </c>
      <c r="U424">
        <f t="shared" si="197"/>
        <v>103.86734693877482</v>
      </c>
      <c r="V424">
        <f t="shared" si="197"/>
        <v>80.449795918367329</v>
      </c>
      <c r="W424">
        <f t="shared" si="197"/>
        <v>84.63877551020407</v>
      </c>
      <c r="Y424" s="17">
        <f t="shared" si="170"/>
        <v>1923.9349394132644</v>
      </c>
      <c r="Z424">
        <f t="shared" si="171"/>
        <v>-97.728833980380671</v>
      </c>
    </row>
    <row r="425" spans="1:26" x14ac:dyDescent="0.25">
      <c r="Y425" s="17"/>
    </row>
    <row r="426" spans="1:26" x14ac:dyDescent="0.25">
      <c r="A426" t="s">
        <v>70</v>
      </c>
      <c r="D426">
        <f t="shared" ref="D426:W426" si="198">D30*D210</f>
        <v>111.13142857142857</v>
      </c>
      <c r="E426">
        <f t="shared" si="198"/>
        <v>119.02040816326532</v>
      </c>
      <c r="F426">
        <f t="shared" si="198"/>
        <v>130.40530612244896</v>
      </c>
      <c r="G426">
        <f t="shared" si="198"/>
        <v>108.1642857142857</v>
      </c>
      <c r="H426">
        <f t="shared" si="198"/>
        <v>116.39795918367348</v>
      </c>
      <c r="I426">
        <f t="shared" si="198"/>
        <v>116.53714285714288</v>
      </c>
      <c r="J426">
        <f t="shared" si="198"/>
        <v>116.08897959183672</v>
      </c>
      <c r="K426">
        <f t="shared" si="198"/>
        <v>106.76948979591837</v>
      </c>
      <c r="L426">
        <f t="shared" si="198"/>
        <v>84.743749999999991</v>
      </c>
      <c r="M426">
        <f t="shared" si="198"/>
        <v>73.411428571428573</v>
      </c>
      <c r="N426">
        <f t="shared" si="198"/>
        <v>86.721428571428589</v>
      </c>
      <c r="O426">
        <f t="shared" si="198"/>
        <v>82.102040816326522</v>
      </c>
      <c r="P426">
        <f t="shared" si="198"/>
        <v>77.854285714285695</v>
      </c>
      <c r="Q426">
        <f t="shared" si="198"/>
        <v>99.400612244898483</v>
      </c>
      <c r="R426">
        <f t="shared" si="198"/>
        <v>93.257142857142867</v>
      </c>
      <c r="S426">
        <f t="shared" si="198"/>
        <v>98.961595547309841</v>
      </c>
      <c r="T426">
        <f t="shared" si="198"/>
        <v>116.29322448979531</v>
      </c>
      <c r="U426">
        <f t="shared" si="198"/>
        <v>101.28471985157699</v>
      </c>
      <c r="V426">
        <f t="shared" si="198"/>
        <v>111.19547309833014</v>
      </c>
      <c r="W426">
        <f t="shared" si="198"/>
        <v>143.35886270871984</v>
      </c>
      <c r="Y426" s="17">
        <f t="shared" si="170"/>
        <v>2093.0995644712425</v>
      </c>
      <c r="Z426">
        <f>SUMPRODUCT($D$430:$W$430,D426:W426)</f>
        <v>-135.6124837117714</v>
      </c>
    </row>
    <row r="427" spans="1:26" x14ac:dyDescent="0.25">
      <c r="A427" t="s">
        <v>314</v>
      </c>
      <c r="D427">
        <f t="shared" ref="D427:W427" si="199">D31*D211</f>
        <v>145.55999999999997</v>
      </c>
      <c r="E427">
        <f t="shared" si="199"/>
        <v>128.83673469387756</v>
      </c>
      <c r="F427">
        <f t="shared" si="199"/>
        <v>101.26897959183675</v>
      </c>
      <c r="G427">
        <f t="shared" si="199"/>
        <v>116.4979591836735</v>
      </c>
      <c r="H427">
        <f t="shared" si="199"/>
        <v>115.3077551020408</v>
      </c>
      <c r="I427">
        <f t="shared" si="199"/>
        <v>105.59959183673469</v>
      </c>
      <c r="J427">
        <f t="shared" si="199"/>
        <v>98.742857142857133</v>
      </c>
      <c r="K427">
        <f t="shared" si="199"/>
        <v>91.324489795918382</v>
      </c>
      <c r="L427">
        <f t="shared" si="199"/>
        <v>39.536250000000003</v>
      </c>
      <c r="M427">
        <f t="shared" si="199"/>
        <v>62.491836734693877</v>
      </c>
      <c r="N427">
        <f t="shared" si="199"/>
        <v>71.088979591836747</v>
      </c>
      <c r="O427">
        <f t="shared" si="199"/>
        <v>85.236326530612246</v>
      </c>
      <c r="P427">
        <f t="shared" si="199"/>
        <v>75.259999999999991</v>
      </c>
      <c r="Q427">
        <f t="shared" si="199"/>
        <v>113.48999999999998</v>
      </c>
      <c r="R427">
        <f t="shared" si="199"/>
        <v>112.7</v>
      </c>
      <c r="S427">
        <f t="shared" si="199"/>
        <v>111.36</v>
      </c>
      <c r="T427">
        <f t="shared" si="199"/>
        <v>107.77102040816328</v>
      </c>
      <c r="U427">
        <f t="shared" si="199"/>
        <v>103.79183673469387</v>
      </c>
      <c r="V427">
        <f t="shared" si="199"/>
        <v>129.73714285714289</v>
      </c>
      <c r="W427">
        <f t="shared" si="199"/>
        <v>144.41020408163266</v>
      </c>
      <c r="Y427" s="17">
        <f t="shared" si="170"/>
        <v>2060.0119642857139</v>
      </c>
      <c r="Z427">
        <f>SUMPRODUCT($D$430:$W$430,D427:W427)</f>
        <v>-138.41968489603227</v>
      </c>
    </row>
    <row r="428" spans="1:26" x14ac:dyDescent="0.25">
      <c r="A428" t="s">
        <v>315</v>
      </c>
      <c r="D428">
        <f t="shared" ref="D428:W428" si="200">D32*D212</f>
        <v>127.49938775510205</v>
      </c>
      <c r="E428">
        <f t="shared" si="200"/>
        <v>145.4914285714286</v>
      </c>
      <c r="F428">
        <f t="shared" si="200"/>
        <v>127.67204081632654</v>
      </c>
      <c r="G428">
        <f t="shared" si="200"/>
        <v>130.83428571428573</v>
      </c>
      <c r="H428">
        <f t="shared" si="200"/>
        <v>126.24081632653061</v>
      </c>
      <c r="I428">
        <f t="shared" si="200"/>
        <v>109.19775510204083</v>
      </c>
      <c r="J428">
        <f t="shared" si="200"/>
        <v>88.5042857142857</v>
      </c>
      <c r="K428">
        <f t="shared" si="200"/>
        <v>74.632040816326537</v>
      </c>
      <c r="L428">
        <f t="shared" si="200"/>
        <v>62.494687499999998</v>
      </c>
      <c r="M428">
        <f t="shared" si="200"/>
        <v>61.420000000000009</v>
      </c>
      <c r="N428">
        <f t="shared" si="200"/>
        <v>77.08</v>
      </c>
      <c r="O428">
        <f t="shared" si="200"/>
        <v>55.759999999999991</v>
      </c>
      <c r="P428">
        <f t="shared" si="200"/>
        <v>77.102406452922054</v>
      </c>
      <c r="Q428">
        <f t="shared" si="200"/>
        <v>87.619526872680893</v>
      </c>
      <c r="R428">
        <f t="shared" si="200"/>
        <v>79.731919874768096</v>
      </c>
      <c r="S428">
        <f t="shared" si="200"/>
        <v>83.333294005102047</v>
      </c>
      <c r="T428">
        <f t="shared" si="200"/>
        <v>130.58163265306123</v>
      </c>
      <c r="U428">
        <f t="shared" si="200"/>
        <v>111.62705539358601</v>
      </c>
      <c r="V428">
        <f t="shared" si="200"/>
        <v>111.31189504373178</v>
      </c>
      <c r="W428">
        <f t="shared" si="200"/>
        <v>129.00880466472304</v>
      </c>
      <c r="Y428" s="17">
        <f t="shared" si="170"/>
        <v>1997.1432632769017</v>
      </c>
      <c r="Z428">
        <f>SUMPRODUCT($D$430:$W$430,D428:W428)</f>
        <v>-118.65876492860743</v>
      </c>
    </row>
    <row r="429" spans="1:26" x14ac:dyDescent="0.25">
      <c r="A429" t="s">
        <v>677</v>
      </c>
      <c r="D429">
        <f t="shared" ref="D429:W429" si="201">D33*D213</f>
        <v>144.96326530612245</v>
      </c>
      <c r="E429">
        <f t="shared" si="201"/>
        <v>147.83428571428573</v>
      </c>
      <c r="F429">
        <f t="shared" si="201"/>
        <v>134.87653061224492</v>
      </c>
      <c r="G429">
        <f t="shared" si="201"/>
        <v>108.17591836734695</v>
      </c>
      <c r="H429">
        <f t="shared" si="201"/>
        <v>91.65428571428572</v>
      </c>
      <c r="I429">
        <f t="shared" si="201"/>
        <v>103.39428571428572</v>
      </c>
      <c r="J429">
        <f t="shared" si="201"/>
        <v>89.427551020408188</v>
      </c>
      <c r="K429">
        <f t="shared" si="201"/>
        <v>74.589795918367344</v>
      </c>
      <c r="L429">
        <f t="shared" si="201"/>
        <v>59.67</v>
      </c>
      <c r="M429">
        <f t="shared" si="201"/>
        <v>98.304081632653066</v>
      </c>
      <c r="N429">
        <f t="shared" si="201"/>
        <v>95.59591836734694</v>
      </c>
      <c r="O429">
        <f t="shared" si="201"/>
        <v>28.246530612244896</v>
      </c>
      <c r="P429">
        <f t="shared" si="201"/>
        <v>80.448979591836732</v>
      </c>
      <c r="Q429">
        <f t="shared" si="201"/>
        <v>101.30530612244897</v>
      </c>
      <c r="R429">
        <f t="shared" si="201"/>
        <v>85.163877551020406</v>
      </c>
      <c r="S429">
        <f t="shared" si="201"/>
        <v>87.298750000000027</v>
      </c>
      <c r="T429">
        <f t="shared" si="201"/>
        <v>110.05408302411874</v>
      </c>
      <c r="U429">
        <f t="shared" si="201"/>
        <v>116.40175150742112</v>
      </c>
      <c r="V429">
        <f t="shared" si="201"/>
        <v>110.57705600649351</v>
      </c>
      <c r="W429">
        <f t="shared" si="201"/>
        <v>125.7024370941559</v>
      </c>
      <c r="Y429" s="17">
        <f t="shared" ref="Y429" si="202">SUM(D429:W429)</f>
        <v>1993.6846898770868</v>
      </c>
      <c r="Z429">
        <f>SUMPRODUCT($D$430:$W$430,D429:W429)</f>
        <v>-97.058322131731174</v>
      </c>
    </row>
    <row r="430" spans="1:26" x14ac:dyDescent="0.25">
      <c r="A430" s="2" t="s">
        <v>71</v>
      </c>
      <c r="D430" s="3">
        <f>CORREL($B$2:$B$28,D398:D424)</f>
        <v>0.10413268781903702</v>
      </c>
      <c r="E430" s="3">
        <f t="shared" ref="E430:W430" si="203">CORREL($B$2:$B$28,E398:E424)</f>
        <v>4.6083253771146811E-2</v>
      </c>
      <c r="F430" s="3">
        <f t="shared" si="203"/>
        <v>0.11823525416419681</v>
      </c>
      <c r="G430" s="3">
        <f t="shared" si="203"/>
        <v>-0.1037185821417531</v>
      </c>
      <c r="H430" s="3">
        <f t="shared" si="203"/>
        <v>-0.39303464726454512</v>
      </c>
      <c r="I430" s="3">
        <f t="shared" si="203"/>
        <v>0.23664187034023582</v>
      </c>
      <c r="J430" s="3">
        <f t="shared" si="203"/>
        <v>-0.28917114630577961</v>
      </c>
      <c r="K430" s="3">
        <f t="shared" si="203"/>
        <v>-0.13461219921837039</v>
      </c>
      <c r="L430" s="3">
        <f t="shared" si="203"/>
        <v>6.5198466160485233E-2</v>
      </c>
      <c r="M430" s="3">
        <f t="shared" si="203"/>
        <v>3.9339345944816195E-2</v>
      </c>
      <c r="N430" s="3">
        <f t="shared" si="203"/>
        <v>-4.4716577601831571E-2</v>
      </c>
      <c r="O430" s="3">
        <f t="shared" si="203"/>
        <v>-0.20741932377785446</v>
      </c>
      <c r="P430" s="3">
        <f t="shared" si="203"/>
        <v>-0.37291546686629901</v>
      </c>
      <c r="Q430" s="3">
        <f t="shared" si="203"/>
        <v>-4.6968423702009269E-3</v>
      </c>
      <c r="R430" s="3">
        <f t="shared" si="203"/>
        <v>-0.12971003426593203</v>
      </c>
      <c r="S430" s="3">
        <f t="shared" si="203"/>
        <v>-7.4575199167732781E-2</v>
      </c>
      <c r="T430" s="3">
        <f t="shared" si="203"/>
        <v>3.9594576581835957E-3</v>
      </c>
      <c r="U430" s="3">
        <f t="shared" si="203"/>
        <v>3.0874079232451061E-2</v>
      </c>
      <c r="V430" s="3">
        <f t="shared" si="203"/>
        <v>-7.897321481206962E-2</v>
      </c>
      <c r="W430" s="3">
        <f t="shared" si="203"/>
        <v>-0.16805398798460069</v>
      </c>
    </row>
    <row r="433" spans="1:26" x14ac:dyDescent="0.25">
      <c r="D433" t="s">
        <v>150</v>
      </c>
      <c r="E433" t="s">
        <v>151</v>
      </c>
      <c r="F433" t="s">
        <v>152</v>
      </c>
      <c r="G433" t="s">
        <v>153</v>
      </c>
      <c r="H433" t="s">
        <v>154</v>
      </c>
      <c r="I433" t="s">
        <v>155</v>
      </c>
      <c r="J433" t="s">
        <v>156</v>
      </c>
      <c r="K433" t="s">
        <v>157</v>
      </c>
      <c r="L433" t="s">
        <v>352</v>
      </c>
      <c r="M433" t="s">
        <v>404</v>
      </c>
      <c r="N433" t="s">
        <v>405</v>
      </c>
      <c r="O433" t="s">
        <v>406</v>
      </c>
      <c r="P433" t="s">
        <v>501</v>
      </c>
      <c r="Q433" t="s">
        <v>502</v>
      </c>
      <c r="R433" t="s">
        <v>503</v>
      </c>
      <c r="S433" t="s">
        <v>504</v>
      </c>
      <c r="T433" t="s">
        <v>613</v>
      </c>
      <c r="U433" t="s">
        <v>614</v>
      </c>
      <c r="V433" t="s">
        <v>615</v>
      </c>
      <c r="W433" t="s">
        <v>616</v>
      </c>
      <c r="Y433" t="s">
        <v>158</v>
      </c>
      <c r="Z433" t="s">
        <v>159</v>
      </c>
    </row>
    <row r="434" spans="1:26" x14ac:dyDescent="0.25">
      <c r="A434" t="s">
        <v>43</v>
      </c>
      <c r="D434">
        <f t="shared" ref="D434:W434" si="204">D2*D218</f>
        <v>101.78775510204083</v>
      </c>
      <c r="E434">
        <f t="shared" si="204"/>
        <v>110.04448979591837</v>
      </c>
      <c r="F434">
        <f t="shared" si="204"/>
        <v>98.081632653061234</v>
      </c>
      <c r="G434">
        <f t="shared" si="204"/>
        <v>107.60204081632652</v>
      </c>
      <c r="H434">
        <f t="shared" si="204"/>
        <v>97.007755102040832</v>
      </c>
      <c r="I434">
        <f t="shared" si="204"/>
        <v>88.630612244897947</v>
      </c>
      <c r="J434">
        <f t="shared" si="204"/>
        <v>98.253061224489798</v>
      </c>
      <c r="K434">
        <f t="shared" si="204"/>
        <v>99.901224489795922</v>
      </c>
      <c r="L434">
        <f t="shared" si="204"/>
        <v>89.035781249999999</v>
      </c>
      <c r="M434">
        <f t="shared" si="204"/>
        <v>84.951428571428565</v>
      </c>
      <c r="N434">
        <f t="shared" si="204"/>
        <v>74.778367346938779</v>
      </c>
      <c r="O434">
        <f t="shared" si="204"/>
        <v>81.781836734693911</v>
      </c>
      <c r="P434">
        <f t="shared" si="204"/>
        <v>90.339183673469407</v>
      </c>
      <c r="Q434">
        <f t="shared" si="204"/>
        <v>88.448571428571455</v>
      </c>
      <c r="R434">
        <f t="shared" si="204"/>
        <v>86.040816326530589</v>
      </c>
      <c r="S434">
        <f t="shared" si="204"/>
        <v>81.861224489795916</v>
      </c>
      <c r="T434">
        <f t="shared" si="204"/>
        <v>95.466734693877569</v>
      </c>
      <c r="U434">
        <f t="shared" si="204"/>
        <v>86.278163265306134</v>
      </c>
      <c r="V434">
        <f t="shared" si="204"/>
        <v>104.52102040816327</v>
      </c>
      <c r="W434">
        <f t="shared" si="204"/>
        <v>78.499591836734709</v>
      </c>
      <c r="Y434" s="17">
        <f t="shared" ref="Y434:Y464" si="205">SUM(D434:W434)</f>
        <v>1843.3112914540818</v>
      </c>
      <c r="Z434">
        <f t="shared" ref="Z434:Z460" si="206">SUMPRODUCT($D$466:$W$466,D434:W434)</f>
        <v>186.8870064089293</v>
      </c>
    </row>
    <row r="435" spans="1:26" x14ac:dyDescent="0.25">
      <c r="A435" t="s">
        <v>44</v>
      </c>
      <c r="D435">
        <f t="shared" ref="D435:W435" si="207">D3*D219</f>
        <v>98.7</v>
      </c>
      <c r="E435">
        <f t="shared" si="207"/>
        <v>98.88000000000001</v>
      </c>
      <c r="F435">
        <f t="shared" si="207"/>
        <v>102</v>
      </c>
      <c r="G435">
        <f t="shared" si="207"/>
        <v>82.320000000000007</v>
      </c>
      <c r="H435">
        <f t="shared" si="207"/>
        <v>110.74000000000001</v>
      </c>
      <c r="I435">
        <f t="shared" si="207"/>
        <v>94.86</v>
      </c>
      <c r="J435">
        <f t="shared" si="207"/>
        <v>79.86</v>
      </c>
      <c r="K435">
        <f t="shared" si="207"/>
        <v>81.599999999999994</v>
      </c>
      <c r="L435">
        <f t="shared" si="207"/>
        <v>81.48</v>
      </c>
      <c r="M435">
        <f t="shared" si="207"/>
        <v>75.33</v>
      </c>
      <c r="N435">
        <f t="shared" si="207"/>
        <v>85.54</v>
      </c>
      <c r="O435">
        <f t="shared" si="207"/>
        <v>94.94</v>
      </c>
      <c r="P435">
        <f t="shared" si="207"/>
        <v>97.261371428571422</v>
      </c>
      <c r="Q435">
        <f t="shared" si="207"/>
        <v>87.34571428571428</v>
      </c>
      <c r="R435">
        <f t="shared" si="207"/>
        <v>86.597276190476194</v>
      </c>
      <c r="S435">
        <f t="shared" si="207"/>
        <v>87.620866666666686</v>
      </c>
      <c r="T435">
        <f t="shared" si="207"/>
        <v>79.256043367346948</v>
      </c>
      <c r="U435">
        <f t="shared" si="207"/>
        <v>89.994765306122446</v>
      </c>
      <c r="V435">
        <f t="shared" si="207"/>
        <v>79.779532844387759</v>
      </c>
      <c r="W435">
        <f t="shared" si="207"/>
        <v>94.017758609693857</v>
      </c>
      <c r="Y435" s="17">
        <f t="shared" si="205"/>
        <v>1788.1233286989798</v>
      </c>
      <c r="Z435">
        <f t="shared" si="206"/>
        <v>168.39084053201492</v>
      </c>
    </row>
    <row r="436" spans="1:26" x14ac:dyDescent="0.25">
      <c r="A436" t="s">
        <v>45</v>
      </c>
      <c r="D436">
        <f t="shared" ref="D436:W436" si="208">D4*D220</f>
        <v>95.216326530612236</v>
      </c>
      <c r="E436">
        <f t="shared" si="208"/>
        <v>82.857142857142875</v>
      </c>
      <c r="F436">
        <f t="shared" si="208"/>
        <v>90.723061224489797</v>
      </c>
      <c r="G436">
        <f t="shared" si="208"/>
        <v>92.938775510204096</v>
      </c>
      <c r="H436">
        <f t="shared" si="208"/>
        <v>98.128979591836739</v>
      </c>
      <c r="I436">
        <f t="shared" si="208"/>
        <v>97.392857142857139</v>
      </c>
      <c r="J436">
        <f t="shared" si="208"/>
        <v>76.487755102040808</v>
      </c>
      <c r="K436">
        <f t="shared" si="208"/>
        <v>78.429999999999993</v>
      </c>
      <c r="L436">
        <f t="shared" si="208"/>
        <v>101.37968749999999</v>
      </c>
      <c r="M436">
        <f t="shared" si="208"/>
        <v>78.302040816326539</v>
      </c>
      <c r="N436">
        <f t="shared" si="208"/>
        <v>101.45142857142856</v>
      </c>
      <c r="O436">
        <f t="shared" si="208"/>
        <v>101.83387755102042</v>
      </c>
      <c r="P436">
        <f t="shared" si="208"/>
        <v>73.769795918367336</v>
      </c>
      <c r="Q436">
        <f t="shared" si="208"/>
        <v>85.812244897959189</v>
      </c>
      <c r="R436">
        <f t="shared" si="208"/>
        <v>108.74775510204083</v>
      </c>
      <c r="S436">
        <f t="shared" si="208"/>
        <v>91.062857142857141</v>
      </c>
      <c r="T436">
        <f t="shared" si="208"/>
        <v>111.03428571428572</v>
      </c>
      <c r="U436">
        <f t="shared" si="208"/>
        <v>117.86326530612244</v>
      </c>
      <c r="V436">
        <f t="shared" si="208"/>
        <v>123.96489795918366</v>
      </c>
      <c r="W436">
        <f t="shared" si="208"/>
        <v>121.51857142857142</v>
      </c>
      <c r="Y436" s="17">
        <f t="shared" si="205"/>
        <v>1928.9156058673468</v>
      </c>
      <c r="Z436">
        <f t="shared" si="206"/>
        <v>159.5925867848631</v>
      </c>
    </row>
    <row r="437" spans="1:26" x14ac:dyDescent="0.25">
      <c r="A437" t="s">
        <v>46</v>
      </c>
      <c r="D437">
        <f t="shared" ref="D437:W437" si="209">D5*D221</f>
        <v>91.849591836734703</v>
      </c>
      <c r="E437">
        <f t="shared" si="209"/>
        <v>85.755918367346951</v>
      </c>
      <c r="F437">
        <f t="shared" si="209"/>
        <v>74.144489795918346</v>
      </c>
      <c r="G437">
        <f t="shared" si="209"/>
        <v>89.485714285714266</v>
      </c>
      <c r="H437">
        <f t="shared" si="209"/>
        <v>79.124489795918365</v>
      </c>
      <c r="I437">
        <f t="shared" si="209"/>
        <v>72.412244897959184</v>
      </c>
      <c r="J437">
        <f t="shared" si="209"/>
        <v>78.435714285714283</v>
      </c>
      <c r="K437">
        <f t="shared" si="209"/>
        <v>88.997551020408181</v>
      </c>
      <c r="L437">
        <f t="shared" si="209"/>
        <v>89.476406250000011</v>
      </c>
      <c r="M437">
        <f t="shared" si="209"/>
        <v>87.742040816326551</v>
      </c>
      <c r="N437">
        <f t="shared" si="209"/>
        <v>56.336326530612247</v>
      </c>
      <c r="O437">
        <f t="shared" si="209"/>
        <v>66.279591836734681</v>
      </c>
      <c r="P437">
        <f t="shared" si="209"/>
        <v>65.88</v>
      </c>
      <c r="Q437">
        <f t="shared" si="209"/>
        <v>90.819183673469396</v>
      </c>
      <c r="R437">
        <f t="shared" si="209"/>
        <v>95.888367346938765</v>
      </c>
      <c r="S437">
        <f t="shared" si="209"/>
        <v>112.02795918367346</v>
      </c>
      <c r="T437">
        <f t="shared" si="209"/>
        <v>74.298775510204067</v>
      </c>
      <c r="U437">
        <f t="shared" si="209"/>
        <v>77.040000000000006</v>
      </c>
      <c r="V437">
        <f t="shared" si="209"/>
        <v>81.790816326530603</v>
      </c>
      <c r="W437">
        <f t="shared" si="209"/>
        <v>149.12857142857141</v>
      </c>
      <c r="Y437" s="17">
        <f t="shared" si="205"/>
        <v>1706.913753188775</v>
      </c>
      <c r="Z437">
        <f t="shared" si="206"/>
        <v>147.509813824335</v>
      </c>
    </row>
    <row r="438" spans="1:26" x14ac:dyDescent="0.25">
      <c r="A438" t="s">
        <v>47</v>
      </c>
      <c r="D438">
        <f t="shared" ref="D438:W438" si="210">D6*D222</f>
        <v>113.87408163265307</v>
      </c>
      <c r="E438">
        <f t="shared" si="210"/>
        <v>97.016326530612233</v>
      </c>
      <c r="F438">
        <f t="shared" si="210"/>
        <v>102.52183673469386</v>
      </c>
      <c r="G438">
        <f t="shared" si="210"/>
        <v>103.12755102040818</v>
      </c>
      <c r="H438">
        <f t="shared" si="210"/>
        <v>96.714285714285722</v>
      </c>
      <c r="I438">
        <f t="shared" si="210"/>
        <v>80.897755102040819</v>
      </c>
      <c r="J438">
        <f t="shared" si="210"/>
        <v>84.770204081632656</v>
      </c>
      <c r="K438">
        <f t="shared" si="210"/>
        <v>73.208571428571432</v>
      </c>
      <c r="L438">
        <f t="shared" si="210"/>
        <v>78.807031250000009</v>
      </c>
      <c r="M438">
        <f t="shared" si="210"/>
        <v>99.139591836734681</v>
      </c>
      <c r="N438">
        <f t="shared" si="210"/>
        <v>97.3</v>
      </c>
      <c r="O438">
        <f t="shared" si="210"/>
        <v>81.648571428571444</v>
      </c>
      <c r="P438">
        <f t="shared" si="210"/>
        <v>85.959183673469397</v>
      </c>
      <c r="Q438">
        <f t="shared" si="210"/>
        <v>62.49061224489796</v>
      </c>
      <c r="R438">
        <f t="shared" si="210"/>
        <v>82.890612244897952</v>
      </c>
      <c r="S438">
        <f t="shared" si="210"/>
        <v>86.571428571428569</v>
      </c>
      <c r="T438">
        <f t="shared" si="210"/>
        <v>101.53102040816326</v>
      </c>
      <c r="U438">
        <f t="shared" si="210"/>
        <v>75.872653061224497</v>
      </c>
      <c r="V438">
        <f t="shared" si="210"/>
        <v>61.995918367346945</v>
      </c>
      <c r="W438">
        <f t="shared" si="210"/>
        <v>85.267346938775503</v>
      </c>
      <c r="Y438" s="17">
        <f t="shared" si="205"/>
        <v>1751.6045822704082</v>
      </c>
      <c r="Z438">
        <f t="shared" si="206"/>
        <v>170.87587034113943</v>
      </c>
    </row>
    <row r="439" spans="1:26" x14ac:dyDescent="0.25">
      <c r="A439" t="s">
        <v>48</v>
      </c>
      <c r="D439">
        <f t="shared" ref="D439:W439" si="211">D7*D223</f>
        <v>125.79061224489796</v>
      </c>
      <c r="E439">
        <f t="shared" si="211"/>
        <v>91.978775510204088</v>
      </c>
      <c r="F439">
        <f t="shared" si="211"/>
        <v>103.42346938775511</v>
      </c>
      <c r="G439">
        <f t="shared" si="211"/>
        <v>130.06326530612245</v>
      </c>
      <c r="H439">
        <f t="shared" si="211"/>
        <v>104.20408163265307</v>
      </c>
      <c r="I439">
        <f t="shared" si="211"/>
        <v>119.43510204081629</v>
      </c>
      <c r="J439">
        <f t="shared" si="211"/>
        <v>108.27142857142857</v>
      </c>
      <c r="K439">
        <f t="shared" si="211"/>
        <v>101.59408163265304</v>
      </c>
      <c r="L439">
        <f t="shared" si="211"/>
        <v>92.952343749999983</v>
      </c>
      <c r="M439">
        <f t="shared" si="211"/>
        <v>63.328571428571422</v>
      </c>
      <c r="N439">
        <f t="shared" si="211"/>
        <v>88.910204081632656</v>
      </c>
      <c r="O439">
        <f t="shared" si="211"/>
        <v>68.727551020408157</v>
      </c>
      <c r="P439">
        <f t="shared" si="211"/>
        <v>105.05387755102041</v>
      </c>
      <c r="Q439">
        <f t="shared" si="211"/>
        <v>95.062448979591821</v>
      </c>
      <c r="R439">
        <f t="shared" si="211"/>
        <v>98.676734693877563</v>
      </c>
      <c r="S439">
        <f t="shared" si="211"/>
        <v>63.066122448979577</v>
      </c>
      <c r="T439">
        <f t="shared" si="211"/>
        <v>101.47163265306122</v>
      </c>
      <c r="U439">
        <f t="shared" si="211"/>
        <v>98.283061224489813</v>
      </c>
      <c r="V439">
        <f t="shared" si="211"/>
        <v>76.997142857142862</v>
      </c>
      <c r="W439">
        <f t="shared" si="211"/>
        <v>81.893877551020381</v>
      </c>
      <c r="Y439" s="17">
        <f t="shared" si="205"/>
        <v>1919.1843845663261</v>
      </c>
      <c r="Z439">
        <f t="shared" si="206"/>
        <v>208.50614573973499</v>
      </c>
    </row>
    <row r="440" spans="1:26" x14ac:dyDescent="0.25">
      <c r="A440" t="s">
        <v>49</v>
      </c>
      <c r="D440">
        <f t="shared" ref="D440:W440" si="212">D8*D224</f>
        <v>82.560000000000016</v>
      </c>
      <c r="E440">
        <f t="shared" si="212"/>
        <v>88.789795918367332</v>
      </c>
      <c r="F440">
        <f t="shared" si="212"/>
        <v>117.60000000000001</v>
      </c>
      <c r="G440">
        <f t="shared" si="212"/>
        <v>112.39714285714287</v>
      </c>
      <c r="H440">
        <f t="shared" si="212"/>
        <v>74.575102040816319</v>
      </c>
      <c r="I440">
        <f t="shared" si="212"/>
        <v>83.191836734693865</v>
      </c>
      <c r="J440">
        <f t="shared" si="212"/>
        <v>86.184489795918367</v>
      </c>
      <c r="K440">
        <f t="shared" si="212"/>
        <v>88.213877551020417</v>
      </c>
      <c r="L440">
        <f t="shared" si="212"/>
        <v>58.629843750000006</v>
      </c>
      <c r="M440">
        <f t="shared" si="212"/>
        <v>64.402040816326533</v>
      </c>
      <c r="N440">
        <f t="shared" si="212"/>
        <v>71.325714285714284</v>
      </c>
      <c r="O440">
        <f t="shared" si="212"/>
        <v>67.544081632653047</v>
      </c>
      <c r="P440">
        <f t="shared" si="212"/>
        <v>92.405714285714282</v>
      </c>
      <c r="Q440">
        <f t="shared" si="212"/>
        <v>91.166122448979579</v>
      </c>
      <c r="R440">
        <f t="shared" si="212"/>
        <v>81.791836734693874</v>
      </c>
      <c r="S440">
        <f t="shared" si="212"/>
        <v>73.672448979591849</v>
      </c>
      <c r="T440">
        <f t="shared" si="212"/>
        <v>52.061632653061224</v>
      </c>
      <c r="U440">
        <f t="shared" si="212"/>
        <v>77.64775510204079</v>
      </c>
      <c r="V440">
        <f t="shared" si="212"/>
        <v>96.990612244897974</v>
      </c>
      <c r="W440">
        <f t="shared" si="212"/>
        <v>68.194285714285698</v>
      </c>
      <c r="Y440" s="17">
        <f t="shared" si="205"/>
        <v>1629.3443335459183</v>
      </c>
      <c r="Z440">
        <f t="shared" si="206"/>
        <v>162.95334283541439</v>
      </c>
    </row>
    <row r="441" spans="1:26" x14ac:dyDescent="0.25">
      <c r="A441" t="s">
        <v>50</v>
      </c>
      <c r="D441">
        <f t="shared" ref="D441:W441" si="213">D9*D225</f>
        <v>90.263265306122449</v>
      </c>
      <c r="E441">
        <f t="shared" si="213"/>
        <v>77.253061224489812</v>
      </c>
      <c r="F441">
        <f t="shared" si="213"/>
        <v>109.53693877551021</v>
      </c>
      <c r="G441">
        <f t="shared" si="213"/>
        <v>120.14938775510204</v>
      </c>
      <c r="H441">
        <f t="shared" si="213"/>
        <v>98.559999999999974</v>
      </c>
      <c r="I441">
        <f t="shared" si="213"/>
        <v>92.824489795918382</v>
      </c>
      <c r="J441">
        <f t="shared" si="213"/>
        <v>79.172653061224509</v>
      </c>
      <c r="K441">
        <f t="shared" si="213"/>
        <v>99.60489795918366</v>
      </c>
      <c r="L441">
        <f t="shared" si="213"/>
        <v>87.9609375</v>
      </c>
      <c r="M441">
        <f t="shared" si="213"/>
        <v>116.73469387755102</v>
      </c>
      <c r="N441">
        <f t="shared" si="213"/>
        <v>95.141428571428591</v>
      </c>
      <c r="O441">
        <f t="shared" si="213"/>
        <v>89.199183673469392</v>
      </c>
      <c r="P441">
        <f t="shared" si="213"/>
        <v>71.221632653061221</v>
      </c>
      <c r="Q441">
        <f t="shared" si="213"/>
        <v>69.258367346938769</v>
      </c>
      <c r="R441">
        <f t="shared" si="213"/>
        <v>72.389387755102035</v>
      </c>
      <c r="S441">
        <f t="shared" si="213"/>
        <v>85.297142857142873</v>
      </c>
      <c r="T441">
        <f t="shared" si="213"/>
        <v>58.994489795918376</v>
      </c>
      <c r="U441">
        <f t="shared" si="213"/>
        <v>90.161632653061218</v>
      </c>
      <c r="V441">
        <f t="shared" si="213"/>
        <v>86.491428571428557</v>
      </c>
      <c r="W441">
        <f t="shared" si="213"/>
        <v>96.026938775510203</v>
      </c>
      <c r="Y441" s="17">
        <f t="shared" si="205"/>
        <v>1786.2419579081632</v>
      </c>
      <c r="Z441">
        <f t="shared" si="206"/>
        <v>175.0099665210862</v>
      </c>
    </row>
    <row r="442" spans="1:26" x14ac:dyDescent="0.25">
      <c r="A442" t="s">
        <v>51</v>
      </c>
      <c r="D442">
        <f t="shared" ref="D442:W442" si="214">D10*D226</f>
        <v>99.52897959183673</v>
      </c>
      <c r="E442">
        <f t="shared" si="214"/>
        <v>107.94489795918366</v>
      </c>
      <c r="F442">
        <f t="shared" si="214"/>
        <v>143.68061224489796</v>
      </c>
      <c r="G442">
        <f t="shared" si="214"/>
        <v>145.50204081632651</v>
      </c>
      <c r="H442">
        <f t="shared" si="214"/>
        <v>75.636734693877528</v>
      </c>
      <c r="I442">
        <f t="shared" si="214"/>
        <v>108.42857142857143</v>
      </c>
      <c r="J442">
        <f t="shared" si="214"/>
        <v>79.435102040816332</v>
      </c>
      <c r="K442">
        <f t="shared" si="214"/>
        <v>75.897551020408144</v>
      </c>
      <c r="L442">
        <f t="shared" si="214"/>
        <v>84.045312500000009</v>
      </c>
      <c r="M442">
        <f t="shared" si="214"/>
        <v>110.49999999999997</v>
      </c>
      <c r="N442">
        <f t="shared" si="214"/>
        <v>102.26938775510206</v>
      </c>
      <c r="O442">
        <f t="shared" si="214"/>
        <v>82.49489795918366</v>
      </c>
      <c r="P442">
        <f t="shared" si="214"/>
        <v>139.13265306122449</v>
      </c>
      <c r="Q442">
        <f t="shared" si="214"/>
        <v>59.193469387755094</v>
      </c>
      <c r="R442">
        <f t="shared" si="214"/>
        <v>84.436734693877568</v>
      </c>
      <c r="S442">
        <f t="shared" si="214"/>
        <v>76.075102040816333</v>
      </c>
      <c r="T442">
        <f t="shared" si="214"/>
        <v>88.587551020408171</v>
      </c>
      <c r="U442">
        <f t="shared" si="214"/>
        <v>79.493877551020404</v>
      </c>
      <c r="V442">
        <f t="shared" si="214"/>
        <v>67.337551020408171</v>
      </c>
      <c r="W442">
        <f t="shared" si="214"/>
        <v>91.542857142857159</v>
      </c>
      <c r="Y442" s="17">
        <f t="shared" si="205"/>
        <v>1901.1638839285717</v>
      </c>
      <c r="Z442">
        <f t="shared" si="206"/>
        <v>186.21062548709449</v>
      </c>
    </row>
    <row r="443" spans="1:26" x14ac:dyDescent="0.25">
      <c r="A443" t="s">
        <v>52</v>
      </c>
      <c r="D443">
        <f t="shared" ref="D443:W443" si="215">D11*D227</f>
        <v>99.78367346938775</v>
      </c>
      <c r="E443">
        <f t="shared" si="215"/>
        <v>96.773877551020419</v>
      </c>
      <c r="F443">
        <f t="shared" si="215"/>
        <v>112.57469387755101</v>
      </c>
      <c r="G443">
        <f t="shared" si="215"/>
        <v>78.137142857142848</v>
      </c>
      <c r="H443">
        <f t="shared" si="215"/>
        <v>90.783673469387764</v>
      </c>
      <c r="I443">
        <f t="shared" si="215"/>
        <v>115.87755102040818</v>
      </c>
      <c r="J443">
        <f t="shared" si="215"/>
        <v>71.586938775510205</v>
      </c>
      <c r="K443">
        <f t="shared" si="215"/>
        <v>77.647346938775527</v>
      </c>
      <c r="L443">
        <f t="shared" si="215"/>
        <v>89.463281249999994</v>
      </c>
      <c r="M443">
        <f t="shared" si="215"/>
        <v>88.354897959183702</v>
      </c>
      <c r="N443">
        <f t="shared" si="215"/>
        <v>66.531632653061223</v>
      </c>
      <c r="O443">
        <f t="shared" si="215"/>
        <v>93.807959183673461</v>
      </c>
      <c r="P443">
        <f t="shared" si="215"/>
        <v>75.252244897959173</v>
      </c>
      <c r="Q443">
        <f t="shared" si="215"/>
        <v>92.427142857142869</v>
      </c>
      <c r="R443">
        <f t="shared" si="215"/>
        <v>93.477551020408171</v>
      </c>
      <c r="S443">
        <f t="shared" si="215"/>
        <v>91.577755102040797</v>
      </c>
      <c r="T443">
        <f t="shared" si="215"/>
        <v>71.522448979591829</v>
      </c>
      <c r="U443">
        <f t="shared" si="215"/>
        <v>89.253877551020409</v>
      </c>
      <c r="V443">
        <f t="shared" si="215"/>
        <v>59.053673469387761</v>
      </c>
      <c r="W443">
        <f t="shared" si="215"/>
        <v>98.93</v>
      </c>
      <c r="Y443" s="17">
        <f t="shared" si="205"/>
        <v>1752.8173628826535</v>
      </c>
      <c r="Z443">
        <f t="shared" si="206"/>
        <v>177.18030260193416</v>
      </c>
    </row>
    <row r="444" spans="1:26" x14ac:dyDescent="0.25">
      <c r="A444" t="s">
        <v>53</v>
      </c>
      <c r="D444">
        <f t="shared" ref="D444:W444" si="216">D12*D228</f>
        <v>108.39510204081631</v>
      </c>
      <c r="E444">
        <f t="shared" si="216"/>
        <v>108.36</v>
      </c>
      <c r="F444">
        <f t="shared" si="216"/>
        <v>121.16081632653059</v>
      </c>
      <c r="G444">
        <f t="shared" si="216"/>
        <v>152.12653061224489</v>
      </c>
      <c r="H444">
        <f t="shared" si="216"/>
        <v>104.57632653061226</v>
      </c>
      <c r="I444">
        <f t="shared" si="216"/>
        <v>78.850000000000009</v>
      </c>
      <c r="J444">
        <f t="shared" si="216"/>
        <v>100.28000000000002</v>
      </c>
      <c r="K444">
        <f t="shared" si="216"/>
        <v>96.653877551020415</v>
      </c>
      <c r="L444">
        <f t="shared" si="216"/>
        <v>103.56187499999999</v>
      </c>
      <c r="M444">
        <f t="shared" si="216"/>
        <v>119.34489795918365</v>
      </c>
      <c r="N444">
        <f t="shared" si="216"/>
        <v>100.07448979591838</v>
      </c>
      <c r="O444">
        <f t="shared" si="216"/>
        <v>76.327551020408166</v>
      </c>
      <c r="P444">
        <f t="shared" si="216"/>
        <v>99.762857142857143</v>
      </c>
      <c r="Q444">
        <f t="shared" si="216"/>
        <v>77.539183673469381</v>
      </c>
      <c r="R444">
        <f t="shared" si="216"/>
        <v>79.878367346938774</v>
      </c>
      <c r="S444">
        <f t="shared" si="216"/>
        <v>95.661428571428573</v>
      </c>
      <c r="T444">
        <f t="shared" si="216"/>
        <v>99.579999999999984</v>
      </c>
      <c r="U444">
        <f t="shared" si="216"/>
        <v>93.685510204081623</v>
      </c>
      <c r="V444">
        <f t="shared" si="216"/>
        <v>93.193469387755087</v>
      </c>
      <c r="W444">
        <f t="shared" si="216"/>
        <v>74.955306122448988</v>
      </c>
      <c r="Y444" s="17">
        <f t="shared" si="205"/>
        <v>1983.9675892857144</v>
      </c>
      <c r="Z444">
        <f t="shared" si="206"/>
        <v>202.11091928318911</v>
      </c>
    </row>
    <row r="445" spans="1:26" x14ac:dyDescent="0.25">
      <c r="A445" t="s">
        <v>54</v>
      </c>
      <c r="D445">
        <f t="shared" ref="D445:W445" si="217">D13*D229</f>
        <v>122.33673469387755</v>
      </c>
      <c r="E445">
        <f t="shared" si="217"/>
        <v>104.50040816326528</v>
      </c>
      <c r="F445">
        <f t="shared" si="217"/>
        <v>87.236326530612246</v>
      </c>
      <c r="G445">
        <f t="shared" si="217"/>
        <v>98.674489795918348</v>
      </c>
      <c r="H445">
        <f t="shared" si="217"/>
        <v>95.750204081632631</v>
      </c>
      <c r="I445">
        <f t="shared" si="217"/>
        <v>99.925918367346924</v>
      </c>
      <c r="J445">
        <f t="shared" si="217"/>
        <v>81.932857142857145</v>
      </c>
      <c r="K445">
        <f t="shared" si="217"/>
        <v>90.938775510204081</v>
      </c>
      <c r="L445">
        <f t="shared" si="217"/>
        <v>91.352812500000013</v>
      </c>
      <c r="M445">
        <f t="shared" si="217"/>
        <v>93.867000000000004</v>
      </c>
      <c r="N445">
        <f t="shared" si="217"/>
        <v>79.102800000000002</v>
      </c>
      <c r="O445">
        <f t="shared" si="217"/>
        <v>88.214699999999993</v>
      </c>
      <c r="P445">
        <f t="shared" si="217"/>
        <v>74.919600000000003</v>
      </c>
      <c r="Q445">
        <f t="shared" si="217"/>
        <v>95.25269999999999</v>
      </c>
      <c r="R445">
        <f t="shared" si="217"/>
        <v>64.059300000000007</v>
      </c>
      <c r="S445">
        <f t="shared" si="217"/>
        <v>92.300000000000011</v>
      </c>
      <c r="T445">
        <f t="shared" si="217"/>
        <v>70.041600000000003</v>
      </c>
      <c r="U445">
        <f t="shared" si="217"/>
        <v>93.490800000000007</v>
      </c>
      <c r="V445">
        <f t="shared" si="217"/>
        <v>68.779800000000009</v>
      </c>
      <c r="W445">
        <f t="shared" si="217"/>
        <v>102.66719999999999</v>
      </c>
      <c r="Y445" s="17">
        <f t="shared" si="205"/>
        <v>1795.3440267857143</v>
      </c>
      <c r="Z445">
        <f t="shared" si="206"/>
        <v>185.60009880813854</v>
      </c>
    </row>
    <row r="446" spans="1:26" x14ac:dyDescent="0.25">
      <c r="A446" t="s">
        <v>55</v>
      </c>
      <c r="D446">
        <f t="shared" ref="D446:W446" si="218">D14*D230</f>
        <v>149.17699999999999</v>
      </c>
      <c r="E446">
        <f t="shared" si="218"/>
        <v>143.3468</v>
      </c>
      <c r="F446">
        <f t="shared" si="218"/>
        <v>113.9144</v>
      </c>
      <c r="G446">
        <f t="shared" si="218"/>
        <v>128.02699999999999</v>
      </c>
      <c r="H446">
        <f t="shared" si="218"/>
        <v>117.72670000000001</v>
      </c>
      <c r="I446">
        <f t="shared" si="218"/>
        <v>119.9088</v>
      </c>
      <c r="J446">
        <f t="shared" si="218"/>
        <v>102.00959999999999</v>
      </c>
      <c r="K446">
        <f t="shared" si="218"/>
        <v>114.126</v>
      </c>
      <c r="L446">
        <f t="shared" si="218"/>
        <v>89.059999999999988</v>
      </c>
      <c r="M446">
        <f t="shared" si="218"/>
        <v>103.62857142857145</v>
      </c>
      <c r="N446">
        <f t="shared" si="218"/>
        <v>99.163265306122454</v>
      </c>
      <c r="O446">
        <f t="shared" si="218"/>
        <v>71.939183673469401</v>
      </c>
      <c r="P446">
        <f t="shared" si="218"/>
        <v>86.604489795918326</v>
      </c>
      <c r="Q446">
        <f t="shared" si="218"/>
        <v>120.30612244897961</v>
      </c>
      <c r="R446">
        <f t="shared" si="218"/>
        <v>93.918367346938794</v>
      </c>
      <c r="S446">
        <f t="shared" si="218"/>
        <v>118.29387755102042</v>
      </c>
      <c r="T446">
        <f t="shared" si="218"/>
        <v>94.640816326530626</v>
      </c>
      <c r="U446">
        <f t="shared" si="218"/>
        <v>88.825714285714298</v>
      </c>
      <c r="V446">
        <f t="shared" si="218"/>
        <v>104.35510204081631</v>
      </c>
      <c r="W446">
        <f t="shared" si="218"/>
        <v>96.274285714285696</v>
      </c>
      <c r="Y446" s="17">
        <f t="shared" si="205"/>
        <v>2155.2460959183672</v>
      </c>
      <c r="Z446">
        <f t="shared" si="206"/>
        <v>234.18896210281287</v>
      </c>
    </row>
    <row r="447" spans="1:26" x14ac:dyDescent="0.25">
      <c r="A447" t="s">
        <v>56</v>
      </c>
      <c r="D447">
        <f t="shared" ref="D447:W447" si="219">D15*D231</f>
        <v>147.42530612244897</v>
      </c>
      <c r="E447">
        <f t="shared" si="219"/>
        <v>113.94897959183675</v>
      </c>
      <c r="F447">
        <f t="shared" si="219"/>
        <v>125.97551020408162</v>
      </c>
      <c r="G447">
        <f t="shared" si="219"/>
        <v>112.87571428571427</v>
      </c>
      <c r="H447">
        <f t="shared" si="219"/>
        <v>89.626326530612232</v>
      </c>
      <c r="I447">
        <f t="shared" si="219"/>
        <v>92.107755102040798</v>
      </c>
      <c r="J447">
        <f t="shared" si="219"/>
        <v>66.800000000000011</v>
      </c>
      <c r="K447">
        <f t="shared" si="219"/>
        <v>108.81734693877553</v>
      </c>
      <c r="L447">
        <f t="shared" si="219"/>
        <v>96.959687500000015</v>
      </c>
      <c r="M447">
        <f t="shared" si="219"/>
        <v>86.038775510204076</v>
      </c>
      <c r="N447">
        <f t="shared" si="219"/>
        <v>78.454285714285703</v>
      </c>
      <c r="O447">
        <f t="shared" si="219"/>
        <v>118.07142857142857</v>
      </c>
      <c r="P447">
        <f t="shared" si="219"/>
        <v>108.47999999999999</v>
      </c>
      <c r="Q447">
        <f t="shared" si="219"/>
        <v>83.235918367346926</v>
      </c>
      <c r="R447">
        <f t="shared" si="219"/>
        <v>134.11020408163265</v>
      </c>
      <c r="S447">
        <f t="shared" si="219"/>
        <v>141.25510204081633</v>
      </c>
      <c r="T447">
        <f t="shared" si="219"/>
        <v>109.34489795918367</v>
      </c>
      <c r="U447">
        <f t="shared" si="219"/>
        <v>90.262857142857143</v>
      </c>
      <c r="V447">
        <f t="shared" si="219"/>
        <v>104.06714285714285</v>
      </c>
      <c r="W447">
        <f t="shared" si="219"/>
        <v>85.934693877551013</v>
      </c>
      <c r="Y447" s="17">
        <f t="shared" si="205"/>
        <v>2093.7919323979595</v>
      </c>
      <c r="Z447">
        <f t="shared" si="206"/>
        <v>193.55126684626049</v>
      </c>
    </row>
    <row r="448" spans="1:26" x14ac:dyDescent="0.25">
      <c r="A448" t="s">
        <v>57</v>
      </c>
      <c r="D448">
        <f t="shared" ref="D448:W448" si="220">D16*D232</f>
        <v>121.40408163265307</v>
      </c>
      <c r="E448">
        <f t="shared" si="220"/>
        <v>99.901224489795922</v>
      </c>
      <c r="F448">
        <f t="shared" si="220"/>
        <v>86.318367346938786</v>
      </c>
      <c r="G448">
        <f t="shared" si="220"/>
        <v>79.514897959183671</v>
      </c>
      <c r="H448">
        <f t="shared" si="220"/>
        <v>84.431020408163263</v>
      </c>
      <c r="I448">
        <f t="shared" si="220"/>
        <v>94.824489795918382</v>
      </c>
      <c r="J448">
        <f t="shared" si="220"/>
        <v>106.22857142857144</v>
      </c>
      <c r="K448">
        <f t="shared" si="220"/>
        <v>77.892244897959188</v>
      </c>
      <c r="L448">
        <f t="shared" si="220"/>
        <v>87.342812500000008</v>
      </c>
      <c r="M448">
        <f t="shared" si="220"/>
        <v>87.149387755102012</v>
      </c>
      <c r="N448">
        <f t="shared" si="220"/>
        <v>95.671020408163258</v>
      </c>
      <c r="O448">
        <f t="shared" si="220"/>
        <v>85.937551020408179</v>
      </c>
      <c r="P448">
        <f t="shared" si="220"/>
        <v>101.20000000000002</v>
      </c>
      <c r="Q448">
        <f t="shared" si="220"/>
        <v>97.064489795918391</v>
      </c>
      <c r="R448">
        <f t="shared" si="220"/>
        <v>71.852448979591841</v>
      </c>
      <c r="S448">
        <f t="shared" si="220"/>
        <v>52.52918367346939</v>
      </c>
      <c r="T448">
        <f t="shared" si="220"/>
        <v>82.371428571428567</v>
      </c>
      <c r="U448">
        <f t="shared" si="220"/>
        <v>79.75</v>
      </c>
      <c r="V448">
        <f t="shared" si="220"/>
        <v>68.42775510204082</v>
      </c>
      <c r="W448">
        <f t="shared" si="220"/>
        <v>97.993469387755098</v>
      </c>
      <c r="Y448" s="17">
        <f t="shared" si="205"/>
        <v>1757.8044451530614</v>
      </c>
      <c r="Z448">
        <f t="shared" si="206"/>
        <v>176.32695318678421</v>
      </c>
    </row>
    <row r="449" spans="1:26" x14ac:dyDescent="0.25">
      <c r="A449" t="s">
        <v>58</v>
      </c>
      <c r="D449">
        <f t="shared" ref="D449:W449" si="221">D17*D233</f>
        <v>123.71755102040817</v>
      </c>
      <c r="E449">
        <f t="shared" si="221"/>
        <v>114.6755102040816</v>
      </c>
      <c r="F449">
        <f t="shared" si="221"/>
        <v>118.06122448979592</v>
      </c>
      <c r="G449">
        <f t="shared" si="221"/>
        <v>97.60979591836734</v>
      </c>
      <c r="H449">
        <f t="shared" si="221"/>
        <v>97.567346938775501</v>
      </c>
      <c r="I449">
        <f t="shared" si="221"/>
        <v>85.988571428571419</v>
      </c>
      <c r="J449">
        <f t="shared" si="221"/>
        <v>101.45714285714283</v>
      </c>
      <c r="K449">
        <f t="shared" si="221"/>
        <v>109.27755102040814</v>
      </c>
      <c r="L449">
        <f t="shared" si="221"/>
        <v>81.677812499999987</v>
      </c>
      <c r="M449">
        <f t="shared" si="221"/>
        <v>0</v>
      </c>
      <c r="N449">
        <f t="shared" si="221"/>
        <v>78.575102040816333</v>
      </c>
      <c r="O449">
        <f t="shared" si="221"/>
        <v>71.571428571428584</v>
      </c>
      <c r="P449">
        <f t="shared" si="221"/>
        <v>98.932653061224471</v>
      </c>
      <c r="Q449">
        <f t="shared" si="221"/>
        <v>66.191020408163254</v>
      </c>
      <c r="R449">
        <f t="shared" si="221"/>
        <v>67.939591836734692</v>
      </c>
      <c r="S449">
        <f t="shared" si="221"/>
        <v>70.38</v>
      </c>
      <c r="T449">
        <f t="shared" si="221"/>
        <v>77.701224489795933</v>
      </c>
      <c r="U449">
        <f t="shared" si="221"/>
        <v>110.49795918367349</v>
      </c>
      <c r="V449">
        <f t="shared" si="221"/>
        <v>69.138367346938765</v>
      </c>
      <c r="W449">
        <f t="shared" si="221"/>
        <v>76.07122448979591</v>
      </c>
      <c r="Y449" s="17">
        <f t="shared" si="205"/>
        <v>1717.0310778061225</v>
      </c>
      <c r="Z449">
        <f t="shared" si="206"/>
        <v>197.96648382886102</v>
      </c>
    </row>
    <row r="450" spans="1:26" x14ac:dyDescent="0.25">
      <c r="A450" t="s">
        <v>59</v>
      </c>
      <c r="D450">
        <f t="shared" ref="D450:W450" si="222">D18*D234</f>
        <v>102.68367346938777</v>
      </c>
      <c r="E450">
        <f t="shared" si="222"/>
        <v>120.04081632653062</v>
      </c>
      <c r="F450">
        <f t="shared" si="222"/>
        <v>95.752857142857152</v>
      </c>
      <c r="G450">
        <f t="shared" si="222"/>
        <v>89.427551020408146</v>
      </c>
      <c r="H450">
        <f t="shared" si="222"/>
        <v>102.41428571428573</v>
      </c>
      <c r="I450">
        <f t="shared" si="222"/>
        <v>127.16326530612245</v>
      </c>
      <c r="J450">
        <f t="shared" si="222"/>
        <v>98.391836734693882</v>
      </c>
      <c r="K450">
        <f t="shared" si="222"/>
        <v>98.106326530612264</v>
      </c>
      <c r="L450">
        <f t="shared" si="222"/>
        <v>91.475510204081644</v>
      </c>
      <c r="M450">
        <f t="shared" si="222"/>
        <v>76.182857142857145</v>
      </c>
      <c r="N450">
        <f t="shared" si="222"/>
        <v>92.752653061224493</v>
      </c>
      <c r="O450">
        <f t="shared" si="222"/>
        <v>83.96163265306123</v>
      </c>
      <c r="P450">
        <f t="shared" si="222"/>
        <v>97.833061224489782</v>
      </c>
      <c r="Q450">
        <f t="shared" si="222"/>
        <v>79.305714285714302</v>
      </c>
      <c r="R450">
        <f t="shared" si="222"/>
        <v>87.681224489795895</v>
      </c>
      <c r="S450">
        <f t="shared" si="222"/>
        <v>155.93673469387755</v>
      </c>
      <c r="T450">
        <f t="shared" si="222"/>
        <v>158.38367346938776</v>
      </c>
      <c r="U450">
        <f t="shared" si="222"/>
        <v>97.153265306122435</v>
      </c>
      <c r="V450">
        <f t="shared" si="222"/>
        <v>84.677142857142854</v>
      </c>
      <c r="W450">
        <f t="shared" si="222"/>
        <v>56.370612244897941</v>
      </c>
      <c r="Y450" s="17">
        <f t="shared" si="205"/>
        <v>1995.6946938775509</v>
      </c>
      <c r="Z450">
        <f t="shared" si="206"/>
        <v>202.83471668544715</v>
      </c>
    </row>
    <row r="451" spans="1:26" x14ac:dyDescent="0.25">
      <c r="A451" t="s">
        <v>60</v>
      </c>
      <c r="D451">
        <f t="shared" ref="D451:W451" si="223">D19*D235</f>
        <v>83.628163265306128</v>
      </c>
      <c r="E451">
        <f t="shared" si="223"/>
        <v>92.47551020408163</v>
      </c>
      <c r="F451">
        <f t="shared" si="223"/>
        <v>90.826530612244895</v>
      </c>
      <c r="G451">
        <f t="shared" si="223"/>
        <v>84.296938775510199</v>
      </c>
      <c r="H451">
        <f t="shared" si="223"/>
        <v>65.13</v>
      </c>
      <c r="I451">
        <f t="shared" si="223"/>
        <v>92.642448979591848</v>
      </c>
      <c r="J451">
        <f t="shared" si="223"/>
        <v>98.132244897959168</v>
      </c>
      <c r="K451">
        <f t="shared" si="223"/>
        <v>109.82000000000002</v>
      </c>
      <c r="L451">
        <f t="shared" si="223"/>
        <v>84.03749999999998</v>
      </c>
      <c r="M451">
        <f t="shared" si="223"/>
        <v>86.478979591836747</v>
      </c>
      <c r="N451">
        <f t="shared" si="223"/>
        <v>84.55</v>
      </c>
      <c r="O451">
        <f t="shared" si="223"/>
        <v>82.89795918367345</v>
      </c>
      <c r="P451">
        <f t="shared" si="223"/>
        <v>86.351020408163251</v>
      </c>
      <c r="Q451">
        <f t="shared" si="223"/>
        <v>103.81224489795916</v>
      </c>
      <c r="R451">
        <f t="shared" si="223"/>
        <v>102.86816326530614</v>
      </c>
      <c r="S451">
        <f t="shared" si="223"/>
        <v>88.471836734693852</v>
      </c>
      <c r="T451">
        <f t="shared" si="223"/>
        <v>112.88938775510205</v>
      </c>
      <c r="U451">
        <f t="shared" si="223"/>
        <v>100.85816326530612</v>
      </c>
      <c r="V451">
        <f t="shared" si="223"/>
        <v>50.429387755102049</v>
      </c>
      <c r="W451">
        <f t="shared" si="223"/>
        <v>81.980408163265324</v>
      </c>
      <c r="Y451" s="17">
        <f t="shared" si="205"/>
        <v>1782.5768877551018</v>
      </c>
      <c r="Z451">
        <f t="shared" si="206"/>
        <v>169.72976669044067</v>
      </c>
    </row>
    <row r="452" spans="1:26" x14ac:dyDescent="0.25">
      <c r="A452" t="s">
        <v>61</v>
      </c>
      <c r="D452">
        <f t="shared" ref="D452:W452" si="224">D20*D236</f>
        <v>158.62857142857143</v>
      </c>
      <c r="E452">
        <f t="shared" si="224"/>
        <v>122.87755102040819</v>
      </c>
      <c r="F452">
        <f t="shared" si="224"/>
        <v>100.63387755102042</v>
      </c>
      <c r="G452">
        <f t="shared" si="224"/>
        <v>123.05510204081632</v>
      </c>
      <c r="H452">
        <f t="shared" si="224"/>
        <v>106.64204081632651</v>
      </c>
      <c r="I452">
        <f t="shared" si="224"/>
        <v>102.66122448979593</v>
      </c>
      <c r="J452">
        <f t="shared" si="224"/>
        <v>103.91510204081632</v>
      </c>
      <c r="K452">
        <f t="shared" si="224"/>
        <v>103.33163265306121</v>
      </c>
      <c r="L452">
        <f t="shared" si="224"/>
        <v>82.759374999999991</v>
      </c>
      <c r="M452">
        <f t="shared" si="224"/>
        <v>270.54857142857145</v>
      </c>
      <c r="N452">
        <f t="shared" si="224"/>
        <v>297.47142857142859</v>
      </c>
      <c r="O452">
        <f t="shared" si="224"/>
        <v>304.41489795918363</v>
      </c>
      <c r="P452">
        <f t="shared" si="224"/>
        <v>317.48571428571427</v>
      </c>
      <c r="Q452">
        <f t="shared" si="224"/>
        <v>333.85469387755097</v>
      </c>
      <c r="R452">
        <f t="shared" si="224"/>
        <v>359.78163265306131</v>
      </c>
      <c r="S452">
        <f t="shared" si="224"/>
        <v>376.17673469387751</v>
      </c>
      <c r="T452">
        <f t="shared" si="224"/>
        <v>385.13387755102042</v>
      </c>
      <c r="U452">
        <f t="shared" si="224"/>
        <v>410.49551020408165</v>
      </c>
      <c r="V452">
        <f t="shared" si="224"/>
        <v>379.34000000000003</v>
      </c>
      <c r="W452">
        <f t="shared" si="224"/>
        <v>462.41632653061225</v>
      </c>
      <c r="Y452" s="17">
        <f t="shared" si="205"/>
        <v>4901.6238647959181</v>
      </c>
      <c r="Z452">
        <f t="shared" si="206"/>
        <v>77.534661849776171</v>
      </c>
    </row>
    <row r="453" spans="1:26" x14ac:dyDescent="0.25">
      <c r="A453" t="s">
        <v>62</v>
      </c>
      <c r="D453">
        <f t="shared" ref="D453:W453" si="225">D21*D237</f>
        <v>352.44000000000005</v>
      </c>
      <c r="E453">
        <f t="shared" si="225"/>
        <v>361.66040816326529</v>
      </c>
      <c r="F453">
        <f t="shared" si="225"/>
        <v>364.05061224489793</v>
      </c>
      <c r="G453">
        <f t="shared" si="225"/>
        <v>349.64285714285717</v>
      </c>
      <c r="H453">
        <f t="shared" si="225"/>
        <v>353.84081632653061</v>
      </c>
      <c r="I453">
        <f t="shared" si="225"/>
        <v>337.97285714285709</v>
      </c>
      <c r="J453">
        <f t="shared" si="225"/>
        <v>327.89265306122451</v>
      </c>
      <c r="K453">
        <f t="shared" si="225"/>
        <v>282.27979591836737</v>
      </c>
      <c r="L453">
        <f t="shared" si="225"/>
        <v>240.94515625</v>
      </c>
      <c r="M453">
        <f t="shared" si="225"/>
        <v>82.474132653061233</v>
      </c>
      <c r="N453">
        <f t="shared" si="225"/>
        <v>98.09554285714286</v>
      </c>
      <c r="O453">
        <f t="shared" si="225"/>
        <v>82.216079591836746</v>
      </c>
      <c r="P453">
        <f t="shared" si="225"/>
        <v>73.416620408163269</v>
      </c>
      <c r="Q453">
        <f t="shared" si="225"/>
        <v>87.283026530612219</v>
      </c>
      <c r="R453">
        <f t="shared" si="225"/>
        <v>80.666748979591844</v>
      </c>
      <c r="S453">
        <f t="shared" si="225"/>
        <v>88.833220408163271</v>
      </c>
      <c r="T453">
        <f t="shared" si="225"/>
        <v>88.683465306122443</v>
      </c>
      <c r="U453">
        <f t="shared" si="225"/>
        <v>82.110085714285702</v>
      </c>
      <c r="V453">
        <f t="shared" si="225"/>
        <v>73.165910204081641</v>
      </c>
      <c r="W453">
        <f t="shared" si="225"/>
        <v>101.2298857142857</v>
      </c>
      <c r="Y453" s="17">
        <f t="shared" si="205"/>
        <v>3908.8998746173461</v>
      </c>
      <c r="Z453">
        <f t="shared" si="206"/>
        <v>720.08725751415852</v>
      </c>
    </row>
    <row r="454" spans="1:26" x14ac:dyDescent="0.25">
      <c r="A454" t="s">
        <v>63</v>
      </c>
      <c r="D454">
        <f t="shared" ref="D454:W454" si="226">D22*D238</f>
        <v>115.16654489795916</v>
      </c>
      <c r="E454">
        <f t="shared" si="226"/>
        <v>105.85109795918368</v>
      </c>
      <c r="F454">
        <f t="shared" si="226"/>
        <v>116.98164081632652</v>
      </c>
      <c r="G454">
        <f t="shared" si="226"/>
        <v>123.12525510204081</v>
      </c>
      <c r="H454">
        <f t="shared" si="226"/>
        <v>78.345991836734697</v>
      </c>
      <c r="I454">
        <f t="shared" si="226"/>
        <v>218.05457142857139</v>
      </c>
      <c r="J454">
        <f t="shared" si="226"/>
        <v>88.651608163265294</v>
      </c>
      <c r="K454">
        <f t="shared" si="226"/>
        <v>90.809265306122441</v>
      </c>
      <c r="L454">
        <f t="shared" si="226"/>
        <v>91.599218750000006</v>
      </c>
      <c r="M454">
        <f t="shared" si="226"/>
        <v>67.632244897959183</v>
      </c>
      <c r="N454">
        <f t="shared" si="226"/>
        <v>81.308571428571426</v>
      </c>
      <c r="O454">
        <f t="shared" si="226"/>
        <v>102.46000000000001</v>
      </c>
      <c r="P454">
        <f t="shared" si="226"/>
        <v>70.587346938775511</v>
      </c>
      <c r="Q454">
        <f t="shared" si="226"/>
        <v>89.550204081632657</v>
      </c>
      <c r="R454">
        <f t="shared" si="226"/>
        <v>95.456122448979613</v>
      </c>
      <c r="S454">
        <f t="shared" si="226"/>
        <v>108.9</v>
      </c>
      <c r="T454">
        <f t="shared" si="226"/>
        <v>122.12244897959185</v>
      </c>
      <c r="U454">
        <f t="shared" si="226"/>
        <v>98.291428571428582</v>
      </c>
      <c r="V454">
        <f t="shared" si="226"/>
        <v>98.364897959183708</v>
      </c>
      <c r="W454">
        <f t="shared" si="226"/>
        <v>117.18163265306123</v>
      </c>
      <c r="Y454" s="17">
        <f t="shared" si="205"/>
        <v>2080.4400922193881</v>
      </c>
      <c r="Z454">
        <f t="shared" si="206"/>
        <v>232.24180734419821</v>
      </c>
    </row>
    <row r="455" spans="1:26" x14ac:dyDescent="0.25">
      <c r="A455" t="s">
        <v>64</v>
      </c>
      <c r="D455">
        <f t="shared" ref="D455:W455" si="227">D23*D239</f>
        <v>140.74346938775511</v>
      </c>
      <c r="E455">
        <f t="shared" si="227"/>
        <v>147.98000000000002</v>
      </c>
      <c r="F455">
        <f t="shared" si="227"/>
        <v>131.81224489795918</v>
      </c>
      <c r="G455">
        <f t="shared" si="227"/>
        <v>126.47755102040816</v>
      </c>
      <c r="H455">
        <f t="shared" si="227"/>
        <v>91.848979591836738</v>
      </c>
      <c r="I455">
        <f t="shared" si="227"/>
        <v>116.95999999999998</v>
      </c>
      <c r="J455">
        <f t="shared" si="227"/>
        <v>105.60122448979592</v>
      </c>
      <c r="K455">
        <f t="shared" si="227"/>
        <v>108.71183673469388</v>
      </c>
      <c r="L455">
        <f t="shared" si="227"/>
        <v>102.41015625</v>
      </c>
      <c r="M455">
        <f t="shared" si="227"/>
        <v>101.34367346938775</v>
      </c>
      <c r="N455">
        <f t="shared" si="227"/>
        <v>77.723265306122443</v>
      </c>
      <c r="O455">
        <f t="shared" si="227"/>
        <v>82.328571428571422</v>
      </c>
      <c r="P455">
        <f t="shared" si="227"/>
        <v>110.12571428571428</v>
      </c>
      <c r="Q455">
        <f t="shared" si="227"/>
        <v>97.514693877551025</v>
      </c>
      <c r="R455">
        <f t="shared" si="227"/>
        <v>115.59306122448977</v>
      </c>
      <c r="S455">
        <f t="shared" si="227"/>
        <v>91.546122448979574</v>
      </c>
      <c r="T455">
        <f t="shared" si="227"/>
        <v>101.80326530612246</v>
      </c>
      <c r="U455">
        <f t="shared" si="227"/>
        <v>110.22040816326529</v>
      </c>
      <c r="V455">
        <f t="shared" si="227"/>
        <v>101.28367346938775</v>
      </c>
      <c r="W455">
        <f t="shared" si="227"/>
        <v>93.507142857142867</v>
      </c>
      <c r="Y455" s="17">
        <f t="shared" si="205"/>
        <v>2155.5350542091837</v>
      </c>
      <c r="Z455">
        <f t="shared" si="206"/>
        <v>230.81863158638461</v>
      </c>
    </row>
    <row r="456" spans="1:26" x14ac:dyDescent="0.25">
      <c r="A456" t="s">
        <v>65</v>
      </c>
      <c r="D456">
        <f t="shared" ref="D456:W456" si="228">D24*D240</f>
        <v>128.81469387755101</v>
      </c>
      <c r="E456">
        <f t="shared" si="228"/>
        <v>117.84163265306121</v>
      </c>
      <c r="F456">
        <f t="shared" si="228"/>
        <v>86.715918367346944</v>
      </c>
      <c r="G456">
        <f t="shared" si="228"/>
        <v>70.323673469387742</v>
      </c>
      <c r="H456">
        <f t="shared" si="228"/>
        <v>78.969387755102034</v>
      </c>
      <c r="I456">
        <f t="shared" si="228"/>
        <v>91.938775510204067</v>
      </c>
      <c r="J456">
        <f t="shared" si="228"/>
        <v>85.872653061224483</v>
      </c>
      <c r="K456">
        <f t="shared" si="228"/>
        <v>96.078367346938762</v>
      </c>
      <c r="L456">
        <f t="shared" si="228"/>
        <v>93.0703125</v>
      </c>
      <c r="M456">
        <f t="shared" si="228"/>
        <v>107.23673469387752</v>
      </c>
      <c r="N456">
        <f t="shared" si="228"/>
        <v>85.779591836734681</v>
      </c>
      <c r="O456">
        <f t="shared" si="228"/>
        <v>91.622448979591852</v>
      </c>
      <c r="P456">
        <f t="shared" si="228"/>
        <v>61.970204081632666</v>
      </c>
      <c r="Q456">
        <f t="shared" si="228"/>
        <v>108.63734693877552</v>
      </c>
      <c r="R456">
        <f t="shared" si="228"/>
        <v>95.495714285714271</v>
      </c>
      <c r="S456">
        <f t="shared" si="228"/>
        <v>92.344693877551009</v>
      </c>
      <c r="T456">
        <f t="shared" si="228"/>
        <v>70.137142857142848</v>
      </c>
      <c r="U456">
        <f t="shared" si="228"/>
        <v>56.682857142857145</v>
      </c>
      <c r="V456">
        <f t="shared" si="228"/>
        <v>92.285714285714278</v>
      </c>
      <c r="W456">
        <f t="shared" si="228"/>
        <v>70.543673469387727</v>
      </c>
      <c r="Y456" s="17">
        <f t="shared" si="205"/>
        <v>1782.3615369897957</v>
      </c>
      <c r="Z456">
        <f t="shared" si="206"/>
        <v>188.03989092044509</v>
      </c>
    </row>
    <row r="457" spans="1:26" x14ac:dyDescent="0.25">
      <c r="A457" t="s">
        <v>66</v>
      </c>
      <c r="D457">
        <f t="shared" ref="D457:W457" si="229">D25*D241</f>
        <v>108.78857142857147</v>
      </c>
      <c r="E457">
        <f t="shared" si="229"/>
        <v>93.865714285714276</v>
      </c>
      <c r="F457">
        <f t="shared" si="229"/>
        <v>77.336734693877531</v>
      </c>
      <c r="G457">
        <f t="shared" si="229"/>
        <v>86.183673469387756</v>
      </c>
      <c r="H457">
        <f t="shared" si="229"/>
        <v>58.121428571428567</v>
      </c>
      <c r="I457">
        <f t="shared" si="229"/>
        <v>110.0342857142857</v>
      </c>
      <c r="J457">
        <f t="shared" si="229"/>
        <v>99.203673469387752</v>
      </c>
      <c r="K457">
        <f t="shared" si="229"/>
        <v>62.632653061224509</v>
      </c>
      <c r="L457">
        <f t="shared" si="229"/>
        <v>90.488437500000003</v>
      </c>
      <c r="M457">
        <f t="shared" si="229"/>
        <v>95.540612244897943</v>
      </c>
      <c r="N457">
        <f t="shared" si="229"/>
        <v>101.40653061224488</v>
      </c>
      <c r="O457">
        <f t="shared" si="229"/>
        <v>79.001020408163257</v>
      </c>
      <c r="P457">
        <f t="shared" si="229"/>
        <v>79.708571428571418</v>
      </c>
      <c r="Q457">
        <f t="shared" si="229"/>
        <v>88.408571428571406</v>
      </c>
      <c r="R457">
        <f t="shared" si="229"/>
        <v>89.112653061224492</v>
      </c>
      <c r="S457">
        <f t="shared" si="229"/>
        <v>104.80816326530612</v>
      </c>
      <c r="T457">
        <f t="shared" si="229"/>
        <v>94.840816326530614</v>
      </c>
      <c r="U457">
        <f t="shared" si="229"/>
        <v>104.58000000000001</v>
      </c>
      <c r="V457">
        <f t="shared" si="229"/>
        <v>95.868163265306137</v>
      </c>
      <c r="W457">
        <f t="shared" si="229"/>
        <v>76.930612244897958</v>
      </c>
      <c r="Y457" s="17">
        <f t="shared" si="205"/>
        <v>1796.8608864795915</v>
      </c>
      <c r="Z457">
        <f t="shared" si="206"/>
        <v>170.11239353064261</v>
      </c>
    </row>
    <row r="458" spans="1:26" x14ac:dyDescent="0.25">
      <c r="A458" t="s">
        <v>67</v>
      </c>
      <c r="D458">
        <f t="shared" ref="D458:W458" si="230">D26*D242</f>
        <v>95.608979591836757</v>
      </c>
      <c r="E458">
        <f t="shared" si="230"/>
        <v>104.21734693877551</v>
      </c>
      <c r="F458">
        <f t="shared" si="230"/>
        <v>141.27816326530615</v>
      </c>
      <c r="G458">
        <f t="shared" si="230"/>
        <v>109.76571428571427</v>
      </c>
      <c r="H458">
        <f t="shared" si="230"/>
        <v>100.68734693877552</v>
      </c>
      <c r="I458">
        <f t="shared" si="230"/>
        <v>93.065306122449002</v>
      </c>
      <c r="J458">
        <f t="shared" si="230"/>
        <v>115.28448979591836</v>
      </c>
      <c r="K458">
        <f t="shared" si="230"/>
        <v>115.51632653061225</v>
      </c>
      <c r="L458">
        <f t="shared" si="230"/>
        <v>119.71428571428572</v>
      </c>
      <c r="M458">
        <f t="shared" si="230"/>
        <v>109.87775510204084</v>
      </c>
      <c r="N458">
        <f t="shared" si="230"/>
        <v>95.866122448979581</v>
      </c>
      <c r="O458">
        <f t="shared" si="230"/>
        <v>103.5595918367347</v>
      </c>
      <c r="P458">
        <f t="shared" si="230"/>
        <v>104.63714285714283</v>
      </c>
      <c r="Q458">
        <f t="shared" si="230"/>
        <v>106.83489795918368</v>
      </c>
      <c r="R458">
        <f t="shared" si="230"/>
        <v>91.441428571428574</v>
      </c>
      <c r="S458">
        <f t="shared" si="230"/>
        <v>90.011020408163262</v>
      </c>
      <c r="T458">
        <f t="shared" si="230"/>
        <v>90.61</v>
      </c>
      <c r="U458">
        <f t="shared" si="230"/>
        <v>95.188775510204067</v>
      </c>
      <c r="V458">
        <f t="shared" si="230"/>
        <v>92.549999999999983</v>
      </c>
      <c r="W458">
        <f t="shared" si="230"/>
        <v>82.65306122448979</v>
      </c>
      <c r="Y458" s="17">
        <f t="shared" si="205"/>
        <v>2058.3677551020405</v>
      </c>
      <c r="Z458">
        <f t="shared" si="206"/>
        <v>209.48067502872749</v>
      </c>
    </row>
    <row r="459" spans="1:26" x14ac:dyDescent="0.25">
      <c r="A459" t="s">
        <v>68</v>
      </c>
      <c r="D459">
        <f t="shared" ref="D459:W459" si="231">D27*D243</f>
        <v>148.59081632653059</v>
      </c>
      <c r="E459">
        <f t="shared" si="231"/>
        <v>115.83673469387756</v>
      </c>
      <c r="F459">
        <f t="shared" si="231"/>
        <v>131.2065306122449</v>
      </c>
      <c r="G459">
        <f t="shared" si="231"/>
        <v>166.09959183673473</v>
      </c>
      <c r="H459">
        <f t="shared" si="231"/>
        <v>146.43734693877551</v>
      </c>
      <c r="I459">
        <f t="shared" si="231"/>
        <v>131.73204081632653</v>
      </c>
      <c r="J459">
        <f t="shared" si="231"/>
        <v>71.357142857142875</v>
      </c>
      <c r="K459">
        <f t="shared" si="231"/>
        <v>88.995510204081654</v>
      </c>
      <c r="L459">
        <f t="shared" si="231"/>
        <v>87.0078125</v>
      </c>
      <c r="M459">
        <f t="shared" si="231"/>
        <v>80.46734693877552</v>
      </c>
      <c r="N459">
        <f t="shared" si="231"/>
        <v>95.750204081632646</v>
      </c>
      <c r="O459">
        <f t="shared" si="231"/>
        <v>77.184285714285721</v>
      </c>
      <c r="P459">
        <f t="shared" si="231"/>
        <v>109.73142857142857</v>
      </c>
      <c r="Q459">
        <f t="shared" si="231"/>
        <v>113.02857142857141</v>
      </c>
      <c r="R459">
        <f t="shared" si="231"/>
        <v>119.52551020408164</v>
      </c>
      <c r="S459">
        <f t="shared" si="231"/>
        <v>118.84897959183675</v>
      </c>
      <c r="T459">
        <f t="shared" si="231"/>
        <v>99.029795918367356</v>
      </c>
      <c r="U459">
        <f t="shared" si="231"/>
        <v>114.34040816326531</v>
      </c>
      <c r="V459">
        <f t="shared" si="231"/>
        <v>79.776122448979606</v>
      </c>
      <c r="W459">
        <f t="shared" si="231"/>
        <v>80.253469387755104</v>
      </c>
      <c r="Y459" s="17">
        <f t="shared" si="205"/>
        <v>2175.1996492346939</v>
      </c>
      <c r="Z459">
        <f t="shared" si="206"/>
        <v>227.31324983060975</v>
      </c>
    </row>
    <row r="460" spans="1:26" x14ac:dyDescent="0.25">
      <c r="A460" t="s">
        <v>69</v>
      </c>
      <c r="D460">
        <f t="shared" ref="D460:W460" si="232">D28*D244</f>
        <v>102.08326530612243</v>
      </c>
      <c r="E460">
        <f t="shared" si="232"/>
        <v>117.23163265306123</v>
      </c>
      <c r="F460">
        <f t="shared" si="232"/>
        <v>123.59918367346938</v>
      </c>
      <c r="G460">
        <f t="shared" si="232"/>
        <v>109.81591836734692</v>
      </c>
      <c r="H460">
        <f t="shared" si="232"/>
        <v>118.71428571428574</v>
      </c>
      <c r="I460">
        <f t="shared" si="232"/>
        <v>136.5685714285714</v>
      </c>
      <c r="J460">
        <f t="shared" si="232"/>
        <v>97.357142857142861</v>
      </c>
      <c r="K460">
        <f t="shared" si="232"/>
        <v>111.06306122448979</v>
      </c>
      <c r="L460">
        <f t="shared" si="232"/>
        <v>91.558906249999978</v>
      </c>
      <c r="M460">
        <f t="shared" si="232"/>
        <v>80.8515306122449</v>
      </c>
      <c r="N460">
        <f t="shared" si="232"/>
        <v>67.720918367346925</v>
      </c>
      <c r="O460">
        <f t="shared" si="232"/>
        <v>76.427653061224504</v>
      </c>
      <c r="P460">
        <f t="shared" si="232"/>
        <v>86.172244897959175</v>
      </c>
      <c r="Q460">
        <f t="shared" si="232"/>
        <v>89.101428571428599</v>
      </c>
      <c r="R460">
        <f t="shared" si="232"/>
        <v>55.657890625000014</v>
      </c>
      <c r="S460">
        <f t="shared" si="232"/>
        <v>87.99</v>
      </c>
      <c r="T460">
        <f t="shared" si="232"/>
        <v>76.659183673468974</v>
      </c>
      <c r="U460">
        <f t="shared" si="232"/>
        <v>101.09755102040749</v>
      </c>
      <c r="V460">
        <f t="shared" si="232"/>
        <v>56.961632653061201</v>
      </c>
      <c r="W460">
        <f t="shared" si="232"/>
        <v>82.040816326530589</v>
      </c>
      <c r="Y460" s="17">
        <f t="shared" si="205"/>
        <v>1868.6728172831622</v>
      </c>
      <c r="Z460">
        <f t="shared" si="206"/>
        <v>223.66714752030515</v>
      </c>
    </row>
    <row r="461" spans="1:26" x14ac:dyDescent="0.25">
      <c r="Y461" s="17"/>
    </row>
    <row r="462" spans="1:26" x14ac:dyDescent="0.25">
      <c r="A462" t="s">
        <v>70</v>
      </c>
      <c r="D462">
        <f t="shared" ref="D462:W462" si="233">D30*D246</f>
        <v>107.17142857142856</v>
      </c>
      <c r="E462">
        <f t="shared" si="233"/>
        <v>110.34183673469389</v>
      </c>
      <c r="F462">
        <f t="shared" si="233"/>
        <v>119.31132653061225</v>
      </c>
      <c r="G462">
        <f t="shared" si="233"/>
        <v>102.26071428571429</v>
      </c>
      <c r="H462">
        <f t="shared" si="233"/>
        <v>116.87724489795919</v>
      </c>
      <c r="I462">
        <f t="shared" si="233"/>
        <v>121.14061224489801</v>
      </c>
      <c r="J462">
        <f t="shared" si="233"/>
        <v>113.74438775510203</v>
      </c>
      <c r="K462">
        <f t="shared" si="233"/>
        <v>111.27698979591838</v>
      </c>
      <c r="L462">
        <f t="shared" si="233"/>
        <v>88.99257812499998</v>
      </c>
      <c r="M462">
        <f t="shared" si="233"/>
        <v>84.395918367346937</v>
      </c>
      <c r="N462">
        <f t="shared" si="233"/>
        <v>100.56428571428572</v>
      </c>
      <c r="O462">
        <f t="shared" si="233"/>
        <v>88.791836734693874</v>
      </c>
      <c r="P462">
        <f t="shared" si="233"/>
        <v>87.419999999999987</v>
      </c>
      <c r="Q462">
        <f t="shared" si="233"/>
        <v>118.86122448979651</v>
      </c>
      <c r="R462">
        <f t="shared" si="233"/>
        <v>118.72653061224487</v>
      </c>
      <c r="S462">
        <f t="shared" si="233"/>
        <v>126.28431145218418</v>
      </c>
      <c r="T462">
        <f t="shared" si="233"/>
        <v>141.6607346938768</v>
      </c>
      <c r="U462">
        <f t="shared" si="233"/>
        <v>97.279109461966598</v>
      </c>
      <c r="V462">
        <f t="shared" si="233"/>
        <v>101.53902411873827</v>
      </c>
      <c r="W462">
        <f t="shared" si="233"/>
        <v>100.31134508348795</v>
      </c>
      <c r="Y462" s="17">
        <f t="shared" si="205"/>
        <v>2156.9514396699483</v>
      </c>
      <c r="Z462">
        <f>SUMPRODUCT($D$466:$W$466,D462:W462)</f>
        <v>209.00499759340022</v>
      </c>
    </row>
    <row r="463" spans="1:26" x14ac:dyDescent="0.25">
      <c r="A463" t="s">
        <v>314</v>
      </c>
      <c r="D463">
        <f t="shared" ref="D463:W463" si="234">D31*D247</f>
        <v>141.72</v>
      </c>
      <c r="E463">
        <f t="shared" si="234"/>
        <v>118.24591836734695</v>
      </c>
      <c r="F463">
        <f t="shared" si="234"/>
        <v>107.11591836734695</v>
      </c>
      <c r="G463">
        <f t="shared" si="234"/>
        <v>121.14693877551024</v>
      </c>
      <c r="H463">
        <f t="shared" si="234"/>
        <v>127.17387755102041</v>
      </c>
      <c r="I463">
        <f t="shared" si="234"/>
        <v>105.12122448979588</v>
      </c>
      <c r="J463">
        <f t="shared" si="234"/>
        <v>101.48571428571428</v>
      </c>
      <c r="K463">
        <f t="shared" si="234"/>
        <v>93.451224489795933</v>
      </c>
      <c r="L463">
        <f t="shared" si="234"/>
        <v>48.896249999999995</v>
      </c>
      <c r="M463">
        <f t="shared" si="234"/>
        <v>67.260000000000005</v>
      </c>
      <c r="N463">
        <f t="shared" si="234"/>
        <v>86.652244897959179</v>
      </c>
      <c r="O463">
        <f t="shared" si="234"/>
        <v>73.878979591836753</v>
      </c>
      <c r="P463">
        <f t="shared" si="234"/>
        <v>84.8</v>
      </c>
      <c r="Q463">
        <f t="shared" si="234"/>
        <v>129.97999999999999</v>
      </c>
      <c r="R463">
        <f t="shared" si="234"/>
        <v>116.62000000000002</v>
      </c>
      <c r="S463">
        <f t="shared" si="234"/>
        <v>111.36</v>
      </c>
      <c r="T463">
        <f t="shared" si="234"/>
        <v>107.1934693877551</v>
      </c>
      <c r="U463">
        <f t="shared" si="234"/>
        <v>88.620408163265324</v>
      </c>
      <c r="V463">
        <f t="shared" si="234"/>
        <v>74.135510204081655</v>
      </c>
      <c r="W463">
        <f t="shared" si="234"/>
        <v>104.8726530612245</v>
      </c>
      <c r="Y463" s="17">
        <f t="shared" si="205"/>
        <v>2009.7303316326531</v>
      </c>
      <c r="Z463">
        <f>SUMPRODUCT($D$466:$W$466,D463:W463)</f>
        <v>200.11399848370422</v>
      </c>
    </row>
    <row r="464" spans="1:26" x14ac:dyDescent="0.25">
      <c r="A464" t="s">
        <v>315</v>
      </c>
      <c r="D464">
        <f t="shared" ref="D464:W464" si="235">D32*D248</f>
        <v>111.65142857142858</v>
      </c>
      <c r="E464">
        <f t="shared" si="235"/>
        <v>137.21142857142857</v>
      </c>
      <c r="F464">
        <f t="shared" si="235"/>
        <v>129.98326530612246</v>
      </c>
      <c r="G464">
        <f t="shared" si="235"/>
        <v>120.71020408163265</v>
      </c>
      <c r="H464">
        <f t="shared" si="235"/>
        <v>125.60000000000002</v>
      </c>
      <c r="I464">
        <f t="shared" si="235"/>
        <v>99.030612244897966</v>
      </c>
      <c r="J464">
        <f t="shared" si="235"/>
        <v>152.54877551020405</v>
      </c>
      <c r="K464">
        <f t="shared" si="235"/>
        <v>77.810204081632648</v>
      </c>
      <c r="L464">
        <f t="shared" si="235"/>
        <v>61.290937500000005</v>
      </c>
      <c r="M464">
        <f t="shared" si="235"/>
        <v>82.88</v>
      </c>
      <c r="N464">
        <f t="shared" si="235"/>
        <v>109.88</v>
      </c>
      <c r="O464">
        <f t="shared" si="235"/>
        <v>73.44</v>
      </c>
      <c r="P464">
        <f t="shared" si="235"/>
        <v>111.18192467532465</v>
      </c>
      <c r="Q464">
        <f t="shared" si="235"/>
        <v>122.73379090909091</v>
      </c>
      <c r="R464">
        <f t="shared" si="235"/>
        <v>123.46422661306947</v>
      </c>
      <c r="S464">
        <f t="shared" si="235"/>
        <v>132.28774269222842</v>
      </c>
      <c r="T464">
        <f t="shared" si="235"/>
        <v>132.39139941690959</v>
      </c>
      <c r="U464">
        <f t="shared" si="235"/>
        <v>116.79626822157432</v>
      </c>
      <c r="V464">
        <f t="shared" si="235"/>
        <v>108.81198250728865</v>
      </c>
      <c r="W464">
        <f t="shared" si="235"/>
        <v>118.77428571428571</v>
      </c>
      <c r="Y464" s="17">
        <f t="shared" si="205"/>
        <v>2248.4784766171188</v>
      </c>
      <c r="Z464">
        <f>SUMPRODUCT($D$466:$W$466,D464:W464)</f>
        <v>206.01506238341116</v>
      </c>
    </row>
    <row r="465" spans="1:26" x14ac:dyDescent="0.25">
      <c r="A465" t="s">
        <v>677</v>
      </c>
      <c r="D465">
        <f t="shared" ref="D465:W465" si="236">D33*D249</f>
        <v>141.61795918367346</v>
      </c>
      <c r="E465">
        <f t="shared" si="236"/>
        <v>111.64836734693878</v>
      </c>
      <c r="F465">
        <f t="shared" si="236"/>
        <v>127.52448979591837</v>
      </c>
      <c r="G465">
        <f t="shared" si="236"/>
        <v>109.97510204081634</v>
      </c>
      <c r="H465">
        <f t="shared" si="236"/>
        <v>95.075102040816333</v>
      </c>
      <c r="I465">
        <f t="shared" si="236"/>
        <v>108.95020408163265</v>
      </c>
      <c r="J465">
        <f t="shared" si="236"/>
        <v>82.610204081632645</v>
      </c>
      <c r="K465">
        <f t="shared" si="236"/>
        <v>71.916326530612238</v>
      </c>
      <c r="L465">
        <f t="shared" si="236"/>
        <v>67.86</v>
      </c>
      <c r="M465">
        <f t="shared" si="236"/>
        <v>108.59020408163265</v>
      </c>
      <c r="N465">
        <f t="shared" si="236"/>
        <v>103.08857142857144</v>
      </c>
      <c r="O465">
        <f t="shared" si="236"/>
        <v>24.506122448979593</v>
      </c>
      <c r="P465">
        <f t="shared" si="236"/>
        <v>89.127551020408148</v>
      </c>
      <c r="Q465">
        <f t="shared" si="236"/>
        <v>113.24673469387751</v>
      </c>
      <c r="R465">
        <f t="shared" si="236"/>
        <v>74.75020408163266</v>
      </c>
      <c r="S465">
        <f t="shared" si="236"/>
        <v>95.06</v>
      </c>
      <c r="T465">
        <f t="shared" si="236"/>
        <v>126.35860533395176</v>
      </c>
      <c r="U465">
        <f t="shared" si="236"/>
        <v>122.86430473098328</v>
      </c>
      <c r="V465">
        <f t="shared" si="236"/>
        <v>112.14769044526902</v>
      </c>
      <c r="W465">
        <f t="shared" si="236"/>
        <v>120.26344902597404</v>
      </c>
      <c r="Y465" s="17">
        <f t="shared" ref="Y465" si="237">SUM(D465:W465)</f>
        <v>2007.181192393321</v>
      </c>
      <c r="Z465">
        <f>SUMPRODUCT($D$466:$W$466,D465:W465)</f>
        <v>191.17066607189187</v>
      </c>
    </row>
    <row r="466" spans="1:26" x14ac:dyDescent="0.25">
      <c r="A466" s="2" t="s">
        <v>71</v>
      </c>
      <c r="D466" s="3">
        <f>CORREL($B$2:$B$28,D434:D460)</f>
        <v>0.25871263917214204</v>
      </c>
      <c r="E466" s="3">
        <f t="shared" ref="E466:W466" si="238">CORREL($B$2:$B$28,E434:E460)</f>
        <v>0.30915280523669653</v>
      </c>
      <c r="F466" s="3">
        <f t="shared" si="238"/>
        <v>0.21723159039840048</v>
      </c>
      <c r="G466" s="3">
        <f t="shared" si="238"/>
        <v>0.17915378989453251</v>
      </c>
      <c r="H466" s="3">
        <f t="shared" si="238"/>
        <v>0.15396245143530291</v>
      </c>
      <c r="I466" s="3">
        <f t="shared" si="238"/>
        <v>0.37388518754878358</v>
      </c>
      <c r="J466" s="3">
        <f t="shared" si="238"/>
        <v>0.2884785116324764</v>
      </c>
      <c r="K466" s="3">
        <f t="shared" si="238"/>
        <v>0.23845012714664801</v>
      </c>
      <c r="L466" s="3">
        <f t="shared" si="238"/>
        <v>0.30528603064774407</v>
      </c>
      <c r="M466" s="3">
        <f t="shared" si="238"/>
        <v>1.5927490075680917E-4</v>
      </c>
      <c r="N466" s="3">
        <f t="shared" si="238"/>
        <v>-2.2296983613339087E-2</v>
      </c>
      <c r="O466" s="3">
        <f t="shared" si="238"/>
        <v>-6.880785586678527E-2</v>
      </c>
      <c r="P466" s="3">
        <f t="shared" si="238"/>
        <v>-0.13674967302216431</v>
      </c>
      <c r="Q466" s="3">
        <f t="shared" si="238"/>
        <v>2.1679589301582501E-2</v>
      </c>
      <c r="R466" s="3">
        <f t="shared" si="238"/>
        <v>-4.6657119815566014E-2</v>
      </c>
      <c r="S466" s="3">
        <f t="shared" si="238"/>
        <v>-5.3500434556666724E-3</v>
      </c>
      <c r="T466" s="3">
        <f t="shared" si="238"/>
        <v>-1.0460014141398213E-2</v>
      </c>
      <c r="U466" s="3">
        <f t="shared" si="238"/>
        <v>-2.8221883355162028E-2</v>
      </c>
      <c r="V466" s="3">
        <f t="shared" si="238"/>
        <v>-4.8717987061387032E-2</v>
      </c>
      <c r="W466" s="3">
        <f t="shared" si="238"/>
        <v>-0.13727119359890635</v>
      </c>
    </row>
    <row r="469" spans="1:26" x14ac:dyDescent="0.25">
      <c r="D469" t="s">
        <v>160</v>
      </c>
      <c r="E469" t="s">
        <v>161</v>
      </c>
      <c r="F469" t="s">
        <v>162</v>
      </c>
      <c r="G469" t="s">
        <v>163</v>
      </c>
      <c r="H469" t="s">
        <v>164</v>
      </c>
      <c r="I469" t="s">
        <v>165</v>
      </c>
      <c r="J469" t="s">
        <v>166</v>
      </c>
      <c r="K469" t="s">
        <v>167</v>
      </c>
      <c r="L469" t="s">
        <v>353</v>
      </c>
      <c r="M469" t="s">
        <v>407</v>
      </c>
      <c r="N469" t="s">
        <v>408</v>
      </c>
      <c r="O469" t="s">
        <v>409</v>
      </c>
      <c r="P469" t="s">
        <v>505</v>
      </c>
      <c r="Q469" t="s">
        <v>506</v>
      </c>
      <c r="R469" t="s">
        <v>507</v>
      </c>
      <c r="S469" t="s">
        <v>508</v>
      </c>
      <c r="T469" t="s">
        <v>617</v>
      </c>
      <c r="U469" t="s">
        <v>618</v>
      </c>
      <c r="V469" t="s">
        <v>619</v>
      </c>
      <c r="W469" t="s">
        <v>620</v>
      </c>
      <c r="Y469" t="s">
        <v>168</v>
      </c>
      <c r="Z469" t="s">
        <v>169</v>
      </c>
    </row>
    <row r="470" spans="1:26" x14ac:dyDescent="0.25">
      <c r="A470" t="s">
        <v>43</v>
      </c>
      <c r="D470">
        <f t="shared" ref="D470:W470" si="239">D38*D74</f>
        <v>553.5</v>
      </c>
      <c r="E470">
        <f t="shared" si="239"/>
        <v>545.81346938775516</v>
      </c>
      <c r="F470">
        <f t="shared" si="239"/>
        <v>498.48979591836729</v>
      </c>
      <c r="G470">
        <f t="shared" si="239"/>
        <v>446.48693877551023</v>
      </c>
      <c r="H470">
        <f t="shared" si="239"/>
        <v>475.60734693877549</v>
      </c>
      <c r="I470">
        <f t="shared" si="239"/>
        <v>399.06285714285718</v>
      </c>
      <c r="J470">
        <f t="shared" si="239"/>
        <v>424.65142857142843</v>
      </c>
      <c r="K470">
        <f t="shared" si="239"/>
        <v>453.14306122448977</v>
      </c>
      <c r="L470">
        <f t="shared" si="239"/>
        <v>364.81187499999999</v>
      </c>
      <c r="M470">
        <f t="shared" si="239"/>
        <v>309.67020408163268</v>
      </c>
      <c r="N470">
        <f t="shared" si="239"/>
        <v>336.71551020408162</v>
      </c>
      <c r="O470">
        <f t="shared" si="239"/>
        <v>327.35448979591831</v>
      </c>
      <c r="P470">
        <f t="shared" si="239"/>
        <v>372.25265306122452</v>
      </c>
      <c r="Q470">
        <f t="shared" si="239"/>
        <v>342.76612244897962</v>
      </c>
      <c r="R470">
        <f t="shared" si="239"/>
        <v>394.67755102040809</v>
      </c>
      <c r="S470">
        <f t="shared" si="239"/>
        <v>369.9244897959183</v>
      </c>
      <c r="T470">
        <f t="shared" si="239"/>
        <v>439.34693877551018</v>
      </c>
      <c r="U470">
        <f t="shared" si="239"/>
        <v>527.43673469387761</v>
      </c>
      <c r="V470">
        <f t="shared" si="239"/>
        <v>634.0408163265306</v>
      </c>
      <c r="W470">
        <f t="shared" si="239"/>
        <v>558.10632653061225</v>
      </c>
      <c r="Y470" s="17">
        <f t="shared" ref="Y470:Y500" si="240">SUM(D470:W470)</f>
        <v>8773.858609693878</v>
      </c>
      <c r="Z470">
        <f t="shared" ref="Z470:Z496" si="241">SUMPRODUCT($D$502:$W$502,D470:W470)</f>
        <v>1755.4769112091387</v>
      </c>
    </row>
    <row r="471" spans="1:26" x14ac:dyDescent="0.25">
      <c r="A471" t="s">
        <v>44</v>
      </c>
      <c r="D471">
        <f t="shared" ref="D471:W471" si="242">D39*D75</f>
        <v>591.68999999999994</v>
      </c>
      <c r="E471">
        <f t="shared" si="242"/>
        <v>519.84</v>
      </c>
      <c r="F471">
        <f t="shared" si="242"/>
        <v>501.32000000000005</v>
      </c>
      <c r="G471">
        <f t="shared" si="242"/>
        <v>461.5</v>
      </c>
      <c r="H471">
        <f t="shared" si="242"/>
        <v>482.84999999999997</v>
      </c>
      <c r="I471">
        <f t="shared" si="242"/>
        <v>438.84000000000003</v>
      </c>
      <c r="J471">
        <f t="shared" si="242"/>
        <v>408.98</v>
      </c>
      <c r="K471">
        <f t="shared" si="242"/>
        <v>412.83</v>
      </c>
      <c r="L471">
        <f t="shared" si="242"/>
        <v>342.39000000000004</v>
      </c>
      <c r="M471">
        <f t="shared" si="242"/>
        <v>327.75</v>
      </c>
      <c r="N471">
        <f t="shared" si="242"/>
        <v>361.62</v>
      </c>
      <c r="O471">
        <f t="shared" si="242"/>
        <v>344.52</v>
      </c>
      <c r="P471">
        <f t="shared" si="242"/>
        <v>344.98430178393039</v>
      </c>
      <c r="Q471">
        <f t="shared" si="242"/>
        <v>321.92380577993436</v>
      </c>
      <c r="R471">
        <f t="shared" si="242"/>
        <v>361.0425785642928</v>
      </c>
      <c r="S471">
        <f t="shared" si="242"/>
        <v>362.26861138861148</v>
      </c>
      <c r="T471">
        <f t="shared" si="242"/>
        <v>420.3360667903525</v>
      </c>
      <c r="U471">
        <f t="shared" si="242"/>
        <v>431.9535064935065</v>
      </c>
      <c r="V471">
        <f t="shared" si="242"/>
        <v>521.84638218923931</v>
      </c>
      <c r="W471">
        <f t="shared" si="242"/>
        <v>614.29276252319107</v>
      </c>
      <c r="Y471" s="17">
        <f t="shared" si="240"/>
        <v>8572.7780155130567</v>
      </c>
      <c r="Z471">
        <f t="shared" si="241"/>
        <v>1697.6814689478256</v>
      </c>
    </row>
    <row r="472" spans="1:26" x14ac:dyDescent="0.25">
      <c r="A472" t="s">
        <v>45</v>
      </c>
      <c r="D472">
        <f t="shared" ref="D472:W472" si="243">D40*D76</f>
        <v>663.70938775510206</v>
      </c>
      <c r="E472">
        <f t="shared" si="243"/>
        <v>539.79469387755103</v>
      </c>
      <c r="F472">
        <f t="shared" si="243"/>
        <v>522.38816326530616</v>
      </c>
      <c r="G472">
        <f t="shared" si="243"/>
        <v>478.97959183673481</v>
      </c>
      <c r="H472">
        <f t="shared" si="243"/>
        <v>533.24816326530606</v>
      </c>
      <c r="I472">
        <f t="shared" si="243"/>
        <v>442.19755102040818</v>
      </c>
      <c r="J472">
        <f t="shared" si="243"/>
        <v>385.44000000000005</v>
      </c>
      <c r="K472">
        <f t="shared" si="243"/>
        <v>349.20775510204089</v>
      </c>
      <c r="L472">
        <f t="shared" si="243"/>
        <v>399.79500000000002</v>
      </c>
      <c r="M472">
        <f t="shared" si="243"/>
        <v>359.48224489795916</v>
      </c>
      <c r="N472">
        <f t="shared" si="243"/>
        <v>402.57306122448978</v>
      </c>
      <c r="O472">
        <f t="shared" si="243"/>
        <v>341.69142857142856</v>
      </c>
      <c r="P472">
        <f t="shared" si="243"/>
        <v>307.64204081632658</v>
      </c>
      <c r="Q472">
        <f t="shared" si="243"/>
        <v>371.24204081632661</v>
      </c>
      <c r="R472">
        <f t="shared" si="243"/>
        <v>398.14612244897961</v>
      </c>
      <c r="S472">
        <f t="shared" si="243"/>
        <v>405.61591836734692</v>
      </c>
      <c r="T472">
        <f t="shared" si="243"/>
        <v>447.70448979591845</v>
      </c>
      <c r="U472">
        <f t="shared" si="243"/>
        <v>470.00571428571442</v>
      </c>
      <c r="V472">
        <f t="shared" si="243"/>
        <v>601.74163265306129</v>
      </c>
      <c r="W472">
        <f t="shared" si="243"/>
        <v>654.87857142857149</v>
      </c>
      <c r="Y472" s="17">
        <f t="shared" si="240"/>
        <v>9075.4835714285728</v>
      </c>
      <c r="Z472">
        <f t="shared" si="241"/>
        <v>1814.7737538384501</v>
      </c>
    </row>
    <row r="473" spans="1:26" x14ac:dyDescent="0.25">
      <c r="A473" t="s">
        <v>46</v>
      </c>
      <c r="D473">
        <f t="shared" ref="D473:W473" si="244">D41*D77</f>
        <v>585.1444897959185</v>
      </c>
      <c r="E473">
        <f t="shared" si="244"/>
        <v>501.20408163265313</v>
      </c>
      <c r="F473">
        <f t="shared" si="244"/>
        <v>432.95367346938781</v>
      </c>
      <c r="G473">
        <f t="shared" si="244"/>
        <v>440.0942857142856</v>
      </c>
      <c r="H473">
        <f t="shared" si="244"/>
        <v>370.37142857142862</v>
      </c>
      <c r="I473">
        <f t="shared" si="244"/>
        <v>370.08000000000004</v>
      </c>
      <c r="J473">
        <f t="shared" si="244"/>
        <v>461.20530612244897</v>
      </c>
      <c r="K473">
        <f t="shared" si="244"/>
        <v>391.41673469387746</v>
      </c>
      <c r="L473">
        <f t="shared" si="244"/>
        <v>303.40124999999995</v>
      </c>
      <c r="M473">
        <f t="shared" si="244"/>
        <v>291.0204081632653</v>
      </c>
      <c r="N473">
        <f t="shared" si="244"/>
        <v>206.6197959183674</v>
      </c>
      <c r="O473">
        <f t="shared" si="244"/>
        <v>236.9469387755102</v>
      </c>
      <c r="P473">
        <f t="shared" si="244"/>
        <v>254.21877551020413</v>
      </c>
      <c r="Q473">
        <f t="shared" si="244"/>
        <v>322.83877551020419</v>
      </c>
      <c r="R473">
        <f t="shared" si="244"/>
        <v>282.37591836734691</v>
      </c>
      <c r="S473">
        <f t="shared" si="244"/>
        <v>373.84285714285716</v>
      </c>
      <c r="T473">
        <f t="shared" si="244"/>
        <v>295.33714285714285</v>
      </c>
      <c r="U473">
        <f t="shared" si="244"/>
        <v>367.93714285714282</v>
      </c>
      <c r="V473">
        <f t="shared" si="244"/>
        <v>514.7191836734695</v>
      </c>
      <c r="W473">
        <f t="shared" si="244"/>
        <v>564.84306122448982</v>
      </c>
      <c r="Y473" s="17">
        <f t="shared" si="240"/>
        <v>7566.5712500000009</v>
      </c>
      <c r="Z473">
        <f t="shared" si="241"/>
        <v>1478.4585000016939</v>
      </c>
    </row>
    <row r="474" spans="1:26" x14ac:dyDescent="0.25">
      <c r="A474" t="s">
        <v>47</v>
      </c>
      <c r="D474">
        <f t="shared" ref="D474:W474" si="245">D42*D78</f>
        <v>608.51571428571435</v>
      </c>
      <c r="E474">
        <f t="shared" si="245"/>
        <v>574.5926530612245</v>
      </c>
      <c r="F474">
        <f t="shared" si="245"/>
        <v>575.03020408163263</v>
      </c>
      <c r="G474">
        <f t="shared" si="245"/>
        <v>520.20673469387759</v>
      </c>
      <c r="H474">
        <f t="shared" si="245"/>
        <v>527.65346938775508</v>
      </c>
      <c r="I474">
        <f t="shared" si="245"/>
        <v>415.53081632653061</v>
      </c>
      <c r="J474">
        <f t="shared" si="245"/>
        <v>385.49387755102043</v>
      </c>
      <c r="K474">
        <f t="shared" si="245"/>
        <v>349.00102040816324</v>
      </c>
      <c r="L474">
        <f t="shared" si="245"/>
        <v>307.85218750000001</v>
      </c>
      <c r="M474">
        <f t="shared" si="245"/>
        <v>366.53469387755098</v>
      </c>
      <c r="N474">
        <f t="shared" si="245"/>
        <v>373.88571428571424</v>
      </c>
      <c r="O474">
        <f t="shared" si="245"/>
        <v>334.79387755102044</v>
      </c>
      <c r="P474">
        <f t="shared" si="245"/>
        <v>409.24102040816319</v>
      </c>
      <c r="Q474">
        <f t="shared" si="245"/>
        <v>308.72938775510204</v>
      </c>
      <c r="R474">
        <f t="shared" si="245"/>
        <v>498.43367346938777</v>
      </c>
      <c r="S474">
        <f t="shared" si="245"/>
        <v>424.08163265306115</v>
      </c>
      <c r="T474">
        <f t="shared" si="245"/>
        <v>405.87755102040813</v>
      </c>
      <c r="U474">
        <f t="shared" si="245"/>
        <v>460.21224489795918</v>
      </c>
      <c r="V474">
        <f t="shared" si="245"/>
        <v>432.52244897959184</v>
      </c>
      <c r="W474">
        <f t="shared" si="245"/>
        <v>551.83428571428578</v>
      </c>
      <c r="Y474" s="17">
        <f t="shared" si="240"/>
        <v>8830.0232079081616</v>
      </c>
      <c r="Z474">
        <f t="shared" si="241"/>
        <v>1683.4377571784366</v>
      </c>
    </row>
    <row r="475" spans="1:26" x14ac:dyDescent="0.25">
      <c r="A475" t="s">
        <v>48</v>
      </c>
      <c r="D475">
        <f t="shared" ref="D475:W475" si="246">D43*D79</f>
        <v>644.85591836734693</v>
      </c>
      <c r="E475">
        <f t="shared" si="246"/>
        <v>502.87387755102037</v>
      </c>
      <c r="F475">
        <f t="shared" si="246"/>
        <v>538.98428571428576</v>
      </c>
      <c r="G475">
        <f t="shared" si="246"/>
        <v>518.78204081632657</v>
      </c>
      <c r="H475">
        <f t="shared" si="246"/>
        <v>529.46897959183684</v>
      </c>
      <c r="I475">
        <f t="shared" si="246"/>
        <v>456.33387755102035</v>
      </c>
      <c r="J475">
        <f t="shared" si="246"/>
        <v>364.52326530612243</v>
      </c>
      <c r="K475">
        <f t="shared" si="246"/>
        <v>363.07346938775504</v>
      </c>
      <c r="L475">
        <f t="shared" si="246"/>
        <v>308.97343749999999</v>
      </c>
      <c r="M475">
        <f t="shared" si="246"/>
        <v>184.68326530612248</v>
      </c>
      <c r="N475">
        <f t="shared" si="246"/>
        <v>242.88</v>
      </c>
      <c r="O475">
        <f t="shared" si="246"/>
        <v>252.40448979591844</v>
      </c>
      <c r="P475">
        <f t="shared" si="246"/>
        <v>418.73061224489794</v>
      </c>
      <c r="Q475">
        <f t="shared" si="246"/>
        <v>295.91448979591831</v>
      </c>
      <c r="R475">
        <f t="shared" si="246"/>
        <v>419.14897959183673</v>
      </c>
      <c r="S475">
        <f t="shared" si="246"/>
        <v>281.24081632653065</v>
      </c>
      <c r="T475">
        <f t="shared" si="246"/>
        <v>406.8416326530612</v>
      </c>
      <c r="U475">
        <f t="shared" si="246"/>
        <v>429.9793877551021</v>
      </c>
      <c r="V475">
        <f t="shared" si="246"/>
        <v>458.2512244897959</v>
      </c>
      <c r="W475">
        <f t="shared" si="246"/>
        <v>574.88571428571424</v>
      </c>
      <c r="Y475" s="17">
        <f t="shared" si="240"/>
        <v>8192.8297640306137</v>
      </c>
      <c r="Z475">
        <f t="shared" si="241"/>
        <v>1580.3080301815085</v>
      </c>
    </row>
    <row r="476" spans="1:26" x14ac:dyDescent="0.25">
      <c r="A476" t="s">
        <v>49</v>
      </c>
      <c r="D476">
        <f t="shared" ref="D476:W476" si="247">D44*D80</f>
        <v>543.7469387755101</v>
      </c>
      <c r="E476">
        <f t="shared" si="247"/>
        <v>535.57959183673472</v>
      </c>
      <c r="F476">
        <f t="shared" si="247"/>
        <v>600.32142857142844</v>
      </c>
      <c r="G476">
        <f t="shared" si="247"/>
        <v>557.96959183673471</v>
      </c>
      <c r="H476">
        <f t="shared" si="247"/>
        <v>398.11224489795921</v>
      </c>
      <c r="I476">
        <f t="shared" si="247"/>
        <v>392.95102040816323</v>
      </c>
      <c r="J476">
        <f t="shared" si="247"/>
        <v>391.31571428571425</v>
      </c>
      <c r="K476">
        <f t="shared" si="247"/>
        <v>376.81428571428575</v>
      </c>
      <c r="L476">
        <f t="shared" si="247"/>
        <v>198.5390625</v>
      </c>
      <c r="M476">
        <f t="shared" si="247"/>
        <v>208.88081632653061</v>
      </c>
      <c r="N476">
        <f t="shared" si="247"/>
        <v>257.88228571428579</v>
      </c>
      <c r="O476">
        <f t="shared" si="247"/>
        <v>278.91489795918363</v>
      </c>
      <c r="P476">
        <f t="shared" si="247"/>
        <v>401.3644897959183</v>
      </c>
      <c r="Q476">
        <f t="shared" si="247"/>
        <v>387.5191836734694</v>
      </c>
      <c r="R476">
        <f t="shared" si="247"/>
        <v>343.34081632653061</v>
      </c>
      <c r="S476">
        <f t="shared" si="247"/>
        <v>247.4518367346939</v>
      </c>
      <c r="T476">
        <f t="shared" si="247"/>
        <v>314.6658163265306</v>
      </c>
      <c r="U476">
        <f t="shared" si="247"/>
        <v>391.88791836734697</v>
      </c>
      <c r="V476">
        <f t="shared" si="247"/>
        <v>454.07142857142861</v>
      </c>
      <c r="W476">
        <f t="shared" si="247"/>
        <v>502.89655102040814</v>
      </c>
      <c r="Y476" s="17">
        <f t="shared" si="240"/>
        <v>7784.2259196428568</v>
      </c>
      <c r="Z476">
        <f t="shared" si="241"/>
        <v>1503.0002626192634</v>
      </c>
    </row>
    <row r="477" spans="1:26" x14ac:dyDescent="0.25">
      <c r="A477" t="s">
        <v>50</v>
      </c>
      <c r="D477">
        <f t="shared" ref="D477:W477" si="248">D45*D81</f>
        <v>547.26551020408158</v>
      </c>
      <c r="E477">
        <f t="shared" si="248"/>
        <v>492.57081632653063</v>
      </c>
      <c r="F477">
        <f t="shared" si="248"/>
        <v>524.77551020408168</v>
      </c>
      <c r="G477">
        <f t="shared" si="248"/>
        <v>500.25000000000006</v>
      </c>
      <c r="H477">
        <f t="shared" si="248"/>
        <v>401.09387755102046</v>
      </c>
      <c r="I477">
        <f t="shared" si="248"/>
        <v>459.10285714285703</v>
      </c>
      <c r="J477">
        <f t="shared" si="248"/>
        <v>388.27183673469398</v>
      </c>
      <c r="K477">
        <f t="shared" si="248"/>
        <v>377.66938775510209</v>
      </c>
      <c r="L477">
        <f t="shared" si="248"/>
        <v>342.78437500000001</v>
      </c>
      <c r="M477">
        <f t="shared" si="248"/>
        <v>391.19118367346937</v>
      </c>
      <c r="N477">
        <f t="shared" si="248"/>
        <v>319.52828571428569</v>
      </c>
      <c r="O477">
        <f t="shared" si="248"/>
        <v>330.4860000000001</v>
      </c>
      <c r="P477">
        <f t="shared" si="248"/>
        <v>324.51122448979589</v>
      </c>
      <c r="Q477">
        <f t="shared" si="248"/>
        <v>361.19714285714286</v>
      </c>
      <c r="R477">
        <f t="shared" si="248"/>
        <v>463.17612244897953</v>
      </c>
      <c r="S477">
        <f t="shared" si="248"/>
        <v>326.62514285714292</v>
      </c>
      <c r="T477">
        <f t="shared" si="248"/>
        <v>442.74367346938766</v>
      </c>
      <c r="U477">
        <f t="shared" si="248"/>
        <v>430.64122448979583</v>
      </c>
      <c r="V477">
        <f t="shared" si="248"/>
        <v>460.34877551020406</v>
      </c>
      <c r="W477">
        <f t="shared" si="248"/>
        <v>669.24183673469395</v>
      </c>
      <c r="Y477" s="17">
        <f t="shared" si="240"/>
        <v>8553.4747831632649</v>
      </c>
      <c r="Z477">
        <f t="shared" si="241"/>
        <v>1696.5157062508513</v>
      </c>
    </row>
    <row r="478" spans="1:26" x14ac:dyDescent="0.25">
      <c r="A478" t="s">
        <v>51</v>
      </c>
      <c r="D478">
        <f t="shared" ref="D478:W478" si="249">D46*D82</f>
        <v>673.52326530612254</v>
      </c>
      <c r="E478">
        <f t="shared" si="249"/>
        <v>565.56408163265314</v>
      </c>
      <c r="F478">
        <f t="shared" si="249"/>
        <v>347.98408163265299</v>
      </c>
      <c r="G478">
        <f t="shared" si="249"/>
        <v>446.81877551020409</v>
      </c>
      <c r="H478">
        <f t="shared" si="249"/>
        <v>469.85714285714289</v>
      </c>
      <c r="I478">
        <f t="shared" si="249"/>
        <v>603.51836734693882</v>
      </c>
      <c r="J478">
        <f t="shared" si="249"/>
        <v>466.69285714285706</v>
      </c>
      <c r="K478">
        <f t="shared" si="249"/>
        <v>334.49946938775508</v>
      </c>
      <c r="L478">
        <f t="shared" si="249"/>
        <v>332.64031249999999</v>
      </c>
      <c r="M478">
        <f t="shared" si="249"/>
        <v>382.1755102040816</v>
      </c>
      <c r="N478">
        <f t="shared" si="249"/>
        <v>399.8</v>
      </c>
      <c r="O478">
        <f t="shared" si="249"/>
        <v>231.9061224489796</v>
      </c>
      <c r="P478">
        <f t="shared" si="249"/>
        <v>529.7918367346939</v>
      </c>
      <c r="Q478">
        <f t="shared" si="249"/>
        <v>275.15142857142854</v>
      </c>
      <c r="R478">
        <f t="shared" si="249"/>
        <v>299.06938775510196</v>
      </c>
      <c r="S478">
        <f t="shared" si="249"/>
        <v>337.11428571428564</v>
      </c>
      <c r="T478">
        <f t="shared" si="249"/>
        <v>341.35693877551023</v>
      </c>
      <c r="U478">
        <f t="shared" si="249"/>
        <v>410.28551020408162</v>
      </c>
      <c r="V478">
        <f t="shared" si="249"/>
        <v>450.64000000000004</v>
      </c>
      <c r="W478">
        <f t="shared" si="249"/>
        <v>570.16285714285732</v>
      </c>
      <c r="Y478" s="17">
        <f t="shared" si="240"/>
        <v>8468.552230867348</v>
      </c>
      <c r="Z478">
        <f t="shared" si="241"/>
        <v>1523.9648412382867</v>
      </c>
    </row>
    <row r="479" spans="1:26" x14ac:dyDescent="0.25">
      <c r="A479" t="s">
        <v>52</v>
      </c>
      <c r="D479">
        <f t="shared" ref="D479:W479" si="250">D47*D83</f>
        <v>649.07265306122451</v>
      </c>
      <c r="E479">
        <f t="shared" si="250"/>
        <v>634.38918367346946</v>
      </c>
      <c r="F479">
        <f t="shared" si="250"/>
        <v>571.45795918367355</v>
      </c>
      <c r="G479">
        <f t="shared" si="250"/>
        <v>449.17306122448969</v>
      </c>
      <c r="H479">
        <f t="shared" si="250"/>
        <v>377.44204081632654</v>
      </c>
      <c r="I479">
        <f t="shared" si="250"/>
        <v>293.23836734693879</v>
      </c>
      <c r="J479">
        <f t="shared" si="250"/>
        <v>406.8485714285714</v>
      </c>
      <c r="K479">
        <f t="shared" si="250"/>
        <v>293.99836734693872</v>
      </c>
      <c r="L479">
        <f t="shared" si="250"/>
        <v>296.87062499999996</v>
      </c>
      <c r="M479">
        <f t="shared" si="250"/>
        <v>268.47306122448975</v>
      </c>
      <c r="N479">
        <f t="shared" si="250"/>
        <v>198.56571428571425</v>
      </c>
      <c r="O479">
        <f t="shared" si="250"/>
        <v>250.87530612244896</v>
      </c>
      <c r="P479">
        <f t="shared" si="250"/>
        <v>302.75142857142862</v>
      </c>
      <c r="Q479">
        <f t="shared" si="250"/>
        <v>360.50367346938771</v>
      </c>
      <c r="R479">
        <f t="shared" si="250"/>
        <v>401.24755102040814</v>
      </c>
      <c r="S479">
        <f t="shared" si="250"/>
        <v>363.2714285714286</v>
      </c>
      <c r="T479">
        <f t="shared" si="250"/>
        <v>363.4163265306122</v>
      </c>
      <c r="U479">
        <f t="shared" si="250"/>
        <v>467.84653061224486</v>
      </c>
      <c r="V479">
        <f t="shared" si="250"/>
        <v>550.56489795918367</v>
      </c>
      <c r="W479">
        <f t="shared" si="250"/>
        <v>695.33632653061227</v>
      </c>
      <c r="Y479" s="17">
        <f t="shared" si="240"/>
        <v>8195.3430739795913</v>
      </c>
      <c r="Z479">
        <f t="shared" si="241"/>
        <v>1660.4030469868924</v>
      </c>
    </row>
    <row r="480" spans="1:26" x14ac:dyDescent="0.25">
      <c r="A480" t="s">
        <v>53</v>
      </c>
      <c r="D480">
        <f t="shared" ref="D480:W480" si="251">D48*D84</f>
        <v>563.2444897959183</v>
      </c>
      <c r="E480">
        <f t="shared" si="251"/>
        <v>496.88571428571436</v>
      </c>
      <c r="F480">
        <f t="shared" si="251"/>
        <v>438.81061224489798</v>
      </c>
      <c r="G480">
        <f t="shared" si="251"/>
        <v>491.41122448979587</v>
      </c>
      <c r="H480">
        <f t="shared" si="251"/>
        <v>443.70000000000005</v>
      </c>
      <c r="I480">
        <f t="shared" si="251"/>
        <v>336.91040816326529</v>
      </c>
      <c r="J480">
        <f t="shared" si="251"/>
        <v>407.69142857142856</v>
      </c>
      <c r="K480">
        <f t="shared" si="251"/>
        <v>380.75265306122446</v>
      </c>
      <c r="L480">
        <f t="shared" si="251"/>
        <v>416.35124999999994</v>
      </c>
      <c r="M480">
        <f t="shared" si="251"/>
        <v>421.81632653061229</v>
      </c>
      <c r="N480">
        <f t="shared" si="251"/>
        <v>367.03000000000003</v>
      </c>
      <c r="O480">
        <f t="shared" si="251"/>
        <v>230.43020408163264</v>
      </c>
      <c r="P480">
        <f t="shared" si="251"/>
        <v>364.22020408163263</v>
      </c>
      <c r="Q480">
        <f t="shared" si="251"/>
        <v>302.27959183673471</v>
      </c>
      <c r="R480">
        <f t="shared" si="251"/>
        <v>370.18734693877548</v>
      </c>
      <c r="S480">
        <f t="shared" si="251"/>
        <v>392.39469387755099</v>
      </c>
      <c r="T480">
        <f t="shared" si="251"/>
        <v>499.87142857142851</v>
      </c>
      <c r="U480">
        <f t="shared" si="251"/>
        <v>481.32657142857147</v>
      </c>
      <c r="V480">
        <f t="shared" si="251"/>
        <v>537.87471428571416</v>
      </c>
      <c r="W480">
        <f t="shared" si="251"/>
        <v>726.90200000000004</v>
      </c>
      <c r="Y480" s="17">
        <f t="shared" si="240"/>
        <v>8670.0908622448987</v>
      </c>
      <c r="Z480">
        <f t="shared" si="241"/>
        <v>1695.7154511708984</v>
      </c>
    </row>
    <row r="481" spans="1:26" x14ac:dyDescent="0.25">
      <c r="A481" t="s">
        <v>54</v>
      </c>
      <c r="D481">
        <f t="shared" ref="D481:W481" si="252">D49*D85</f>
        <v>553.99591836734703</v>
      </c>
      <c r="E481">
        <f t="shared" si="252"/>
        <v>543.2704081632653</v>
      </c>
      <c r="F481">
        <f t="shared" si="252"/>
        <v>465.53877551020412</v>
      </c>
      <c r="G481">
        <f t="shared" si="252"/>
        <v>379.79428571428582</v>
      </c>
      <c r="H481">
        <f t="shared" si="252"/>
        <v>361.97142857142859</v>
      </c>
      <c r="I481">
        <f t="shared" si="252"/>
        <v>369.37551020408159</v>
      </c>
      <c r="J481">
        <f t="shared" si="252"/>
        <v>264.25551020408165</v>
      </c>
      <c r="K481">
        <f t="shared" si="252"/>
        <v>413.90367346938785</v>
      </c>
      <c r="L481">
        <f t="shared" si="252"/>
        <v>342.70031249999994</v>
      </c>
      <c r="M481">
        <f t="shared" si="252"/>
        <v>310.96359999999999</v>
      </c>
      <c r="N481">
        <f t="shared" si="252"/>
        <v>309.85739999999998</v>
      </c>
      <c r="O481">
        <f t="shared" si="252"/>
        <v>240.59509999999997</v>
      </c>
      <c r="P481">
        <f t="shared" si="252"/>
        <v>238.76840000000001</v>
      </c>
      <c r="Q481">
        <f t="shared" si="252"/>
        <v>298.31489999999997</v>
      </c>
      <c r="R481">
        <f t="shared" si="252"/>
        <v>241.965</v>
      </c>
      <c r="S481">
        <f t="shared" si="252"/>
        <v>337.45599999999996</v>
      </c>
      <c r="T481">
        <f t="shared" si="252"/>
        <v>320.97300000000001</v>
      </c>
      <c r="U481">
        <f t="shared" si="252"/>
        <v>434.58985714285706</v>
      </c>
      <c r="V481">
        <f t="shared" si="252"/>
        <v>511.01142857142861</v>
      </c>
      <c r="W481">
        <f t="shared" si="252"/>
        <v>597.91271428571417</v>
      </c>
      <c r="Y481" s="17">
        <f t="shared" si="240"/>
        <v>7537.213222704082</v>
      </c>
      <c r="Z481">
        <f t="shared" si="241"/>
        <v>1590.1437740095598</v>
      </c>
    </row>
    <row r="482" spans="1:26" x14ac:dyDescent="0.25">
      <c r="A482" t="s">
        <v>55</v>
      </c>
      <c r="D482">
        <f t="shared" ref="D482:W482" si="253">D50*D86</f>
        <v>650.32209999999998</v>
      </c>
      <c r="E482">
        <f t="shared" si="253"/>
        <v>686.48300000000006</v>
      </c>
      <c r="F482">
        <f t="shared" si="253"/>
        <v>556.39710000000002</v>
      </c>
      <c r="G482">
        <f t="shared" si="253"/>
        <v>583.83669999999995</v>
      </c>
      <c r="H482">
        <f t="shared" si="253"/>
        <v>506.88000000000005</v>
      </c>
      <c r="I482">
        <f t="shared" si="253"/>
        <v>506.90599999999995</v>
      </c>
      <c r="J482">
        <f t="shared" si="253"/>
        <v>347.36129999999997</v>
      </c>
      <c r="K482">
        <f t="shared" si="253"/>
        <v>361.39409999999998</v>
      </c>
      <c r="L482">
        <f t="shared" si="253"/>
        <v>358.53999999999996</v>
      </c>
      <c r="M482">
        <f t="shared" si="253"/>
        <v>394.2714285714286</v>
      </c>
      <c r="N482">
        <f t="shared" si="253"/>
        <v>410.48265306122448</v>
      </c>
      <c r="O482">
        <f t="shared" si="253"/>
        <v>214.76897959183677</v>
      </c>
      <c r="P482">
        <f t="shared" si="253"/>
        <v>270.39795918367344</v>
      </c>
      <c r="Q482">
        <f t="shared" si="253"/>
        <v>409.23857142857139</v>
      </c>
      <c r="R482">
        <f t="shared" si="253"/>
        <v>336.41469387755092</v>
      </c>
      <c r="S482">
        <f t="shared" si="253"/>
        <v>429.08081632653062</v>
      </c>
      <c r="T482">
        <f t="shared" si="253"/>
        <v>416.18938775510208</v>
      </c>
      <c r="U482">
        <f t="shared" si="253"/>
        <v>414.5171428571428</v>
      </c>
      <c r="V482">
        <f t="shared" si="253"/>
        <v>557.79795918367347</v>
      </c>
      <c r="W482">
        <f t="shared" si="253"/>
        <v>566.42326530612252</v>
      </c>
      <c r="Y482" s="17">
        <f t="shared" si="240"/>
        <v>8977.7031571428561</v>
      </c>
      <c r="Z482">
        <f t="shared" si="241"/>
        <v>1806.5035998805481</v>
      </c>
    </row>
    <row r="483" spans="1:26" x14ac:dyDescent="0.25">
      <c r="A483" t="s">
        <v>56</v>
      </c>
      <c r="D483">
        <f t="shared" ref="D483:W483" si="254">D51*D87</f>
        <v>728.21142857142877</v>
      </c>
      <c r="E483">
        <f t="shared" si="254"/>
        <v>607.51653061224465</v>
      </c>
      <c r="F483">
        <f t="shared" si="254"/>
        <v>522.13714285714298</v>
      </c>
      <c r="G483">
        <f t="shared" si="254"/>
        <v>469.63265306122452</v>
      </c>
      <c r="H483">
        <f t="shared" si="254"/>
        <v>377.69285714285718</v>
      </c>
      <c r="I483">
        <f t="shared" si="254"/>
        <v>385.34571428571434</v>
      </c>
      <c r="J483">
        <f t="shared" si="254"/>
        <v>393.25836734693866</v>
      </c>
      <c r="K483">
        <f t="shared" si="254"/>
        <v>344.9795918367347</v>
      </c>
      <c r="L483">
        <f t="shared" si="254"/>
        <v>305.61750000000001</v>
      </c>
      <c r="M483">
        <f t="shared" si="254"/>
        <v>319.98163265306124</v>
      </c>
      <c r="N483">
        <f t="shared" si="254"/>
        <v>229.1718367346939</v>
      </c>
      <c r="O483">
        <f t="shared" si="254"/>
        <v>348.27918367346939</v>
      </c>
      <c r="P483">
        <f t="shared" si="254"/>
        <v>324</v>
      </c>
      <c r="Q483">
        <f t="shared" si="254"/>
        <v>248.21224489795912</v>
      </c>
      <c r="R483">
        <f t="shared" si="254"/>
        <v>386.78040816326535</v>
      </c>
      <c r="S483">
        <f t="shared" si="254"/>
        <v>572.8834693877551</v>
      </c>
      <c r="T483">
        <f t="shared" si="254"/>
        <v>504.64673469387753</v>
      </c>
      <c r="U483">
        <f t="shared" si="254"/>
        <v>561.58897959183662</v>
      </c>
      <c r="V483">
        <f t="shared" si="254"/>
        <v>541.42000000000007</v>
      </c>
      <c r="W483">
        <f t="shared" si="254"/>
        <v>519.57551020408175</v>
      </c>
      <c r="Y483" s="17">
        <f t="shared" si="240"/>
        <v>8690.9317857142851</v>
      </c>
      <c r="Z483">
        <f t="shared" si="241"/>
        <v>1775.3169922303471</v>
      </c>
    </row>
    <row r="484" spans="1:26" x14ac:dyDescent="0.25">
      <c r="A484" t="s">
        <v>57</v>
      </c>
      <c r="D484">
        <f t="shared" ref="D484:W484" si="255">D52*D88</f>
        <v>597.65448979591838</v>
      </c>
      <c r="E484">
        <f t="shared" si="255"/>
        <v>563.8022448979591</v>
      </c>
      <c r="F484">
        <f t="shared" si="255"/>
        <v>499.31428571428569</v>
      </c>
      <c r="G484">
        <f t="shared" si="255"/>
        <v>477.13285714285718</v>
      </c>
      <c r="H484">
        <f t="shared" si="255"/>
        <v>397.88285714285723</v>
      </c>
      <c r="I484">
        <f t="shared" si="255"/>
        <v>352.2285714285714</v>
      </c>
      <c r="J484">
        <f t="shared" si="255"/>
        <v>283.35204081632656</v>
      </c>
      <c r="K484">
        <f t="shared" si="255"/>
        <v>340.60448979591837</v>
      </c>
      <c r="L484">
        <f t="shared" si="255"/>
        <v>349.50312500000001</v>
      </c>
      <c r="M484">
        <f t="shared" si="255"/>
        <v>350.97142857142859</v>
      </c>
      <c r="N484">
        <f t="shared" si="255"/>
        <v>324.08326530612248</v>
      </c>
      <c r="O484">
        <f t="shared" si="255"/>
        <v>313.90408163265312</v>
      </c>
      <c r="P484">
        <f t="shared" si="255"/>
        <v>384.1130612244898</v>
      </c>
      <c r="Q484">
        <f t="shared" si="255"/>
        <v>319.53714285714284</v>
      </c>
      <c r="R484">
        <f t="shared" si="255"/>
        <v>322.92775510204081</v>
      </c>
      <c r="S484">
        <f t="shared" si="255"/>
        <v>245.6118367346939</v>
      </c>
      <c r="T484">
        <f t="shared" si="255"/>
        <v>430.47300000000001</v>
      </c>
      <c r="U484">
        <f t="shared" si="255"/>
        <v>420.69142857142856</v>
      </c>
      <c r="V484">
        <f t="shared" si="255"/>
        <v>437.00408163265308</v>
      </c>
      <c r="W484">
        <f t="shared" si="255"/>
        <v>545.44489795918366</v>
      </c>
      <c r="Y484" s="17">
        <f t="shared" si="240"/>
        <v>7956.2369413265287</v>
      </c>
      <c r="Z484">
        <f t="shared" si="241"/>
        <v>1593.8726027780449</v>
      </c>
    </row>
    <row r="485" spans="1:26" x14ac:dyDescent="0.25">
      <c r="A485" t="s">
        <v>58</v>
      </c>
      <c r="D485">
        <f t="shared" ref="D485:W485" si="256">D53*D89</f>
        <v>646.63163265306116</v>
      </c>
      <c r="E485">
        <f t="shared" si="256"/>
        <v>616.74285714285702</v>
      </c>
      <c r="F485">
        <f t="shared" si="256"/>
        <v>586.86530612244894</v>
      </c>
      <c r="G485">
        <f t="shared" si="256"/>
        <v>459.48571428571438</v>
      </c>
      <c r="H485">
        <f t="shared" si="256"/>
        <v>449.03163265306119</v>
      </c>
      <c r="I485">
        <f t="shared" si="256"/>
        <v>308.19673469387754</v>
      </c>
      <c r="J485">
        <f t="shared" si="256"/>
        <v>355.18367346938777</v>
      </c>
      <c r="K485">
        <f t="shared" si="256"/>
        <v>365.70612244897961</v>
      </c>
      <c r="L485">
        <f t="shared" si="256"/>
        <v>335.34687500000001</v>
      </c>
      <c r="M485">
        <f t="shared" si="256"/>
        <v>0</v>
      </c>
      <c r="N485">
        <f t="shared" si="256"/>
        <v>262.39346938775509</v>
      </c>
      <c r="O485">
        <f t="shared" si="256"/>
        <v>277.38938775510206</v>
      </c>
      <c r="P485">
        <f t="shared" si="256"/>
        <v>377.00857142857143</v>
      </c>
      <c r="Q485">
        <f t="shared" si="256"/>
        <v>202.59306122448979</v>
      </c>
      <c r="R485">
        <f t="shared" si="256"/>
        <v>331.8122448979592</v>
      </c>
      <c r="S485">
        <f t="shared" si="256"/>
        <v>233.09673469387755</v>
      </c>
      <c r="T485">
        <f t="shared" si="256"/>
        <v>364.09469387755109</v>
      </c>
      <c r="U485">
        <f t="shared" si="256"/>
        <v>453.01081632653063</v>
      </c>
      <c r="V485">
        <f t="shared" si="256"/>
        <v>529.65714285714284</v>
      </c>
      <c r="W485">
        <f t="shared" si="256"/>
        <v>467.34734693877556</v>
      </c>
      <c r="Y485" s="17">
        <f t="shared" si="240"/>
        <v>7621.5940178571436</v>
      </c>
      <c r="Z485">
        <f t="shared" si="241"/>
        <v>1578.6841194612618</v>
      </c>
    </row>
    <row r="486" spans="1:26" x14ac:dyDescent="0.25">
      <c r="A486" t="s">
        <v>59</v>
      </c>
      <c r="D486">
        <f t="shared" ref="D486:W486" si="257">D54*D90</f>
        <v>644.51326530612243</v>
      </c>
      <c r="E486">
        <f t="shared" si="257"/>
        <v>680.00877551020392</v>
      </c>
      <c r="F486">
        <f t="shared" si="257"/>
        <v>555.6867346938775</v>
      </c>
      <c r="G486">
        <f t="shared" si="257"/>
        <v>502.21653061224498</v>
      </c>
      <c r="H486">
        <f t="shared" si="257"/>
        <v>509.64244897959185</v>
      </c>
      <c r="I486">
        <f t="shared" si="257"/>
        <v>386.12244897959181</v>
      </c>
      <c r="J486">
        <f t="shared" si="257"/>
        <v>382.40326530612248</v>
      </c>
      <c r="K486">
        <f t="shared" si="257"/>
        <v>404.11428571428576</v>
      </c>
      <c r="L486">
        <f t="shared" si="257"/>
        <v>390.55714285714288</v>
      </c>
      <c r="M486">
        <f t="shared" si="257"/>
        <v>340.91877551020411</v>
      </c>
      <c r="N486">
        <f t="shared" si="257"/>
        <v>367.07795918367344</v>
      </c>
      <c r="O486">
        <f t="shared" si="257"/>
        <v>300.15346938775508</v>
      </c>
      <c r="P486">
        <f t="shared" si="257"/>
        <v>263.05959183673463</v>
      </c>
      <c r="Q486">
        <f t="shared" si="257"/>
        <v>268.59918367346938</v>
      </c>
      <c r="R486">
        <f t="shared" si="257"/>
        <v>287.31326530612245</v>
      </c>
      <c r="S486">
        <f t="shared" si="257"/>
        <v>411.55714285714288</v>
      </c>
      <c r="T486">
        <f t="shared" si="257"/>
        <v>433.58571428571423</v>
      </c>
      <c r="U486">
        <f t="shared" si="257"/>
        <v>514.24489795918373</v>
      </c>
      <c r="V486">
        <f t="shared" si="257"/>
        <v>553.7285714285714</v>
      </c>
      <c r="W486">
        <f t="shared" si="257"/>
        <v>663.00000000000011</v>
      </c>
      <c r="Y486" s="17">
        <f t="shared" si="240"/>
        <v>8858.5034693877533</v>
      </c>
      <c r="Z486">
        <f t="shared" si="241"/>
        <v>1862.637510264623</v>
      </c>
    </row>
    <row r="487" spans="1:26" x14ac:dyDescent="0.25">
      <c r="A487" t="s">
        <v>60</v>
      </c>
      <c r="D487">
        <f t="shared" ref="D487:W487" si="258">D55*D91</f>
        <v>584.42693877551017</v>
      </c>
      <c r="E487">
        <f t="shared" si="258"/>
        <v>579.91836734693879</v>
      </c>
      <c r="F487">
        <f t="shared" si="258"/>
        <v>477.78632653061226</v>
      </c>
      <c r="G487">
        <f t="shared" si="258"/>
        <v>483.31591836734685</v>
      </c>
      <c r="H487">
        <f t="shared" si="258"/>
        <v>370.69061224489803</v>
      </c>
      <c r="I487">
        <f t="shared" si="258"/>
        <v>407.58367346938775</v>
      </c>
      <c r="J487">
        <f t="shared" si="258"/>
        <v>391.09714285714284</v>
      </c>
      <c r="K487">
        <f t="shared" si="258"/>
        <v>415.23918367346937</v>
      </c>
      <c r="L487">
        <f t="shared" si="258"/>
        <v>305.74499999999995</v>
      </c>
      <c r="M487">
        <f t="shared" si="258"/>
        <v>329.76000000000005</v>
      </c>
      <c r="N487">
        <f t="shared" si="258"/>
        <v>383.24285714285719</v>
      </c>
      <c r="O487">
        <f t="shared" si="258"/>
        <v>322.14285714285711</v>
      </c>
      <c r="P487">
        <f t="shared" si="258"/>
        <v>361.65306122448982</v>
      </c>
      <c r="Q487">
        <f t="shared" si="258"/>
        <v>402.04653061224491</v>
      </c>
      <c r="R487">
        <f t="shared" si="258"/>
        <v>382.46530612244902</v>
      </c>
      <c r="S487">
        <f t="shared" si="258"/>
        <v>426.71469387755093</v>
      </c>
      <c r="T487">
        <f t="shared" si="258"/>
        <v>514.65469387755104</v>
      </c>
      <c r="U487">
        <f t="shared" si="258"/>
        <v>580.72040816326546</v>
      </c>
      <c r="V487">
        <f t="shared" si="258"/>
        <v>469.10204081632651</v>
      </c>
      <c r="W487">
        <f t="shared" si="258"/>
        <v>610.18122448979591</v>
      </c>
      <c r="Y487" s="17">
        <f t="shared" si="240"/>
        <v>8798.4868367346953</v>
      </c>
      <c r="Z487">
        <f t="shared" si="241"/>
        <v>1800.1594742849848</v>
      </c>
    </row>
    <row r="488" spans="1:26" x14ac:dyDescent="0.25">
      <c r="A488" t="s">
        <v>61</v>
      </c>
      <c r="D488">
        <f t="shared" ref="D488:W488" si="259">D56*D92</f>
        <v>682.6220408163266</v>
      </c>
      <c r="E488">
        <f t="shared" si="259"/>
        <v>694.00285714285712</v>
      </c>
      <c r="F488">
        <f t="shared" si="259"/>
        <v>553.48897959183671</v>
      </c>
      <c r="G488">
        <f t="shared" si="259"/>
        <v>582.37612244897957</v>
      </c>
      <c r="H488">
        <f t="shared" si="259"/>
        <v>527.14285714285711</v>
      </c>
      <c r="I488">
        <f t="shared" si="259"/>
        <v>435.5</v>
      </c>
      <c r="J488">
        <f t="shared" si="259"/>
        <v>446.31265306122447</v>
      </c>
      <c r="K488">
        <f t="shared" si="259"/>
        <v>312.80857142857144</v>
      </c>
      <c r="L488">
        <f t="shared" si="259"/>
        <v>279.50671875</v>
      </c>
      <c r="M488">
        <f t="shared" si="259"/>
        <v>283.97244897959183</v>
      </c>
      <c r="N488">
        <f t="shared" si="259"/>
        <v>310.40020408163264</v>
      </c>
      <c r="O488">
        <f t="shared" si="259"/>
        <v>342.07755102040818</v>
      </c>
      <c r="P488">
        <f t="shared" si="259"/>
        <v>235.06938775510207</v>
      </c>
      <c r="Q488">
        <f t="shared" si="259"/>
        <v>269.08612244897961</v>
      </c>
      <c r="R488">
        <f t="shared" si="259"/>
        <v>240.42612244897958</v>
      </c>
      <c r="S488">
        <f t="shared" si="259"/>
        <v>404.09999999999997</v>
      </c>
      <c r="T488">
        <f t="shared" si="259"/>
        <v>321.5589795918367</v>
      </c>
      <c r="U488">
        <f t="shared" si="259"/>
        <v>454.81122448979585</v>
      </c>
      <c r="V488">
        <f t="shared" si="259"/>
        <v>437.01857142857142</v>
      </c>
      <c r="W488">
        <f t="shared" si="259"/>
        <v>578.01306122448977</v>
      </c>
      <c r="Y488" s="17">
        <f t="shared" si="240"/>
        <v>8390.2944738520418</v>
      </c>
      <c r="Z488">
        <f t="shared" si="241"/>
        <v>1723.6111305685495</v>
      </c>
    </row>
    <row r="489" spans="1:26" x14ac:dyDescent="0.25">
      <c r="A489" t="s">
        <v>62</v>
      </c>
      <c r="D489">
        <f t="shared" ref="D489:W489" si="260">D57*D93</f>
        <v>643.95102040816323</v>
      </c>
      <c r="E489">
        <f t="shared" si="260"/>
        <v>628.83000000000004</v>
      </c>
      <c r="F489">
        <f t="shared" si="260"/>
        <v>689.10816326530608</v>
      </c>
      <c r="G489">
        <f t="shared" si="260"/>
        <v>542.9681632653062</v>
      </c>
      <c r="H489">
        <f t="shared" si="260"/>
        <v>494.02122448979588</v>
      </c>
      <c r="I489">
        <f t="shared" si="260"/>
        <v>434.79999999999995</v>
      </c>
      <c r="J489">
        <f t="shared" si="260"/>
        <v>386.04244897959182</v>
      </c>
      <c r="K489">
        <f t="shared" si="260"/>
        <v>367.79224489795922</v>
      </c>
      <c r="L489">
        <f t="shared" si="260"/>
        <v>437.91468750000013</v>
      </c>
      <c r="M489">
        <f t="shared" si="260"/>
        <v>279.41142857142853</v>
      </c>
      <c r="N489">
        <f t="shared" si="260"/>
        <v>251.32285714285717</v>
      </c>
      <c r="O489">
        <f t="shared" si="260"/>
        <v>248.11918367346939</v>
      </c>
      <c r="P489">
        <f t="shared" si="260"/>
        <v>278.7895918367347</v>
      </c>
      <c r="Q489">
        <f t="shared" si="260"/>
        <v>275.91918367346938</v>
      </c>
      <c r="R489">
        <f t="shared" si="260"/>
        <v>423.8057142857142</v>
      </c>
      <c r="S489">
        <f t="shared" si="260"/>
        <v>443.42122448979592</v>
      </c>
      <c r="T489">
        <f t="shared" si="260"/>
        <v>298.45469387755094</v>
      </c>
      <c r="U489">
        <f t="shared" si="260"/>
        <v>584.89693877551019</v>
      </c>
      <c r="V489">
        <f t="shared" si="260"/>
        <v>577.39632653061233</v>
      </c>
      <c r="W489">
        <f t="shared" si="260"/>
        <v>545.89102040816329</v>
      </c>
      <c r="Y489" s="17">
        <f t="shared" si="240"/>
        <v>8832.8561160714307</v>
      </c>
      <c r="Z489">
        <f t="shared" si="241"/>
        <v>1825.6180331123876</v>
      </c>
    </row>
    <row r="490" spans="1:26" x14ac:dyDescent="0.25">
      <c r="A490" t="s">
        <v>63</v>
      </c>
      <c r="D490">
        <f t="shared" ref="D490:W490" si="261">D58*D94</f>
        <v>586.19387755102036</v>
      </c>
      <c r="E490">
        <f t="shared" si="261"/>
        <v>504.78</v>
      </c>
      <c r="F490">
        <f t="shared" si="261"/>
        <v>470.94</v>
      </c>
      <c r="G490">
        <f t="shared" si="261"/>
        <v>457.70714285714291</v>
      </c>
      <c r="H490">
        <f t="shared" si="261"/>
        <v>443.92816326530607</v>
      </c>
      <c r="I490">
        <f t="shared" si="261"/>
        <v>416.01775510204078</v>
      </c>
      <c r="J490">
        <f t="shared" si="261"/>
        <v>304.19653061224494</v>
      </c>
      <c r="K490">
        <f t="shared" si="261"/>
        <v>266.89285714285711</v>
      </c>
      <c r="L490">
        <f t="shared" si="261"/>
        <v>245.67750000000001</v>
      </c>
      <c r="M490">
        <f t="shared" si="261"/>
        <v>320.45632653061227</v>
      </c>
      <c r="N490">
        <f t="shared" si="261"/>
        <v>301.58714285714285</v>
      </c>
      <c r="O490">
        <f t="shared" si="261"/>
        <v>384.95285714285711</v>
      </c>
      <c r="P490">
        <f t="shared" si="261"/>
        <v>226.61632653061221</v>
      </c>
      <c r="Q490">
        <f t="shared" si="261"/>
        <v>404.21142857142866</v>
      </c>
      <c r="R490">
        <f t="shared" si="261"/>
        <v>370.78530612244901</v>
      </c>
      <c r="S490">
        <f t="shared" si="261"/>
        <v>461.25918367346935</v>
      </c>
      <c r="T490">
        <f t="shared" si="261"/>
        <v>519.93265306122453</v>
      </c>
      <c r="U490">
        <f t="shared" si="261"/>
        <v>504.25306122448978</v>
      </c>
      <c r="V490">
        <f t="shared" si="261"/>
        <v>521.05836734693878</v>
      </c>
      <c r="W490">
        <f t="shared" si="261"/>
        <v>597.8367346938777</v>
      </c>
      <c r="Y490" s="17">
        <f t="shared" si="240"/>
        <v>8309.2832142857151</v>
      </c>
      <c r="Z490">
        <f t="shared" si="241"/>
        <v>1741.6753177204018</v>
      </c>
    </row>
    <row r="491" spans="1:26" x14ac:dyDescent="0.25">
      <c r="A491" t="s">
        <v>64</v>
      </c>
      <c r="D491">
        <f t="shared" ref="D491:W491" si="262">D59*D95</f>
        <v>618.27959183673465</v>
      </c>
      <c r="E491">
        <f t="shared" si="262"/>
        <v>618.84081632653056</v>
      </c>
      <c r="F491">
        <f t="shared" si="262"/>
        <v>561.36</v>
      </c>
      <c r="G491">
        <f t="shared" si="262"/>
        <v>551.02816326530603</v>
      </c>
      <c r="H491">
        <f t="shared" si="262"/>
        <v>444.37142857142851</v>
      </c>
      <c r="I491">
        <f t="shared" si="262"/>
        <v>501.81224489795915</v>
      </c>
      <c r="J491">
        <f t="shared" si="262"/>
        <v>362.66775510204076</v>
      </c>
      <c r="K491">
        <f t="shared" si="262"/>
        <v>398.86877551020405</v>
      </c>
      <c r="L491">
        <f t="shared" si="262"/>
        <v>430.14468749999992</v>
      </c>
      <c r="M491">
        <f t="shared" si="262"/>
        <v>306.87244897959181</v>
      </c>
      <c r="N491">
        <f t="shared" si="262"/>
        <v>300.27918367346939</v>
      </c>
      <c r="O491">
        <f t="shared" si="262"/>
        <v>286.27938775510211</v>
      </c>
      <c r="P491">
        <f t="shared" si="262"/>
        <v>382.77551020408168</v>
      </c>
      <c r="Q491">
        <f t="shared" si="262"/>
        <v>408.76285714285723</v>
      </c>
      <c r="R491">
        <f t="shared" si="262"/>
        <v>482.90000000000009</v>
      </c>
      <c r="S491">
        <f t="shared" si="262"/>
        <v>389.8122448979592</v>
      </c>
      <c r="T491">
        <f t="shared" si="262"/>
        <v>508.0204081632653</v>
      </c>
      <c r="U491">
        <f t="shared" si="262"/>
        <v>493.58877551020419</v>
      </c>
      <c r="V491">
        <f t="shared" si="262"/>
        <v>523.76448979591839</v>
      </c>
      <c r="W491">
        <f t="shared" si="262"/>
        <v>580.4048979591837</v>
      </c>
      <c r="Y491" s="17">
        <f t="shared" si="240"/>
        <v>9150.8336670918379</v>
      </c>
      <c r="Z491">
        <f t="shared" si="241"/>
        <v>1847.0651506388695</v>
      </c>
    </row>
    <row r="492" spans="1:26" x14ac:dyDescent="0.25">
      <c r="A492" t="s">
        <v>65</v>
      </c>
      <c r="D492">
        <f t="shared" ref="D492:W492" si="263">D60*D96</f>
        <v>741.70897959183662</v>
      </c>
      <c r="E492">
        <f t="shared" si="263"/>
        <v>695.39612244897955</v>
      </c>
      <c r="F492">
        <f t="shared" si="263"/>
        <v>560.34102040816322</v>
      </c>
      <c r="G492">
        <f t="shared" si="263"/>
        <v>404.00142857142856</v>
      </c>
      <c r="H492">
        <f t="shared" si="263"/>
        <v>454.43755102040819</v>
      </c>
      <c r="I492">
        <f t="shared" si="263"/>
        <v>443.98285714285714</v>
      </c>
      <c r="J492">
        <f t="shared" si="263"/>
        <v>384.26530612244892</v>
      </c>
      <c r="K492">
        <f t="shared" si="263"/>
        <v>399.61959183673463</v>
      </c>
      <c r="L492">
        <f t="shared" si="263"/>
        <v>386.09999999999997</v>
      </c>
      <c r="M492">
        <f t="shared" si="263"/>
        <v>352.11428571428576</v>
      </c>
      <c r="N492">
        <f t="shared" si="263"/>
        <v>396.12857142857143</v>
      </c>
      <c r="O492">
        <f t="shared" si="263"/>
        <v>350.79714285714283</v>
      </c>
      <c r="P492">
        <f t="shared" si="263"/>
        <v>186.63183673469391</v>
      </c>
      <c r="Q492">
        <f t="shared" si="263"/>
        <v>250.96489795918367</v>
      </c>
      <c r="R492">
        <f t="shared" si="263"/>
        <v>150.04714285714283</v>
      </c>
      <c r="S492">
        <f t="shared" si="263"/>
        <v>284.45551020408163</v>
      </c>
      <c r="T492">
        <f t="shared" si="263"/>
        <v>413.51653061224499</v>
      </c>
      <c r="U492">
        <f t="shared" si="263"/>
        <v>421.91632653061225</v>
      </c>
      <c r="V492">
        <f t="shared" si="263"/>
        <v>533.08571428571429</v>
      </c>
      <c r="W492">
        <f t="shared" si="263"/>
        <v>742.66530612244901</v>
      </c>
      <c r="Y492" s="17">
        <f t="shared" si="240"/>
        <v>8552.1761224489801</v>
      </c>
      <c r="Z492">
        <f t="shared" si="241"/>
        <v>1868.9867107593934</v>
      </c>
    </row>
    <row r="493" spans="1:26" x14ac:dyDescent="0.25">
      <c r="A493" t="s">
        <v>66</v>
      </c>
      <c r="D493">
        <f t="shared" ref="D493:W493" si="264">D61*D97</f>
        <v>614.5</v>
      </c>
      <c r="E493">
        <f t="shared" si="264"/>
        <v>579.21306122448971</v>
      </c>
      <c r="F493">
        <f t="shared" si="264"/>
        <v>523.15346938775497</v>
      </c>
      <c r="G493">
        <f t="shared" si="264"/>
        <v>498.7940816326531</v>
      </c>
      <c r="H493">
        <f t="shared" si="264"/>
        <v>487.12061224489798</v>
      </c>
      <c r="I493">
        <f t="shared" si="264"/>
        <v>575.80040816326527</v>
      </c>
      <c r="J493">
        <f t="shared" si="264"/>
        <v>516.51510204081637</v>
      </c>
      <c r="K493">
        <f t="shared" si="264"/>
        <v>512.79428571428582</v>
      </c>
      <c r="L493">
        <f t="shared" si="264"/>
        <v>302.74374999999998</v>
      </c>
      <c r="M493">
        <f t="shared" si="264"/>
        <v>315.74346938775506</v>
      </c>
      <c r="N493">
        <f t="shared" si="264"/>
        <v>387.1989795918368</v>
      </c>
      <c r="O493">
        <f t="shared" si="264"/>
        <v>530.53387755102028</v>
      </c>
      <c r="P493">
        <f t="shared" si="264"/>
        <v>362.20102040816323</v>
      </c>
      <c r="Q493">
        <f t="shared" si="264"/>
        <v>334.13306122448978</v>
      </c>
      <c r="R493">
        <f t="shared" si="264"/>
        <v>369.2297959183673</v>
      </c>
      <c r="S493">
        <f t="shared" si="264"/>
        <v>403.6130612244898</v>
      </c>
      <c r="T493">
        <f t="shared" si="264"/>
        <v>528.82040816326537</v>
      </c>
      <c r="U493">
        <f t="shared" si="264"/>
        <v>613.98857142857139</v>
      </c>
      <c r="V493">
        <f t="shared" si="264"/>
        <v>556.09489795918364</v>
      </c>
      <c r="W493">
        <f t="shared" si="264"/>
        <v>720.90816326530614</v>
      </c>
      <c r="Y493" s="17">
        <f t="shared" si="240"/>
        <v>9733.1000765306126</v>
      </c>
      <c r="Z493">
        <f t="shared" si="241"/>
        <v>2031.0051142953421</v>
      </c>
    </row>
    <row r="494" spans="1:26" x14ac:dyDescent="0.25">
      <c r="A494" t="s">
        <v>67</v>
      </c>
      <c r="D494">
        <f t="shared" ref="D494:W494" si="265">D62*D98</f>
        <v>602.57346938775515</v>
      </c>
      <c r="E494">
        <f t="shared" si="265"/>
        <v>628.33877551020419</v>
      </c>
      <c r="F494">
        <f t="shared" si="265"/>
        <v>538.2465306122449</v>
      </c>
      <c r="G494">
        <f t="shared" si="265"/>
        <v>449.29612244897953</v>
      </c>
      <c r="H494">
        <f t="shared" si="265"/>
        <v>444.28775510204082</v>
      </c>
      <c r="I494">
        <f t="shared" si="265"/>
        <v>426.79714285714294</v>
      </c>
      <c r="J494">
        <f t="shared" si="265"/>
        <v>536.08795918367343</v>
      </c>
      <c r="K494">
        <f t="shared" si="265"/>
        <v>500.78571428571422</v>
      </c>
      <c r="L494">
        <f t="shared" si="265"/>
        <v>461.55816326530606</v>
      </c>
      <c r="M494">
        <f t="shared" si="265"/>
        <v>305.32530612244892</v>
      </c>
      <c r="N494">
        <f t="shared" si="265"/>
        <v>349.22897959183661</v>
      </c>
      <c r="O494">
        <f t="shared" si="265"/>
        <v>324.66122448979598</v>
      </c>
      <c r="P494">
        <f t="shared" si="265"/>
        <v>361.44816326530616</v>
      </c>
      <c r="Q494">
        <f t="shared" si="265"/>
        <v>398.66775510204081</v>
      </c>
      <c r="R494">
        <f t="shared" si="265"/>
        <v>502.00734693877547</v>
      </c>
      <c r="S494">
        <f t="shared" si="265"/>
        <v>375.67183673469378</v>
      </c>
      <c r="T494">
        <f t="shared" si="265"/>
        <v>459.79040816326534</v>
      </c>
      <c r="U494">
        <f t="shared" si="265"/>
        <v>555.39428571428573</v>
      </c>
      <c r="V494">
        <f t="shared" si="265"/>
        <v>643.59183673469374</v>
      </c>
      <c r="W494">
        <f t="shared" si="265"/>
        <v>650.23285714285726</v>
      </c>
      <c r="Y494" s="17">
        <f t="shared" si="240"/>
        <v>9513.9916326530602</v>
      </c>
      <c r="Z494">
        <f t="shared" si="241"/>
        <v>1917.9555078107005</v>
      </c>
    </row>
    <row r="495" spans="1:26" x14ac:dyDescent="0.25">
      <c r="A495" t="s">
        <v>68</v>
      </c>
      <c r="D495">
        <f t="shared" ref="D495:W495" si="266">D63*D99</f>
        <v>548.43428571428569</v>
      </c>
      <c r="E495">
        <f t="shared" si="266"/>
        <v>711.48367346938767</v>
      </c>
      <c r="F495">
        <f t="shared" si="266"/>
        <v>760.01224489795925</v>
      </c>
      <c r="G495">
        <f t="shared" si="266"/>
        <v>551.62163265306117</v>
      </c>
      <c r="H495">
        <f t="shared" si="266"/>
        <v>561.16346938775519</v>
      </c>
      <c r="I495">
        <f t="shared" si="266"/>
        <v>456.72693877551012</v>
      </c>
      <c r="J495">
        <f t="shared" si="266"/>
        <v>266.97999999999996</v>
      </c>
      <c r="K495">
        <f t="shared" si="266"/>
        <v>271.01979591836738</v>
      </c>
      <c r="L495">
        <f t="shared" si="266"/>
        <v>370.09499999999997</v>
      </c>
      <c r="M495">
        <f t="shared" si="266"/>
        <v>216.6195918367348</v>
      </c>
      <c r="N495">
        <f t="shared" si="266"/>
        <v>229.78448979591832</v>
      </c>
      <c r="O495">
        <f t="shared" si="266"/>
        <v>250.12081632653064</v>
      </c>
      <c r="P495">
        <f t="shared" si="266"/>
        <v>333.41224489795923</v>
      </c>
      <c r="Q495">
        <f t="shared" si="266"/>
        <v>342.86285714285708</v>
      </c>
      <c r="R495">
        <f t="shared" si="266"/>
        <v>412.90122448979588</v>
      </c>
      <c r="S495">
        <f t="shared" si="266"/>
        <v>456.39673469387753</v>
      </c>
      <c r="T495">
        <f t="shared" si="266"/>
        <v>423.4163265306122</v>
      </c>
      <c r="U495">
        <f t="shared" si="266"/>
        <v>452.40857142857135</v>
      </c>
      <c r="V495">
        <f t="shared" si="266"/>
        <v>488.2285714285714</v>
      </c>
      <c r="W495">
        <f t="shared" si="266"/>
        <v>555.24163265306117</v>
      </c>
      <c r="Y495" s="17">
        <f t="shared" si="240"/>
        <v>8658.9301020408166</v>
      </c>
      <c r="Z495">
        <f t="shared" si="241"/>
        <v>1817.3677419349992</v>
      </c>
    </row>
    <row r="496" spans="1:26" x14ac:dyDescent="0.25">
      <c r="A496" t="s">
        <v>69</v>
      </c>
      <c r="D496">
        <f t="shared" ref="D496:W496" si="267">D64*D100</f>
        <v>606.84979591836725</v>
      </c>
      <c r="E496">
        <f t="shared" si="267"/>
        <v>600.09387755102034</v>
      </c>
      <c r="F496">
        <f t="shared" si="267"/>
        <v>527.11346938775523</v>
      </c>
      <c r="G496">
        <f t="shared" si="267"/>
        <v>418.4114285714287</v>
      </c>
      <c r="H496">
        <f t="shared" si="267"/>
        <v>370.33877551020407</v>
      </c>
      <c r="I496">
        <f t="shared" si="267"/>
        <v>409.14081632653057</v>
      </c>
      <c r="J496">
        <f t="shared" si="267"/>
        <v>288.56591836734691</v>
      </c>
      <c r="K496">
        <f t="shared" si="267"/>
        <v>415.89551020408163</v>
      </c>
      <c r="L496">
        <f t="shared" si="267"/>
        <v>325.31906250000003</v>
      </c>
      <c r="M496">
        <f t="shared" si="267"/>
        <v>291.50857142857143</v>
      </c>
      <c r="N496">
        <f t="shared" si="267"/>
        <v>312.73085714285708</v>
      </c>
      <c r="O496">
        <f t="shared" si="267"/>
        <v>243.10685714285711</v>
      </c>
      <c r="P496">
        <f t="shared" si="267"/>
        <v>246.13085714285717</v>
      </c>
      <c r="Q496">
        <f t="shared" si="267"/>
        <v>292.73400000000004</v>
      </c>
      <c r="R496">
        <f t="shared" si="267"/>
        <v>222.55928571428572</v>
      </c>
      <c r="S496">
        <f t="shared" si="267"/>
        <v>329.76</v>
      </c>
      <c r="T496">
        <f t="shared" si="267"/>
        <v>388.4828571428572</v>
      </c>
      <c r="U496">
        <f t="shared" si="267"/>
        <v>439.22204081632651</v>
      </c>
      <c r="V496">
        <f t="shared" si="267"/>
        <v>479.69571428571436</v>
      </c>
      <c r="W496">
        <f t="shared" si="267"/>
        <v>508.44795918367356</v>
      </c>
      <c r="Y496" s="17">
        <f t="shared" si="240"/>
        <v>7716.1076543367344</v>
      </c>
      <c r="Z496">
        <f t="shared" si="241"/>
        <v>1644.367170563286</v>
      </c>
    </row>
    <row r="497" spans="1:26" x14ac:dyDescent="0.25">
      <c r="Y497" s="17"/>
    </row>
    <row r="498" spans="1:26" x14ac:dyDescent="0.25">
      <c r="A498" t="s">
        <v>70</v>
      </c>
      <c r="D498">
        <f t="shared" ref="D498:W498" si="268">D66*D102</f>
        <v>624.85551020408172</v>
      </c>
      <c r="E498">
        <f t="shared" si="268"/>
        <v>604.6977551020409</v>
      </c>
      <c r="F498">
        <f t="shared" si="268"/>
        <v>573.18367346938783</v>
      </c>
      <c r="G498">
        <f t="shared" si="268"/>
        <v>461.76081632653052</v>
      </c>
      <c r="H498">
        <f t="shared" si="268"/>
        <v>372.31142857142856</v>
      </c>
      <c r="I498">
        <f t="shared" si="268"/>
        <v>312.55346938775511</v>
      </c>
      <c r="J498">
        <f t="shared" si="268"/>
        <v>405.53857142857134</v>
      </c>
      <c r="K498">
        <f t="shared" si="268"/>
        <v>303.35020408163263</v>
      </c>
      <c r="L498">
        <f t="shared" si="268"/>
        <v>286.35749999999996</v>
      </c>
      <c r="M498">
        <f t="shared" si="268"/>
        <v>258.48734693877549</v>
      </c>
      <c r="N498">
        <f t="shared" si="268"/>
        <v>226.10571428571427</v>
      </c>
      <c r="O498">
        <f t="shared" si="268"/>
        <v>265.96448979591833</v>
      </c>
      <c r="P498">
        <f t="shared" si="268"/>
        <v>278.25306122448984</v>
      </c>
      <c r="Q498">
        <f t="shared" si="268"/>
        <v>363.91591836734688</v>
      </c>
      <c r="R498">
        <f t="shared" si="268"/>
        <v>362.35204081632656</v>
      </c>
      <c r="S498">
        <f t="shared" si="268"/>
        <v>380.9448274582561</v>
      </c>
      <c r="T498">
        <f t="shared" si="268"/>
        <v>416.91979591836736</v>
      </c>
      <c r="U498">
        <f t="shared" si="268"/>
        <v>390.7897959183673</v>
      </c>
      <c r="V498">
        <f t="shared" si="268"/>
        <v>515.8610204081632</v>
      </c>
      <c r="W498">
        <f t="shared" si="268"/>
        <v>641.73877551020405</v>
      </c>
      <c r="Y498" s="17">
        <f t="shared" si="240"/>
        <v>8045.9417152133592</v>
      </c>
      <c r="Z498">
        <f>SUMPRODUCT($D$502:$W$502,D498:W498)</f>
        <v>1633.309801172996</v>
      </c>
    </row>
    <row r="499" spans="1:26" x14ac:dyDescent="0.25">
      <c r="A499" t="s">
        <v>314</v>
      </c>
      <c r="D499">
        <f t="shared" ref="D499:W499" si="269">D67*D103</f>
        <v>617.23428571428553</v>
      </c>
      <c r="E499">
        <f t="shared" si="269"/>
        <v>636.87102040816319</v>
      </c>
      <c r="F499">
        <f t="shared" si="269"/>
        <v>487.97816326530608</v>
      </c>
      <c r="G499">
        <f t="shared" si="269"/>
        <v>472.69897959183669</v>
      </c>
      <c r="H499">
        <f t="shared" si="269"/>
        <v>534.14081632653063</v>
      </c>
      <c r="I499">
        <f t="shared" si="269"/>
        <v>426.22489795918369</v>
      </c>
      <c r="J499">
        <f t="shared" si="269"/>
        <v>333.68</v>
      </c>
      <c r="K499">
        <f t="shared" si="269"/>
        <v>288.06530612244904</v>
      </c>
      <c r="L499">
        <f t="shared" si="269"/>
        <v>291.22828124999995</v>
      </c>
      <c r="M499">
        <f t="shared" si="269"/>
        <v>344.52204081632664</v>
      </c>
      <c r="N499">
        <f t="shared" si="269"/>
        <v>289.22326530612253</v>
      </c>
      <c r="O499">
        <f t="shared" si="269"/>
        <v>294.24</v>
      </c>
      <c r="P499">
        <f t="shared" si="269"/>
        <v>381.3</v>
      </c>
      <c r="Q499">
        <f t="shared" si="269"/>
        <v>399.96</v>
      </c>
      <c r="R499">
        <f t="shared" si="269"/>
        <v>372.96</v>
      </c>
      <c r="S499">
        <f t="shared" si="269"/>
        <v>377.6</v>
      </c>
      <c r="T499">
        <f t="shared" si="269"/>
        <v>483.78675324675322</v>
      </c>
      <c r="U499">
        <f t="shared" si="269"/>
        <v>459.86285714285708</v>
      </c>
      <c r="V499">
        <f t="shared" si="269"/>
        <v>571.54157699443408</v>
      </c>
      <c r="W499">
        <f t="shared" si="269"/>
        <v>670.62857142857149</v>
      </c>
      <c r="Y499" s="17">
        <f t="shared" si="240"/>
        <v>8733.7468155728202</v>
      </c>
      <c r="Z499">
        <f>SUMPRODUCT($D$502:$W$502,D499:W499)</f>
        <v>1741.7543518512555</v>
      </c>
    </row>
    <row r="500" spans="1:26" x14ac:dyDescent="0.25">
      <c r="A500" t="s">
        <v>315</v>
      </c>
      <c r="D500">
        <f t="shared" ref="D500:W500" si="270">D68*D104</f>
        <v>694.09183673469386</v>
      </c>
      <c r="E500">
        <f t="shared" si="270"/>
        <v>618.99428571428575</v>
      </c>
      <c r="F500">
        <f t="shared" si="270"/>
        <v>778.57755102040812</v>
      </c>
      <c r="G500">
        <f t="shared" si="270"/>
        <v>551.32224489795897</v>
      </c>
      <c r="H500">
        <f t="shared" si="270"/>
        <v>506.71836734693863</v>
      </c>
      <c r="I500">
        <f t="shared" si="270"/>
        <v>454.65755102040816</v>
      </c>
      <c r="J500">
        <f t="shared" si="270"/>
        <v>353.18204081632643</v>
      </c>
      <c r="K500">
        <f t="shared" si="270"/>
        <v>272.31265306122452</v>
      </c>
      <c r="L500">
        <f t="shared" si="270"/>
        <v>205.24859375</v>
      </c>
      <c r="M500">
        <f t="shared" si="270"/>
        <v>323.64000000000004</v>
      </c>
      <c r="N500">
        <f t="shared" si="270"/>
        <v>248.16</v>
      </c>
      <c r="O500">
        <f t="shared" si="270"/>
        <v>275.01</v>
      </c>
      <c r="P500">
        <f t="shared" si="270"/>
        <v>304.63560090702947</v>
      </c>
      <c r="Q500">
        <f t="shared" si="270"/>
        <v>320.73135435992583</v>
      </c>
      <c r="R500">
        <f t="shared" si="270"/>
        <v>347.87001443001446</v>
      </c>
      <c r="S500">
        <f t="shared" si="270"/>
        <v>372.97590599876321</v>
      </c>
      <c r="T500">
        <f t="shared" si="270"/>
        <v>574.57387755102036</v>
      </c>
      <c r="U500">
        <f t="shared" si="270"/>
        <v>389.99755102040814</v>
      </c>
      <c r="V500">
        <f t="shared" si="270"/>
        <v>514.05489795918368</v>
      </c>
      <c r="W500">
        <f t="shared" si="270"/>
        <v>551.74877551020404</v>
      </c>
      <c r="Y500" s="17">
        <f t="shared" si="240"/>
        <v>8658.5031020987935</v>
      </c>
      <c r="Z500">
        <f>SUMPRODUCT($D$502:$W$502,D500:W500)</f>
        <v>1773.4930991420551</v>
      </c>
    </row>
    <row r="501" spans="1:26" x14ac:dyDescent="0.25">
      <c r="A501" t="s">
        <v>677</v>
      </c>
      <c r="D501">
        <f t="shared" ref="D501:W501" si="271">D69*D105</f>
        <v>581.38775510204073</v>
      </c>
      <c r="E501">
        <f t="shared" si="271"/>
        <v>605.04816326530602</v>
      </c>
      <c r="F501">
        <f t="shared" si="271"/>
        <v>563.84693877551024</v>
      </c>
      <c r="G501">
        <f t="shared" si="271"/>
        <v>616.53020408163263</v>
      </c>
      <c r="H501">
        <f t="shared" si="271"/>
        <v>511.99632653061218</v>
      </c>
      <c r="I501">
        <f t="shared" si="271"/>
        <v>386.54020408163262</v>
      </c>
      <c r="J501">
        <f t="shared" si="271"/>
        <v>300.96673469387747</v>
      </c>
      <c r="K501">
        <f t="shared" si="271"/>
        <v>223.29795918367353</v>
      </c>
      <c r="L501">
        <f t="shared" si="271"/>
        <v>208.72499999999997</v>
      </c>
      <c r="M501">
        <f t="shared" si="271"/>
        <v>339.6583673469388</v>
      </c>
      <c r="N501">
        <f t="shared" si="271"/>
        <v>312.01653061224494</v>
      </c>
      <c r="O501">
        <f t="shared" si="271"/>
        <v>177.28571428571448</v>
      </c>
      <c r="P501">
        <f t="shared" si="271"/>
        <v>186.52285714285713</v>
      </c>
      <c r="Q501">
        <f t="shared" si="271"/>
        <v>400.65734693877545</v>
      </c>
      <c r="R501">
        <f t="shared" si="271"/>
        <v>331.35204081632651</v>
      </c>
      <c r="S501">
        <f t="shared" si="271"/>
        <v>391.83673469387759</v>
      </c>
      <c r="T501">
        <f t="shared" si="271"/>
        <v>429.77340258154555</v>
      </c>
      <c r="U501">
        <f t="shared" si="271"/>
        <v>508.67356706785284</v>
      </c>
      <c r="V501">
        <f t="shared" si="271"/>
        <v>517.86231118088267</v>
      </c>
      <c r="W501">
        <f t="shared" si="271"/>
        <v>599.53961974533399</v>
      </c>
      <c r="Y501" s="17">
        <f t="shared" ref="Y501" si="272">SUM(D501:W501)</f>
        <v>8193.5177781266357</v>
      </c>
      <c r="Z501">
        <f>SUMPRODUCT($D$502:$W$502,D501:W501)</f>
        <v>1696.2786021869933</v>
      </c>
    </row>
    <row r="502" spans="1:26" x14ac:dyDescent="0.25">
      <c r="A502" s="2" t="s">
        <v>71</v>
      </c>
      <c r="D502" s="3">
        <f>CORREL($B$2:$B$28,D470:D496)</f>
        <v>5.9183253719186119E-2</v>
      </c>
      <c r="E502" s="3">
        <f t="shared" ref="E502:W502" si="273">CORREL($B$2:$B$28,E470:E496)</f>
        <v>0.43058930492432074</v>
      </c>
      <c r="F502" s="3">
        <f t="shared" si="273"/>
        <v>0.35524120011362215</v>
      </c>
      <c r="G502" s="3">
        <f t="shared" si="273"/>
        <v>9.2778261791898978E-2</v>
      </c>
      <c r="H502" s="3">
        <f t="shared" si="273"/>
        <v>6.625375822932715E-2</v>
      </c>
      <c r="I502" s="3">
        <f t="shared" si="273"/>
        <v>0.2993922356030746</v>
      </c>
      <c r="J502" s="3">
        <f t="shared" si="273"/>
        <v>-3.7196555285444542E-2</v>
      </c>
      <c r="K502" s="3">
        <f t="shared" si="273"/>
        <v>0.24390913553224469</v>
      </c>
      <c r="L502" s="3">
        <f t="shared" si="273"/>
        <v>0.32265269509931949</v>
      </c>
      <c r="M502" s="3">
        <f t="shared" si="273"/>
        <v>5.6106930279393652E-3</v>
      </c>
      <c r="N502" s="3">
        <f t="shared" si="273"/>
        <v>0.15875532843043128</v>
      </c>
      <c r="O502" s="3">
        <f t="shared" si="273"/>
        <v>0.37432475517083058</v>
      </c>
      <c r="P502" s="3">
        <f t="shared" si="273"/>
        <v>-0.26984492368042662</v>
      </c>
      <c r="Q502" s="3">
        <f t="shared" si="273"/>
        <v>0.16503260830925393</v>
      </c>
      <c r="R502" s="3">
        <f t="shared" si="273"/>
        <v>4.8899739367511998E-3</v>
      </c>
      <c r="S502" s="3">
        <f t="shared" si="273"/>
        <v>0.12737736925755949</v>
      </c>
      <c r="T502" s="3">
        <f t="shared" si="273"/>
        <v>0.40479007767466735</v>
      </c>
      <c r="U502" s="3">
        <f t="shared" si="273"/>
        <v>0.48570078040645481</v>
      </c>
      <c r="V502" s="3">
        <f t="shared" si="273"/>
        <v>0.201344264380622</v>
      </c>
      <c r="W502" s="3">
        <f t="shared" si="273"/>
        <v>0.2888111839001149</v>
      </c>
    </row>
    <row r="505" spans="1:26" x14ac:dyDescent="0.25">
      <c r="D505" t="s">
        <v>170</v>
      </c>
      <c r="E505" t="s">
        <v>171</v>
      </c>
      <c r="F505" t="s">
        <v>172</v>
      </c>
      <c r="G505" t="s">
        <v>173</v>
      </c>
      <c r="H505" t="s">
        <v>174</v>
      </c>
      <c r="I505" t="s">
        <v>175</v>
      </c>
      <c r="J505" t="s">
        <v>176</v>
      </c>
      <c r="K505" t="s">
        <v>177</v>
      </c>
      <c r="L505" t="s">
        <v>354</v>
      </c>
      <c r="M505" t="s">
        <v>410</v>
      </c>
      <c r="N505" t="s">
        <v>411</v>
      </c>
      <c r="O505" t="s">
        <v>412</v>
      </c>
      <c r="P505" t="s">
        <v>509</v>
      </c>
      <c r="Q505" t="s">
        <v>510</v>
      </c>
      <c r="R505" t="s">
        <v>511</v>
      </c>
      <c r="S505" t="s">
        <v>512</v>
      </c>
      <c r="T505" t="s">
        <v>621</v>
      </c>
      <c r="U505" t="s">
        <v>622</v>
      </c>
      <c r="V505" t="s">
        <v>623</v>
      </c>
      <c r="W505" t="s">
        <v>624</v>
      </c>
      <c r="Y505" t="s">
        <v>178</v>
      </c>
      <c r="Z505" t="s">
        <v>179</v>
      </c>
    </row>
    <row r="506" spans="1:26" x14ac:dyDescent="0.25">
      <c r="A506" t="s">
        <v>43</v>
      </c>
      <c r="D506">
        <f t="shared" ref="D506:W506" si="274">D38*D110</f>
        <v>3015</v>
      </c>
      <c r="E506">
        <f t="shared" si="274"/>
        <v>2716.6285714285714</v>
      </c>
      <c r="F506">
        <f t="shared" si="274"/>
        <v>2523.7551020408159</v>
      </c>
      <c r="G506">
        <f t="shared" si="274"/>
        <v>2730.0530612244897</v>
      </c>
      <c r="H506">
        <f t="shared" si="274"/>
        <v>2660.2551020408164</v>
      </c>
      <c r="I506">
        <f t="shared" si="274"/>
        <v>2460.2857142857142</v>
      </c>
      <c r="J506">
        <f t="shared" si="274"/>
        <v>2447.3551020408158</v>
      </c>
      <c r="K506">
        <f t="shared" si="274"/>
        <v>2508.0734693877553</v>
      </c>
      <c r="L506">
        <f t="shared" si="274"/>
        <v>2775.6624999999999</v>
      </c>
      <c r="M506">
        <f t="shared" si="274"/>
        <v>1586.9632653061224</v>
      </c>
      <c r="N506">
        <f t="shared" si="274"/>
        <v>1868.8122448979595</v>
      </c>
      <c r="O506">
        <f t="shared" si="274"/>
        <v>2431.3020408163261</v>
      </c>
      <c r="P506">
        <f t="shared" si="274"/>
        <v>2270.1448979591837</v>
      </c>
      <c r="Q506">
        <f t="shared" si="274"/>
        <v>2331.9673469387753</v>
      </c>
      <c r="R506">
        <f t="shared" si="274"/>
        <v>2260.6530612244896</v>
      </c>
      <c r="S506">
        <f t="shared" si="274"/>
        <v>2303.8775510204077</v>
      </c>
      <c r="T506">
        <f t="shared" si="274"/>
        <v>1847.5102040816325</v>
      </c>
      <c r="U506">
        <f t="shared" si="274"/>
        <v>1865.5632653061227</v>
      </c>
      <c r="V506">
        <f t="shared" si="274"/>
        <v>2763.3612244897959</v>
      </c>
      <c r="W506">
        <f t="shared" si="274"/>
        <v>2583.9224489795915</v>
      </c>
      <c r="Y506" s="17">
        <f t="shared" ref="Y506:Y536" si="275">SUM(D506:W506)</f>
        <v>47951.146173469388</v>
      </c>
      <c r="Z506">
        <f t="shared" ref="Z506:Z532" si="276">SUMPRODUCT($D$538:$W$538,D506:W506)</f>
        <v>1049.3609771664878</v>
      </c>
    </row>
    <row r="507" spans="1:26" x14ac:dyDescent="0.25">
      <c r="A507" t="s">
        <v>44</v>
      </c>
      <c r="D507">
        <f t="shared" ref="D507:W507" si="277">D39*D111</f>
        <v>2697.0899999999997</v>
      </c>
      <c r="E507">
        <f t="shared" si="277"/>
        <v>2226.42</v>
      </c>
      <c r="F507">
        <f t="shared" si="277"/>
        <v>2201.1600000000003</v>
      </c>
      <c r="G507">
        <f t="shared" si="277"/>
        <v>2320.5</v>
      </c>
      <c r="H507">
        <f t="shared" si="277"/>
        <v>2610.7199999999998</v>
      </c>
      <c r="I507">
        <f t="shared" si="277"/>
        <v>2276.8799999999997</v>
      </c>
      <c r="J507">
        <f t="shared" si="277"/>
        <v>2448.16</v>
      </c>
      <c r="K507">
        <f t="shared" si="277"/>
        <v>2304.7199999999998</v>
      </c>
      <c r="L507">
        <f t="shared" si="277"/>
        <v>2445.21</v>
      </c>
      <c r="M507">
        <f t="shared" si="277"/>
        <v>1732.8</v>
      </c>
      <c r="N507">
        <f t="shared" si="277"/>
        <v>2081.52</v>
      </c>
      <c r="O507">
        <f t="shared" si="277"/>
        <v>2503.71</v>
      </c>
      <c r="P507">
        <f t="shared" si="277"/>
        <v>2408.1905926530608</v>
      </c>
      <c r="Q507">
        <f t="shared" si="277"/>
        <v>2281.1756036734696</v>
      </c>
      <c r="R507">
        <f t="shared" si="277"/>
        <v>2423.9346612244894</v>
      </c>
      <c r="S507">
        <f t="shared" si="277"/>
        <v>2405.2706322077925</v>
      </c>
      <c r="T507">
        <f t="shared" si="277"/>
        <v>2572.2547680890539</v>
      </c>
      <c r="U507">
        <f t="shared" si="277"/>
        <v>2431.8019294990722</v>
      </c>
      <c r="V507">
        <f t="shared" si="277"/>
        <v>2404.494634508349</v>
      </c>
      <c r="W507">
        <f t="shared" si="277"/>
        <v>2544.1312987012984</v>
      </c>
      <c r="Y507" s="17">
        <f t="shared" si="275"/>
        <v>47320.144120556593</v>
      </c>
      <c r="Z507">
        <f t="shared" si="276"/>
        <v>1368.6030183750584</v>
      </c>
    </row>
    <row r="508" spans="1:26" x14ac:dyDescent="0.25">
      <c r="A508" t="s">
        <v>45</v>
      </c>
      <c r="D508">
        <f t="shared" ref="D508:W508" si="278">D40*D112</f>
        <v>2464.2938775510206</v>
      </c>
      <c r="E508">
        <f t="shared" si="278"/>
        <v>2001.5959183673472</v>
      </c>
      <c r="F508">
        <f t="shared" si="278"/>
        <v>1842.3081632653061</v>
      </c>
      <c r="G508">
        <f t="shared" si="278"/>
        <v>2672.7061224489798</v>
      </c>
      <c r="H508">
        <f t="shared" si="278"/>
        <v>2818.4571428571426</v>
      </c>
      <c r="I508">
        <f t="shared" si="278"/>
        <v>2049.2081632653058</v>
      </c>
      <c r="J508">
        <f t="shared" si="278"/>
        <v>2172.3428571428576</v>
      </c>
      <c r="K508">
        <f t="shared" si="278"/>
        <v>2071.5020408163268</v>
      </c>
      <c r="L508">
        <f t="shared" si="278"/>
        <v>2233.703125</v>
      </c>
      <c r="M508">
        <f t="shared" si="278"/>
        <v>2308.2979591836734</v>
      </c>
      <c r="N508">
        <f t="shared" si="278"/>
        <v>2430.9551020408162</v>
      </c>
      <c r="O508">
        <f t="shared" si="278"/>
        <v>2562.6857142857143</v>
      </c>
      <c r="P508">
        <f t="shared" si="278"/>
        <v>1886.2122448979592</v>
      </c>
      <c r="Q508">
        <f t="shared" si="278"/>
        <v>2289.7775510204083</v>
      </c>
      <c r="R508">
        <f t="shared" si="278"/>
        <v>2734.4204081632652</v>
      </c>
      <c r="S508">
        <f t="shared" si="278"/>
        <v>2224.0612244897957</v>
      </c>
      <c r="T508">
        <f t="shared" si="278"/>
        <v>1955.4408163265309</v>
      </c>
      <c r="U508">
        <f t="shared" si="278"/>
        <v>2402.3571428571431</v>
      </c>
      <c r="V508">
        <f t="shared" si="278"/>
        <v>2870.787755102041</v>
      </c>
      <c r="W508">
        <f t="shared" si="278"/>
        <v>2821.9591836734694</v>
      </c>
      <c r="Y508" s="17">
        <f t="shared" si="275"/>
        <v>46813.072512755105</v>
      </c>
      <c r="Z508">
        <f t="shared" si="276"/>
        <v>1330.121593433882</v>
      </c>
    </row>
    <row r="509" spans="1:26" x14ac:dyDescent="0.25">
      <c r="A509" t="s">
        <v>46</v>
      </c>
      <c r="D509">
        <f t="shared" ref="D509:W509" si="279">D41*D113</f>
        <v>2668.0163265306123</v>
      </c>
      <c r="E509">
        <f t="shared" si="279"/>
        <v>2581.8122448979598</v>
      </c>
      <c r="F509">
        <f t="shared" si="279"/>
        <v>2319.9061224489801</v>
      </c>
      <c r="G509">
        <f t="shared" si="279"/>
        <v>2749.416326530612</v>
      </c>
      <c r="H509">
        <f t="shared" si="279"/>
        <v>1915.7142857142862</v>
      </c>
      <c r="I509">
        <f t="shared" si="279"/>
        <v>2039.2163265306124</v>
      </c>
      <c r="J509">
        <f t="shared" si="279"/>
        <v>2018.5836734693878</v>
      </c>
      <c r="K509">
        <f t="shared" si="279"/>
        <v>2700.8204081632653</v>
      </c>
      <c r="L509">
        <f t="shared" si="279"/>
        <v>2151.6374999999998</v>
      </c>
      <c r="M509">
        <f t="shared" si="279"/>
        <v>2502.0408163265306</v>
      </c>
      <c r="N509">
        <f t="shared" si="279"/>
        <v>1812.6346938775512</v>
      </c>
      <c r="O509">
        <f t="shared" si="279"/>
        <v>2200.4897959183672</v>
      </c>
      <c r="P509">
        <f t="shared" si="279"/>
        <v>2091.6734693877556</v>
      </c>
      <c r="Q509">
        <f t="shared" si="279"/>
        <v>2640.2020408163271</v>
      </c>
      <c r="R509">
        <f t="shared" si="279"/>
        <v>2373.2448979591836</v>
      </c>
      <c r="S509">
        <f t="shared" si="279"/>
        <v>2407.3836734693878</v>
      </c>
      <c r="T509">
        <f t="shared" si="279"/>
        <v>2148.2857142857142</v>
      </c>
      <c r="U509">
        <f t="shared" si="279"/>
        <v>2156.3020408163266</v>
      </c>
      <c r="V509">
        <f t="shared" si="279"/>
        <v>1975.6897959183675</v>
      </c>
      <c r="W509">
        <f t="shared" si="279"/>
        <v>2893.7265306122454</v>
      </c>
      <c r="Y509" s="17">
        <f t="shared" si="275"/>
        <v>46346.796683673478</v>
      </c>
      <c r="Z509">
        <f t="shared" si="276"/>
        <v>1431.8620061397921</v>
      </c>
    </row>
    <row r="510" spans="1:26" x14ac:dyDescent="0.25">
      <c r="A510" t="s">
        <v>47</v>
      </c>
      <c r="D510">
        <f t="shared" ref="D510:W510" si="280">D42*D114</f>
        <v>2653.6775510204084</v>
      </c>
      <c r="E510">
        <f t="shared" si="280"/>
        <v>2039.0326530612244</v>
      </c>
      <c r="F510">
        <f t="shared" si="280"/>
        <v>2428.0163265306119</v>
      </c>
      <c r="G510">
        <f t="shared" si="280"/>
        <v>2888.4</v>
      </c>
      <c r="H510">
        <f t="shared" si="280"/>
        <v>1988.577551020408</v>
      </c>
      <c r="I510">
        <f t="shared" si="280"/>
        <v>2141.957142857143</v>
      </c>
      <c r="J510">
        <f t="shared" si="280"/>
        <v>2453.1428571428569</v>
      </c>
      <c r="K510">
        <f t="shared" si="280"/>
        <v>2243.2897959183674</v>
      </c>
      <c r="L510">
        <f t="shared" si="280"/>
        <v>1736.515625</v>
      </c>
      <c r="M510">
        <f t="shared" si="280"/>
        <v>2059.1836734693879</v>
      </c>
      <c r="N510">
        <f t="shared" si="280"/>
        <v>2594.9448979591834</v>
      </c>
      <c r="O510">
        <f t="shared" si="280"/>
        <v>2773.224489795919</v>
      </c>
      <c r="P510">
        <f t="shared" si="280"/>
        <v>2686.0836734693876</v>
      </c>
      <c r="Q510">
        <f t="shared" si="280"/>
        <v>2170.359183673469</v>
      </c>
      <c r="R510">
        <f t="shared" si="280"/>
        <v>2489.8061224489797</v>
      </c>
      <c r="S510">
        <f t="shared" si="280"/>
        <v>2366.3755102040814</v>
      </c>
      <c r="T510">
        <f t="shared" si="280"/>
        <v>2642.8163265306125</v>
      </c>
      <c r="U510">
        <f t="shared" si="280"/>
        <v>2656.1632653061224</v>
      </c>
      <c r="V510">
        <f t="shared" si="280"/>
        <v>1933.0612244897961</v>
      </c>
      <c r="W510">
        <f t="shared" si="280"/>
        <v>2559.1571428571433</v>
      </c>
      <c r="Y510" s="17">
        <f t="shared" si="275"/>
        <v>47503.785012755099</v>
      </c>
      <c r="Z510">
        <f t="shared" si="276"/>
        <v>1452.5611975265647</v>
      </c>
    </row>
    <row r="511" spans="1:26" x14ac:dyDescent="0.25">
      <c r="A511" t="s">
        <v>48</v>
      </c>
      <c r="D511">
        <f t="shared" ref="D511:W511" si="281">D43*D115</f>
        <v>2524.1918367346943</v>
      </c>
      <c r="E511">
        <f t="shared" si="281"/>
        <v>2561.8999999999996</v>
      </c>
      <c r="F511">
        <f t="shared" si="281"/>
        <v>2411.8714285714286</v>
      </c>
      <c r="G511">
        <f t="shared" si="281"/>
        <v>2401.077551020408</v>
      </c>
      <c r="H511">
        <f t="shared" si="281"/>
        <v>2435.8244897959185</v>
      </c>
      <c r="I511">
        <f t="shared" si="281"/>
        <v>2085.8693877551018</v>
      </c>
      <c r="J511">
        <f t="shared" si="281"/>
        <v>2621.5714285714284</v>
      </c>
      <c r="K511">
        <f t="shared" si="281"/>
        <v>2258.0408163265306</v>
      </c>
      <c r="L511">
        <f t="shared" si="281"/>
        <v>2325.7890625</v>
      </c>
      <c r="M511">
        <f t="shared" si="281"/>
        <v>1896.1755102040818</v>
      </c>
      <c r="N511">
        <f t="shared" si="281"/>
        <v>2114.3571428571427</v>
      </c>
      <c r="O511">
        <f t="shared" si="281"/>
        <v>1774.1755102040815</v>
      </c>
      <c r="P511">
        <f t="shared" si="281"/>
        <v>2981.9428571428571</v>
      </c>
      <c r="Q511">
        <f t="shared" si="281"/>
        <v>2561.3448979591831</v>
      </c>
      <c r="R511">
        <f t="shared" si="281"/>
        <v>2644.1428571428573</v>
      </c>
      <c r="S511">
        <f t="shared" si="281"/>
        <v>2046.8081632653063</v>
      </c>
      <c r="T511">
        <f t="shared" si="281"/>
        <v>2094.2204081632653</v>
      </c>
      <c r="U511">
        <f t="shared" si="281"/>
        <v>2654.8142857142857</v>
      </c>
      <c r="V511">
        <f t="shared" si="281"/>
        <v>2325.2510204081636</v>
      </c>
      <c r="W511">
        <f t="shared" si="281"/>
        <v>2425.6142857142854</v>
      </c>
      <c r="Y511" s="17">
        <f t="shared" si="275"/>
        <v>47144.982940051013</v>
      </c>
      <c r="Z511">
        <f t="shared" si="276"/>
        <v>1314.1221674255639</v>
      </c>
    </row>
    <row r="512" spans="1:26" x14ac:dyDescent="0.25">
      <c r="A512" t="s">
        <v>49</v>
      </c>
      <c r="D512">
        <f t="shared" ref="D512:W512" si="282">D44*D116</f>
        <v>2240.4387755102039</v>
      </c>
      <c r="E512">
        <f t="shared" si="282"/>
        <v>2698.9469387755103</v>
      </c>
      <c r="F512">
        <f t="shared" si="282"/>
        <v>2093.4285714285711</v>
      </c>
      <c r="G512">
        <f t="shared" si="282"/>
        <v>2157.5428571428574</v>
      </c>
      <c r="H512">
        <f t="shared" si="282"/>
        <v>2328.8265306122448</v>
      </c>
      <c r="I512">
        <f t="shared" si="282"/>
        <v>2578.3102040816325</v>
      </c>
      <c r="J512">
        <f t="shared" si="282"/>
        <v>2155.0102040816323</v>
      </c>
      <c r="K512">
        <f t="shared" si="282"/>
        <v>2418.2367346938777</v>
      </c>
      <c r="L512">
        <f t="shared" si="282"/>
        <v>2139.296875</v>
      </c>
      <c r="M512">
        <f t="shared" si="282"/>
        <v>1953.4224489795918</v>
      </c>
      <c r="N512">
        <f t="shared" si="282"/>
        <v>2206.5004081632655</v>
      </c>
      <c r="O512">
        <f t="shared" si="282"/>
        <v>2094.9244897959184</v>
      </c>
      <c r="P512">
        <f t="shared" si="282"/>
        <v>2739.1040816326531</v>
      </c>
      <c r="Q512">
        <f t="shared" si="282"/>
        <v>2632.514285714286</v>
      </c>
      <c r="R512">
        <f t="shared" si="282"/>
        <v>2383.2857142857142</v>
      </c>
      <c r="S512">
        <f t="shared" si="282"/>
        <v>2345.3428571428572</v>
      </c>
      <c r="T512">
        <f t="shared" si="282"/>
        <v>2343.4438775510207</v>
      </c>
      <c r="U512">
        <f t="shared" si="282"/>
        <v>2370.181224489796</v>
      </c>
      <c r="V512">
        <f t="shared" si="282"/>
        <v>2510.2000000000003</v>
      </c>
      <c r="W512">
        <f t="shared" si="282"/>
        <v>2038.9016326530614</v>
      </c>
      <c r="Y512" s="17">
        <f t="shared" si="275"/>
        <v>46427.858711734691</v>
      </c>
      <c r="Z512">
        <f t="shared" si="276"/>
        <v>1466.9982773555998</v>
      </c>
    </row>
    <row r="513" spans="1:26" x14ac:dyDescent="0.25">
      <c r="A513" t="s">
        <v>50</v>
      </c>
      <c r="D513">
        <f t="shared" ref="D513:W513" si="283">D45*D117</f>
        <v>2259.7081632653058</v>
      </c>
      <c r="E513">
        <f t="shared" si="283"/>
        <v>2133.3673469387759</v>
      </c>
      <c r="F513">
        <f t="shared" si="283"/>
        <v>2234.2857142857147</v>
      </c>
      <c r="G513">
        <f t="shared" si="283"/>
        <v>2547.8571428571431</v>
      </c>
      <c r="H513">
        <f t="shared" si="283"/>
        <v>2401.2857142857147</v>
      </c>
      <c r="I513">
        <f t="shared" si="283"/>
        <v>2667.9428571428571</v>
      </c>
      <c r="J513">
        <f t="shared" si="283"/>
        <v>2331.3265306122453</v>
      </c>
      <c r="K513">
        <f t="shared" si="283"/>
        <v>2289.6734693877552</v>
      </c>
      <c r="L513">
        <f t="shared" si="283"/>
        <v>2585.8515625000005</v>
      </c>
      <c r="M513">
        <f t="shared" si="283"/>
        <v>2872.2595918367347</v>
      </c>
      <c r="N513">
        <f t="shared" si="283"/>
        <v>2595.6642857142856</v>
      </c>
      <c r="O513">
        <f t="shared" si="283"/>
        <v>2513.8471428571429</v>
      </c>
      <c r="P513">
        <f t="shared" si="283"/>
        <v>2462.6938775510203</v>
      </c>
      <c r="Q513">
        <f t="shared" si="283"/>
        <v>2547.9428571428571</v>
      </c>
      <c r="R513">
        <f t="shared" si="283"/>
        <v>2678.4306122448975</v>
      </c>
      <c r="S513">
        <f t="shared" si="283"/>
        <v>2529.2734693877551</v>
      </c>
      <c r="T513">
        <f t="shared" si="283"/>
        <v>2353.9346938775507</v>
      </c>
      <c r="U513">
        <f t="shared" si="283"/>
        <v>2442.3714285714286</v>
      </c>
      <c r="V513">
        <f t="shared" si="283"/>
        <v>2365.1877551020411</v>
      </c>
      <c r="W513">
        <f t="shared" si="283"/>
        <v>2831.1959183673471</v>
      </c>
      <c r="Y513" s="17">
        <f t="shared" si="275"/>
        <v>49644.100133928579</v>
      </c>
      <c r="Z513">
        <f t="shared" si="276"/>
        <v>1603.8294277198431</v>
      </c>
    </row>
    <row r="514" spans="1:26" x14ac:dyDescent="0.25">
      <c r="A514" t="s">
        <v>51</v>
      </c>
      <c r="D514">
        <f t="shared" ref="D514:W514" si="284">D46*D118</f>
        <v>2734.8244897959185</v>
      </c>
      <c r="E514">
        <f t="shared" si="284"/>
        <v>2669.6857142857143</v>
      </c>
      <c r="F514">
        <f t="shared" si="284"/>
        <v>2378.3408163265303</v>
      </c>
      <c r="G514">
        <f t="shared" si="284"/>
        <v>2617.2734693877555</v>
      </c>
      <c r="H514">
        <f t="shared" si="284"/>
        <v>2470</v>
      </c>
      <c r="I514">
        <f t="shared" si="284"/>
        <v>2765.7142857142853</v>
      </c>
      <c r="J514">
        <f t="shared" si="284"/>
        <v>2708.197959183673</v>
      </c>
      <c r="K514">
        <f t="shared" si="284"/>
        <v>2360.6820408163267</v>
      </c>
      <c r="L514">
        <f t="shared" si="284"/>
        <v>2002.3359375</v>
      </c>
      <c r="M514">
        <f t="shared" si="284"/>
        <v>2634.204081632653</v>
      </c>
      <c r="N514">
        <f t="shared" si="284"/>
        <v>2708.8489795918367</v>
      </c>
      <c r="O514">
        <f t="shared" si="284"/>
        <v>2145.6734693877552</v>
      </c>
      <c r="P514">
        <f t="shared" si="284"/>
        <v>2780.0510204081634</v>
      </c>
      <c r="Q514">
        <f t="shared" si="284"/>
        <v>2062.6285714285714</v>
      </c>
      <c r="R514">
        <f t="shared" si="284"/>
        <v>2510.4979591836732</v>
      </c>
      <c r="S514">
        <f t="shared" si="284"/>
        <v>2391.0612244897957</v>
      </c>
      <c r="T514">
        <f t="shared" si="284"/>
        <v>2231.7857142857147</v>
      </c>
      <c r="U514">
        <f t="shared" si="284"/>
        <v>2136.6306122448982</v>
      </c>
      <c r="V514">
        <f t="shared" si="284"/>
        <v>1887.7</v>
      </c>
      <c r="W514">
        <f t="shared" si="284"/>
        <v>2305.4204081632656</v>
      </c>
      <c r="Y514" s="17">
        <f t="shared" si="275"/>
        <v>48501.556753826517</v>
      </c>
      <c r="Z514">
        <f t="shared" si="276"/>
        <v>1076.233982428972</v>
      </c>
    </row>
    <row r="515" spans="1:26" x14ac:dyDescent="0.25">
      <c r="A515" t="s">
        <v>52</v>
      </c>
      <c r="D515">
        <f t="shared" ref="D515:W515" si="285">D47*D119</f>
        <v>2588.3265306122448</v>
      </c>
      <c r="E515">
        <f t="shared" si="285"/>
        <v>2012.0734693877553</v>
      </c>
      <c r="F515">
        <f t="shared" si="285"/>
        <v>2578.1836734693879</v>
      </c>
      <c r="G515">
        <f t="shared" si="285"/>
        <v>2062.3510204081631</v>
      </c>
      <c r="H515">
        <f t="shared" si="285"/>
        <v>2855.5877551020408</v>
      </c>
      <c r="I515">
        <f t="shared" si="285"/>
        <v>2515.2244897959185</v>
      </c>
      <c r="J515">
        <f t="shared" si="285"/>
        <v>2404.710204081633</v>
      </c>
      <c r="K515">
        <f t="shared" si="285"/>
        <v>2036.6367346938775</v>
      </c>
      <c r="L515">
        <f t="shared" si="285"/>
        <v>2616.6124999999997</v>
      </c>
      <c r="M515">
        <f t="shared" si="285"/>
        <v>2269.9224489795915</v>
      </c>
      <c r="N515">
        <f t="shared" si="285"/>
        <v>2244.8081632653061</v>
      </c>
      <c r="O515">
        <f t="shared" si="285"/>
        <v>2167.4755102040817</v>
      </c>
      <c r="P515">
        <f t="shared" si="285"/>
        <v>2357.4571428571426</v>
      </c>
      <c r="Q515">
        <f t="shared" si="285"/>
        <v>2281.1775510204079</v>
      </c>
      <c r="R515">
        <f t="shared" si="285"/>
        <v>2392.3102040816325</v>
      </c>
      <c r="S515">
        <f t="shared" si="285"/>
        <v>2553.8571428571427</v>
      </c>
      <c r="T515">
        <f t="shared" si="285"/>
        <v>2432.0938775510203</v>
      </c>
      <c r="U515">
        <f t="shared" si="285"/>
        <v>2489.9265306122447</v>
      </c>
      <c r="V515">
        <f t="shared" si="285"/>
        <v>2324.951020408163</v>
      </c>
      <c r="W515">
        <f t="shared" si="285"/>
        <v>2247.0571428571429</v>
      </c>
      <c r="Y515" s="17">
        <f t="shared" si="275"/>
        <v>47430.743112244898</v>
      </c>
      <c r="Z515">
        <f t="shared" si="276"/>
        <v>1448.9999967720296</v>
      </c>
    </row>
    <row r="516" spans="1:26" x14ac:dyDescent="0.25">
      <c r="A516" t="s">
        <v>53</v>
      </c>
      <c r="D516">
        <f t="shared" ref="D516:W516" si="286">D48*D120</f>
        <v>2377.4897959183672</v>
      </c>
      <c r="E516">
        <f t="shared" si="286"/>
        <v>2583.4285714285716</v>
      </c>
      <c r="F516">
        <f t="shared" si="286"/>
        <v>2620.542857142857</v>
      </c>
      <c r="G516">
        <f t="shared" si="286"/>
        <v>2271.1530612244901</v>
      </c>
      <c r="H516">
        <f t="shared" si="286"/>
        <v>2487.3428571428576</v>
      </c>
      <c r="I516">
        <f t="shared" si="286"/>
        <v>1846.4877551020409</v>
      </c>
      <c r="J516">
        <f t="shared" si="286"/>
        <v>2731.1795918367343</v>
      </c>
      <c r="K516">
        <f t="shared" si="286"/>
        <v>2701.2857142857142</v>
      </c>
      <c r="L516">
        <f t="shared" si="286"/>
        <v>2258.6374999999998</v>
      </c>
      <c r="M516">
        <f t="shared" si="286"/>
        <v>2231.7918367346938</v>
      </c>
      <c r="N516">
        <f t="shared" si="286"/>
        <v>2506.042857142857</v>
      </c>
      <c r="O516">
        <f t="shared" si="286"/>
        <v>2282.8000000000002</v>
      </c>
      <c r="P516">
        <f t="shared" si="286"/>
        <v>2488.0714285714284</v>
      </c>
      <c r="Q516">
        <f t="shared" si="286"/>
        <v>2066.267346938776</v>
      </c>
      <c r="R516">
        <f t="shared" si="286"/>
        <v>2334.077551020408</v>
      </c>
      <c r="S516">
        <f t="shared" si="286"/>
        <v>2247.2326530612245</v>
      </c>
      <c r="T516">
        <f t="shared" si="286"/>
        <v>2849.2671428571425</v>
      </c>
      <c r="U516">
        <f t="shared" si="286"/>
        <v>2552.3371428571431</v>
      </c>
      <c r="V516">
        <f t="shared" si="286"/>
        <v>2517.7114285714288</v>
      </c>
      <c r="W516">
        <f t="shared" si="286"/>
        <v>2052.4899999999998</v>
      </c>
      <c r="Y516" s="17">
        <f t="shared" si="275"/>
        <v>48005.637091836732</v>
      </c>
      <c r="Z516">
        <f t="shared" si="276"/>
        <v>1592.8170664517886</v>
      </c>
    </row>
    <row r="517" spans="1:26" x14ac:dyDescent="0.25">
      <c r="A517" t="s">
        <v>54</v>
      </c>
      <c r="D517">
        <f t="shared" ref="D517:W517" si="287">D49*D121</f>
        <v>3059.1020408163267</v>
      </c>
      <c r="E517">
        <f t="shared" si="287"/>
        <v>2550.8061224489797</v>
      </c>
      <c r="F517">
        <f t="shared" si="287"/>
        <v>2523.8979591836737</v>
      </c>
      <c r="G517">
        <f t="shared" si="287"/>
        <v>2577.1755102040815</v>
      </c>
      <c r="H517">
        <f t="shared" si="287"/>
        <v>2675.0571428571429</v>
      </c>
      <c r="I517">
        <f t="shared" si="287"/>
        <v>2593.3061224489797</v>
      </c>
      <c r="J517">
        <f t="shared" si="287"/>
        <v>1833.6897959183673</v>
      </c>
      <c r="K517">
        <f t="shared" si="287"/>
        <v>2099.204081632653</v>
      </c>
      <c r="L517">
        <f t="shared" si="287"/>
        <v>2480.6031249999996</v>
      </c>
      <c r="M517">
        <f t="shared" si="287"/>
        <v>2131.8811999999998</v>
      </c>
      <c r="N517">
        <f t="shared" si="287"/>
        <v>2213.1954000000001</v>
      </c>
      <c r="O517">
        <f t="shared" si="287"/>
        <v>2381.6538</v>
      </c>
      <c r="P517">
        <f t="shared" si="287"/>
        <v>2275.3224</v>
      </c>
      <c r="Q517">
        <f t="shared" si="287"/>
        <v>2380.0032999999999</v>
      </c>
      <c r="R517">
        <f t="shared" si="287"/>
        <v>2404.83</v>
      </c>
      <c r="S517">
        <f t="shared" si="287"/>
        <v>2542.3693999999996</v>
      </c>
      <c r="T517">
        <f t="shared" si="287"/>
        <v>2215.674</v>
      </c>
      <c r="U517">
        <f t="shared" si="287"/>
        <v>2323.2562857142852</v>
      </c>
      <c r="V517">
        <f t="shared" si="287"/>
        <v>2392.2541428571431</v>
      </c>
      <c r="W517">
        <f t="shared" si="287"/>
        <v>2451.41</v>
      </c>
      <c r="Y517" s="17">
        <f t="shared" si="275"/>
        <v>48104.691829081625</v>
      </c>
      <c r="Z517">
        <f t="shared" si="276"/>
        <v>1330.8950450241193</v>
      </c>
    </row>
    <row r="518" spans="1:26" x14ac:dyDescent="0.25">
      <c r="A518" t="s">
        <v>55</v>
      </c>
      <c r="D518">
        <f t="shared" ref="D518:W518" si="288">D50*D122</f>
        <v>2788.0509999999999</v>
      </c>
      <c r="E518">
        <f t="shared" si="288"/>
        <v>3024.7829999999999</v>
      </c>
      <c r="F518">
        <f t="shared" si="288"/>
        <v>2829.7421000000004</v>
      </c>
      <c r="G518">
        <f t="shared" si="288"/>
        <v>2725.4141999999997</v>
      </c>
      <c r="H518">
        <f t="shared" si="288"/>
        <v>2378.3040000000001</v>
      </c>
      <c r="I518">
        <f t="shared" si="288"/>
        <v>2634.2350000000001</v>
      </c>
      <c r="J518">
        <f t="shared" si="288"/>
        <v>2305.2158999999997</v>
      </c>
      <c r="K518">
        <f t="shared" si="288"/>
        <v>2261.6847000000002</v>
      </c>
      <c r="L518">
        <f t="shared" si="288"/>
        <v>2152.02</v>
      </c>
      <c r="M518">
        <f t="shared" si="288"/>
        <v>2256.9183673469388</v>
      </c>
      <c r="N518">
        <f t="shared" si="288"/>
        <v>2706.3367346938776</v>
      </c>
      <c r="O518">
        <f t="shared" si="288"/>
        <v>2118.2693877551023</v>
      </c>
      <c r="P518">
        <f t="shared" si="288"/>
        <v>1944.1836734693877</v>
      </c>
      <c r="Q518">
        <f t="shared" si="288"/>
        <v>2453.7244897959176</v>
      </c>
      <c r="R518">
        <f t="shared" si="288"/>
        <v>2578.0081632653059</v>
      </c>
      <c r="S518">
        <f t="shared" si="288"/>
        <v>2655.1591836734697</v>
      </c>
      <c r="T518">
        <f t="shared" si="288"/>
        <v>2812.7346938775513</v>
      </c>
      <c r="U518">
        <f t="shared" si="288"/>
        <v>2614.5693877551021</v>
      </c>
      <c r="V518">
        <f t="shared" si="288"/>
        <v>2380.1326530612246</v>
      </c>
      <c r="W518">
        <f t="shared" si="288"/>
        <v>2974.8489795918367</v>
      </c>
      <c r="Y518" s="17">
        <f t="shared" si="275"/>
        <v>50594.33561428573</v>
      </c>
      <c r="Z518">
        <f t="shared" si="276"/>
        <v>1721.8438647722587</v>
      </c>
    </row>
    <row r="519" spans="1:26" x14ac:dyDescent="0.25">
      <c r="A519" t="s">
        <v>56</v>
      </c>
      <c r="D519">
        <f t="shared" ref="D519:W519" si="289">D51*D123</f>
        <v>2727.1469387755105</v>
      </c>
      <c r="E519">
        <f t="shared" si="289"/>
        <v>2718.9551020408162</v>
      </c>
      <c r="F519">
        <f t="shared" si="289"/>
        <v>2628.6285714285714</v>
      </c>
      <c r="G519">
        <f t="shared" si="289"/>
        <v>2747.7551020408164</v>
      </c>
      <c r="H519">
        <f t="shared" si="289"/>
        <v>2706.7244897959185</v>
      </c>
      <c r="I519">
        <f t="shared" si="289"/>
        <v>2562.9551020408162</v>
      </c>
      <c r="J519">
        <f t="shared" si="289"/>
        <v>2121.0367346938774</v>
      </c>
      <c r="K519">
        <f t="shared" si="289"/>
        <v>2859.0183673469387</v>
      </c>
      <c r="L519">
        <f t="shared" si="289"/>
        <v>2535.9750000000004</v>
      </c>
      <c r="M519">
        <f t="shared" si="289"/>
        <v>2426.4591836734694</v>
      </c>
      <c r="N519">
        <f t="shared" si="289"/>
        <v>2088.9755102040817</v>
      </c>
      <c r="O519">
        <f t="shared" si="289"/>
        <v>2364.5020408163264</v>
      </c>
      <c r="P519">
        <f t="shared" si="289"/>
        <v>2576</v>
      </c>
      <c r="Q519">
        <f t="shared" si="289"/>
        <v>2110.3673469387754</v>
      </c>
      <c r="R519">
        <f t="shared" si="289"/>
        <v>2644.0693877551021</v>
      </c>
      <c r="S519">
        <f t="shared" si="289"/>
        <v>2857.2142857142858</v>
      </c>
      <c r="T519">
        <f t="shared" si="289"/>
        <v>2640.6448979591833</v>
      </c>
      <c r="U519">
        <f t="shared" si="289"/>
        <v>2338.7510204081632</v>
      </c>
      <c r="V519">
        <f t="shared" si="289"/>
        <v>2364.4</v>
      </c>
      <c r="W519">
        <f t="shared" si="289"/>
        <v>2209.9591836734694</v>
      </c>
      <c r="Y519" s="17">
        <f t="shared" si="275"/>
        <v>50229.53826530611</v>
      </c>
      <c r="Z519">
        <f t="shared" si="276"/>
        <v>1390.1253883210538</v>
      </c>
    </row>
    <row r="520" spans="1:26" x14ac:dyDescent="0.25">
      <c r="A520" t="s">
        <v>57</v>
      </c>
      <c r="D520">
        <f t="shared" ref="D520:W520" si="290">D52*D124</f>
        <v>3066.1836734693879</v>
      </c>
      <c r="E520">
        <f t="shared" si="290"/>
        <v>2890.5346938775506</v>
      </c>
      <c r="F520">
        <f t="shared" si="290"/>
        <v>2739.4285714285716</v>
      </c>
      <c r="G520">
        <f t="shared" si="290"/>
        <v>2469.971428571429</v>
      </c>
      <c r="H520">
        <f t="shared" si="290"/>
        <v>2081.3714285714291</v>
      </c>
      <c r="I520">
        <f t="shared" si="290"/>
        <v>2542.1714285714288</v>
      </c>
      <c r="J520">
        <f t="shared" si="290"/>
        <v>2253.1122448979595</v>
      </c>
      <c r="K520">
        <f t="shared" si="290"/>
        <v>2131.9632653061221</v>
      </c>
      <c r="L520">
        <f t="shared" si="290"/>
        <v>2248.35</v>
      </c>
      <c r="M520">
        <f t="shared" si="290"/>
        <v>2448.3428571428567</v>
      </c>
      <c r="N520">
        <f t="shared" si="290"/>
        <v>2692.1877551020411</v>
      </c>
      <c r="O520">
        <f t="shared" si="290"/>
        <v>1923.1591836734694</v>
      </c>
      <c r="P520">
        <f t="shared" si="290"/>
        <v>2385.718367346939</v>
      </c>
      <c r="Q520">
        <f t="shared" si="290"/>
        <v>2464.7714285714283</v>
      </c>
      <c r="R520">
        <f t="shared" si="290"/>
        <v>2138.0877551020412</v>
      </c>
      <c r="S520">
        <f t="shared" si="290"/>
        <v>1922.179591836735</v>
      </c>
      <c r="T520">
        <f t="shared" si="290"/>
        <v>2089.1242857142856</v>
      </c>
      <c r="U520">
        <f t="shared" si="290"/>
        <v>2371.4285714285711</v>
      </c>
      <c r="V520">
        <f t="shared" si="290"/>
        <v>2166.4244897959184</v>
      </c>
      <c r="W520">
        <f t="shared" si="290"/>
        <v>3117.542857142857</v>
      </c>
      <c r="Y520" s="17">
        <f t="shared" si="275"/>
        <v>48142.053877551014</v>
      </c>
      <c r="Z520">
        <f t="shared" si="276"/>
        <v>1378.6920490916282</v>
      </c>
    </row>
    <row r="521" spans="1:26" x14ac:dyDescent="0.25">
      <c r="A521" t="s">
        <v>58</v>
      </c>
      <c r="D521">
        <f t="shared" ref="D521:W521" si="291">D53*D125</f>
        <v>2610.887755102041</v>
      </c>
      <c r="E521">
        <f t="shared" si="291"/>
        <v>2842.9591836734694</v>
      </c>
      <c r="F521">
        <f t="shared" si="291"/>
        <v>3000.0959183673463</v>
      </c>
      <c r="G521">
        <f t="shared" si="291"/>
        <v>2726.9897959183677</v>
      </c>
      <c r="H521">
        <f t="shared" si="291"/>
        <v>2163.795918367347</v>
      </c>
      <c r="I521">
        <f t="shared" si="291"/>
        <v>2045.9387755102039</v>
      </c>
      <c r="J521">
        <f t="shared" si="291"/>
        <v>2869.5102040816328</v>
      </c>
      <c r="K521">
        <f t="shared" si="291"/>
        <v>2673.8367346938776</v>
      </c>
      <c r="L521">
        <f t="shared" si="291"/>
        <v>2304.109375</v>
      </c>
      <c r="M521">
        <f t="shared" si="291"/>
        <v>2311.6144334693872</v>
      </c>
      <c r="N521">
        <f t="shared" si="291"/>
        <v>2112.4897959183672</v>
      </c>
      <c r="O521">
        <f t="shared" si="291"/>
        <v>1870.0408163265306</v>
      </c>
      <c r="P521">
        <f t="shared" si="291"/>
        <v>2158.5755102040816</v>
      </c>
      <c r="Q521">
        <f t="shared" si="291"/>
        <v>2105.8489795918367</v>
      </c>
      <c r="R521">
        <f t="shared" si="291"/>
        <v>1994.2040816326532</v>
      </c>
      <c r="S521">
        <f t="shared" si="291"/>
        <v>2616.922448979592</v>
      </c>
      <c r="T521">
        <f t="shared" si="291"/>
        <v>2621.6714285714288</v>
      </c>
      <c r="U521">
        <f t="shared" si="291"/>
        <v>2823.4612244897958</v>
      </c>
      <c r="V521">
        <f t="shared" si="291"/>
        <v>2177.2081632653062</v>
      </c>
      <c r="W521">
        <f t="shared" si="291"/>
        <v>2406.1938775510212</v>
      </c>
      <c r="Y521" s="17">
        <f t="shared" si="275"/>
        <v>48436.354420714284</v>
      </c>
      <c r="Z521">
        <f t="shared" si="276"/>
        <v>1657.6972370685382</v>
      </c>
    </row>
    <row r="522" spans="1:26" x14ac:dyDescent="0.25">
      <c r="A522" t="s">
        <v>59</v>
      </c>
      <c r="D522">
        <f t="shared" ref="D522:W522" si="292">D54*D126</f>
        <v>2918.0510204081629</v>
      </c>
      <c r="E522">
        <f t="shared" si="292"/>
        <v>2974.7081632653058</v>
      </c>
      <c r="F522">
        <f t="shared" si="292"/>
        <v>2443.063265306122</v>
      </c>
      <c r="G522">
        <f t="shared" si="292"/>
        <v>2074.6836734693879</v>
      </c>
      <c r="H522">
        <f t="shared" si="292"/>
        <v>2348.0653061224489</v>
      </c>
      <c r="I522">
        <f t="shared" si="292"/>
        <v>1926.2244897959185</v>
      </c>
      <c r="J522">
        <f t="shared" si="292"/>
        <v>2784.4897959183672</v>
      </c>
      <c r="K522">
        <f t="shared" si="292"/>
        <v>2513.5020408163268</v>
      </c>
      <c r="L522">
        <f t="shared" si="292"/>
        <v>2171.6693877551024</v>
      </c>
      <c r="M522">
        <f t="shared" si="292"/>
        <v>1913.0693877551023</v>
      </c>
      <c r="N522">
        <f t="shared" si="292"/>
        <v>2267.7448979591841</v>
      </c>
      <c r="O522">
        <f t="shared" si="292"/>
        <v>2215.5102040816323</v>
      </c>
      <c r="P522">
        <f t="shared" si="292"/>
        <v>2203.5020408163264</v>
      </c>
      <c r="Q522">
        <f t="shared" si="292"/>
        <v>1701.9</v>
      </c>
      <c r="R522">
        <f t="shared" si="292"/>
        <v>2073.4775510204081</v>
      </c>
      <c r="S522">
        <f t="shared" si="292"/>
        <v>2443.2122448979594</v>
      </c>
      <c r="T522">
        <f t="shared" si="292"/>
        <v>2623.0857142857139</v>
      </c>
      <c r="U522">
        <f t="shared" si="292"/>
        <v>2224.4081632653065</v>
      </c>
      <c r="V522">
        <f t="shared" si="292"/>
        <v>2354.0612244897957</v>
      </c>
      <c r="W522">
        <f t="shared" si="292"/>
        <v>2279.7000000000003</v>
      </c>
      <c r="Y522" s="17">
        <f t="shared" si="275"/>
        <v>46454.128571428555</v>
      </c>
      <c r="Z522">
        <f t="shared" si="276"/>
        <v>1348.8143313269625</v>
      </c>
    </row>
    <row r="523" spans="1:26" x14ac:dyDescent="0.25">
      <c r="A523" t="s">
        <v>60</v>
      </c>
      <c r="D523">
        <f t="shared" ref="D523:W523" si="293">D55*D127</f>
        <v>3172.7510204081632</v>
      </c>
      <c r="E523">
        <f t="shared" si="293"/>
        <v>2453.8775510204082</v>
      </c>
      <c r="F523">
        <f t="shared" si="293"/>
        <v>2653.3285714285716</v>
      </c>
      <c r="G523">
        <f t="shared" si="293"/>
        <v>3047.3142857142857</v>
      </c>
      <c r="H523">
        <f t="shared" si="293"/>
        <v>2486.5632653061225</v>
      </c>
      <c r="I523">
        <f t="shared" si="293"/>
        <v>2308.1142857142859</v>
      </c>
      <c r="J523">
        <f t="shared" si="293"/>
        <v>2614.9469387755103</v>
      </c>
      <c r="K523">
        <f t="shared" si="293"/>
        <v>2964.042857142857</v>
      </c>
      <c r="L523">
        <f t="shared" si="293"/>
        <v>2440.35</v>
      </c>
      <c r="M523">
        <f t="shared" si="293"/>
        <v>1869.3877551020412</v>
      </c>
      <c r="N523">
        <f t="shared" si="293"/>
        <v>1497.2285714285713</v>
      </c>
      <c r="O523">
        <f t="shared" si="293"/>
        <v>1619.0816326530612</v>
      </c>
      <c r="P523">
        <f t="shared" si="293"/>
        <v>2586.3673469387759</v>
      </c>
      <c r="Q523">
        <f t="shared" si="293"/>
        <v>2336.436734693878</v>
      </c>
      <c r="R523">
        <f t="shared" si="293"/>
        <v>2254.1224489795918</v>
      </c>
      <c r="S523">
        <f t="shared" si="293"/>
        <v>2312.6938775510203</v>
      </c>
      <c r="T523">
        <f t="shared" si="293"/>
        <v>2596.4979591836736</v>
      </c>
      <c r="U523">
        <f t="shared" si="293"/>
        <v>2534.1428571428573</v>
      </c>
      <c r="V523">
        <f t="shared" si="293"/>
        <v>1740.8897959183671</v>
      </c>
      <c r="W523">
        <f t="shared" si="293"/>
        <v>2282.6122448979595</v>
      </c>
      <c r="Y523" s="17">
        <f t="shared" si="275"/>
        <v>47770.75</v>
      </c>
      <c r="Z523">
        <f t="shared" si="276"/>
        <v>1048.8336304646257</v>
      </c>
    </row>
    <row r="524" spans="1:26" x14ac:dyDescent="0.25">
      <c r="A524" t="s">
        <v>61</v>
      </c>
      <c r="D524">
        <f t="shared" ref="D524:W524" si="294">D56*D128</f>
        <v>2771.8897959183678</v>
      </c>
      <c r="E524">
        <f t="shared" si="294"/>
        <v>3019.5918367346935</v>
      </c>
      <c r="F524">
        <f t="shared" si="294"/>
        <v>2970.0571428571429</v>
      </c>
      <c r="G524">
        <f t="shared" si="294"/>
        <v>2493.9183673469388</v>
      </c>
      <c r="H524">
        <f t="shared" si="294"/>
        <v>2755.1020408163267</v>
      </c>
      <c r="I524">
        <f t="shared" si="294"/>
        <v>3036.4285714285716</v>
      </c>
      <c r="J524">
        <f t="shared" si="294"/>
        <v>2496.1755102040815</v>
      </c>
      <c r="K524">
        <f t="shared" si="294"/>
        <v>2140.4714285714285</v>
      </c>
      <c r="L524">
        <f t="shared" si="294"/>
        <v>2139.921875</v>
      </c>
      <c r="M524">
        <f t="shared" si="294"/>
        <v>429.90795918367343</v>
      </c>
      <c r="N524">
        <f t="shared" si="294"/>
        <v>465.80265306122453</v>
      </c>
      <c r="O524">
        <f t="shared" si="294"/>
        <v>527.61836734693873</v>
      </c>
      <c r="P524">
        <f t="shared" si="294"/>
        <v>413.4367346938775</v>
      </c>
      <c r="Q524">
        <f t="shared" si="294"/>
        <v>438.71061224489796</v>
      </c>
      <c r="R524">
        <f t="shared" si="294"/>
        <v>443.50857142857137</v>
      </c>
      <c r="S524">
        <f t="shared" si="294"/>
        <v>594.89999999999986</v>
      </c>
      <c r="T524">
        <f t="shared" si="294"/>
        <v>506.15081632653067</v>
      </c>
      <c r="U524">
        <f t="shared" si="294"/>
        <v>708.19897959183663</v>
      </c>
      <c r="V524">
        <f t="shared" si="294"/>
        <v>703.90714285714284</v>
      </c>
      <c r="W524">
        <f t="shared" si="294"/>
        <v>848.12693877551021</v>
      </c>
      <c r="Y524" s="17">
        <f t="shared" si="275"/>
        <v>29903.825344387762</v>
      </c>
      <c r="Z524">
        <f t="shared" si="276"/>
        <v>-530.14300488203594</v>
      </c>
    </row>
    <row r="525" spans="1:26" x14ac:dyDescent="0.25">
      <c r="A525" t="s">
        <v>62</v>
      </c>
      <c r="D525">
        <f t="shared" ref="D525:W525" si="295">D57*D129</f>
        <v>841.74999999999989</v>
      </c>
      <c r="E525">
        <f t="shared" si="295"/>
        <v>798.51428571428573</v>
      </c>
      <c r="F525">
        <f t="shared" si="295"/>
        <v>883.15306122448987</v>
      </c>
      <c r="G525">
        <f t="shared" si="295"/>
        <v>767.25877551020403</v>
      </c>
      <c r="H525">
        <f t="shared" si="295"/>
        <v>685.46612244897949</v>
      </c>
      <c r="I525">
        <f t="shared" si="295"/>
        <v>622.03020408163252</v>
      </c>
      <c r="J525">
        <f t="shared" si="295"/>
        <v>555.56734693877547</v>
      </c>
      <c r="K525">
        <f t="shared" si="295"/>
        <v>621.69306122448972</v>
      </c>
      <c r="L525">
        <f t="shared" si="295"/>
        <v>560.24296875000005</v>
      </c>
      <c r="M525">
        <f t="shared" si="295"/>
        <v>2284.077551020408</v>
      </c>
      <c r="N525">
        <f t="shared" si="295"/>
        <v>2378.7285714285717</v>
      </c>
      <c r="O525">
        <f t="shared" si="295"/>
        <v>2025.3102040816332</v>
      </c>
      <c r="P525">
        <f t="shared" si="295"/>
        <v>1963.7775510204083</v>
      </c>
      <c r="Q525">
        <f t="shared" si="295"/>
        <v>2250.3244897959185</v>
      </c>
      <c r="R525">
        <f t="shared" si="295"/>
        <v>2778.1387755102037</v>
      </c>
      <c r="S525">
        <f t="shared" si="295"/>
        <v>2690.3224489795916</v>
      </c>
      <c r="T525">
        <f t="shared" si="295"/>
        <v>2235.8979591836728</v>
      </c>
      <c r="U525">
        <f t="shared" si="295"/>
        <v>2926.9693877551017</v>
      </c>
      <c r="V525">
        <f t="shared" si="295"/>
        <v>2744.6979591836739</v>
      </c>
      <c r="W525">
        <f t="shared" si="295"/>
        <v>2235.2897959183674</v>
      </c>
      <c r="Y525" s="17">
        <f t="shared" si="275"/>
        <v>32849.210519770408</v>
      </c>
      <c r="Z525">
        <f t="shared" si="276"/>
        <v>2541.991513571807</v>
      </c>
    </row>
    <row r="526" spans="1:26" x14ac:dyDescent="0.25">
      <c r="A526" t="s">
        <v>63</v>
      </c>
      <c r="D526">
        <f t="shared" ref="D526:W526" si="296">D58*D130</f>
        <v>3036.1836734693875</v>
      </c>
      <c r="E526">
        <f t="shared" si="296"/>
        <v>2721.2999999999997</v>
      </c>
      <c r="F526">
        <f t="shared" si="296"/>
        <v>2824.7</v>
      </c>
      <c r="G526">
        <f t="shared" si="296"/>
        <v>2756.591836734694</v>
      </c>
      <c r="H526">
        <f t="shared" si="296"/>
        <v>2465.7877551020406</v>
      </c>
      <c r="I526">
        <f t="shared" si="296"/>
        <v>2237.5122448979587</v>
      </c>
      <c r="J526">
        <f t="shared" si="296"/>
        <v>2543.8897959183678</v>
      </c>
      <c r="K526">
        <f t="shared" si="296"/>
        <v>2210.8571428571431</v>
      </c>
      <c r="L526">
        <f t="shared" si="296"/>
        <v>2285.6062500000003</v>
      </c>
      <c r="M526">
        <f t="shared" si="296"/>
        <v>2147.6591836734692</v>
      </c>
      <c r="N526">
        <f t="shared" si="296"/>
        <v>2440.077551020408</v>
      </c>
      <c r="O526">
        <f t="shared" si="296"/>
        <v>2653.1102040816327</v>
      </c>
      <c r="P526">
        <f t="shared" si="296"/>
        <v>2114.3265306122448</v>
      </c>
      <c r="Q526">
        <f t="shared" si="296"/>
        <v>2593.2285714285717</v>
      </c>
      <c r="R526">
        <f t="shared" si="296"/>
        <v>2837.8285714285716</v>
      </c>
      <c r="S526">
        <f t="shared" si="296"/>
        <v>2828.1244897959182</v>
      </c>
      <c r="T526">
        <f t="shared" si="296"/>
        <v>2998.1163265306118</v>
      </c>
      <c r="U526">
        <f t="shared" si="296"/>
        <v>2184.4897959183672</v>
      </c>
      <c r="V526">
        <f t="shared" si="296"/>
        <v>2355.7979591836729</v>
      </c>
      <c r="W526">
        <f t="shared" si="296"/>
        <v>2444.795918367347</v>
      </c>
      <c r="Y526" s="17">
        <f t="shared" si="275"/>
        <v>50679.983801020397</v>
      </c>
      <c r="Z526">
        <f t="shared" si="276"/>
        <v>1647.5872336432924</v>
      </c>
    </row>
    <row r="527" spans="1:26" x14ac:dyDescent="0.25">
      <c r="A527" t="s">
        <v>64</v>
      </c>
      <c r="D527">
        <f t="shared" ref="D527:W527" si="297">D59*D131</f>
        <v>2487.8979591836733</v>
      </c>
      <c r="E527">
        <f t="shared" si="297"/>
        <v>2741.2714285714283</v>
      </c>
      <c r="F527">
        <f t="shared" si="297"/>
        <v>2868.8551020408163</v>
      </c>
      <c r="G527">
        <f t="shared" si="297"/>
        <v>2963.4734693877544</v>
      </c>
      <c r="H527">
        <f t="shared" si="297"/>
        <v>2411.6857142857139</v>
      </c>
      <c r="I527">
        <f t="shared" si="297"/>
        <v>2859.8857142857141</v>
      </c>
      <c r="J527">
        <f t="shared" si="297"/>
        <v>2527.9346938775507</v>
      </c>
      <c r="K527">
        <f t="shared" si="297"/>
        <v>2581.4142857142856</v>
      </c>
      <c r="L527">
        <f t="shared" si="297"/>
        <v>2641.3687499999996</v>
      </c>
      <c r="M527">
        <f t="shared" si="297"/>
        <v>2458.7448979591841</v>
      </c>
      <c r="N527">
        <f t="shared" si="297"/>
        <v>2073.7102040816321</v>
      </c>
      <c r="O527">
        <f t="shared" si="297"/>
        <v>2261.5673469387757</v>
      </c>
      <c r="P527">
        <f t="shared" si="297"/>
        <v>2330.6775510204084</v>
      </c>
      <c r="Q527">
        <f t="shared" si="297"/>
        <v>2763.3428571428576</v>
      </c>
      <c r="R527">
        <f t="shared" si="297"/>
        <v>2808.704081632653</v>
      </c>
      <c r="S527">
        <f t="shared" si="297"/>
        <v>2645.74693877551</v>
      </c>
      <c r="T527">
        <f t="shared" si="297"/>
        <v>2567.8122448979593</v>
      </c>
      <c r="U527">
        <f t="shared" si="297"/>
        <v>2830.8061224489797</v>
      </c>
      <c r="V527">
        <f t="shared" si="297"/>
        <v>2498.1857142857148</v>
      </c>
      <c r="W527">
        <f t="shared" si="297"/>
        <v>2714.3061224489797</v>
      </c>
      <c r="Y527" s="17">
        <f t="shared" si="275"/>
        <v>52037.391198979596</v>
      </c>
      <c r="Z527">
        <f t="shared" si="276"/>
        <v>1787.5203772493264</v>
      </c>
    </row>
    <row r="528" spans="1:26" x14ac:dyDescent="0.25">
      <c r="A528" t="s">
        <v>65</v>
      </c>
      <c r="D528">
        <f t="shared" ref="D528:W528" si="298">D60*D132</f>
        <v>2574.1959183673471</v>
      </c>
      <c r="E528">
        <f t="shared" si="298"/>
        <v>3108.7102040816326</v>
      </c>
      <c r="F528">
        <f t="shared" si="298"/>
        <v>2659.0816326530612</v>
      </c>
      <c r="G528">
        <f t="shared" si="298"/>
        <v>2435.014285714286</v>
      </c>
      <c r="H528">
        <f t="shared" si="298"/>
        <v>2630.718367346939</v>
      </c>
      <c r="I528">
        <f t="shared" si="298"/>
        <v>2336.3142857142861</v>
      </c>
      <c r="J528">
        <f t="shared" si="298"/>
        <v>2135.7061224489794</v>
      </c>
      <c r="K528">
        <f t="shared" si="298"/>
        <v>2211.5265306122446</v>
      </c>
      <c r="L528">
        <f t="shared" si="298"/>
        <v>2416.78125</v>
      </c>
      <c r="M528">
        <f t="shared" si="298"/>
        <v>2066.25306122449</v>
      </c>
      <c r="N528">
        <f t="shared" si="298"/>
        <v>2259.4</v>
      </c>
      <c r="O528">
        <f t="shared" si="298"/>
        <v>2174.4326530612243</v>
      </c>
      <c r="P528">
        <f t="shared" si="298"/>
        <v>1947.6163265306122</v>
      </c>
      <c r="Q528">
        <f t="shared" si="298"/>
        <v>2252.6367346938773</v>
      </c>
      <c r="R528">
        <f t="shared" si="298"/>
        <v>1806.3</v>
      </c>
      <c r="S528">
        <f t="shared" si="298"/>
        <v>2046.8979591836737</v>
      </c>
      <c r="T528">
        <f t="shared" si="298"/>
        <v>2730.8612244897968</v>
      </c>
      <c r="U528">
        <f t="shared" si="298"/>
        <v>2554.5306122448978</v>
      </c>
      <c r="V528">
        <f t="shared" si="298"/>
        <v>2610.3163265306121</v>
      </c>
      <c r="W528">
        <f t="shared" si="298"/>
        <v>2475.5510204081629</v>
      </c>
      <c r="Y528" s="17">
        <f t="shared" si="275"/>
        <v>47432.844515306133</v>
      </c>
      <c r="Z528">
        <f t="shared" si="276"/>
        <v>1604.6440001613428</v>
      </c>
    </row>
    <row r="529" spans="1:26" x14ac:dyDescent="0.25">
      <c r="A529" t="s">
        <v>66</v>
      </c>
      <c r="D529">
        <f t="shared" ref="D529:W529" si="299">D61*D133</f>
        <v>2810</v>
      </c>
      <c r="E529">
        <f t="shared" si="299"/>
        <v>2670.2367346938777</v>
      </c>
      <c r="F529">
        <f t="shared" si="299"/>
        <v>2498.5734693877548</v>
      </c>
      <c r="G529">
        <f t="shared" si="299"/>
        <v>2152.1795918367343</v>
      </c>
      <c r="H529">
        <f t="shared" si="299"/>
        <v>1734.6040816326529</v>
      </c>
      <c r="I529">
        <f t="shared" si="299"/>
        <v>2483.5612244897957</v>
      </c>
      <c r="J529">
        <f t="shared" si="299"/>
        <v>2626.126530612245</v>
      </c>
      <c r="K529">
        <f t="shared" si="299"/>
        <v>2379.7469387755109</v>
      </c>
      <c r="L529">
        <f t="shared" si="299"/>
        <v>2677.1249999999995</v>
      </c>
      <c r="M529">
        <f t="shared" si="299"/>
        <v>2185.9163265306124</v>
      </c>
      <c r="N529">
        <f t="shared" si="299"/>
        <v>2088.9857142857145</v>
      </c>
      <c r="O529">
        <f t="shared" si="299"/>
        <v>2784.4244897959179</v>
      </c>
      <c r="P529">
        <f t="shared" si="299"/>
        <v>2302.7081632653062</v>
      </c>
      <c r="Q529">
        <f t="shared" si="299"/>
        <v>2650.3224489795921</v>
      </c>
      <c r="R529">
        <f t="shared" si="299"/>
        <v>2386.3265306122448</v>
      </c>
      <c r="S529">
        <f t="shared" si="299"/>
        <v>2416.4816326530608</v>
      </c>
      <c r="T529">
        <f t="shared" si="299"/>
        <v>2198.7795918367347</v>
      </c>
      <c r="U529">
        <f t="shared" si="299"/>
        <v>2701.1510204081633</v>
      </c>
      <c r="V529">
        <f t="shared" si="299"/>
        <v>2355.9183673469383</v>
      </c>
      <c r="W529">
        <f t="shared" si="299"/>
        <v>2404.8408163265308</v>
      </c>
      <c r="Y529" s="17">
        <f t="shared" si="275"/>
        <v>48508.008673469398</v>
      </c>
      <c r="Z529">
        <f t="shared" si="276"/>
        <v>1854.2822177375017</v>
      </c>
    </row>
    <row r="530" spans="1:26" x14ac:dyDescent="0.25">
      <c r="A530" t="s">
        <v>67</v>
      </c>
      <c r="D530">
        <f t="shared" ref="D530:W530" si="300">D62*D134</f>
        <v>2889.6836734693879</v>
      </c>
      <c r="E530">
        <f t="shared" si="300"/>
        <v>2611.1510204081637</v>
      </c>
      <c r="F530">
        <f t="shared" si="300"/>
        <v>2613.9918367346941</v>
      </c>
      <c r="G530">
        <f t="shared" si="300"/>
        <v>2382.9591836734689</v>
      </c>
      <c r="H530">
        <f t="shared" si="300"/>
        <v>2706.1163265306122</v>
      </c>
      <c r="I530">
        <f t="shared" si="300"/>
        <v>2722.6714285714293</v>
      </c>
      <c r="J530">
        <f t="shared" si="300"/>
        <v>2714.3122448979589</v>
      </c>
      <c r="K530">
        <f t="shared" si="300"/>
        <v>2627.3469387755099</v>
      </c>
      <c r="L530">
        <f t="shared" si="300"/>
        <v>3242.5040816326527</v>
      </c>
      <c r="M530">
        <f t="shared" si="300"/>
        <v>2236.9591836734689</v>
      </c>
      <c r="N530">
        <f t="shared" si="300"/>
        <v>2116.0571428571425</v>
      </c>
      <c r="O530">
        <f t="shared" si="300"/>
        <v>2268.6204081632654</v>
      </c>
      <c r="P530">
        <f t="shared" si="300"/>
        <v>2476.9959183673477</v>
      </c>
      <c r="Q530">
        <f t="shared" si="300"/>
        <v>2476.7020408163262</v>
      </c>
      <c r="R530">
        <f t="shared" si="300"/>
        <v>2483.4285714285711</v>
      </c>
      <c r="S530">
        <f t="shared" si="300"/>
        <v>2128.2326530612245</v>
      </c>
      <c r="T530">
        <f t="shared" si="300"/>
        <v>2109.7836734693878</v>
      </c>
      <c r="U530">
        <f t="shared" si="300"/>
        <v>2476.3714285714282</v>
      </c>
      <c r="V530">
        <f t="shared" si="300"/>
        <v>2140.408163265306</v>
      </c>
      <c r="W530">
        <f t="shared" si="300"/>
        <v>2657.8469387755104</v>
      </c>
      <c r="Y530" s="17">
        <f t="shared" si="275"/>
        <v>50082.142857142848</v>
      </c>
      <c r="Z530">
        <f t="shared" si="276"/>
        <v>1292.0881347409088</v>
      </c>
    </row>
    <row r="531" spans="1:26" x14ac:dyDescent="0.25">
      <c r="A531" t="s">
        <v>68</v>
      </c>
      <c r="D531">
        <f t="shared" ref="D531:W531" si="301">D63*D135</f>
        <v>2245.1265306122446</v>
      </c>
      <c r="E531">
        <f t="shared" si="301"/>
        <v>2534.4489795918366</v>
      </c>
      <c r="F531">
        <f t="shared" si="301"/>
        <v>3169.9244897959184</v>
      </c>
      <c r="G531">
        <f t="shared" si="301"/>
        <v>2573.6938775510203</v>
      </c>
      <c r="H531">
        <f t="shared" si="301"/>
        <v>2706.5897959183671</v>
      </c>
      <c r="I531">
        <f t="shared" si="301"/>
        <v>2207.4448979591834</v>
      </c>
      <c r="J531">
        <f t="shared" si="301"/>
        <v>2459.6408163265305</v>
      </c>
      <c r="K531">
        <f t="shared" si="301"/>
        <v>2551.7306122448981</v>
      </c>
      <c r="L531">
        <f t="shared" si="301"/>
        <v>2568.9359374999999</v>
      </c>
      <c r="M531">
        <f t="shared" si="301"/>
        <v>1916.9551020408164</v>
      </c>
      <c r="N531">
        <f t="shared" si="301"/>
        <v>2246.163265306122</v>
      </c>
      <c r="O531">
        <f t="shared" si="301"/>
        <v>2278.7918367346938</v>
      </c>
      <c r="P531">
        <f t="shared" si="301"/>
        <v>2528.0244897959183</v>
      </c>
      <c r="Q531">
        <f t="shared" si="301"/>
        <v>2537.6918367346939</v>
      </c>
      <c r="R531">
        <f t="shared" si="301"/>
        <v>2813.8122448979593</v>
      </c>
      <c r="S531">
        <f t="shared" si="301"/>
        <v>2547.330612244898</v>
      </c>
      <c r="T531">
        <f t="shared" si="301"/>
        <v>2449.8979591836733</v>
      </c>
      <c r="U531">
        <f t="shared" si="301"/>
        <v>2484.3510204081631</v>
      </c>
      <c r="V531">
        <f t="shared" si="301"/>
        <v>2194.2857142857142</v>
      </c>
      <c r="W531">
        <f t="shared" si="301"/>
        <v>2178.3673469387759</v>
      </c>
      <c r="Y531" s="17">
        <f t="shared" si="275"/>
        <v>49193.207366071438</v>
      </c>
      <c r="Z531">
        <f t="shared" si="276"/>
        <v>1546.2069449698602</v>
      </c>
    </row>
    <row r="532" spans="1:26" x14ac:dyDescent="0.25">
      <c r="A532" t="s">
        <v>69</v>
      </c>
      <c r="D532">
        <f t="shared" ref="D532:W532" si="302">D64*D136</f>
        <v>2712.4346938775507</v>
      </c>
      <c r="E532">
        <f t="shared" si="302"/>
        <v>2812.457142857143</v>
      </c>
      <c r="F532">
        <f t="shared" si="302"/>
        <v>3069.7795918367356</v>
      </c>
      <c r="G532">
        <f t="shared" si="302"/>
        <v>2689.787755102041</v>
      </c>
      <c r="H532">
        <f t="shared" si="302"/>
        <v>2253.6469387755105</v>
      </c>
      <c r="I532">
        <f t="shared" si="302"/>
        <v>2952.8061224489797</v>
      </c>
      <c r="J532">
        <f t="shared" si="302"/>
        <v>2439.7326530612245</v>
      </c>
      <c r="K532">
        <f t="shared" si="302"/>
        <v>2582.3020408163261</v>
      </c>
      <c r="L532">
        <f t="shared" si="302"/>
        <v>2428.4875000000002</v>
      </c>
      <c r="M532">
        <f t="shared" si="302"/>
        <v>2407.0204081632651</v>
      </c>
      <c r="N532">
        <f t="shared" si="302"/>
        <v>2045.5306122448974</v>
      </c>
      <c r="O532">
        <f t="shared" si="302"/>
        <v>2310.2204081632649</v>
      </c>
      <c r="P532">
        <f t="shared" si="302"/>
        <v>2247.3163265306121</v>
      </c>
      <c r="Q532">
        <f t="shared" si="302"/>
        <v>1985.714285714286</v>
      </c>
      <c r="R532">
        <f t="shared" si="302"/>
        <v>2011.9464285714287</v>
      </c>
      <c r="S532">
        <f t="shared" si="302"/>
        <v>2317.5734693877548</v>
      </c>
      <c r="T532">
        <f t="shared" si="302"/>
        <v>2702.0938775510208</v>
      </c>
      <c r="U532">
        <f t="shared" si="302"/>
        <v>2404.2612244897959</v>
      </c>
      <c r="V532">
        <f t="shared" si="302"/>
        <v>2857.9877551020413</v>
      </c>
      <c r="W532">
        <f t="shared" si="302"/>
        <v>2119.7979591836738</v>
      </c>
      <c r="Y532" s="17">
        <f t="shared" si="275"/>
        <v>49350.89719387755</v>
      </c>
      <c r="Z532">
        <f t="shared" si="276"/>
        <v>1629.2685782204715</v>
      </c>
    </row>
    <row r="533" spans="1:26" x14ac:dyDescent="0.25">
      <c r="Y533" s="17"/>
    </row>
    <row r="534" spans="1:26" x14ac:dyDescent="0.25">
      <c r="A534" t="s">
        <v>70</v>
      </c>
      <c r="D534">
        <f t="shared" ref="D534:W534" si="303">D66*D138</f>
        <v>2472.5877551020408</v>
      </c>
      <c r="E534">
        <f t="shared" si="303"/>
        <v>2820.9918367346941</v>
      </c>
      <c r="F534">
        <f t="shared" si="303"/>
        <v>3055.7142857142858</v>
      </c>
      <c r="G534">
        <f t="shared" si="303"/>
        <v>2780.4469387755103</v>
      </c>
      <c r="H534">
        <f t="shared" si="303"/>
        <v>2892.2999999999997</v>
      </c>
      <c r="I534">
        <f t="shared" si="303"/>
        <v>2554.4816326530608</v>
      </c>
      <c r="J534">
        <f t="shared" si="303"/>
        <v>3042.6448979591837</v>
      </c>
      <c r="K534">
        <f t="shared" si="303"/>
        <v>2643.7224489795917</v>
      </c>
      <c r="L534">
        <f t="shared" si="303"/>
        <v>2473.8999999999996</v>
      </c>
      <c r="M534">
        <f t="shared" si="303"/>
        <v>2403.6734693877547</v>
      </c>
      <c r="N534">
        <f t="shared" si="303"/>
        <v>2452.4693877551022</v>
      </c>
      <c r="O534">
        <f t="shared" si="303"/>
        <v>2536.4775510204081</v>
      </c>
      <c r="P534">
        <f t="shared" si="303"/>
        <v>1945.1428571428571</v>
      </c>
      <c r="Q534">
        <f t="shared" si="303"/>
        <v>2785.9591836734689</v>
      </c>
      <c r="R534">
        <f t="shared" si="303"/>
        <v>2341.7857142857142</v>
      </c>
      <c r="S534">
        <f t="shared" si="303"/>
        <v>2336.1535956485072</v>
      </c>
      <c r="T534">
        <f t="shared" si="303"/>
        <v>2462.2591836734696</v>
      </c>
      <c r="U534">
        <f t="shared" si="303"/>
        <v>2260.408163265306</v>
      </c>
      <c r="V534">
        <f t="shared" si="303"/>
        <v>2346.9999999999995</v>
      </c>
      <c r="W534">
        <f t="shared" si="303"/>
        <v>3016.8979591836733</v>
      </c>
      <c r="Y534" s="17">
        <f t="shared" si="275"/>
        <v>51625.016860954638</v>
      </c>
      <c r="Z534">
        <f>SUMPRODUCT($D$538:$W$538,D534:W534)</f>
        <v>1493.501442893853</v>
      </c>
    </row>
    <row r="535" spans="1:26" x14ac:dyDescent="0.25">
      <c r="A535" t="s">
        <v>314</v>
      </c>
      <c r="D535">
        <f t="shared" ref="D535:W535" si="304">D67*D139</f>
        <v>3228.6857142857143</v>
      </c>
      <c r="E535">
        <f t="shared" si="304"/>
        <v>2967.8959183673469</v>
      </c>
      <c r="F535">
        <f t="shared" si="304"/>
        <v>2341.9469387755103</v>
      </c>
      <c r="G535">
        <f t="shared" si="304"/>
        <v>2629.1326530612241</v>
      </c>
      <c r="H535">
        <f t="shared" si="304"/>
        <v>2515.4836734693872</v>
      </c>
      <c r="I535">
        <f t="shared" si="304"/>
        <v>2857.7448979591832</v>
      </c>
      <c r="J535">
        <f t="shared" si="304"/>
        <v>2846.6</v>
      </c>
      <c r="K535">
        <f t="shared" si="304"/>
        <v>2725.1632653061224</v>
      </c>
      <c r="L535">
        <f t="shared" si="304"/>
        <v>1774.3515625</v>
      </c>
      <c r="M535">
        <f t="shared" si="304"/>
        <v>2495.3346938775512</v>
      </c>
      <c r="N535">
        <f t="shared" si="304"/>
        <v>2391.5102040816332</v>
      </c>
      <c r="O535">
        <f t="shared" si="304"/>
        <v>2446.9959183673468</v>
      </c>
      <c r="P535">
        <f t="shared" si="304"/>
        <v>2386.2000000000003</v>
      </c>
      <c r="Q535">
        <f t="shared" si="304"/>
        <v>2817.9</v>
      </c>
      <c r="R535">
        <f t="shared" si="304"/>
        <v>2575.2000000000003</v>
      </c>
      <c r="S535">
        <f t="shared" si="304"/>
        <v>2537</v>
      </c>
      <c r="T535">
        <f t="shared" si="304"/>
        <v>2884.4644155844157</v>
      </c>
      <c r="U535">
        <f t="shared" si="304"/>
        <v>2947.2142857142858</v>
      </c>
      <c r="V535">
        <f t="shared" si="304"/>
        <v>2690.4628942486083</v>
      </c>
      <c r="W535">
        <f t="shared" si="304"/>
        <v>2967.4285714285716</v>
      </c>
      <c r="Y535" s="17">
        <f t="shared" si="275"/>
        <v>53026.715607026897</v>
      </c>
      <c r="Z535">
        <f>SUMPRODUCT($D$538:$W$538,D535:W535)</f>
        <v>1681.5928614126551</v>
      </c>
    </row>
    <row r="536" spans="1:26" x14ac:dyDescent="0.25">
      <c r="A536" t="s">
        <v>315</v>
      </c>
      <c r="D536">
        <f t="shared" ref="D536:W536" si="305">D68*D140</f>
        <v>3140.0612244897957</v>
      </c>
      <c r="E536">
        <f t="shared" si="305"/>
        <v>3022.5306122448983</v>
      </c>
      <c r="F536">
        <f t="shared" si="305"/>
        <v>3010.0408163265311</v>
      </c>
      <c r="G536">
        <f t="shared" si="305"/>
        <v>3117.6244897959177</v>
      </c>
      <c r="H536">
        <f t="shared" si="305"/>
        <v>3173.3877551020405</v>
      </c>
      <c r="I536">
        <f t="shared" si="305"/>
        <v>2627.3061224489797</v>
      </c>
      <c r="J536">
        <f t="shared" si="305"/>
        <v>2534.4081632653056</v>
      </c>
      <c r="K536">
        <f t="shared" si="305"/>
        <v>2474.8857142857141</v>
      </c>
      <c r="L536">
        <f t="shared" si="305"/>
        <v>1791.0984375000003</v>
      </c>
      <c r="M536">
        <f t="shared" si="305"/>
        <v>2437.7400000000002</v>
      </c>
      <c r="N536">
        <f t="shared" si="305"/>
        <v>2447.2799999999997</v>
      </c>
      <c r="O536">
        <f t="shared" si="305"/>
        <v>2405.6699999999996</v>
      </c>
      <c r="P536">
        <f t="shared" si="305"/>
        <v>2001.0170571932476</v>
      </c>
      <c r="Q536">
        <f t="shared" si="305"/>
        <v>2121.4979087931474</v>
      </c>
      <c r="R536">
        <f t="shared" si="305"/>
        <v>2164.9618342151675</v>
      </c>
      <c r="S536">
        <f t="shared" si="305"/>
        <v>2292.7835928445452</v>
      </c>
      <c r="T536">
        <f t="shared" si="305"/>
        <v>3069.7795918367347</v>
      </c>
      <c r="U536">
        <f t="shared" si="305"/>
        <v>2472.7673469387755</v>
      </c>
      <c r="V536">
        <f t="shared" si="305"/>
        <v>2632.2918367346942</v>
      </c>
      <c r="W536">
        <f t="shared" si="305"/>
        <v>2681.3959183673464</v>
      </c>
      <c r="Y536" s="17">
        <f t="shared" si="275"/>
        <v>51618.528422382835</v>
      </c>
      <c r="Z536">
        <f>SUMPRODUCT($D$538:$W$538,D536:W536)</f>
        <v>1345.4028096263346</v>
      </c>
    </row>
    <row r="537" spans="1:26" x14ac:dyDescent="0.25">
      <c r="A537" t="s">
        <v>677</v>
      </c>
      <c r="D537">
        <f t="shared" ref="D537:W537" si="306">D69*D141</f>
        <v>2630.7795918367342</v>
      </c>
      <c r="E537">
        <f t="shared" si="306"/>
        <v>3285.8612244897954</v>
      </c>
      <c r="F537">
        <f t="shared" si="306"/>
        <v>3038.7857142857147</v>
      </c>
      <c r="G537">
        <f t="shared" si="306"/>
        <v>2284.8734693877545</v>
      </c>
      <c r="H537">
        <f t="shared" si="306"/>
        <v>2209.330612244898</v>
      </c>
      <c r="I537">
        <f t="shared" si="306"/>
        <v>2848.4387755102039</v>
      </c>
      <c r="J537">
        <f t="shared" si="306"/>
        <v>2437.9530612244898</v>
      </c>
      <c r="K537">
        <f t="shared" si="306"/>
        <v>2165.6734693877552</v>
      </c>
      <c r="L537">
        <f t="shared" si="306"/>
        <v>1736.2124999999999</v>
      </c>
      <c r="M537">
        <f t="shared" si="306"/>
        <v>3000.4673469387753</v>
      </c>
      <c r="N537">
        <f t="shared" si="306"/>
        <v>2772.5265306122451</v>
      </c>
      <c r="O537">
        <f t="shared" si="306"/>
        <v>1314.7448979591852</v>
      </c>
      <c r="P537">
        <f t="shared" si="306"/>
        <v>2646.7714285714287</v>
      </c>
      <c r="Q537">
        <f t="shared" si="306"/>
        <v>2673.9428571428571</v>
      </c>
      <c r="R537">
        <f t="shared" si="306"/>
        <v>2295.9489795918366</v>
      </c>
      <c r="S537">
        <f t="shared" si="306"/>
        <v>2431.8367346938776</v>
      </c>
      <c r="T537">
        <f t="shared" si="306"/>
        <v>2346.5252378698228</v>
      </c>
      <c r="U537">
        <f t="shared" si="306"/>
        <v>2397.8380813911367</v>
      </c>
      <c r="V537">
        <f t="shared" si="306"/>
        <v>2219.5846312039607</v>
      </c>
      <c r="W537">
        <f t="shared" si="306"/>
        <v>2381.4061490158188</v>
      </c>
      <c r="Y537" s="17">
        <f t="shared" ref="Y537" si="307">SUM(D537:W537)</f>
        <v>49119.501293358277</v>
      </c>
      <c r="Z537">
        <f>SUMPRODUCT($D$538:$W$538,D537:W537)</f>
        <v>1588.7622328382374</v>
      </c>
    </row>
    <row r="538" spans="1:26" x14ac:dyDescent="0.25">
      <c r="A538" s="2" t="s">
        <v>71</v>
      </c>
      <c r="D538" s="3">
        <f>CORREL($B$2:$B$28,D506:D532)</f>
        <v>-0.15064004783006593</v>
      </c>
      <c r="E538" s="3">
        <f t="shared" ref="E538:W538" si="308">CORREL($B$2:$B$28,E506:E532)</f>
        <v>6.8022377340072784E-2</v>
      </c>
      <c r="F538" s="3">
        <f t="shared" si="308"/>
        <v>0.15132279268494719</v>
      </c>
      <c r="G538" s="3">
        <f t="shared" si="308"/>
        <v>-0.15513881091075551</v>
      </c>
      <c r="H538" s="3">
        <f t="shared" si="308"/>
        <v>-0.2819279239077645</v>
      </c>
      <c r="I538" s="3">
        <f t="shared" si="308"/>
        <v>-4.6679827997390809E-2</v>
      </c>
      <c r="J538" s="3">
        <f t="shared" si="308"/>
        <v>-3.8429302272385148E-2</v>
      </c>
      <c r="K538" s="3">
        <f t="shared" si="308"/>
        <v>-8.0004595925571839E-2</v>
      </c>
      <c r="L538" s="3">
        <f t="shared" si="308"/>
        <v>7.2733257359930595E-2</v>
      </c>
      <c r="M538" s="3">
        <f t="shared" si="308"/>
        <v>0.1199581240156162</v>
      </c>
      <c r="N538" s="3">
        <f t="shared" si="308"/>
        <v>-2.7148901612197083E-3</v>
      </c>
      <c r="O538" s="3">
        <f t="shared" si="308"/>
        <v>0.11291246608611967</v>
      </c>
      <c r="P538" s="3">
        <f t="shared" si="308"/>
        <v>-0.13880255585552123</v>
      </c>
      <c r="Q538" s="3">
        <f t="shared" si="308"/>
        <v>0.1716145352956506</v>
      </c>
      <c r="R538" s="3">
        <f t="shared" si="308"/>
        <v>4.8484382642150624E-2</v>
      </c>
      <c r="S538" s="3">
        <f t="shared" si="308"/>
        <v>0.11412569683678137</v>
      </c>
      <c r="T538" s="3">
        <f t="shared" si="308"/>
        <v>0.20748383601150225</v>
      </c>
      <c r="U538" s="3">
        <f t="shared" si="308"/>
        <v>0.30094552796038548</v>
      </c>
      <c r="V538" s="3">
        <f t="shared" si="308"/>
        <v>0.17456670859629844</v>
      </c>
      <c r="W538" s="3">
        <f t="shared" si="308"/>
        <v>-1.0276047202401172E-2</v>
      </c>
    </row>
    <row r="541" spans="1:26" x14ac:dyDescent="0.25">
      <c r="D541" t="s">
        <v>180</v>
      </c>
      <c r="E541" t="s">
        <v>181</v>
      </c>
      <c r="F541" t="s">
        <v>182</v>
      </c>
      <c r="G541" t="s">
        <v>183</v>
      </c>
      <c r="H541" t="s">
        <v>184</v>
      </c>
      <c r="I541" t="s">
        <v>185</v>
      </c>
      <c r="J541" t="s">
        <v>186</v>
      </c>
      <c r="K541" t="s">
        <v>187</v>
      </c>
      <c r="L541" t="s">
        <v>355</v>
      </c>
      <c r="M541" t="s">
        <v>413</v>
      </c>
      <c r="N541" t="s">
        <v>414</v>
      </c>
      <c r="O541" t="s">
        <v>415</v>
      </c>
      <c r="P541" t="s">
        <v>513</v>
      </c>
      <c r="Q541" t="s">
        <v>514</v>
      </c>
      <c r="R541" t="s">
        <v>515</v>
      </c>
      <c r="S541" t="s">
        <v>516</v>
      </c>
      <c r="T541" t="s">
        <v>625</v>
      </c>
      <c r="U541" t="s">
        <v>626</v>
      </c>
      <c r="V541" t="s">
        <v>627</v>
      </c>
      <c r="W541" t="s">
        <v>628</v>
      </c>
      <c r="Y541" t="s">
        <v>188</v>
      </c>
      <c r="Z541" t="s">
        <v>189</v>
      </c>
    </row>
    <row r="542" spans="1:26" x14ac:dyDescent="0.25">
      <c r="A542" t="s">
        <v>43</v>
      </c>
      <c r="D542">
        <f t="shared" ref="D542:W542" si="309">D38*D146</f>
        <v>889</v>
      </c>
      <c r="E542">
        <f t="shared" si="309"/>
        <v>960.2734693877552</v>
      </c>
      <c r="F542">
        <f t="shared" si="309"/>
        <v>910.28571428571411</v>
      </c>
      <c r="G542">
        <f t="shared" si="309"/>
        <v>1031.7591836734694</v>
      </c>
      <c r="H542">
        <f t="shared" si="309"/>
        <v>957.69183673469399</v>
      </c>
      <c r="I542">
        <f t="shared" si="309"/>
        <v>907.37142857142851</v>
      </c>
      <c r="J542">
        <f t="shared" si="309"/>
        <v>1105.2571428571428</v>
      </c>
      <c r="K542">
        <f t="shared" si="309"/>
        <v>1005.0081632653062</v>
      </c>
      <c r="L542">
        <f t="shared" si="309"/>
        <v>997.61874999999998</v>
      </c>
      <c r="M542">
        <f t="shared" si="309"/>
        <v>1050.2530612244898</v>
      </c>
      <c r="N542">
        <f t="shared" si="309"/>
        <v>757.40408163265306</v>
      </c>
      <c r="O542">
        <f t="shared" si="309"/>
        <v>908.62653061224478</v>
      </c>
      <c r="P542">
        <f t="shared" si="309"/>
        <v>894.42857142857156</v>
      </c>
      <c r="Q542">
        <f t="shared" si="309"/>
        <v>905.4979591836734</v>
      </c>
      <c r="R542">
        <f t="shared" si="309"/>
        <v>1015.8367346938774</v>
      </c>
      <c r="S542">
        <f t="shared" si="309"/>
        <v>778.10204081632651</v>
      </c>
      <c r="T542">
        <f t="shared" si="309"/>
        <v>878.69387755102036</v>
      </c>
      <c r="U542">
        <f t="shared" si="309"/>
        <v>708.13265306122457</v>
      </c>
      <c r="V542">
        <f t="shared" si="309"/>
        <v>861.23877551020405</v>
      </c>
      <c r="W542">
        <f t="shared" si="309"/>
        <v>695.67142857142858</v>
      </c>
      <c r="Y542" s="17">
        <f t="shared" ref="Y542:Y572" si="310">SUM(D542:W542)</f>
        <v>18218.151403061223</v>
      </c>
      <c r="Z542">
        <f t="shared" ref="Z542:Z568" si="311">SUMPRODUCT($D$574:$W$574,D542:W542)</f>
        <v>4054.3453168744318</v>
      </c>
    </row>
    <row r="543" spans="1:26" x14ac:dyDescent="0.25">
      <c r="A543" t="s">
        <v>44</v>
      </c>
      <c r="D543">
        <f t="shared" ref="D543:W543" si="312">D39*D147</f>
        <v>809.49</v>
      </c>
      <c r="E543">
        <f t="shared" si="312"/>
        <v>851.58</v>
      </c>
      <c r="F543">
        <f t="shared" si="312"/>
        <v>853.24</v>
      </c>
      <c r="G543">
        <f t="shared" si="312"/>
        <v>929.5</v>
      </c>
      <c r="H543">
        <f t="shared" si="312"/>
        <v>855.81</v>
      </c>
      <c r="I543">
        <f t="shared" si="312"/>
        <v>814.08</v>
      </c>
      <c r="J543">
        <f t="shared" si="312"/>
        <v>1527.24</v>
      </c>
      <c r="K543">
        <f t="shared" si="312"/>
        <v>911.79</v>
      </c>
      <c r="L543">
        <f t="shared" si="312"/>
        <v>993.83999999999992</v>
      </c>
      <c r="M543">
        <f t="shared" si="312"/>
        <v>1065.8999999999999</v>
      </c>
      <c r="N543">
        <f t="shared" si="312"/>
        <v>937.8599999999999</v>
      </c>
      <c r="O543">
        <f t="shared" si="312"/>
        <v>971.19</v>
      </c>
      <c r="P543">
        <f t="shared" si="312"/>
        <v>953.26505633448176</v>
      </c>
      <c r="Q543">
        <f t="shared" si="312"/>
        <v>871.79452955208069</v>
      </c>
      <c r="R543">
        <f t="shared" si="312"/>
        <v>908.06222846541198</v>
      </c>
      <c r="S543">
        <f t="shared" si="312"/>
        <v>885.46736549165121</v>
      </c>
      <c r="T543">
        <f t="shared" si="312"/>
        <v>901.98775510204098</v>
      </c>
      <c r="U543">
        <f t="shared" si="312"/>
        <v>878.37641723356023</v>
      </c>
      <c r="V543">
        <f t="shared" si="312"/>
        <v>783.80408163265304</v>
      </c>
      <c r="W543">
        <f t="shared" si="312"/>
        <v>862.34360544217679</v>
      </c>
      <c r="Y543" s="17">
        <f t="shared" si="310"/>
        <v>18566.62103925406</v>
      </c>
      <c r="Z543">
        <f t="shared" si="311"/>
        <v>4058.9805719071901</v>
      </c>
    </row>
    <row r="544" spans="1:26" x14ac:dyDescent="0.25">
      <c r="A544" t="s">
        <v>45</v>
      </c>
      <c r="D544">
        <f t="shared" ref="D544:W544" si="313">D40*D148</f>
        <v>777.07755102040824</v>
      </c>
      <c r="E544">
        <f t="shared" si="313"/>
        <v>706.18653061224506</v>
      </c>
      <c r="F544">
        <f t="shared" si="313"/>
        <v>803.30408163265304</v>
      </c>
      <c r="G544">
        <f t="shared" si="313"/>
        <v>895.69183673469399</v>
      </c>
      <c r="H544">
        <f t="shared" si="313"/>
        <v>913.29795918367336</v>
      </c>
      <c r="I544">
        <f t="shared" si="313"/>
        <v>916.75102040816319</v>
      </c>
      <c r="J544">
        <f t="shared" si="313"/>
        <v>1633.0285714285717</v>
      </c>
      <c r="K544">
        <f t="shared" si="313"/>
        <v>765.55510204081645</v>
      </c>
      <c r="L544">
        <f t="shared" si="313"/>
        <v>984.34374999999989</v>
      </c>
      <c r="M544">
        <f t="shared" si="313"/>
        <v>1034.1836734693879</v>
      </c>
      <c r="N544">
        <f t="shared" si="313"/>
        <v>1172.3755102040816</v>
      </c>
      <c r="O544">
        <f t="shared" si="313"/>
        <v>1052.6857142857141</v>
      </c>
      <c r="P544">
        <f t="shared" si="313"/>
        <v>720.71428571428578</v>
      </c>
      <c r="Q544">
        <f t="shared" si="313"/>
        <v>772.2918367346939</v>
      </c>
      <c r="R544">
        <f t="shared" si="313"/>
        <v>1070.1877551020409</v>
      </c>
      <c r="S544">
        <f t="shared" si="313"/>
        <v>872.00816326530605</v>
      </c>
      <c r="T544">
        <f t="shared" si="313"/>
        <v>927.63673469387766</v>
      </c>
      <c r="U544">
        <f t="shared" si="313"/>
        <v>1108.4142857142858</v>
      </c>
      <c r="V544">
        <f t="shared" si="313"/>
        <v>1123.795918367347</v>
      </c>
      <c r="W544">
        <f t="shared" si="313"/>
        <v>1053.1224489795918</v>
      </c>
      <c r="Y544" s="17">
        <f t="shared" si="310"/>
        <v>19302.652729591839</v>
      </c>
      <c r="Z544">
        <f t="shared" si="311"/>
        <v>4202.6857406591307</v>
      </c>
    </row>
    <row r="545" spans="1:26" x14ac:dyDescent="0.25">
      <c r="A545" t="s">
        <v>46</v>
      </c>
      <c r="D545">
        <f t="shared" ref="D545:W545" si="314">D41*D149</f>
        <v>783.22448979591843</v>
      </c>
      <c r="E545">
        <f t="shared" si="314"/>
        <v>738.3591836734696</v>
      </c>
      <c r="F545">
        <f t="shared" si="314"/>
        <v>668.28571428571433</v>
      </c>
      <c r="G545">
        <f t="shared" si="314"/>
        <v>849.22244897959183</v>
      </c>
      <c r="H545">
        <f t="shared" si="314"/>
        <v>808.857142857143</v>
      </c>
      <c r="I545">
        <f t="shared" si="314"/>
        <v>780.44081632653069</v>
      </c>
      <c r="J545">
        <f t="shared" si="314"/>
        <v>989.84081632653078</v>
      </c>
      <c r="K545">
        <f t="shared" si="314"/>
        <v>997.64081632653063</v>
      </c>
      <c r="L545">
        <f t="shared" si="314"/>
        <v>1011.3375</v>
      </c>
      <c r="M545">
        <f t="shared" si="314"/>
        <v>1061.2244897959185</v>
      </c>
      <c r="N545">
        <f t="shared" si="314"/>
        <v>647.61428571428576</v>
      </c>
      <c r="O545">
        <f t="shared" si="314"/>
        <v>694.69387755102036</v>
      </c>
      <c r="P545">
        <f t="shared" si="314"/>
        <v>623.47959183673481</v>
      </c>
      <c r="Q545">
        <f t="shared" si="314"/>
        <v>809.30816326530612</v>
      </c>
      <c r="R545">
        <f t="shared" si="314"/>
        <v>941.25306122448978</v>
      </c>
      <c r="S545">
        <f t="shared" si="314"/>
        <v>1072.2306122448981</v>
      </c>
      <c r="T545">
        <f t="shared" si="314"/>
        <v>629.88571428571436</v>
      </c>
      <c r="U545">
        <f t="shared" si="314"/>
        <v>591.84489795918353</v>
      </c>
      <c r="V545">
        <f t="shared" si="314"/>
        <v>656.98775510204086</v>
      </c>
      <c r="W545">
        <f t="shared" si="314"/>
        <v>1240.9040816326533</v>
      </c>
      <c r="Y545" s="17">
        <f t="shared" si="310"/>
        <v>16596.635459183672</v>
      </c>
      <c r="Z545">
        <f t="shared" si="311"/>
        <v>3461.7927783117325</v>
      </c>
    </row>
    <row r="546" spans="1:26" x14ac:dyDescent="0.25">
      <c r="A546" t="s">
        <v>47</v>
      </c>
      <c r="D546">
        <f t="shared" ref="D546:W546" si="315">D42*D150</f>
        <v>991.3163265306124</v>
      </c>
      <c r="E546">
        <f t="shared" si="315"/>
        <v>891.77551020408146</v>
      </c>
      <c r="F546">
        <f t="shared" si="315"/>
        <v>889.27346938775497</v>
      </c>
      <c r="G546">
        <f t="shared" si="315"/>
        <v>952.97551020408173</v>
      </c>
      <c r="H546">
        <f t="shared" si="315"/>
        <v>956.97551020408162</v>
      </c>
      <c r="I546">
        <f t="shared" si="315"/>
        <v>793.81020408163272</v>
      </c>
      <c r="J546">
        <f t="shared" si="315"/>
        <v>973.46938775510205</v>
      </c>
      <c r="K546">
        <f t="shared" si="315"/>
        <v>956.22244897959172</v>
      </c>
      <c r="L546">
        <f t="shared" si="315"/>
        <v>863.2</v>
      </c>
      <c r="M546">
        <f t="shared" si="315"/>
        <v>1013.1183673469388</v>
      </c>
      <c r="N546">
        <f t="shared" si="315"/>
        <v>965.8714285714284</v>
      </c>
      <c r="O546">
        <f t="shared" si="315"/>
        <v>779.96938775510216</v>
      </c>
      <c r="P546">
        <f t="shared" si="315"/>
        <v>806.29387755102039</v>
      </c>
      <c r="Q546">
        <f t="shared" si="315"/>
        <v>668.77346938775509</v>
      </c>
      <c r="R546">
        <f t="shared" si="315"/>
        <v>992.14285714285711</v>
      </c>
      <c r="S546">
        <f t="shared" si="315"/>
        <v>1051.7224489795919</v>
      </c>
      <c r="T546">
        <f t="shared" si="315"/>
        <v>1060.8163265306121</v>
      </c>
      <c r="U546">
        <f t="shared" si="315"/>
        <v>1060.5714285714287</v>
      </c>
      <c r="V546">
        <f t="shared" si="315"/>
        <v>560.58775510204089</v>
      </c>
      <c r="W546">
        <f t="shared" si="315"/>
        <v>687.22857142857151</v>
      </c>
      <c r="Y546" s="17">
        <f t="shared" si="310"/>
        <v>17916.114285714288</v>
      </c>
      <c r="Z546">
        <f t="shared" si="311"/>
        <v>3905.450323479844</v>
      </c>
    </row>
    <row r="547" spans="1:26" x14ac:dyDescent="0.25">
      <c r="A547" t="s">
        <v>48</v>
      </c>
      <c r="D547">
        <f t="shared" ref="D547:W547" si="316">D43*D151</f>
        <v>1085.257142857143</v>
      </c>
      <c r="E547">
        <f t="shared" si="316"/>
        <v>827.03265306122432</v>
      </c>
      <c r="F547">
        <f t="shared" si="316"/>
        <v>932.39999999999986</v>
      </c>
      <c r="G547">
        <f t="shared" si="316"/>
        <v>1455.5755102040816</v>
      </c>
      <c r="H547">
        <f t="shared" si="316"/>
        <v>1309.2</v>
      </c>
      <c r="I547">
        <f t="shared" si="316"/>
        <v>1390.5795918367348</v>
      </c>
      <c r="J547">
        <f t="shared" si="316"/>
        <v>1131.8530612244897</v>
      </c>
      <c r="K547">
        <f t="shared" si="316"/>
        <v>1080.2857142857142</v>
      </c>
      <c r="L547">
        <f t="shared" si="316"/>
        <v>1001.6171875</v>
      </c>
      <c r="M547">
        <f t="shared" si="316"/>
        <v>733.09387755102046</v>
      </c>
      <c r="N547">
        <f t="shared" si="316"/>
        <v>972.24285714285725</v>
      </c>
      <c r="O547">
        <f t="shared" si="316"/>
        <v>738.27346938775509</v>
      </c>
      <c r="P547">
        <f t="shared" si="316"/>
        <v>963.32244897959174</v>
      </c>
      <c r="Q547">
        <f t="shared" si="316"/>
        <v>929.55306122448974</v>
      </c>
      <c r="R547">
        <f t="shared" si="316"/>
        <v>1001.2244897959183</v>
      </c>
      <c r="S547">
        <f t="shared" si="316"/>
        <v>656.22857142857151</v>
      </c>
      <c r="T547">
        <f t="shared" si="316"/>
        <v>898.11428571428576</v>
      </c>
      <c r="U547">
        <f t="shared" si="316"/>
        <v>868.18367346938771</v>
      </c>
      <c r="V547">
        <f t="shared" si="316"/>
        <v>661.76734693877563</v>
      </c>
      <c r="W547">
        <f t="shared" si="316"/>
        <v>690.87142857142862</v>
      </c>
      <c r="Y547" s="17">
        <f t="shared" si="310"/>
        <v>19326.676371173467</v>
      </c>
      <c r="Z547">
        <f t="shared" si="311"/>
        <v>4026.4694346730089</v>
      </c>
    </row>
    <row r="548" spans="1:26" x14ac:dyDescent="0.25">
      <c r="A548" t="s">
        <v>49</v>
      </c>
      <c r="D548">
        <f t="shared" ref="D548:W548" si="317">D44*D152</f>
        <v>724.99591836734692</v>
      </c>
      <c r="E548">
        <f t="shared" si="317"/>
        <v>935.51020408163265</v>
      </c>
      <c r="F548">
        <f t="shared" si="317"/>
        <v>1336.9795918367345</v>
      </c>
      <c r="G548">
        <f t="shared" si="317"/>
        <v>1151.2938775510204</v>
      </c>
      <c r="H548">
        <f t="shared" si="317"/>
        <v>836.98979591836746</v>
      </c>
      <c r="I548">
        <f t="shared" si="317"/>
        <v>859.43673469387761</v>
      </c>
      <c r="J548">
        <f t="shared" si="317"/>
        <v>887.60816326530608</v>
      </c>
      <c r="K548">
        <f t="shared" si="317"/>
        <v>1084.8938775510205</v>
      </c>
      <c r="L548">
        <f t="shared" si="317"/>
        <v>778.765625</v>
      </c>
      <c r="M548">
        <f t="shared" si="317"/>
        <v>723.34653061224492</v>
      </c>
      <c r="N548">
        <f t="shared" si="317"/>
        <v>838.70530612244897</v>
      </c>
      <c r="O548">
        <f t="shared" si="317"/>
        <v>686.05714285714282</v>
      </c>
      <c r="P548">
        <f t="shared" si="317"/>
        <v>996.4591836734694</v>
      </c>
      <c r="Q548">
        <f t="shared" si="317"/>
        <v>1197.7122448979592</v>
      </c>
      <c r="R548">
        <f t="shared" si="317"/>
        <v>820.40816326530614</v>
      </c>
      <c r="S548">
        <f t="shared" si="317"/>
        <v>779.08979591836737</v>
      </c>
      <c r="T548">
        <f t="shared" si="317"/>
        <v>595.34948979591843</v>
      </c>
      <c r="U548">
        <f t="shared" si="317"/>
        <v>767.6155102040816</v>
      </c>
      <c r="V548">
        <f t="shared" si="317"/>
        <v>954.71428571428578</v>
      </c>
      <c r="W548">
        <f t="shared" si="317"/>
        <v>565.33181632653066</v>
      </c>
      <c r="Y548" s="17">
        <f t="shared" si="310"/>
        <v>17521.263257653063</v>
      </c>
      <c r="Z548">
        <f t="shared" si="311"/>
        <v>3952.4513314674218</v>
      </c>
    </row>
    <row r="549" spans="1:26" x14ac:dyDescent="0.25">
      <c r="A549" t="s">
        <v>50</v>
      </c>
      <c r="D549">
        <f t="shared" ref="D549:W549" si="318">D45*D153</f>
        <v>817.75306122448967</v>
      </c>
      <c r="E549">
        <f t="shared" si="318"/>
        <v>701.64081632653074</v>
      </c>
      <c r="F549">
        <f t="shared" si="318"/>
        <v>1037.3469387755104</v>
      </c>
      <c r="G549">
        <f t="shared" si="318"/>
        <v>1194.0306122448981</v>
      </c>
      <c r="H549">
        <f t="shared" si="318"/>
        <v>980.74489795918373</v>
      </c>
      <c r="I549">
        <f t="shared" si="318"/>
        <v>1137.5999999999999</v>
      </c>
      <c r="J549">
        <f t="shared" si="318"/>
        <v>991.87346938775522</v>
      </c>
      <c r="K549">
        <f t="shared" si="318"/>
        <v>1051.8979591836735</v>
      </c>
      <c r="L549">
        <f t="shared" si="318"/>
        <v>1070.2656250000002</v>
      </c>
      <c r="M549">
        <f t="shared" si="318"/>
        <v>1255.5122448979594</v>
      </c>
      <c r="N549">
        <f t="shared" si="318"/>
        <v>1146.9214285714286</v>
      </c>
      <c r="O549">
        <f t="shared" si="318"/>
        <v>1035.3571428571429</v>
      </c>
      <c r="P549">
        <f t="shared" si="318"/>
        <v>846.55102040816314</v>
      </c>
      <c r="Q549">
        <f t="shared" si="318"/>
        <v>763.42857142857144</v>
      </c>
      <c r="R549">
        <f t="shared" si="318"/>
        <v>660.9755102040815</v>
      </c>
      <c r="S549">
        <f t="shared" si="318"/>
        <v>767.50367346938776</v>
      </c>
      <c r="T549">
        <f t="shared" si="318"/>
        <v>620.35102040816321</v>
      </c>
      <c r="U549">
        <f t="shared" si="318"/>
        <v>960.69795918367345</v>
      </c>
      <c r="V549">
        <f t="shared" si="318"/>
        <v>746.1</v>
      </c>
      <c r="W549">
        <f t="shared" si="318"/>
        <v>1007.9938775510204</v>
      </c>
      <c r="Y549" s="17">
        <f t="shared" si="310"/>
        <v>18794.545829081631</v>
      </c>
      <c r="Z549">
        <f t="shared" si="311"/>
        <v>3995.6123128909294</v>
      </c>
    </row>
    <row r="550" spans="1:26" x14ac:dyDescent="0.25">
      <c r="A550" t="s">
        <v>51</v>
      </c>
      <c r="D550">
        <f t="shared" ref="D550:W550" si="319">D46*D154</f>
        <v>1066.7755102040817</v>
      </c>
      <c r="E550">
        <f t="shared" si="319"/>
        <v>986.01632653061222</v>
      </c>
      <c r="F550">
        <f t="shared" si="319"/>
        <v>1312.8081632653061</v>
      </c>
      <c r="G550">
        <f t="shared" si="319"/>
        <v>1698.5387755102042</v>
      </c>
      <c r="H550">
        <f t="shared" si="319"/>
        <v>715</v>
      </c>
      <c r="I550">
        <f t="shared" si="319"/>
        <v>1185.3061224489795</v>
      </c>
      <c r="J550">
        <f t="shared" si="319"/>
        <v>887.40612244897954</v>
      </c>
      <c r="K550">
        <f t="shared" si="319"/>
        <v>896.72551020408162</v>
      </c>
      <c r="L550">
        <f t="shared" si="319"/>
        <v>927.20781250000005</v>
      </c>
      <c r="M550">
        <f t="shared" si="319"/>
        <v>1165.9591836734694</v>
      </c>
      <c r="N550">
        <f t="shared" si="319"/>
        <v>1431.9367346938777</v>
      </c>
      <c r="O550">
        <f t="shared" si="319"/>
        <v>866.93877551020398</v>
      </c>
      <c r="P550">
        <f t="shared" si="319"/>
        <v>1360.6428571428571</v>
      </c>
      <c r="Q550">
        <f t="shared" si="319"/>
        <v>604.28571428571422</v>
      </c>
      <c r="R550">
        <f t="shared" si="319"/>
        <v>901.42040816326528</v>
      </c>
      <c r="S550">
        <f t="shared" si="319"/>
        <v>726.61224489795904</v>
      </c>
      <c r="T550">
        <f t="shared" si="319"/>
        <v>918.22040816326535</v>
      </c>
      <c r="U550">
        <f t="shared" si="319"/>
        <v>624.82244897959185</v>
      </c>
      <c r="V550">
        <f t="shared" si="319"/>
        <v>464.40000000000003</v>
      </c>
      <c r="W550">
        <f t="shared" si="319"/>
        <v>609.69795918367356</v>
      </c>
      <c r="Y550" s="17">
        <f t="shared" si="310"/>
        <v>19350.721077806124</v>
      </c>
      <c r="Z550">
        <f t="shared" si="311"/>
        <v>3973.9028172599142</v>
      </c>
    </row>
    <row r="551" spans="1:26" x14ac:dyDescent="0.25">
      <c r="A551" t="s">
        <v>52</v>
      </c>
      <c r="D551">
        <f t="shared" ref="D551:W551" si="320">D47*D155</f>
        <v>1129.9040816326531</v>
      </c>
      <c r="E551">
        <f t="shared" si="320"/>
        <v>903.47959183673481</v>
      </c>
      <c r="F551">
        <f t="shared" si="320"/>
        <v>1106.9632653061226</v>
      </c>
      <c r="G551">
        <f t="shared" si="320"/>
        <v>843.29183673469379</v>
      </c>
      <c r="H551">
        <f t="shared" si="320"/>
        <v>950.36122448979586</v>
      </c>
      <c r="I551">
        <f t="shared" si="320"/>
        <v>1046.9877551020409</v>
      </c>
      <c r="J551">
        <f t="shared" si="320"/>
        <v>927.27755102040828</v>
      </c>
      <c r="K551">
        <f t="shared" si="320"/>
        <v>821.22448979591832</v>
      </c>
      <c r="L551">
        <f t="shared" si="320"/>
        <v>1026.6312499999999</v>
      </c>
      <c r="M551">
        <f t="shared" si="320"/>
        <v>990.93061224489782</v>
      </c>
      <c r="N551">
        <f t="shared" si="320"/>
        <v>949.05306122448974</v>
      </c>
      <c r="O551">
        <f t="shared" si="320"/>
        <v>1056.5081632653062</v>
      </c>
      <c r="P551">
        <f t="shared" si="320"/>
        <v>792.62857142857138</v>
      </c>
      <c r="Q551">
        <f t="shared" si="320"/>
        <v>961.63061224489786</v>
      </c>
      <c r="R551">
        <f t="shared" si="320"/>
        <v>883.7265306122448</v>
      </c>
      <c r="S551">
        <f t="shared" si="320"/>
        <v>960.85714285714278</v>
      </c>
      <c r="T551">
        <f t="shared" si="320"/>
        <v>778.0836734693878</v>
      </c>
      <c r="U551">
        <f t="shared" si="320"/>
        <v>1024.7183673469387</v>
      </c>
      <c r="V551">
        <f t="shared" si="320"/>
        <v>969.15918367346933</v>
      </c>
      <c r="W551">
        <f t="shared" si="320"/>
        <v>1115.3673469387757</v>
      </c>
      <c r="Y551" s="17">
        <f t="shared" si="310"/>
        <v>19238.784311224488</v>
      </c>
      <c r="Z551">
        <f t="shared" si="311"/>
        <v>4277.7909490347838</v>
      </c>
    </row>
    <row r="552" spans="1:26" x14ac:dyDescent="0.25">
      <c r="A552" t="s">
        <v>53</v>
      </c>
      <c r="D552">
        <f t="shared" ref="D552:W552" si="321">D48*D156</f>
        <v>1009.8204081632651</v>
      </c>
      <c r="E552">
        <f t="shared" si="321"/>
        <v>1027.7142857142858</v>
      </c>
      <c r="F552">
        <f t="shared" si="321"/>
        <v>1108.8734693877552</v>
      </c>
      <c r="G552">
        <f t="shared" si="321"/>
        <v>1684.3265306122451</v>
      </c>
      <c r="H552">
        <f t="shared" si="321"/>
        <v>1123.457142857143</v>
      </c>
      <c r="I552">
        <f t="shared" si="321"/>
        <v>794.95714285714291</v>
      </c>
      <c r="J552">
        <f t="shared" si="321"/>
        <v>1085.4122448979592</v>
      </c>
      <c r="K552">
        <f t="shared" si="321"/>
        <v>1037.6367346938773</v>
      </c>
      <c r="L552">
        <f t="shared" si="321"/>
        <v>1353.8218749999999</v>
      </c>
      <c r="M552">
        <f t="shared" si="321"/>
        <v>1587.5632653061227</v>
      </c>
      <c r="N552">
        <f t="shared" si="321"/>
        <v>1114.7142857142858</v>
      </c>
      <c r="O552">
        <f t="shared" si="321"/>
        <v>1071.5183673469387</v>
      </c>
      <c r="P552">
        <f t="shared" si="321"/>
        <v>1037.0448979591838</v>
      </c>
      <c r="Q552">
        <f t="shared" si="321"/>
        <v>766.05102040816325</v>
      </c>
      <c r="R552">
        <f t="shared" si="321"/>
        <v>803.02857142857135</v>
      </c>
      <c r="S552">
        <f t="shared" si="321"/>
        <v>862.31020408163272</v>
      </c>
      <c r="T552">
        <f t="shared" si="321"/>
        <v>1022.4642857142858</v>
      </c>
      <c r="U552">
        <f t="shared" si="321"/>
        <v>944.56571428571431</v>
      </c>
      <c r="V552">
        <f t="shared" si="321"/>
        <v>711.52714285714274</v>
      </c>
      <c r="W552">
        <f t="shared" si="321"/>
        <v>832.36999999999989</v>
      </c>
      <c r="Y552" s="17">
        <f t="shared" si="310"/>
        <v>20979.177589285711</v>
      </c>
      <c r="Z552">
        <f t="shared" si="311"/>
        <v>4314.260468244096</v>
      </c>
    </row>
    <row r="553" spans="1:26" x14ac:dyDescent="0.25">
      <c r="A553" t="s">
        <v>54</v>
      </c>
      <c r="D553">
        <f t="shared" ref="D553:W553" si="322">D49*D157</f>
        <v>1235.7653061224489</v>
      </c>
      <c r="E553">
        <f t="shared" si="322"/>
        <v>1133.1734693877552</v>
      </c>
      <c r="F553">
        <f t="shared" si="322"/>
        <v>1043.4489795918369</v>
      </c>
      <c r="G553">
        <f t="shared" si="322"/>
        <v>1032.6204081632654</v>
      </c>
      <c r="H553">
        <f t="shared" si="322"/>
        <v>953.48571428571438</v>
      </c>
      <c r="I553">
        <f t="shared" si="322"/>
        <v>1100.4489795918366</v>
      </c>
      <c r="J553">
        <f t="shared" si="322"/>
        <v>824.57142857142867</v>
      </c>
      <c r="K553">
        <f t="shared" si="322"/>
        <v>1161.9836734693879</v>
      </c>
      <c r="L553">
        <f t="shared" si="322"/>
        <v>998.15624999999989</v>
      </c>
      <c r="M553">
        <f t="shared" si="322"/>
        <v>1070.0064</v>
      </c>
      <c r="N553">
        <f t="shared" si="322"/>
        <v>1373.2658999999999</v>
      </c>
      <c r="O553">
        <f t="shared" si="322"/>
        <v>1195.8448000000001</v>
      </c>
      <c r="P553">
        <f t="shared" si="322"/>
        <v>780.3189000000001</v>
      </c>
      <c r="Q553">
        <f t="shared" si="322"/>
        <v>1019.8799999999999</v>
      </c>
      <c r="R553">
        <f t="shared" si="322"/>
        <v>672.03</v>
      </c>
      <c r="S553">
        <f t="shared" si="322"/>
        <v>903.9</v>
      </c>
      <c r="T553">
        <f t="shared" si="322"/>
        <v>565.12200000000007</v>
      </c>
      <c r="U553">
        <f t="shared" si="322"/>
        <v>694.98085714285708</v>
      </c>
      <c r="V553">
        <f t="shared" si="322"/>
        <v>701.33042857142868</v>
      </c>
      <c r="W553">
        <f t="shared" si="322"/>
        <v>904.09799999999996</v>
      </c>
      <c r="Y553" s="17">
        <f t="shared" si="310"/>
        <v>19364.431494897966</v>
      </c>
      <c r="Z553">
        <f t="shared" si="311"/>
        <v>4420.438452893718</v>
      </c>
    </row>
    <row r="554" spans="1:26" x14ac:dyDescent="0.25">
      <c r="A554" t="s">
        <v>55</v>
      </c>
      <c r="D554">
        <f t="shared" ref="D554:W554" si="323">D50*D158</f>
        <v>1345.1592999999998</v>
      </c>
      <c r="E554">
        <f t="shared" si="323"/>
        <v>1300.0249999999999</v>
      </c>
      <c r="F554">
        <f t="shared" si="323"/>
        <v>1124.2427</v>
      </c>
      <c r="G554">
        <f t="shared" si="323"/>
        <v>1632.3404</v>
      </c>
      <c r="H554">
        <f t="shared" si="323"/>
        <v>1600.1280000000002</v>
      </c>
      <c r="I554">
        <f t="shared" si="323"/>
        <v>1707.4119999999998</v>
      </c>
      <c r="J554">
        <f t="shared" si="323"/>
        <v>1163.8087999999998</v>
      </c>
      <c r="K554">
        <f t="shared" si="323"/>
        <v>1470.1077</v>
      </c>
      <c r="L554">
        <f t="shared" si="323"/>
        <v>1345.24</v>
      </c>
      <c r="M554">
        <f t="shared" si="323"/>
        <v>1264.3469387755101</v>
      </c>
      <c r="N554">
        <f t="shared" si="323"/>
        <v>1212.887755102041</v>
      </c>
      <c r="O554">
        <f t="shared" si="323"/>
        <v>827.44897959183686</v>
      </c>
      <c r="P554">
        <f t="shared" si="323"/>
        <v>998.16326530612253</v>
      </c>
      <c r="Q554">
        <f t="shared" si="323"/>
        <v>1224.7285714285713</v>
      </c>
      <c r="R554">
        <f t="shared" si="323"/>
        <v>891.54285714285709</v>
      </c>
      <c r="S554">
        <f t="shared" si="323"/>
        <v>1236.7102040816326</v>
      </c>
      <c r="T554">
        <f t="shared" si="323"/>
        <v>1215.6734693877552</v>
      </c>
      <c r="U554">
        <f t="shared" si="323"/>
        <v>878.21428571428567</v>
      </c>
      <c r="V554">
        <f t="shared" si="323"/>
        <v>954</v>
      </c>
      <c r="W554">
        <f t="shared" si="323"/>
        <v>1036.6897959183673</v>
      </c>
      <c r="Y554" s="17">
        <f t="shared" si="310"/>
        <v>24428.87002244898</v>
      </c>
      <c r="Z554">
        <f t="shared" si="311"/>
        <v>5154.4857793595029</v>
      </c>
    </row>
    <row r="555" spans="1:26" x14ac:dyDescent="0.25">
      <c r="A555" t="s">
        <v>56</v>
      </c>
      <c r="D555">
        <f t="shared" ref="D555:W555" si="324">D51*D159</f>
        <v>1531.2857142857144</v>
      </c>
      <c r="E555">
        <f t="shared" si="324"/>
        <v>1132.8979591836733</v>
      </c>
      <c r="F555">
        <f t="shared" si="324"/>
        <v>1318.8000000000002</v>
      </c>
      <c r="G555">
        <f t="shared" si="324"/>
        <v>1144.8979591836735</v>
      </c>
      <c r="H555">
        <f t="shared" si="324"/>
        <v>887.37755102040819</v>
      </c>
      <c r="I555">
        <f t="shared" si="324"/>
        <v>888.91224489795911</v>
      </c>
      <c r="J555">
        <f t="shared" si="324"/>
        <v>973.86122448979586</v>
      </c>
      <c r="K555">
        <f t="shared" si="324"/>
        <v>1237.6142857142859</v>
      </c>
      <c r="L555">
        <f t="shared" si="324"/>
        <v>1040.4000000000001</v>
      </c>
      <c r="M555">
        <f t="shared" si="324"/>
        <v>1063.8775510204082</v>
      </c>
      <c r="N555">
        <f t="shared" si="324"/>
        <v>843.55510204081634</v>
      </c>
      <c r="O555">
        <f t="shared" si="324"/>
        <v>1225.5795918367346</v>
      </c>
      <c r="P555">
        <f t="shared" si="324"/>
        <v>1300</v>
      </c>
      <c r="Q555">
        <f t="shared" si="324"/>
        <v>897.46938775510205</v>
      </c>
      <c r="R555">
        <f t="shared" si="324"/>
        <v>1448.4204081632652</v>
      </c>
      <c r="S555">
        <f t="shared" si="324"/>
        <v>1431.0081632653059</v>
      </c>
      <c r="T555">
        <f t="shared" si="324"/>
        <v>965.87346938775499</v>
      </c>
      <c r="U555">
        <f t="shared" si="324"/>
        <v>702.58775510204077</v>
      </c>
      <c r="V555">
        <f t="shared" si="324"/>
        <v>952.20000000000016</v>
      </c>
      <c r="W555">
        <f t="shared" si="324"/>
        <v>653.5836734693878</v>
      </c>
      <c r="Y555" s="17">
        <f t="shared" si="310"/>
        <v>21640.202040816326</v>
      </c>
      <c r="Z555">
        <f t="shared" si="311"/>
        <v>4887.4502359960716</v>
      </c>
    </row>
    <row r="556" spans="1:26" x14ac:dyDescent="0.25">
      <c r="A556" t="s">
        <v>57</v>
      </c>
      <c r="D556">
        <f t="shared" ref="D556:W556" si="325">D52*D160</f>
        <v>1055.5714285714287</v>
      </c>
      <c r="E556">
        <f t="shared" si="325"/>
        <v>907.60816326530596</v>
      </c>
      <c r="F556">
        <f t="shared" si="325"/>
        <v>791.71428571428567</v>
      </c>
      <c r="G556">
        <f t="shared" si="325"/>
        <v>961.55714285714294</v>
      </c>
      <c r="H556">
        <f t="shared" si="325"/>
        <v>834.34285714285727</v>
      </c>
      <c r="I556">
        <f t="shared" si="325"/>
        <v>1006.3673469387754</v>
      </c>
      <c r="J556">
        <f t="shared" si="325"/>
        <v>1108.4183673469388</v>
      </c>
      <c r="K556">
        <f t="shared" si="325"/>
        <v>832.4</v>
      </c>
      <c r="L556">
        <f t="shared" si="325"/>
        <v>998.06562499999995</v>
      </c>
      <c r="M556">
        <f t="shared" si="325"/>
        <v>892.2285714285714</v>
      </c>
      <c r="N556">
        <f t="shared" si="325"/>
        <v>1080.2775510204081</v>
      </c>
      <c r="O556">
        <f t="shared" si="325"/>
        <v>913.89795918367349</v>
      </c>
      <c r="P556">
        <f t="shared" si="325"/>
        <v>1108.0979591836735</v>
      </c>
      <c r="Q556">
        <f t="shared" si="325"/>
        <v>1027.6571428571426</v>
      </c>
      <c r="R556">
        <f t="shared" si="325"/>
        <v>781.14693877551031</v>
      </c>
      <c r="S556">
        <f t="shared" si="325"/>
        <v>506.25306122448984</v>
      </c>
      <c r="T556">
        <f t="shared" si="325"/>
        <v>876.64714285714297</v>
      </c>
      <c r="U556">
        <f t="shared" si="325"/>
        <v>673.48571428571415</v>
      </c>
      <c r="V556">
        <f t="shared" si="325"/>
        <v>674.10204081632662</v>
      </c>
      <c r="W556">
        <f t="shared" si="325"/>
        <v>985.80408163265292</v>
      </c>
      <c r="Y556" s="17">
        <f t="shared" si="310"/>
        <v>18015.643380102043</v>
      </c>
      <c r="Z556">
        <f t="shared" si="311"/>
        <v>3890.3094823374668</v>
      </c>
    </row>
    <row r="557" spans="1:26" x14ac:dyDescent="0.25">
      <c r="A557" t="s">
        <v>58</v>
      </c>
      <c r="D557">
        <f t="shared" ref="D557:W557" si="326">D53*D161</f>
        <v>1016.8163265306122</v>
      </c>
      <c r="E557">
        <f t="shared" si="326"/>
        <v>988.63265306122446</v>
      </c>
      <c r="F557">
        <f t="shared" si="326"/>
        <v>1087.7244897959183</v>
      </c>
      <c r="G557">
        <f t="shared" si="326"/>
        <v>946.00000000000023</v>
      </c>
      <c r="H557">
        <f t="shared" si="326"/>
        <v>1020.3265306122449</v>
      </c>
      <c r="I557">
        <f t="shared" si="326"/>
        <v>783.55102040816325</v>
      </c>
      <c r="J557">
        <f t="shared" si="326"/>
        <v>990.77551020408168</v>
      </c>
      <c r="K557">
        <f t="shared" si="326"/>
        <v>1143.3877551020407</v>
      </c>
      <c r="L557">
        <f t="shared" si="326"/>
        <v>1023.21875</v>
      </c>
      <c r="M557">
        <f t="shared" si="326"/>
        <v>0</v>
      </c>
      <c r="N557">
        <f t="shared" si="326"/>
        <v>922.82448979591834</v>
      </c>
      <c r="O557">
        <f t="shared" si="326"/>
        <v>767.49591836734692</v>
      </c>
      <c r="P557">
        <f t="shared" si="326"/>
        <v>1005.073469387755</v>
      </c>
      <c r="Q557">
        <f t="shared" si="326"/>
        <v>659.32653061224494</v>
      </c>
      <c r="R557">
        <f t="shared" si="326"/>
        <v>845.14285714285722</v>
      </c>
      <c r="S557">
        <f t="shared" si="326"/>
        <v>645.56530612244899</v>
      </c>
      <c r="T557">
        <f t="shared" si="326"/>
        <v>858.087755102041</v>
      </c>
      <c r="U557">
        <f t="shared" si="326"/>
        <v>1049.1285714285714</v>
      </c>
      <c r="V557">
        <f t="shared" si="326"/>
        <v>834.75918367346935</v>
      </c>
      <c r="W557">
        <f t="shared" si="326"/>
        <v>689.61020408163279</v>
      </c>
      <c r="Y557" s="17">
        <f t="shared" si="310"/>
        <v>17277.447321428572</v>
      </c>
      <c r="Z557">
        <f t="shared" si="311"/>
        <v>3699.1676270588182</v>
      </c>
    </row>
    <row r="558" spans="1:26" x14ac:dyDescent="0.25">
      <c r="A558" t="s">
        <v>59</v>
      </c>
      <c r="D558">
        <f t="shared" ref="D558:W558" si="327">D54*D162</f>
        <v>826.16326530612241</v>
      </c>
      <c r="E558">
        <f t="shared" si="327"/>
        <v>1014.4653061224487</v>
      </c>
      <c r="F558">
        <f t="shared" si="327"/>
        <v>866.57755102040801</v>
      </c>
      <c r="G558">
        <f t="shared" si="327"/>
        <v>825.10408163265311</v>
      </c>
      <c r="H558">
        <f t="shared" si="327"/>
        <v>947.03673469387752</v>
      </c>
      <c r="I558">
        <f t="shared" si="327"/>
        <v>1276.8367346938776</v>
      </c>
      <c r="J558">
        <f t="shared" si="327"/>
        <v>914.24081632653065</v>
      </c>
      <c r="K558">
        <f t="shared" si="327"/>
        <v>1034.7102040816328</v>
      </c>
      <c r="L558">
        <f t="shared" si="327"/>
        <v>939.91224489795923</v>
      </c>
      <c r="M558">
        <f t="shared" si="327"/>
        <v>903.39387755102052</v>
      </c>
      <c r="N558">
        <f t="shared" si="327"/>
        <v>966.44081632653069</v>
      </c>
      <c r="O558">
        <f t="shared" si="327"/>
        <v>1005.6489795918366</v>
      </c>
      <c r="P558">
        <f t="shared" si="327"/>
        <v>1077.1836734693877</v>
      </c>
      <c r="Q558">
        <f t="shared" si="327"/>
        <v>806.56938775510207</v>
      </c>
      <c r="R558">
        <f t="shared" si="327"/>
        <v>1032.7204081632653</v>
      </c>
      <c r="S558">
        <f t="shared" si="327"/>
        <v>1363.1469387755103</v>
      </c>
      <c r="T558">
        <f t="shared" si="327"/>
        <v>1294.285714285714</v>
      </c>
      <c r="U558">
        <f t="shared" si="327"/>
        <v>851.49387755102043</v>
      </c>
      <c r="V558">
        <f t="shared" si="327"/>
        <v>776.74489795918362</v>
      </c>
      <c r="W558">
        <f t="shared" si="327"/>
        <v>902.7</v>
      </c>
      <c r="Y558" s="17">
        <f t="shared" si="310"/>
        <v>19625.375510204078</v>
      </c>
      <c r="Z558">
        <f t="shared" si="311"/>
        <v>4399.9406558530172</v>
      </c>
    </row>
    <row r="559" spans="1:26" x14ac:dyDescent="0.25">
      <c r="A559" t="s">
        <v>60</v>
      </c>
      <c r="D559">
        <f t="shared" ref="D559:W559" si="328">D55*D163</f>
        <v>744.09795918367354</v>
      </c>
      <c r="E559">
        <f t="shared" si="328"/>
        <v>1092.2448979591836</v>
      </c>
      <c r="F559">
        <f t="shared" si="328"/>
        <v>879.76326530612255</v>
      </c>
      <c r="G559">
        <f t="shared" si="328"/>
        <v>751.93469387755101</v>
      </c>
      <c r="H559">
        <f t="shared" si="328"/>
        <v>674.4</v>
      </c>
      <c r="I559">
        <f t="shared" si="328"/>
        <v>934.23673469387757</v>
      </c>
      <c r="J559">
        <f t="shared" si="328"/>
        <v>975.45306122448972</v>
      </c>
      <c r="K559">
        <f t="shared" si="328"/>
        <v>1151.9244897959184</v>
      </c>
      <c r="L559">
        <f t="shared" si="328"/>
        <v>995.77499999999998</v>
      </c>
      <c r="M559">
        <f t="shared" si="328"/>
        <v>1009.469387755102</v>
      </c>
      <c r="N559">
        <f t="shared" si="328"/>
        <v>992.85714285714289</v>
      </c>
      <c r="O559">
        <f t="shared" si="328"/>
        <v>845.10204081632651</v>
      </c>
      <c r="P559">
        <f t="shared" si="328"/>
        <v>889.88571428571436</v>
      </c>
      <c r="Q559">
        <f t="shared" si="328"/>
        <v>1162.1020408163267</v>
      </c>
      <c r="R559">
        <f t="shared" si="328"/>
        <v>1012.4081632653061</v>
      </c>
      <c r="S559">
        <f t="shared" si="328"/>
        <v>947.75102040816319</v>
      </c>
      <c r="T559">
        <f t="shared" si="328"/>
        <v>1151.9346938775511</v>
      </c>
      <c r="U559">
        <f t="shared" si="328"/>
        <v>952.16326530612241</v>
      </c>
      <c r="V559">
        <f t="shared" si="328"/>
        <v>452.42285714285714</v>
      </c>
      <c r="W559">
        <f t="shared" si="328"/>
        <v>812.83265306122462</v>
      </c>
      <c r="Y559" s="17">
        <f t="shared" si="310"/>
        <v>18428.759081632652</v>
      </c>
      <c r="Z559">
        <f t="shared" si="311"/>
        <v>4280.0699717584575</v>
      </c>
    </row>
    <row r="560" spans="1:26" x14ac:dyDescent="0.25">
      <c r="A560" t="s">
        <v>61</v>
      </c>
      <c r="D560">
        <f t="shared" ref="D560:W560" si="329">D56*D164</f>
        <v>1322.8326530612248</v>
      </c>
      <c r="E560">
        <f t="shared" si="329"/>
        <v>1127.3142857142857</v>
      </c>
      <c r="F560">
        <f t="shared" si="329"/>
        <v>1001.1428571428572</v>
      </c>
      <c r="G560">
        <f t="shared" si="329"/>
        <v>1311.6163265306122</v>
      </c>
      <c r="H560">
        <f t="shared" si="329"/>
        <v>1069.8979591836735</v>
      </c>
      <c r="I560">
        <f t="shared" si="329"/>
        <v>1002.8571428571429</v>
      </c>
      <c r="J560">
        <f t="shared" si="329"/>
        <v>1146.6530612244899</v>
      </c>
      <c r="K560">
        <f t="shared" si="329"/>
        <v>1141.3285714285714</v>
      </c>
      <c r="L560">
        <f t="shared" si="329"/>
        <v>977.77968750000002</v>
      </c>
      <c r="M560">
        <f t="shared" si="329"/>
        <v>497.6099999999999</v>
      </c>
      <c r="N560">
        <f t="shared" si="329"/>
        <v>541.88510204081638</v>
      </c>
      <c r="O560">
        <f t="shared" si="329"/>
        <v>606.1</v>
      </c>
      <c r="P560">
        <f t="shared" si="329"/>
        <v>489.66530612244901</v>
      </c>
      <c r="Q560">
        <f t="shared" si="329"/>
        <v>520.05326530612251</v>
      </c>
      <c r="R560">
        <f t="shared" si="329"/>
        <v>553.86122448979586</v>
      </c>
      <c r="S560">
        <f t="shared" si="329"/>
        <v>683.55</v>
      </c>
      <c r="T560">
        <f t="shared" si="329"/>
        <v>588.10959183673481</v>
      </c>
      <c r="U560">
        <f t="shared" si="329"/>
        <v>824.00510204081615</v>
      </c>
      <c r="V560">
        <f t="shared" si="329"/>
        <v>793.78714285714284</v>
      </c>
      <c r="W560">
        <f t="shared" si="329"/>
        <v>955.35551020408161</v>
      </c>
      <c r="Y560" s="17">
        <f t="shared" si="310"/>
        <v>17155.404789540818</v>
      </c>
      <c r="Z560">
        <f t="shared" si="311"/>
        <v>3327.3192932253255</v>
      </c>
    </row>
    <row r="561" spans="1:26" x14ac:dyDescent="0.25">
      <c r="A561" t="s">
        <v>62</v>
      </c>
      <c r="D561">
        <f t="shared" ref="D561:W561" si="330">D57*D165</f>
        <v>925.67959183673474</v>
      </c>
      <c r="E561">
        <f t="shared" si="330"/>
        <v>882.64346938775509</v>
      </c>
      <c r="F561">
        <f t="shared" si="330"/>
        <v>960.77102040816339</v>
      </c>
      <c r="G561">
        <f t="shared" si="330"/>
        <v>847.04979591836729</v>
      </c>
      <c r="H561">
        <f t="shared" si="330"/>
        <v>777.45306122448972</v>
      </c>
      <c r="I561">
        <f t="shared" si="330"/>
        <v>697.01102040816318</v>
      </c>
      <c r="J561">
        <f t="shared" si="330"/>
        <v>641.6473469387754</v>
      </c>
      <c r="K561">
        <f t="shared" si="330"/>
        <v>663.65306122448976</v>
      </c>
      <c r="L561">
        <f t="shared" si="330"/>
        <v>615.06796875000009</v>
      </c>
      <c r="M561">
        <f t="shared" si="330"/>
        <v>1156.8224489795919</v>
      </c>
      <c r="N561">
        <f t="shared" si="330"/>
        <v>956.87142857142862</v>
      </c>
      <c r="O561">
        <f t="shared" si="330"/>
        <v>911.76326530612255</v>
      </c>
      <c r="P561">
        <f t="shared" si="330"/>
        <v>1013.4428571428572</v>
      </c>
      <c r="Q561">
        <f t="shared" si="330"/>
        <v>1104.4306122448977</v>
      </c>
      <c r="R561">
        <f t="shared" si="330"/>
        <v>1447.0367346938774</v>
      </c>
      <c r="S561">
        <f t="shared" si="330"/>
        <v>1336.3979591836735</v>
      </c>
      <c r="T561">
        <f t="shared" si="330"/>
        <v>889.33469387755076</v>
      </c>
      <c r="U561">
        <f t="shared" si="330"/>
        <v>1172.7755102040817</v>
      </c>
      <c r="V561">
        <f t="shared" si="330"/>
        <v>1303.5020408163266</v>
      </c>
      <c r="W561">
        <f t="shared" si="330"/>
        <v>757.41224489795911</v>
      </c>
      <c r="Y561" s="17">
        <f t="shared" si="310"/>
        <v>19060.766132015302</v>
      </c>
      <c r="Z561">
        <f t="shared" si="311"/>
        <v>4453.6847600054762</v>
      </c>
    </row>
    <row r="562" spans="1:26" x14ac:dyDescent="0.25">
      <c r="A562" t="s">
        <v>63</v>
      </c>
      <c r="D562">
        <f t="shared" ref="D562:W562" si="331">D58*D166</f>
        <v>1267.5816326530612</v>
      </c>
      <c r="E562">
        <f t="shared" si="331"/>
        <v>1217.3</v>
      </c>
      <c r="F562">
        <f t="shared" si="331"/>
        <v>1363</v>
      </c>
      <c r="G562">
        <f t="shared" si="331"/>
        <v>1020.7857142857143</v>
      </c>
      <c r="H562">
        <f t="shared" si="331"/>
        <v>1135.7306122448979</v>
      </c>
      <c r="I562">
        <f t="shared" si="331"/>
        <v>1343.3469387755101</v>
      </c>
      <c r="J562">
        <f t="shared" si="331"/>
        <v>1292.5265306122449</v>
      </c>
      <c r="K562">
        <f t="shared" si="331"/>
        <v>965.35714285714289</v>
      </c>
      <c r="L562">
        <f t="shared" si="331"/>
        <v>852.48750000000007</v>
      </c>
      <c r="M562">
        <f t="shared" si="331"/>
        <v>1500.7285714285715</v>
      </c>
      <c r="N562">
        <f t="shared" si="331"/>
        <v>986.5</v>
      </c>
      <c r="O562">
        <f t="shared" si="331"/>
        <v>1125.0530612244897</v>
      </c>
      <c r="P562">
        <f t="shared" si="331"/>
        <v>831.30612244897964</v>
      </c>
      <c r="Q562">
        <f t="shared" si="331"/>
        <v>1028.9857142857145</v>
      </c>
      <c r="R562">
        <f t="shared" si="331"/>
        <v>769.81224489795932</v>
      </c>
      <c r="S562">
        <f t="shared" si="331"/>
        <v>1006.3836734693878</v>
      </c>
      <c r="T562">
        <f t="shared" si="331"/>
        <v>976.69591836734696</v>
      </c>
      <c r="U562">
        <f t="shared" si="331"/>
        <v>810.08163265306121</v>
      </c>
      <c r="V562">
        <f t="shared" si="331"/>
        <v>1141.9142857142856</v>
      </c>
      <c r="W562">
        <f t="shared" si="331"/>
        <v>955.15306122448999</v>
      </c>
      <c r="Y562" s="17">
        <f t="shared" si="310"/>
        <v>21590.73035714286</v>
      </c>
      <c r="Z562">
        <f t="shared" si="311"/>
        <v>4891.09921966002</v>
      </c>
    </row>
    <row r="563" spans="1:26" x14ac:dyDescent="0.25">
      <c r="A563" t="s">
        <v>64</v>
      </c>
      <c r="D563">
        <f t="shared" ref="D563:W563" si="332">D59*D167</f>
        <v>1207</v>
      </c>
      <c r="E563">
        <f t="shared" si="332"/>
        <v>1300.5326530612244</v>
      </c>
      <c r="F563">
        <f t="shared" si="332"/>
        <v>1895.0673469387755</v>
      </c>
      <c r="G563">
        <f t="shared" si="332"/>
        <v>1086.1387755102039</v>
      </c>
      <c r="H563">
        <f t="shared" si="332"/>
        <v>1298.5999999999999</v>
      </c>
      <c r="I563">
        <f t="shared" si="332"/>
        <v>1469.9102040816326</v>
      </c>
      <c r="J563">
        <f t="shared" si="332"/>
        <v>1507.6734693877549</v>
      </c>
      <c r="K563">
        <f t="shared" si="332"/>
        <v>1254.6775510204081</v>
      </c>
      <c r="L563">
        <f t="shared" si="332"/>
        <v>1372.3312499999997</v>
      </c>
      <c r="M563">
        <f t="shared" si="332"/>
        <v>1212.4285714285716</v>
      </c>
      <c r="N563">
        <f t="shared" si="332"/>
        <v>958.81224489795909</v>
      </c>
      <c r="O563">
        <f t="shared" si="332"/>
        <v>995.40816326530626</v>
      </c>
      <c r="P563">
        <f t="shared" si="332"/>
        <v>1110.0489795918368</v>
      </c>
      <c r="Q563">
        <f t="shared" si="332"/>
        <v>1191.8571428571429</v>
      </c>
      <c r="R563">
        <f t="shared" si="332"/>
        <v>1352.8367346938776</v>
      </c>
      <c r="S563">
        <f t="shared" si="332"/>
        <v>966.23673469387757</v>
      </c>
      <c r="T563">
        <f t="shared" si="332"/>
        <v>891.34489795918375</v>
      </c>
      <c r="U563">
        <f t="shared" si="332"/>
        <v>1115.0204081632655</v>
      </c>
      <c r="V563">
        <f t="shared" si="332"/>
        <v>944.98775510204098</v>
      </c>
      <c r="W563">
        <f t="shared" si="332"/>
        <v>872.63673469387754</v>
      </c>
      <c r="Y563" s="17">
        <f t="shared" si="310"/>
        <v>24003.54961734694</v>
      </c>
      <c r="Z563">
        <f t="shared" si="311"/>
        <v>5523.2543368961997</v>
      </c>
    </row>
    <row r="564" spans="1:26" x14ac:dyDescent="0.25">
      <c r="A564" t="s">
        <v>65</v>
      </c>
      <c r="D564">
        <f t="shared" ref="D564:W564" si="333">D60*D168</f>
        <v>1237.0163265306121</v>
      </c>
      <c r="E564">
        <f t="shared" si="333"/>
        <v>1112.4306122448979</v>
      </c>
      <c r="F564">
        <f t="shared" si="333"/>
        <v>836.40204081632658</v>
      </c>
      <c r="G564">
        <f t="shared" si="333"/>
        <v>660.34285714285727</v>
      </c>
      <c r="H564">
        <f t="shared" si="333"/>
        <v>954.58775510204089</v>
      </c>
      <c r="I564">
        <f t="shared" si="333"/>
        <v>1197.257142857143</v>
      </c>
      <c r="J564">
        <f t="shared" si="333"/>
        <v>1104.2571428571428</v>
      </c>
      <c r="K564">
        <f t="shared" si="333"/>
        <v>1044.7836734693876</v>
      </c>
      <c r="L564">
        <f t="shared" si="333"/>
        <v>1063.96875</v>
      </c>
      <c r="M564">
        <f t="shared" si="333"/>
        <v>1253.6816326530613</v>
      </c>
      <c r="N564">
        <f t="shared" si="333"/>
        <v>1064.7265306122449</v>
      </c>
      <c r="O564">
        <f t="shared" si="333"/>
        <v>1121.1918367346939</v>
      </c>
      <c r="P564">
        <f t="shared" si="333"/>
        <v>724.61224489795916</v>
      </c>
      <c r="Q564">
        <f t="shared" si="333"/>
        <v>1417.3469387755101</v>
      </c>
      <c r="R564">
        <f t="shared" si="333"/>
        <v>1181.9000000000001</v>
      </c>
      <c r="S564">
        <f t="shared" si="333"/>
        <v>831.42040816326539</v>
      </c>
      <c r="T564">
        <f t="shared" si="333"/>
        <v>792.04693877551028</v>
      </c>
      <c r="U564">
        <f t="shared" si="333"/>
        <v>518.23469387755108</v>
      </c>
      <c r="V564">
        <f t="shared" si="333"/>
        <v>771.57142857142856</v>
      </c>
      <c r="W564">
        <f t="shared" si="333"/>
        <v>914.87755102040808</v>
      </c>
      <c r="Y564" s="17">
        <f t="shared" si="310"/>
        <v>19802.656505102037</v>
      </c>
      <c r="Z564">
        <f t="shared" si="311"/>
        <v>4787.3385335036328</v>
      </c>
    </row>
    <row r="565" spans="1:26" x14ac:dyDescent="0.25">
      <c r="A565" t="s">
        <v>66</v>
      </c>
      <c r="D565">
        <f t="shared" ref="D565:W565" si="334">D61*D169</f>
        <v>980</v>
      </c>
      <c r="E565">
        <f t="shared" si="334"/>
        <v>878.4979591836734</v>
      </c>
      <c r="F565">
        <f t="shared" si="334"/>
        <v>928.17551020408143</v>
      </c>
      <c r="G565">
        <f t="shared" si="334"/>
        <v>1115.7816326530613</v>
      </c>
      <c r="H565">
        <f t="shared" si="334"/>
        <v>1073.6020408163265</v>
      </c>
      <c r="I565">
        <f t="shared" si="334"/>
        <v>1012.7142857142856</v>
      </c>
      <c r="J565">
        <f t="shared" si="334"/>
        <v>1354.4367346938777</v>
      </c>
      <c r="K565">
        <f t="shared" si="334"/>
        <v>1309.0775510204085</v>
      </c>
      <c r="L565">
        <f t="shared" si="334"/>
        <v>1002.9999999999999</v>
      </c>
      <c r="M565">
        <f t="shared" si="334"/>
        <v>1222.3612244897959</v>
      </c>
      <c r="N565">
        <f t="shared" si="334"/>
        <v>1480.8000000000002</v>
      </c>
      <c r="O565">
        <f t="shared" si="334"/>
        <v>1475.6571428571426</v>
      </c>
      <c r="P565">
        <f t="shared" si="334"/>
        <v>1096.7204081632651</v>
      </c>
      <c r="Q565">
        <f t="shared" si="334"/>
        <v>887.8142857142858</v>
      </c>
      <c r="R565">
        <f t="shared" si="334"/>
        <v>1132.4204081632652</v>
      </c>
      <c r="S565">
        <f t="shared" si="334"/>
        <v>991.7102040816327</v>
      </c>
      <c r="T565">
        <f t="shared" si="334"/>
        <v>890.64489795918371</v>
      </c>
      <c r="U565">
        <f t="shared" si="334"/>
        <v>862.17551020408166</v>
      </c>
      <c r="V565">
        <f t="shared" si="334"/>
        <v>804.93877551020398</v>
      </c>
      <c r="W565">
        <f t="shared" si="334"/>
        <v>680.10204081632662</v>
      </c>
      <c r="Y565" s="17">
        <f t="shared" si="310"/>
        <v>21180.630612244895</v>
      </c>
      <c r="Z565">
        <f t="shared" si="311"/>
        <v>4873.8832936393355</v>
      </c>
    </row>
    <row r="566" spans="1:26" x14ac:dyDescent="0.25">
      <c r="A566" t="s">
        <v>67</v>
      </c>
      <c r="D566">
        <f t="shared" ref="D566:W566" si="335">D62*D170</f>
        <v>810.95918367346951</v>
      </c>
      <c r="E566">
        <f t="shared" si="335"/>
        <v>1452.2693877551023</v>
      </c>
      <c r="F566">
        <f t="shared" si="335"/>
        <v>1565.1428571428573</v>
      </c>
      <c r="G566">
        <f t="shared" si="335"/>
        <v>1078.8306122448978</v>
      </c>
      <c r="H566">
        <f t="shared" si="335"/>
        <v>1005.2571428571429</v>
      </c>
      <c r="I566">
        <f t="shared" si="335"/>
        <v>1043.1857142857145</v>
      </c>
      <c r="J566">
        <f t="shared" si="335"/>
        <v>1282.6367346938773</v>
      </c>
      <c r="K566">
        <f t="shared" si="335"/>
        <v>1535.408163265306</v>
      </c>
      <c r="L566">
        <f t="shared" si="335"/>
        <v>1419.465306122449</v>
      </c>
      <c r="M566">
        <f t="shared" si="335"/>
        <v>1373.5714285714284</v>
      </c>
      <c r="N566">
        <f t="shared" si="335"/>
        <v>1125.6469387755101</v>
      </c>
      <c r="O566">
        <f t="shared" si="335"/>
        <v>1042.1224489795918</v>
      </c>
      <c r="P566">
        <f t="shared" si="335"/>
        <v>1032.0816326530614</v>
      </c>
      <c r="Q566">
        <f t="shared" si="335"/>
        <v>1116.4408163265307</v>
      </c>
      <c r="R566">
        <f t="shared" si="335"/>
        <v>1166.3244897959182</v>
      </c>
      <c r="S566">
        <f t="shared" si="335"/>
        <v>878.86530612244894</v>
      </c>
      <c r="T566">
        <f t="shared" si="335"/>
        <v>845.69387755102048</v>
      </c>
      <c r="U566">
        <f t="shared" si="335"/>
        <v>830.2285714285714</v>
      </c>
      <c r="V566">
        <f t="shared" si="335"/>
        <v>915.91836734693879</v>
      </c>
      <c r="W566">
        <f t="shared" si="335"/>
        <v>622.84897959183684</v>
      </c>
      <c r="Y566" s="17">
        <f t="shared" si="310"/>
        <v>22142.897959183672</v>
      </c>
      <c r="Z566">
        <f t="shared" si="311"/>
        <v>5246.1362274511921</v>
      </c>
    </row>
    <row r="567" spans="1:26" x14ac:dyDescent="0.25">
      <c r="A567" t="s">
        <v>68</v>
      </c>
      <c r="D567">
        <f t="shared" ref="D567:W567" si="336">D63*D171</f>
        <v>935.11836734693838</v>
      </c>
      <c r="E567">
        <f t="shared" si="336"/>
        <v>1102.7755102040824</v>
      </c>
      <c r="F567">
        <f t="shared" si="336"/>
        <v>1245.8428571428572</v>
      </c>
      <c r="G567">
        <f t="shared" si="336"/>
        <v>1082.1673469387742</v>
      </c>
      <c r="H567">
        <f t="shared" si="336"/>
        <v>1777.6510204081633</v>
      </c>
      <c r="I567">
        <f t="shared" si="336"/>
        <v>1190.2081632653064</v>
      </c>
      <c r="J567">
        <f t="shared" si="336"/>
        <v>1101.3897959183664</v>
      </c>
      <c r="K567">
        <f t="shared" si="336"/>
        <v>954.86734693877554</v>
      </c>
      <c r="L567">
        <f t="shared" si="336"/>
        <v>1230.1453125</v>
      </c>
      <c r="M567">
        <f t="shared" si="336"/>
        <v>1139.9102040816322</v>
      </c>
      <c r="N567">
        <f t="shared" si="336"/>
        <v>1065.4367346938775</v>
      </c>
      <c r="O567">
        <f t="shared" si="336"/>
        <v>1088.6693877551031</v>
      </c>
      <c r="P567">
        <f t="shared" si="336"/>
        <v>1164.8326530612246</v>
      </c>
      <c r="Q567">
        <f t="shared" si="336"/>
        <v>1110.504081632653</v>
      </c>
      <c r="R567">
        <f t="shared" si="336"/>
        <v>1498.6122448979604</v>
      </c>
      <c r="S567">
        <f t="shared" si="336"/>
        <v>1216.1734693877549</v>
      </c>
      <c r="T567">
        <f t="shared" si="336"/>
        <v>901.37755102040808</v>
      </c>
      <c r="U567">
        <f t="shared" si="336"/>
        <v>976.32244897959163</v>
      </c>
      <c r="V567">
        <f t="shared" si="336"/>
        <v>653.71428571428567</v>
      </c>
      <c r="W567">
        <f t="shared" si="336"/>
        <v>556.69387755102036</v>
      </c>
      <c r="Y567" s="17">
        <f t="shared" si="310"/>
        <v>21992.412659438774</v>
      </c>
      <c r="Z567">
        <f t="shared" si="311"/>
        <v>5171.5393389390292</v>
      </c>
    </row>
    <row r="568" spans="1:26" x14ac:dyDescent="0.25">
      <c r="A568" t="s">
        <v>69</v>
      </c>
      <c r="D568">
        <f t="shared" ref="D568:W568" si="337">D64*D172</f>
        <v>1353.6632653061222</v>
      </c>
      <c r="E568">
        <f t="shared" si="337"/>
        <v>1251.6979591836734</v>
      </c>
      <c r="F568">
        <f t="shared" si="337"/>
        <v>1181.4612244897962</v>
      </c>
      <c r="G568">
        <f t="shared" si="337"/>
        <v>1137.6163265306125</v>
      </c>
      <c r="H568">
        <f t="shared" si="337"/>
        <v>975.52653061224498</v>
      </c>
      <c r="I568">
        <f t="shared" si="337"/>
        <v>1218.9183673469386</v>
      </c>
      <c r="J568">
        <f t="shared" si="337"/>
        <v>900.42857142857133</v>
      </c>
      <c r="K568">
        <f t="shared" si="337"/>
        <v>1167.5755102040816</v>
      </c>
      <c r="L568">
        <f t="shared" si="337"/>
        <v>947.53125000000011</v>
      </c>
      <c r="M568">
        <f t="shared" si="337"/>
        <v>1003.0628571428571</v>
      </c>
      <c r="N568">
        <f t="shared" si="337"/>
        <v>1386.0008571428568</v>
      </c>
      <c r="O568">
        <f t="shared" si="337"/>
        <v>1208.3291428571429</v>
      </c>
      <c r="P568">
        <f t="shared" si="337"/>
        <v>804.38014285714291</v>
      </c>
      <c r="Q568">
        <f t="shared" si="337"/>
        <v>1000.8000000000002</v>
      </c>
      <c r="R568">
        <f t="shared" si="337"/>
        <v>618.13285714285712</v>
      </c>
      <c r="S568">
        <f t="shared" si="337"/>
        <v>883.28571428571433</v>
      </c>
      <c r="T568">
        <f t="shared" si="337"/>
        <v>841.5612244897959</v>
      </c>
      <c r="U568">
        <f t="shared" si="337"/>
        <v>940.1877551020408</v>
      </c>
      <c r="V568">
        <f t="shared" si="337"/>
        <v>812.7734693877552</v>
      </c>
      <c r="W568">
        <f t="shared" si="337"/>
        <v>677.93061224489804</v>
      </c>
      <c r="Y568" s="17">
        <f t="shared" si="310"/>
        <v>20310.863637755101</v>
      </c>
      <c r="Z568">
        <f t="shared" si="311"/>
        <v>4649.7842477150616</v>
      </c>
    </row>
    <row r="569" spans="1:26" x14ac:dyDescent="0.25">
      <c r="Y569" s="17"/>
    </row>
    <row r="570" spans="1:26" x14ac:dyDescent="0.25">
      <c r="A570" t="s">
        <v>70</v>
      </c>
      <c r="D570">
        <f t="shared" ref="D570:W570" si="338">D66*D174</f>
        <v>1087.7469387755102</v>
      </c>
      <c r="E570">
        <f t="shared" si="338"/>
        <v>861.19387755102048</v>
      </c>
      <c r="F570">
        <f t="shared" si="338"/>
        <v>1110.3061224489797</v>
      </c>
      <c r="G570">
        <f t="shared" si="338"/>
        <v>866.92448979591848</v>
      </c>
      <c r="H570">
        <f t="shared" si="338"/>
        <v>937.44285714285706</v>
      </c>
      <c r="I570">
        <f t="shared" si="338"/>
        <v>1115.9510204081632</v>
      </c>
      <c r="J570">
        <f t="shared" si="338"/>
        <v>924.29183673469379</v>
      </c>
      <c r="K570">
        <f t="shared" si="338"/>
        <v>847.34693877551024</v>
      </c>
      <c r="L570">
        <f t="shared" si="338"/>
        <v>990.27499999999998</v>
      </c>
      <c r="M570">
        <f t="shared" si="338"/>
        <v>954.07346938775493</v>
      </c>
      <c r="N570">
        <f t="shared" si="338"/>
        <v>1080.6816326530613</v>
      </c>
      <c r="O570">
        <f t="shared" si="338"/>
        <v>1120.0530612244897</v>
      </c>
      <c r="P570">
        <f t="shared" si="338"/>
        <v>728.48979591836735</v>
      </c>
      <c r="Q570">
        <f t="shared" si="338"/>
        <v>970.73265306122437</v>
      </c>
      <c r="R570">
        <f t="shared" si="338"/>
        <v>798.0612244897959</v>
      </c>
      <c r="S570">
        <f t="shared" si="338"/>
        <v>1007.6034879406308</v>
      </c>
      <c r="T570">
        <f t="shared" si="338"/>
        <v>1109.5102040816328</v>
      </c>
      <c r="U570">
        <f t="shared" si="338"/>
        <v>834.61224489795904</v>
      </c>
      <c r="V570">
        <f t="shared" si="338"/>
        <v>751.99795918367329</v>
      </c>
      <c r="W570">
        <f t="shared" si="338"/>
        <v>974.53061224489795</v>
      </c>
      <c r="Y570" s="17">
        <f t="shared" si="310"/>
        <v>19071.825426716139</v>
      </c>
      <c r="Z570">
        <f>SUMPRODUCT($D$574:$W$574,D570:W570)</f>
        <v>4279.9504138694219</v>
      </c>
    </row>
    <row r="571" spans="1:26" x14ac:dyDescent="0.25">
      <c r="A571" t="s">
        <v>314</v>
      </c>
      <c r="D571">
        <f t="shared" ref="D571:W571" si="339">D67*D175</f>
        <v>1557.8285714285714</v>
      </c>
      <c r="E571">
        <f t="shared" si="339"/>
        <v>1447.8714285714286</v>
      </c>
      <c r="F571">
        <f t="shared" si="339"/>
        <v>1258.034693877551</v>
      </c>
      <c r="G571">
        <f t="shared" si="339"/>
        <v>1130.6632653061224</v>
      </c>
      <c r="H571">
        <f t="shared" si="339"/>
        <v>1337.6346938775509</v>
      </c>
      <c r="I571">
        <f t="shared" si="339"/>
        <v>1227.2795918367347</v>
      </c>
      <c r="J571">
        <f t="shared" si="339"/>
        <v>1135.2</v>
      </c>
      <c r="K571">
        <f t="shared" si="339"/>
        <v>1133.4387755102041</v>
      </c>
      <c r="L571">
        <f t="shared" si="339"/>
        <v>1193.6546874999999</v>
      </c>
      <c r="M571">
        <f t="shared" si="339"/>
        <v>1383.3653061224493</v>
      </c>
      <c r="N571">
        <f t="shared" si="339"/>
        <v>1285.436734693878</v>
      </c>
      <c r="O571">
        <f t="shared" si="339"/>
        <v>1103.4000000000001</v>
      </c>
      <c r="P571">
        <f t="shared" si="339"/>
        <v>1648.2</v>
      </c>
      <c r="Q571">
        <f t="shared" si="339"/>
        <v>1272.6000000000001</v>
      </c>
      <c r="R571">
        <f t="shared" si="339"/>
        <v>1255.04</v>
      </c>
      <c r="S571">
        <f t="shared" si="339"/>
        <v>1256.7</v>
      </c>
      <c r="T571">
        <f t="shared" si="339"/>
        <v>1382.8998701298701</v>
      </c>
      <c r="U571">
        <f t="shared" si="339"/>
        <v>1130.1714285714288</v>
      </c>
      <c r="V571">
        <f t="shared" si="339"/>
        <v>1085.8805194805193</v>
      </c>
      <c r="W571">
        <f t="shared" si="339"/>
        <v>894.85714285714289</v>
      </c>
      <c r="Y571" s="17">
        <f t="shared" si="310"/>
        <v>25120.156709763451</v>
      </c>
      <c r="Z571">
        <f>SUMPRODUCT($D$574:$W$574,D571:W571)</f>
        <v>5669.5582254565779</v>
      </c>
    </row>
    <row r="572" spans="1:26" x14ac:dyDescent="0.25">
      <c r="A572" t="s">
        <v>315</v>
      </c>
      <c r="D572">
        <f t="shared" ref="D572:W572" si="340">D68*D176</f>
        <v>1321.5918367346937</v>
      </c>
      <c r="E572">
        <f t="shared" si="340"/>
        <v>1333.9102040816329</v>
      </c>
      <c r="F572">
        <f t="shared" si="340"/>
        <v>1800.1224489795918</v>
      </c>
      <c r="G572">
        <f t="shared" si="340"/>
        <v>1204.9714285714285</v>
      </c>
      <c r="H572">
        <f t="shared" si="340"/>
        <v>1316.8163265306123</v>
      </c>
      <c r="I572">
        <f t="shared" si="340"/>
        <v>1300.2938775510204</v>
      </c>
      <c r="J572">
        <f t="shared" si="340"/>
        <v>1982.5612244897959</v>
      </c>
      <c r="K572">
        <f t="shared" si="340"/>
        <v>1282.5775510204082</v>
      </c>
      <c r="L572">
        <f t="shared" si="340"/>
        <v>736.63750000000005</v>
      </c>
      <c r="M572">
        <f t="shared" si="340"/>
        <v>1164.0600000000002</v>
      </c>
      <c r="N572">
        <f t="shared" si="340"/>
        <v>1129.9199999999998</v>
      </c>
      <c r="O572">
        <f t="shared" si="340"/>
        <v>1166.79</v>
      </c>
      <c r="P572">
        <f t="shared" si="340"/>
        <v>918.81900226757364</v>
      </c>
      <c r="Q572">
        <f t="shared" si="340"/>
        <v>994.98517006802717</v>
      </c>
      <c r="R572">
        <f t="shared" si="340"/>
        <v>1062.9828571428573</v>
      </c>
      <c r="S572">
        <f t="shared" si="340"/>
        <v>967.03255328798195</v>
      </c>
      <c r="T572">
        <f t="shared" si="340"/>
        <v>1257.1959183673468</v>
      </c>
      <c r="U572">
        <f t="shared" si="340"/>
        <v>1383.4775510204081</v>
      </c>
      <c r="V572">
        <f t="shared" si="340"/>
        <v>1088.7489795918366</v>
      </c>
      <c r="W572">
        <f t="shared" si="340"/>
        <v>1218.8163265306121</v>
      </c>
      <c r="Y572" s="17">
        <f t="shared" si="310"/>
        <v>24632.310756235835</v>
      </c>
      <c r="Z572">
        <f>SUMPRODUCT($D$574:$W$574,D572:W572)</f>
        <v>5402.6172166369115</v>
      </c>
    </row>
    <row r="573" spans="1:26" x14ac:dyDescent="0.25">
      <c r="A573" t="s">
        <v>677</v>
      </c>
      <c r="D573">
        <f t="shared" ref="D573:W573" si="341">D69*D177</f>
        <v>1351.7265306122447</v>
      </c>
      <c r="E573">
        <f t="shared" si="341"/>
        <v>1098.6938775510203</v>
      </c>
      <c r="F573">
        <f t="shared" si="341"/>
        <v>1202.5408163265308</v>
      </c>
      <c r="G573">
        <f t="shared" si="341"/>
        <v>1229.204081632653</v>
      </c>
      <c r="H573">
        <f t="shared" si="341"/>
        <v>1067.9959183673468</v>
      </c>
      <c r="I573">
        <f t="shared" si="341"/>
        <v>1040.504081632653</v>
      </c>
      <c r="J573">
        <f t="shared" si="341"/>
        <v>926.99387755102043</v>
      </c>
      <c r="K573">
        <f t="shared" si="341"/>
        <v>843.30612244897964</v>
      </c>
      <c r="L573">
        <f t="shared" si="341"/>
        <v>714.72499999999991</v>
      </c>
      <c r="M573">
        <f t="shared" si="341"/>
        <v>1161.0306122448981</v>
      </c>
      <c r="N573">
        <f t="shared" si="341"/>
        <v>1184.5469387755104</v>
      </c>
      <c r="O573">
        <f t="shared" si="341"/>
        <v>543.77551020408225</v>
      </c>
      <c r="P573">
        <f t="shared" si="341"/>
        <v>942.68571428571431</v>
      </c>
      <c r="Q573">
        <f t="shared" si="341"/>
        <v>1228.4510204081632</v>
      </c>
      <c r="R573">
        <f t="shared" si="341"/>
        <v>752.48979591836735</v>
      </c>
      <c r="S573">
        <f t="shared" si="341"/>
        <v>961.85714285714289</v>
      </c>
      <c r="T573">
        <f t="shared" si="341"/>
        <v>936.18560282574583</v>
      </c>
      <c r="U573">
        <f t="shared" si="341"/>
        <v>886.70373402108078</v>
      </c>
      <c r="V573">
        <f t="shared" si="341"/>
        <v>884.89887642969256</v>
      </c>
      <c r="W573">
        <f t="shared" si="341"/>
        <v>870.31337968154298</v>
      </c>
      <c r="Y573" s="17">
        <f t="shared" ref="Y573" si="342">SUM(D573:W573)</f>
        <v>19828.628633774391</v>
      </c>
      <c r="Z573">
        <f>SUMPRODUCT($D$574:$W$574,D573:W573)</f>
        <v>4259.8878969207453</v>
      </c>
    </row>
    <row r="574" spans="1:26" x14ac:dyDescent="0.25">
      <c r="A574" s="2" t="s">
        <v>71</v>
      </c>
      <c r="D574" s="3">
        <f>CORREL($B$2:$B$28,D542:D568)</f>
        <v>9.3633781284416032E-2</v>
      </c>
      <c r="E574" s="3">
        <f t="shared" ref="E574:W574" si="343">CORREL($B$2:$B$28,E542:E568)</f>
        <v>0.41847391833258091</v>
      </c>
      <c r="F574" s="3">
        <f t="shared" si="343"/>
        <v>0.32144565408468873</v>
      </c>
      <c r="G574" s="3">
        <f t="shared" si="343"/>
        <v>-0.26290898436534077</v>
      </c>
      <c r="H574" s="3">
        <f t="shared" si="343"/>
        <v>0.2447807414007673</v>
      </c>
      <c r="I574" s="3">
        <f t="shared" si="343"/>
        <v>0.28366292272720545</v>
      </c>
      <c r="J574" s="3">
        <f t="shared" si="343"/>
        <v>0.14411367498491587</v>
      </c>
      <c r="K574" s="3">
        <f t="shared" si="343"/>
        <v>0.24300089518094548</v>
      </c>
      <c r="L574" s="3">
        <f t="shared" si="343"/>
        <v>0.16948724250132338</v>
      </c>
      <c r="M574" s="3">
        <f t="shared" si="343"/>
        <v>0.29129040986431565</v>
      </c>
      <c r="N574" s="3">
        <f t="shared" si="343"/>
        <v>0.31476749388026759</v>
      </c>
      <c r="O574" s="3">
        <f t="shared" si="343"/>
        <v>0.50571492804895202</v>
      </c>
      <c r="P574" s="3">
        <f t="shared" si="343"/>
        <v>0.12335316394360747</v>
      </c>
      <c r="Q574" s="3">
        <f t="shared" si="343"/>
        <v>0.48506088258618224</v>
      </c>
      <c r="R574" s="3">
        <f t="shared" si="343"/>
        <v>0.37879232245705274</v>
      </c>
      <c r="S574" s="3">
        <f t="shared" si="343"/>
        <v>0.20903958386205423</v>
      </c>
      <c r="T574" s="3">
        <f t="shared" si="343"/>
        <v>0.14444040228949714</v>
      </c>
      <c r="U574" s="3">
        <f t="shared" si="343"/>
        <v>0.20967776176874617</v>
      </c>
      <c r="V574" s="3">
        <f t="shared" si="343"/>
        <v>0.23748057693171523</v>
      </c>
      <c r="W574" s="3">
        <f t="shared" si="343"/>
        <v>-0.13979859798921029</v>
      </c>
    </row>
    <row r="577" spans="1:26" x14ac:dyDescent="0.25">
      <c r="D577" t="s">
        <v>190</v>
      </c>
      <c r="E577" t="s">
        <v>191</v>
      </c>
      <c r="F577" t="s">
        <v>192</v>
      </c>
      <c r="G577" t="s">
        <v>193</v>
      </c>
      <c r="H577" t="s">
        <v>194</v>
      </c>
      <c r="I577" t="s">
        <v>195</v>
      </c>
      <c r="J577" t="s">
        <v>196</v>
      </c>
      <c r="K577" t="s">
        <v>197</v>
      </c>
      <c r="L577" t="s">
        <v>356</v>
      </c>
      <c r="M577" t="s">
        <v>416</v>
      </c>
      <c r="N577" t="s">
        <v>417</v>
      </c>
      <c r="O577" t="s">
        <v>418</v>
      </c>
      <c r="P577" t="s">
        <v>517</v>
      </c>
      <c r="Q577" t="s">
        <v>518</v>
      </c>
      <c r="R577" t="s">
        <v>519</v>
      </c>
      <c r="S577" t="s">
        <v>520</v>
      </c>
      <c r="T577" t="s">
        <v>629</v>
      </c>
      <c r="U577" t="s">
        <v>630</v>
      </c>
      <c r="V577" t="s">
        <v>631</v>
      </c>
      <c r="W577" t="s">
        <v>632</v>
      </c>
      <c r="Y577" t="s">
        <v>198</v>
      </c>
      <c r="Z577" t="s">
        <v>199</v>
      </c>
    </row>
    <row r="578" spans="1:26" x14ac:dyDescent="0.25">
      <c r="A578" t="s">
        <v>43</v>
      </c>
      <c r="D578">
        <f t="shared" ref="D578:W578" si="344">D38*D182</f>
        <v>445</v>
      </c>
      <c r="E578">
        <f t="shared" si="344"/>
        <v>407.99183673469383</v>
      </c>
      <c r="F578">
        <f t="shared" si="344"/>
        <v>364.59591836734688</v>
      </c>
      <c r="G578">
        <f t="shared" si="344"/>
        <v>369.7897959183673</v>
      </c>
      <c r="H578">
        <f t="shared" si="344"/>
        <v>355.78020408163263</v>
      </c>
      <c r="I578">
        <f t="shared" si="344"/>
        <v>290.71999999999997</v>
      </c>
      <c r="J578">
        <f t="shared" si="344"/>
        <v>327.00653061224489</v>
      </c>
      <c r="K578">
        <f t="shared" si="344"/>
        <v>334.85448979591837</v>
      </c>
      <c r="L578">
        <f t="shared" si="344"/>
        <v>323.58187500000003</v>
      </c>
      <c r="M578">
        <f t="shared" si="344"/>
        <v>163.71591836734694</v>
      </c>
      <c r="N578">
        <f t="shared" si="344"/>
        <v>205.40469387755104</v>
      </c>
      <c r="O578">
        <f t="shared" si="344"/>
        <v>256.82183673469387</v>
      </c>
      <c r="P578">
        <f t="shared" si="344"/>
        <v>258.10653061224491</v>
      </c>
      <c r="Q578">
        <f t="shared" si="344"/>
        <v>262.5530612244898</v>
      </c>
      <c r="R578">
        <f t="shared" si="344"/>
        <v>286.43265306122441</v>
      </c>
      <c r="S578">
        <f t="shared" si="344"/>
        <v>266.03265306122449</v>
      </c>
      <c r="T578">
        <f t="shared" si="344"/>
        <v>233.41714285714286</v>
      </c>
      <c r="U578">
        <f t="shared" si="344"/>
        <v>269.09040816326541</v>
      </c>
      <c r="V578">
        <f t="shared" si="344"/>
        <v>424.27897959183679</v>
      </c>
      <c r="W578">
        <f t="shared" si="344"/>
        <v>375.5579591836734</v>
      </c>
      <c r="Y578" s="17">
        <f t="shared" ref="Y578:Y608" si="345">SUM(D578:W578)</f>
        <v>6220.7324872448971</v>
      </c>
      <c r="Z578">
        <f t="shared" ref="Z578:Z604" si="346">SUMPRODUCT($D$610:$W$610,D578:W578)</f>
        <v>456.90971072680668</v>
      </c>
    </row>
    <row r="579" spans="1:26" x14ac:dyDescent="0.25">
      <c r="A579" t="s">
        <v>44</v>
      </c>
      <c r="D579">
        <f t="shared" ref="D579:W579" si="347">D39*D183</f>
        <v>453.74999999999994</v>
      </c>
      <c r="E579">
        <f t="shared" si="347"/>
        <v>300.96000000000004</v>
      </c>
      <c r="F579">
        <f t="shared" si="347"/>
        <v>318.72000000000003</v>
      </c>
      <c r="G579">
        <f t="shared" si="347"/>
        <v>351</v>
      </c>
      <c r="H579">
        <f t="shared" si="347"/>
        <v>392.94</v>
      </c>
      <c r="I579">
        <f t="shared" si="347"/>
        <v>248.04</v>
      </c>
      <c r="J579">
        <f t="shared" si="347"/>
        <v>2010.58</v>
      </c>
      <c r="K579">
        <f t="shared" si="347"/>
        <v>288.08999999999997</v>
      </c>
      <c r="L579">
        <f t="shared" si="347"/>
        <v>260.58</v>
      </c>
      <c r="M579">
        <f t="shared" si="347"/>
        <v>236.55</v>
      </c>
      <c r="N579">
        <f t="shared" si="347"/>
        <v>244.02</v>
      </c>
      <c r="O579">
        <f t="shared" si="347"/>
        <v>299.96999999999997</v>
      </c>
      <c r="P579">
        <f t="shared" si="347"/>
        <v>262.354939554731</v>
      </c>
      <c r="Q579">
        <f t="shared" si="347"/>
        <v>243.21767951762527</v>
      </c>
      <c r="R579">
        <f t="shared" si="347"/>
        <v>268.6948897959183</v>
      </c>
      <c r="S579">
        <f t="shared" si="347"/>
        <v>282.18559090909093</v>
      </c>
      <c r="T579">
        <f t="shared" si="347"/>
        <v>295.24591836734697</v>
      </c>
      <c r="U579">
        <f t="shared" si="347"/>
        <v>320.2627551020409</v>
      </c>
      <c r="V579">
        <f t="shared" si="347"/>
        <v>346.40448979591838</v>
      </c>
      <c r="W579">
        <f t="shared" si="347"/>
        <v>416.39655612244894</v>
      </c>
      <c r="Y579" s="17">
        <f t="shared" si="345"/>
        <v>7839.9628191651209</v>
      </c>
      <c r="Z579">
        <f t="shared" si="346"/>
        <v>-74.448325145488909</v>
      </c>
    </row>
    <row r="580" spans="1:26" x14ac:dyDescent="0.25">
      <c r="A580" t="s">
        <v>45</v>
      </c>
      <c r="D580">
        <f t="shared" ref="D580:W580" si="348">D40*D184</f>
        <v>471.56897959183675</v>
      </c>
      <c r="E580">
        <f t="shared" si="348"/>
        <v>319.57020408163277</v>
      </c>
      <c r="F580">
        <f t="shared" si="348"/>
        <v>293.42244897959182</v>
      </c>
      <c r="G580">
        <f t="shared" si="348"/>
        <v>376.9569387755102</v>
      </c>
      <c r="H580">
        <f t="shared" si="348"/>
        <v>417.36734693877543</v>
      </c>
      <c r="I580">
        <f t="shared" si="348"/>
        <v>275.02530612244891</v>
      </c>
      <c r="J580">
        <f t="shared" si="348"/>
        <v>298.32000000000011</v>
      </c>
      <c r="K580">
        <f t="shared" si="348"/>
        <v>237.44489795918375</v>
      </c>
      <c r="L580">
        <f t="shared" si="348"/>
        <v>272.20890624999993</v>
      </c>
      <c r="M580">
        <f t="shared" si="348"/>
        <v>265.99204081632655</v>
      </c>
      <c r="N580">
        <f t="shared" si="348"/>
        <v>302.14530612244897</v>
      </c>
      <c r="O580">
        <f t="shared" si="348"/>
        <v>285.60571428571421</v>
      </c>
      <c r="P580">
        <f t="shared" si="348"/>
        <v>203.03551020408165</v>
      </c>
      <c r="Q580">
        <f t="shared" si="348"/>
        <v>253.81755102040819</v>
      </c>
      <c r="R580">
        <f t="shared" si="348"/>
        <v>329.21877551020407</v>
      </c>
      <c r="S580">
        <f t="shared" si="348"/>
        <v>288.02693877551025</v>
      </c>
      <c r="T580">
        <f t="shared" si="348"/>
        <v>287.43673469387755</v>
      </c>
      <c r="U580">
        <f t="shared" si="348"/>
        <v>333.95142857142855</v>
      </c>
      <c r="V580">
        <f t="shared" si="348"/>
        <v>464.84285714285716</v>
      </c>
      <c r="W580">
        <f t="shared" si="348"/>
        <v>536.78571428571422</v>
      </c>
      <c r="Y580" s="17">
        <f t="shared" si="345"/>
        <v>6512.743600127551</v>
      </c>
      <c r="Z580">
        <f t="shared" si="346"/>
        <v>410.41532936907998</v>
      </c>
    </row>
    <row r="581" spans="1:26" x14ac:dyDescent="0.25">
      <c r="A581" t="s">
        <v>46</v>
      </c>
      <c r="D581">
        <f t="shared" ref="D581:W581" si="349">D41*D185</f>
        <v>434.5632653061225</v>
      </c>
      <c r="E581">
        <f t="shared" si="349"/>
        <v>386.2938775510205</v>
      </c>
      <c r="F581">
        <f t="shared" si="349"/>
        <v>317.43571428571431</v>
      </c>
      <c r="G581">
        <f t="shared" si="349"/>
        <v>355.17204081632656</v>
      </c>
      <c r="H581">
        <f t="shared" si="349"/>
        <v>238.82571428571433</v>
      </c>
      <c r="I581">
        <f t="shared" si="349"/>
        <v>253.01387755102041</v>
      </c>
      <c r="J581">
        <f t="shared" si="349"/>
        <v>268.85632653061231</v>
      </c>
      <c r="K581">
        <f t="shared" si="349"/>
        <v>306.03306122448976</v>
      </c>
      <c r="L581">
        <f t="shared" si="349"/>
        <v>225.00562499999998</v>
      </c>
      <c r="M581">
        <f t="shared" si="349"/>
        <v>245.30612244897961</v>
      </c>
      <c r="N581">
        <f t="shared" si="349"/>
        <v>163.44551020408167</v>
      </c>
      <c r="O581">
        <f t="shared" si="349"/>
        <v>196.39183673469384</v>
      </c>
      <c r="P581">
        <f t="shared" si="349"/>
        <v>187.84836734693883</v>
      </c>
      <c r="Q581">
        <f t="shared" si="349"/>
        <v>260.04000000000002</v>
      </c>
      <c r="R581">
        <f t="shared" si="349"/>
        <v>238.93346938775508</v>
      </c>
      <c r="S581">
        <f t="shared" si="349"/>
        <v>300.30673469387756</v>
      </c>
      <c r="T581">
        <f t="shared" si="349"/>
        <v>220.66857142857145</v>
      </c>
      <c r="U581">
        <f t="shared" si="349"/>
        <v>253.2930612244898</v>
      </c>
      <c r="V581">
        <f t="shared" si="349"/>
        <v>289.73632653061225</v>
      </c>
      <c r="W581">
        <f t="shared" si="349"/>
        <v>432.51428571428573</v>
      </c>
      <c r="Y581" s="17">
        <f t="shared" si="345"/>
        <v>5573.6837882653053</v>
      </c>
      <c r="Z581">
        <f t="shared" si="346"/>
        <v>422.90923764387782</v>
      </c>
    </row>
    <row r="582" spans="1:26" x14ac:dyDescent="0.25">
      <c r="A582" t="s">
        <v>47</v>
      </c>
      <c r="D582">
        <f t="shared" ref="D582:W582" si="350">D42*D186</f>
        <v>447.36326530612246</v>
      </c>
      <c r="E582">
        <f t="shared" si="350"/>
        <v>346.58734693877551</v>
      </c>
      <c r="F582">
        <f t="shared" si="350"/>
        <v>393.67836734693873</v>
      </c>
      <c r="G582">
        <f t="shared" si="350"/>
        <v>412.62857142857143</v>
      </c>
      <c r="H582">
        <f t="shared" si="350"/>
        <v>306.40775510204082</v>
      </c>
      <c r="I582">
        <f t="shared" si="350"/>
        <v>268.74244897959181</v>
      </c>
      <c r="J582">
        <f t="shared" si="350"/>
        <v>284.25306122448978</v>
      </c>
      <c r="K582">
        <f t="shared" si="350"/>
        <v>259.02734693877551</v>
      </c>
      <c r="L582">
        <f t="shared" si="350"/>
        <v>185.7903125</v>
      </c>
      <c r="M582">
        <f t="shared" si="350"/>
        <v>240.10081632653058</v>
      </c>
      <c r="N582">
        <f t="shared" si="350"/>
        <v>284.42020408163256</v>
      </c>
      <c r="O582">
        <f t="shared" si="350"/>
        <v>276.41020408163274</v>
      </c>
      <c r="P582">
        <f t="shared" si="350"/>
        <v>303.76653061224482</v>
      </c>
      <c r="Q582">
        <f t="shared" si="350"/>
        <v>222.92448979591836</v>
      </c>
      <c r="R582">
        <f t="shared" si="350"/>
        <v>352.91938775510204</v>
      </c>
      <c r="S582">
        <f t="shared" si="350"/>
        <v>315.94081632653058</v>
      </c>
      <c r="T582">
        <f t="shared" si="350"/>
        <v>313.17142857142858</v>
      </c>
      <c r="U582">
        <f t="shared" si="350"/>
        <v>349.42040816326534</v>
      </c>
      <c r="V582">
        <f t="shared" si="350"/>
        <v>250.81469387755106</v>
      </c>
      <c r="W582">
        <f t="shared" si="350"/>
        <v>378.4885714285715</v>
      </c>
      <c r="Y582" s="17">
        <f t="shared" si="345"/>
        <v>6192.8560267857138</v>
      </c>
      <c r="Z582">
        <f t="shared" si="346"/>
        <v>421.62941652436575</v>
      </c>
    </row>
    <row r="583" spans="1:26" x14ac:dyDescent="0.25">
      <c r="A583" t="s">
        <v>48</v>
      </c>
      <c r="D583">
        <f t="shared" ref="D583:W583" si="351">D43*D187</f>
        <v>494.17959183673474</v>
      </c>
      <c r="E583">
        <f t="shared" si="351"/>
        <v>389.75102040816319</v>
      </c>
      <c r="F583">
        <f t="shared" si="351"/>
        <v>379.62</v>
      </c>
      <c r="G583">
        <f t="shared" si="351"/>
        <v>402.25306122448978</v>
      </c>
      <c r="H583">
        <f t="shared" si="351"/>
        <v>387.41632653061231</v>
      </c>
      <c r="I583">
        <f t="shared" si="351"/>
        <v>307.68571428571431</v>
      </c>
      <c r="J583">
        <f t="shared" si="351"/>
        <v>303.35326530612241</v>
      </c>
      <c r="K583">
        <f t="shared" si="351"/>
        <v>264.7918367346939</v>
      </c>
      <c r="L583">
        <f t="shared" si="351"/>
        <v>260.42046875</v>
      </c>
      <c r="M583">
        <f t="shared" si="351"/>
        <v>151.5530612244898</v>
      </c>
      <c r="N583">
        <f t="shared" si="351"/>
        <v>203.84571428571428</v>
      </c>
      <c r="O583">
        <f t="shared" si="351"/>
        <v>169.3004081632653</v>
      </c>
      <c r="P583">
        <f t="shared" si="351"/>
        <v>321.91428571428571</v>
      </c>
      <c r="Q583">
        <f t="shared" si="351"/>
        <v>272.37122448979591</v>
      </c>
      <c r="R583">
        <f t="shared" si="351"/>
        <v>320.39183673469392</v>
      </c>
      <c r="S583">
        <f t="shared" si="351"/>
        <v>205.85265306122449</v>
      </c>
      <c r="T583">
        <f t="shared" si="351"/>
        <v>293.43918367346942</v>
      </c>
      <c r="U583">
        <f t="shared" si="351"/>
        <v>345.9026530612245</v>
      </c>
      <c r="V583">
        <f t="shared" si="351"/>
        <v>326.35102040816332</v>
      </c>
      <c r="W583">
        <f t="shared" si="351"/>
        <v>383.7614285714285</v>
      </c>
      <c r="Y583" s="17">
        <f t="shared" si="345"/>
        <v>6184.1547544642854</v>
      </c>
      <c r="Z583">
        <f t="shared" si="346"/>
        <v>426.98793070847904</v>
      </c>
    </row>
    <row r="584" spans="1:26" x14ac:dyDescent="0.25">
      <c r="A584" t="s">
        <v>49</v>
      </c>
      <c r="D584">
        <f t="shared" ref="D584:W584" si="352">D44*D188</f>
        <v>351.42163265306118</v>
      </c>
      <c r="E584">
        <f t="shared" si="352"/>
        <v>406.01142857142855</v>
      </c>
      <c r="F584">
        <f t="shared" si="352"/>
        <v>387.02040816326524</v>
      </c>
      <c r="G584">
        <f t="shared" si="352"/>
        <v>364.425306122449</v>
      </c>
      <c r="H584">
        <f t="shared" si="352"/>
        <v>294.03061224489795</v>
      </c>
      <c r="I584">
        <f t="shared" si="352"/>
        <v>293.67918367346937</v>
      </c>
      <c r="J584">
        <f t="shared" si="352"/>
        <v>264.57551020408164</v>
      </c>
      <c r="K584">
        <f t="shared" si="352"/>
        <v>286.13040816326526</v>
      </c>
      <c r="L584">
        <f t="shared" si="352"/>
        <v>184.37968749999999</v>
      </c>
      <c r="M584">
        <f t="shared" si="352"/>
        <v>165.55738775510201</v>
      </c>
      <c r="N584">
        <f t="shared" si="352"/>
        <v>210.46016326530614</v>
      </c>
      <c r="O584">
        <f t="shared" si="352"/>
        <v>205.00040816326532</v>
      </c>
      <c r="P584">
        <f t="shared" si="352"/>
        <v>319.79387755102044</v>
      </c>
      <c r="Q584">
        <f t="shared" si="352"/>
        <v>326.20285714285717</v>
      </c>
      <c r="R584">
        <f t="shared" si="352"/>
        <v>271.14489795918377</v>
      </c>
      <c r="S584">
        <f t="shared" si="352"/>
        <v>214.35061224489797</v>
      </c>
      <c r="T584">
        <f t="shared" si="352"/>
        <v>243.17091836734696</v>
      </c>
      <c r="U584">
        <f t="shared" si="352"/>
        <v>297.17044897959187</v>
      </c>
      <c r="V584">
        <f t="shared" si="352"/>
        <v>349.28571428571428</v>
      </c>
      <c r="W584">
        <f t="shared" si="352"/>
        <v>314.1274285714286</v>
      </c>
      <c r="Y584" s="17">
        <f t="shared" si="345"/>
        <v>5747.9388915816326</v>
      </c>
      <c r="Z584">
        <f t="shared" si="346"/>
        <v>421.63927032980411</v>
      </c>
    </row>
    <row r="585" spans="1:26" x14ac:dyDescent="0.25">
      <c r="A585" t="s">
        <v>50</v>
      </c>
      <c r="D585">
        <f t="shared" ref="D585:W585" si="353">D45*D189</f>
        <v>396.7795918367346</v>
      </c>
      <c r="E585">
        <f t="shared" si="353"/>
        <v>332.33122448979594</v>
      </c>
      <c r="F585">
        <f t="shared" si="353"/>
        <v>365.18367346938777</v>
      </c>
      <c r="G585">
        <f t="shared" si="353"/>
        <v>399.04591836734699</v>
      </c>
      <c r="H585">
        <f t="shared" si="353"/>
        <v>300.82040816326537</v>
      </c>
      <c r="I585">
        <f t="shared" si="353"/>
        <v>365.65714285714284</v>
      </c>
      <c r="J585">
        <f t="shared" si="353"/>
        <v>294.5948979591837</v>
      </c>
      <c r="K585">
        <f t="shared" si="353"/>
        <v>262.76326530612249</v>
      </c>
      <c r="L585">
        <f t="shared" si="353"/>
        <v>275.42500000000001</v>
      </c>
      <c r="M585">
        <f t="shared" si="353"/>
        <v>343.61387755102038</v>
      </c>
      <c r="N585">
        <f t="shared" si="353"/>
        <v>274.05385714285711</v>
      </c>
      <c r="O585">
        <f t="shared" si="353"/>
        <v>272.09185714285718</v>
      </c>
      <c r="P585">
        <f t="shared" si="353"/>
        <v>246.269387755102</v>
      </c>
      <c r="Q585">
        <f t="shared" si="353"/>
        <v>267.2</v>
      </c>
      <c r="R585">
        <f t="shared" si="353"/>
        <v>278.69489795918366</v>
      </c>
      <c r="S585">
        <f t="shared" si="353"/>
        <v>317.90351020408167</v>
      </c>
      <c r="T585">
        <f t="shared" si="353"/>
        <v>260.03755102040816</v>
      </c>
      <c r="U585">
        <f t="shared" si="353"/>
        <v>345.08653061224493</v>
      </c>
      <c r="V585">
        <f t="shared" si="353"/>
        <v>371.01979591836732</v>
      </c>
      <c r="W585">
        <f t="shared" si="353"/>
        <v>488.57408163265296</v>
      </c>
      <c r="Y585" s="17">
        <f t="shared" si="345"/>
        <v>6457.1464693877542</v>
      </c>
      <c r="Z585">
        <f t="shared" si="346"/>
        <v>459.23580363778319</v>
      </c>
    </row>
    <row r="586" spans="1:26" x14ac:dyDescent="0.25">
      <c r="A586" t="s">
        <v>51</v>
      </c>
      <c r="D586">
        <f t="shared" ref="D586:W586" si="354">D46*D190</f>
        <v>489.74693877551022</v>
      </c>
      <c r="E586">
        <f t="shared" si="354"/>
        <v>451.14897959183673</v>
      </c>
      <c r="F586">
        <f t="shared" si="354"/>
        <v>459.93244897959181</v>
      </c>
      <c r="G586">
        <f t="shared" si="354"/>
        <v>453.98938775510209</v>
      </c>
      <c r="H586">
        <f t="shared" si="354"/>
        <v>289.25</v>
      </c>
      <c r="I586">
        <f t="shared" si="354"/>
        <v>377.81632653061223</v>
      </c>
      <c r="J586">
        <f t="shared" si="354"/>
        <v>298.40755102040816</v>
      </c>
      <c r="K586">
        <f t="shared" si="354"/>
        <v>251.91730612244896</v>
      </c>
      <c r="L586">
        <f t="shared" si="354"/>
        <v>228.37453125000002</v>
      </c>
      <c r="M586">
        <f t="shared" si="354"/>
        <v>309.19510204081632</v>
      </c>
      <c r="N586">
        <f t="shared" si="354"/>
        <v>342.68571428571431</v>
      </c>
      <c r="O586">
        <f t="shared" si="354"/>
        <v>196.14489795918368</v>
      </c>
      <c r="P586">
        <f t="shared" si="354"/>
        <v>411.35714285714283</v>
      </c>
      <c r="Q586">
        <f t="shared" si="354"/>
        <v>202.2342857142857</v>
      </c>
      <c r="R586">
        <f t="shared" si="354"/>
        <v>254.84081632653059</v>
      </c>
      <c r="S586">
        <f t="shared" si="354"/>
        <v>264.45306122448977</v>
      </c>
      <c r="T586">
        <f t="shared" si="354"/>
        <v>251.235306122449</v>
      </c>
      <c r="U586">
        <f t="shared" si="354"/>
        <v>271.33897959183673</v>
      </c>
      <c r="V586">
        <f t="shared" si="354"/>
        <v>271.76</v>
      </c>
      <c r="W586">
        <f t="shared" si="354"/>
        <v>400.11428571428576</v>
      </c>
      <c r="Y586" s="17">
        <f t="shared" si="345"/>
        <v>6475.9430618622455</v>
      </c>
      <c r="Z586">
        <f t="shared" si="346"/>
        <v>465.13756414027085</v>
      </c>
    </row>
    <row r="587" spans="1:26" x14ac:dyDescent="0.25">
      <c r="A587" t="s">
        <v>52</v>
      </c>
      <c r="D587">
        <f t="shared" ref="D587:W587" si="355">D47*D191</f>
        <v>502.73265306122448</v>
      </c>
      <c r="E587">
        <f t="shared" si="355"/>
        <v>361.39183673469392</v>
      </c>
      <c r="F587">
        <f t="shared" si="355"/>
        <v>430.48571428571427</v>
      </c>
      <c r="G587">
        <f t="shared" si="355"/>
        <v>283.57326530612244</v>
      </c>
      <c r="H587">
        <f t="shared" si="355"/>
        <v>328.34755102040816</v>
      </c>
      <c r="I587">
        <f t="shared" si="355"/>
        <v>319.00408163265308</v>
      </c>
      <c r="J587">
        <f t="shared" si="355"/>
        <v>233.81591836734694</v>
      </c>
      <c r="K587">
        <f t="shared" si="355"/>
        <v>219.67755102040815</v>
      </c>
      <c r="L587">
        <f t="shared" si="355"/>
        <v>258.325625</v>
      </c>
      <c r="M587">
        <f t="shared" si="355"/>
        <v>219.69469387755103</v>
      </c>
      <c r="N587">
        <f t="shared" si="355"/>
        <v>198.21551020408162</v>
      </c>
      <c r="O587">
        <f t="shared" si="355"/>
        <v>210.93857142857141</v>
      </c>
      <c r="P587">
        <f t="shared" si="355"/>
        <v>239.42285714285708</v>
      </c>
      <c r="Q587">
        <f t="shared" si="355"/>
        <v>261.75326530612244</v>
      </c>
      <c r="R587">
        <f t="shared" si="355"/>
        <v>284.75632653061223</v>
      </c>
      <c r="S587">
        <f t="shared" si="355"/>
        <v>303.42857142857144</v>
      </c>
      <c r="T587">
        <f t="shared" si="355"/>
        <v>286.53979591836736</v>
      </c>
      <c r="U587">
        <f t="shared" si="355"/>
        <v>343.58204081632653</v>
      </c>
      <c r="V587">
        <f t="shared" si="355"/>
        <v>346.42285714285708</v>
      </c>
      <c r="W587">
        <f t="shared" si="355"/>
        <v>394.45918367346945</v>
      </c>
      <c r="Y587" s="17">
        <f t="shared" si="345"/>
        <v>6026.56786989796</v>
      </c>
      <c r="Z587">
        <f t="shared" si="346"/>
        <v>485.1757090533419</v>
      </c>
    </row>
    <row r="588" spans="1:26" x14ac:dyDescent="0.25">
      <c r="A588" t="s">
        <v>53</v>
      </c>
      <c r="D588">
        <f t="shared" ref="D588:W588" si="356">D48*D192</f>
        <v>426.4775510204081</v>
      </c>
      <c r="E588">
        <f t="shared" si="356"/>
        <v>377.14285714285717</v>
      </c>
      <c r="F588">
        <f t="shared" si="356"/>
        <v>364.8857142857143</v>
      </c>
      <c r="G588">
        <f t="shared" si="356"/>
        <v>366.87857142857149</v>
      </c>
      <c r="H588">
        <f t="shared" si="356"/>
        <v>331.79142857142858</v>
      </c>
      <c r="I588">
        <f t="shared" si="356"/>
        <v>236.38408163265305</v>
      </c>
      <c r="J588">
        <f t="shared" si="356"/>
        <v>335.33061224489796</v>
      </c>
      <c r="K588">
        <f t="shared" si="356"/>
        <v>319.86653061224484</v>
      </c>
      <c r="L588">
        <f t="shared" si="356"/>
        <v>312.60359375000002</v>
      </c>
      <c r="M588">
        <f t="shared" si="356"/>
        <v>313.29448979591842</v>
      </c>
      <c r="N588">
        <f t="shared" si="356"/>
        <v>295.60571428571427</v>
      </c>
      <c r="O588">
        <f t="shared" si="356"/>
        <v>216.8122448979592</v>
      </c>
      <c r="P588">
        <f t="shared" si="356"/>
        <v>281.42387755102038</v>
      </c>
      <c r="Q588">
        <f t="shared" si="356"/>
        <v>208.69714285714286</v>
      </c>
      <c r="R588">
        <f t="shared" si="356"/>
        <v>262.52857142857141</v>
      </c>
      <c r="S588">
        <f t="shared" si="356"/>
        <v>270.45183673469393</v>
      </c>
      <c r="T588">
        <f t="shared" si="356"/>
        <v>421.25528571428572</v>
      </c>
      <c r="U588">
        <f t="shared" si="356"/>
        <v>335.11985714285714</v>
      </c>
      <c r="V588">
        <f t="shared" si="356"/>
        <v>392.58385714285714</v>
      </c>
      <c r="W588">
        <f t="shared" si="356"/>
        <v>439.96699999999993</v>
      </c>
      <c r="Y588" s="17">
        <f t="shared" si="345"/>
        <v>6509.1008182397954</v>
      </c>
      <c r="Z588">
        <f t="shared" si="346"/>
        <v>450.7618662279649</v>
      </c>
    </row>
    <row r="589" spans="1:26" x14ac:dyDescent="0.25">
      <c r="A589" t="s">
        <v>54</v>
      </c>
      <c r="D589">
        <f t="shared" ref="D589:W589" si="357">D49*D193</f>
        <v>494.30612244897964</v>
      </c>
      <c r="E589">
        <f t="shared" si="357"/>
        <v>428.55408163265315</v>
      </c>
      <c r="F589">
        <f t="shared" si="357"/>
        <v>417.37959183673468</v>
      </c>
      <c r="G589">
        <f t="shared" si="357"/>
        <v>317.66204081632651</v>
      </c>
      <c r="H589">
        <f t="shared" si="357"/>
        <v>332.39571428571429</v>
      </c>
      <c r="I589">
        <f t="shared" si="357"/>
        <v>296.86530612244906</v>
      </c>
      <c r="J589">
        <f t="shared" si="357"/>
        <v>189.25877551020412</v>
      </c>
      <c r="K589">
        <f t="shared" si="357"/>
        <v>261.6583673469388</v>
      </c>
      <c r="L589">
        <f t="shared" si="357"/>
        <v>269.13249999999994</v>
      </c>
      <c r="M589">
        <f t="shared" si="357"/>
        <v>220.95519999999999</v>
      </c>
      <c r="N589">
        <f t="shared" si="357"/>
        <v>248.08680000000001</v>
      </c>
      <c r="O589">
        <f t="shared" si="357"/>
        <v>220.7876</v>
      </c>
      <c r="P589">
        <f t="shared" si="357"/>
        <v>207.16670000000002</v>
      </c>
      <c r="Q589">
        <f t="shared" si="357"/>
        <v>251.28709999999995</v>
      </c>
      <c r="R589">
        <f t="shared" si="357"/>
        <v>208.62</v>
      </c>
      <c r="S589">
        <f t="shared" si="357"/>
        <v>284.7285</v>
      </c>
      <c r="T589">
        <f t="shared" si="357"/>
        <v>243.27599999999998</v>
      </c>
      <c r="U589">
        <f t="shared" si="357"/>
        <v>326.92528571428568</v>
      </c>
      <c r="V589">
        <f t="shared" si="357"/>
        <v>372.12114285714284</v>
      </c>
      <c r="W589">
        <f t="shared" si="357"/>
        <v>454.6192857142857</v>
      </c>
      <c r="Y589" s="17">
        <f t="shared" si="345"/>
        <v>6045.7861142857146</v>
      </c>
      <c r="Z589">
        <f t="shared" si="346"/>
        <v>520.43188861720046</v>
      </c>
    </row>
    <row r="590" spans="1:26" x14ac:dyDescent="0.25">
      <c r="A590" t="s">
        <v>55</v>
      </c>
      <c r="D590">
        <f t="shared" ref="D590:W590" si="358">D50*D194</f>
        <v>551.92029999999988</v>
      </c>
      <c r="E590">
        <f t="shared" si="358"/>
        <v>594.69599999999991</v>
      </c>
      <c r="F590">
        <f t="shared" si="358"/>
        <v>467.75300000000004</v>
      </c>
      <c r="G590">
        <f t="shared" si="358"/>
        <v>476.67879999999997</v>
      </c>
      <c r="H590">
        <f t="shared" si="358"/>
        <v>393.40800000000002</v>
      </c>
      <c r="I590">
        <f t="shared" si="358"/>
        <v>423.096</v>
      </c>
      <c r="J590">
        <f t="shared" si="358"/>
        <v>281.23579999999998</v>
      </c>
      <c r="K590">
        <f t="shared" si="358"/>
        <v>287.04149999999998</v>
      </c>
      <c r="L590">
        <f t="shared" si="358"/>
        <v>271.18</v>
      </c>
      <c r="M590">
        <f t="shared" si="358"/>
        <v>283.59183673469391</v>
      </c>
      <c r="N590">
        <f t="shared" si="358"/>
        <v>344.44285714285718</v>
      </c>
      <c r="O590">
        <f t="shared" si="358"/>
        <v>195.64571428571432</v>
      </c>
      <c r="P590">
        <f t="shared" si="358"/>
        <v>195.1632653061225</v>
      </c>
      <c r="Q590">
        <f t="shared" si="358"/>
        <v>326.45204081632647</v>
      </c>
      <c r="R590">
        <f t="shared" si="358"/>
        <v>262.63183673469388</v>
      </c>
      <c r="S590">
        <f t="shared" si="358"/>
        <v>351.06612244897963</v>
      </c>
      <c r="T590">
        <f t="shared" si="358"/>
        <v>336.09795918367348</v>
      </c>
      <c r="U590">
        <f t="shared" si="358"/>
        <v>301.10204081632651</v>
      </c>
      <c r="V590">
        <f t="shared" si="358"/>
        <v>375.27244897959179</v>
      </c>
      <c r="W590">
        <f t="shared" si="358"/>
        <v>475.2746938775511</v>
      </c>
      <c r="Y590" s="17">
        <f t="shared" si="345"/>
        <v>7193.7502163265299</v>
      </c>
      <c r="Z590">
        <f t="shared" si="346"/>
        <v>604.57451169884757</v>
      </c>
    </row>
    <row r="591" spans="1:26" x14ac:dyDescent="0.25">
      <c r="A591" t="s">
        <v>56</v>
      </c>
      <c r="D591">
        <f t="shared" ref="D591:W591" si="359">D51*D195</f>
        <v>588.2081632653061</v>
      </c>
      <c r="E591">
        <f t="shared" si="359"/>
        <v>481.48163265306113</v>
      </c>
      <c r="F591">
        <f t="shared" si="359"/>
        <v>430.62857142857143</v>
      </c>
      <c r="G591">
        <f t="shared" si="359"/>
        <v>377.14285714285711</v>
      </c>
      <c r="H591">
        <f t="shared" si="359"/>
        <v>314.81836734693889</v>
      </c>
      <c r="I591">
        <f t="shared" si="359"/>
        <v>299.6130612244898</v>
      </c>
      <c r="J591">
        <f t="shared" si="359"/>
        <v>262.44734693877547</v>
      </c>
      <c r="K591">
        <f t="shared" si="359"/>
        <v>304.01326530612243</v>
      </c>
      <c r="L591">
        <f t="shared" si="359"/>
        <v>260.10000000000008</v>
      </c>
      <c r="M591">
        <f t="shared" si="359"/>
        <v>261.87755102040813</v>
      </c>
      <c r="N591">
        <f t="shared" si="359"/>
        <v>197.31224489795918</v>
      </c>
      <c r="O591">
        <f t="shared" si="359"/>
        <v>276.06489795918367</v>
      </c>
      <c r="P591">
        <f t="shared" si="359"/>
        <v>279.20000000000005</v>
      </c>
      <c r="Q591">
        <f t="shared" si="359"/>
        <v>199.39591836734698</v>
      </c>
      <c r="R591">
        <f t="shared" si="359"/>
        <v>326.99795918367346</v>
      </c>
      <c r="S591">
        <f t="shared" si="359"/>
        <v>446.58979591836737</v>
      </c>
      <c r="T591">
        <f t="shared" si="359"/>
        <v>381.03265306122449</v>
      </c>
      <c r="U591">
        <f t="shared" si="359"/>
        <v>372.46775510204083</v>
      </c>
      <c r="V591">
        <f t="shared" si="359"/>
        <v>400.20000000000005</v>
      </c>
      <c r="W591">
        <f t="shared" si="359"/>
        <v>343.71918367346939</v>
      </c>
      <c r="Y591" s="17">
        <f t="shared" si="345"/>
        <v>6803.3112244897957</v>
      </c>
      <c r="Z591">
        <f t="shared" si="346"/>
        <v>538.35321096835867</v>
      </c>
    </row>
    <row r="592" spans="1:26" x14ac:dyDescent="0.25">
      <c r="A592" t="s">
        <v>57</v>
      </c>
      <c r="D592">
        <f t="shared" ref="D592:W592" si="360">D52*D196</f>
        <v>502.65306122448987</v>
      </c>
      <c r="E592">
        <f t="shared" si="360"/>
        <v>458.73673469387751</v>
      </c>
      <c r="F592">
        <f t="shared" si="360"/>
        <v>398.28571428571428</v>
      </c>
      <c r="G592">
        <f t="shared" si="360"/>
        <v>349.5328571428571</v>
      </c>
      <c r="H592">
        <f t="shared" si="360"/>
        <v>253.89142857142858</v>
      </c>
      <c r="I592">
        <f t="shared" si="360"/>
        <v>280.90775510204088</v>
      </c>
      <c r="J592">
        <f t="shared" si="360"/>
        <v>219.66836734693879</v>
      </c>
      <c r="K592">
        <f t="shared" si="360"/>
        <v>229.33469387755102</v>
      </c>
      <c r="L592">
        <f t="shared" si="360"/>
        <v>248.2553125</v>
      </c>
      <c r="M592">
        <f t="shared" si="360"/>
        <v>260.05714285714288</v>
      </c>
      <c r="N592">
        <f t="shared" si="360"/>
        <v>283.25387755102042</v>
      </c>
      <c r="O592">
        <f t="shared" si="360"/>
        <v>203.83897959183673</v>
      </c>
      <c r="P592">
        <f t="shared" si="360"/>
        <v>285.70734693877546</v>
      </c>
      <c r="Q592">
        <f t="shared" si="360"/>
        <v>279.79571428571427</v>
      </c>
      <c r="R592">
        <f t="shared" si="360"/>
        <v>231.92816326530615</v>
      </c>
      <c r="S592">
        <f t="shared" si="360"/>
        <v>176.7930612244898</v>
      </c>
      <c r="T592">
        <f t="shared" si="360"/>
        <v>259.94114285714289</v>
      </c>
      <c r="U592">
        <f t="shared" si="360"/>
        <v>295.95428571428567</v>
      </c>
      <c r="V592">
        <f t="shared" si="360"/>
        <v>291.02612244897961</v>
      </c>
      <c r="W592">
        <f t="shared" si="360"/>
        <v>465.37959183673468</v>
      </c>
      <c r="Y592" s="17">
        <f t="shared" si="345"/>
        <v>5974.9413533163279</v>
      </c>
      <c r="Z592">
        <f t="shared" si="346"/>
        <v>501.76265010548866</v>
      </c>
    </row>
    <row r="593" spans="1:26" x14ac:dyDescent="0.25">
      <c r="A593" t="s">
        <v>58</v>
      </c>
      <c r="D593">
        <f t="shared" ref="D593:W593" si="361">D53*D197</f>
        <v>447.50510204081627</v>
      </c>
      <c r="E593">
        <f t="shared" si="361"/>
        <v>455.89795918367338</v>
      </c>
      <c r="F593">
        <f t="shared" si="361"/>
        <v>470.50408163265303</v>
      </c>
      <c r="G593">
        <f t="shared" si="361"/>
        <v>354.75000000000006</v>
      </c>
      <c r="H593">
        <f t="shared" si="361"/>
        <v>290.70510204081637</v>
      </c>
      <c r="I593">
        <f t="shared" si="361"/>
        <v>206.33510204081634</v>
      </c>
      <c r="J593">
        <f t="shared" si="361"/>
        <v>297.23265306122448</v>
      </c>
      <c r="K593">
        <f t="shared" si="361"/>
        <v>293.1877551020408</v>
      </c>
      <c r="L593">
        <f t="shared" si="361"/>
        <v>250.95000000000002</v>
      </c>
      <c r="M593">
        <f t="shared" si="361"/>
        <v>287.11248979591841</v>
      </c>
      <c r="N593">
        <f t="shared" si="361"/>
        <v>213.10204081632656</v>
      </c>
      <c r="O593">
        <f t="shared" si="361"/>
        <v>183.4977551020408</v>
      </c>
      <c r="P593">
        <f t="shared" si="361"/>
        <v>246.81551020408165</v>
      </c>
      <c r="Q593">
        <f t="shared" si="361"/>
        <v>180.21591836734694</v>
      </c>
      <c r="R593">
        <f t="shared" si="361"/>
        <v>205.24897959183679</v>
      </c>
      <c r="S593">
        <f t="shared" si="361"/>
        <v>224.4314285714286</v>
      </c>
      <c r="T593">
        <f t="shared" si="361"/>
        <v>278.76000000000005</v>
      </c>
      <c r="U593">
        <f t="shared" si="361"/>
        <v>350.99877551020404</v>
      </c>
      <c r="V593">
        <f t="shared" si="361"/>
        <v>320.72326530612241</v>
      </c>
      <c r="W593">
        <f t="shared" si="361"/>
        <v>331.40979591836742</v>
      </c>
      <c r="Y593" s="17">
        <f t="shared" si="345"/>
        <v>5889.3837142857137</v>
      </c>
      <c r="Z593">
        <f t="shared" si="346"/>
        <v>483.04963818042046</v>
      </c>
    </row>
    <row r="594" spans="1:26" x14ac:dyDescent="0.25">
      <c r="A594" t="s">
        <v>59</v>
      </c>
      <c r="D594">
        <f t="shared" ref="D594:W594" si="362">D54*D198</f>
        <v>508.40816326530609</v>
      </c>
      <c r="E594">
        <f t="shared" si="362"/>
        <v>533.65102040816316</v>
      </c>
      <c r="F594">
        <f t="shared" si="362"/>
        <v>385.79836734693868</v>
      </c>
      <c r="G594">
        <f t="shared" si="362"/>
        <v>309.53326530612242</v>
      </c>
      <c r="H594">
        <f t="shared" si="362"/>
        <v>354.89469387755105</v>
      </c>
      <c r="I594">
        <f t="shared" si="362"/>
        <v>235.18367346938777</v>
      </c>
      <c r="J594">
        <f t="shared" si="362"/>
        <v>309.54244897959182</v>
      </c>
      <c r="K594">
        <f t="shared" si="362"/>
        <v>305.97224489795923</v>
      </c>
      <c r="L594">
        <f t="shared" si="362"/>
        <v>265.66469387755103</v>
      </c>
      <c r="M594">
        <f t="shared" si="362"/>
        <v>215.83346938775512</v>
      </c>
      <c r="N594">
        <f t="shared" si="362"/>
        <v>257.29367346938773</v>
      </c>
      <c r="O594">
        <f t="shared" si="362"/>
        <v>236.96326530612245</v>
      </c>
      <c r="P594">
        <f t="shared" si="362"/>
        <v>215.43673469387753</v>
      </c>
      <c r="Q594">
        <f t="shared" si="362"/>
        <v>168.64632653061224</v>
      </c>
      <c r="R594">
        <f t="shared" si="362"/>
        <v>215.3844897959184</v>
      </c>
      <c r="S594">
        <f t="shared" si="362"/>
        <v>300.50204081632654</v>
      </c>
      <c r="T594">
        <f t="shared" si="362"/>
        <v>362.4</v>
      </c>
      <c r="U594">
        <f t="shared" si="362"/>
        <v>326.24653061224495</v>
      </c>
      <c r="V594">
        <f t="shared" si="362"/>
        <v>373.6</v>
      </c>
      <c r="W594">
        <f t="shared" si="362"/>
        <v>411.57000000000005</v>
      </c>
      <c r="Y594" s="17">
        <f t="shared" si="345"/>
        <v>6292.5251020408168</v>
      </c>
      <c r="Z594">
        <f t="shared" si="346"/>
        <v>498.21500363172169</v>
      </c>
    </row>
    <row r="595" spans="1:26" x14ac:dyDescent="0.25">
      <c r="A595" t="s">
        <v>60</v>
      </c>
      <c r="D595">
        <f t="shared" ref="D595:W595" si="363">D55*D199</f>
        <v>501.23265306122448</v>
      </c>
      <c r="E595">
        <f t="shared" si="363"/>
        <v>416.32653061224488</v>
      </c>
      <c r="F595">
        <f t="shared" si="363"/>
        <v>376.23918367346943</v>
      </c>
      <c r="G595">
        <f t="shared" si="363"/>
        <v>400.70204081632647</v>
      </c>
      <c r="H595">
        <f t="shared" si="363"/>
        <v>294.53387755102045</v>
      </c>
      <c r="I595">
        <f t="shared" si="363"/>
        <v>293.55183673469384</v>
      </c>
      <c r="J595">
        <f t="shared" si="363"/>
        <v>312.78612244897954</v>
      </c>
      <c r="K595">
        <f t="shared" si="363"/>
        <v>355.13877551020403</v>
      </c>
      <c r="L595">
        <f t="shared" si="363"/>
        <v>262.26749999999998</v>
      </c>
      <c r="M595">
        <f t="shared" si="363"/>
        <v>226.19591836734696</v>
      </c>
      <c r="N595">
        <f t="shared" si="363"/>
        <v>196.98285714285711</v>
      </c>
      <c r="O595">
        <f t="shared" si="363"/>
        <v>179.0612244897959</v>
      </c>
      <c r="P595">
        <f t="shared" si="363"/>
        <v>293.70612244897961</v>
      </c>
      <c r="Q595">
        <f t="shared" si="363"/>
        <v>309.07836734693876</v>
      </c>
      <c r="R595">
        <f t="shared" si="363"/>
        <v>286.84897959183672</v>
      </c>
      <c r="S595">
        <f t="shared" si="363"/>
        <v>309.71959183673465</v>
      </c>
      <c r="T595">
        <f t="shared" si="363"/>
        <v>388.77795918367343</v>
      </c>
      <c r="U595">
        <f t="shared" si="363"/>
        <v>424.01020408163265</v>
      </c>
      <c r="V595">
        <f t="shared" si="363"/>
        <v>237.15714285714282</v>
      </c>
      <c r="W595">
        <f t="shared" si="363"/>
        <v>351.29959183673475</v>
      </c>
      <c r="Y595" s="17">
        <f t="shared" si="345"/>
        <v>6415.6164795918357</v>
      </c>
      <c r="Z595">
        <f t="shared" si="346"/>
        <v>495.16659148895269</v>
      </c>
    </row>
    <row r="596" spans="1:26" x14ac:dyDescent="0.25">
      <c r="A596" t="s">
        <v>61</v>
      </c>
      <c r="D596">
        <f t="shared" ref="D596:W596" si="364">D56*D200</f>
        <v>520.04489795918369</v>
      </c>
      <c r="E596">
        <f t="shared" si="364"/>
        <v>553.59183673469386</v>
      </c>
      <c r="F596">
        <f t="shared" si="364"/>
        <v>443.36326530612251</v>
      </c>
      <c r="G596">
        <f t="shared" si="364"/>
        <v>438.74489795918367</v>
      </c>
      <c r="H596">
        <f t="shared" si="364"/>
        <v>413.26530612244903</v>
      </c>
      <c r="I596">
        <f t="shared" si="364"/>
        <v>371.42857142857144</v>
      </c>
      <c r="J596">
        <f t="shared" si="364"/>
        <v>340.02673469387753</v>
      </c>
      <c r="K596">
        <f t="shared" si="364"/>
        <v>244.78999999999996</v>
      </c>
      <c r="L596">
        <f t="shared" si="364"/>
        <v>224.85640625000002</v>
      </c>
      <c r="M596">
        <f t="shared" si="364"/>
        <v>207.46914285714283</v>
      </c>
      <c r="N596">
        <f t="shared" si="364"/>
        <v>279.88628571428575</v>
      </c>
      <c r="O596">
        <f t="shared" si="364"/>
        <v>249.60571428571427</v>
      </c>
      <c r="P596">
        <f t="shared" si="364"/>
        <v>201.61142857142858</v>
      </c>
      <c r="Q596">
        <f t="shared" si="364"/>
        <v>239.36328571428572</v>
      </c>
      <c r="R596">
        <f t="shared" si="364"/>
        <v>214.9988571428571</v>
      </c>
      <c r="S596">
        <f t="shared" si="364"/>
        <v>297.67499999999995</v>
      </c>
      <c r="T596">
        <f t="shared" si="364"/>
        <v>655.67020408163273</v>
      </c>
      <c r="U596">
        <f t="shared" si="364"/>
        <v>934.36734693877543</v>
      </c>
      <c r="V596">
        <f t="shared" si="364"/>
        <v>899.25857142857137</v>
      </c>
      <c r="W596">
        <f t="shared" si="364"/>
        <v>1059.5204081632653</v>
      </c>
      <c r="Y596" s="17">
        <f t="shared" si="345"/>
        <v>8789.5381613520403</v>
      </c>
      <c r="Z596">
        <f t="shared" si="346"/>
        <v>602.0591532609327</v>
      </c>
    </row>
    <row r="597" spans="1:26" x14ac:dyDescent="0.25">
      <c r="A597" t="s">
        <v>62</v>
      </c>
      <c r="D597">
        <f t="shared" ref="D597:W597" si="365">D57*D201</f>
        <v>490.81632653061223</v>
      </c>
      <c r="E597">
        <f t="shared" si="365"/>
        <v>442.03469387755104</v>
      </c>
      <c r="F597">
        <f t="shared" si="365"/>
        <v>407.99183673469383</v>
      </c>
      <c r="G597">
        <f t="shared" si="365"/>
        <v>373.16897959183666</v>
      </c>
      <c r="H597">
        <f t="shared" si="365"/>
        <v>264.2873469387755</v>
      </c>
      <c r="I597">
        <f t="shared" si="365"/>
        <v>284.83836734693875</v>
      </c>
      <c r="J597">
        <f t="shared" si="365"/>
        <v>239.35510204081632</v>
      </c>
      <c r="K597">
        <f t="shared" si="365"/>
        <v>231.20816326530613</v>
      </c>
      <c r="L597">
        <f t="shared" si="365"/>
        <v>236.09015625000006</v>
      </c>
      <c r="M597">
        <f t="shared" si="365"/>
        <v>191.07897959183674</v>
      </c>
      <c r="N597">
        <f t="shared" si="365"/>
        <v>219.81142857142862</v>
      </c>
      <c r="O597">
        <f t="shared" si="365"/>
        <v>191.32081632653063</v>
      </c>
      <c r="P597">
        <f t="shared" si="365"/>
        <v>204.17346938775512</v>
      </c>
      <c r="Q597">
        <f t="shared" si="365"/>
        <v>186.20775510204081</v>
      </c>
      <c r="R597">
        <f t="shared" si="365"/>
        <v>42.50938775510204</v>
      </c>
      <c r="S597">
        <f t="shared" si="365"/>
        <v>32.424081632653063</v>
      </c>
      <c r="T597">
        <f t="shared" si="365"/>
        <v>207.00897959183669</v>
      </c>
      <c r="U597">
        <f t="shared" si="365"/>
        <v>344.35993622448979</v>
      </c>
      <c r="V597">
        <f t="shared" si="365"/>
        <v>344.81989285714292</v>
      </c>
      <c r="W597">
        <f t="shared" si="365"/>
        <v>382.02557397959185</v>
      </c>
      <c r="Y597" s="17">
        <f t="shared" si="345"/>
        <v>5315.5312735969392</v>
      </c>
      <c r="Z597">
        <f t="shared" si="346"/>
        <v>512.05506257732225</v>
      </c>
    </row>
    <row r="598" spans="1:26" x14ac:dyDescent="0.25">
      <c r="A598" t="s">
        <v>63</v>
      </c>
      <c r="D598">
        <f t="shared" ref="D598:W598" si="366">D58*D202</f>
        <v>509.43128826530608</v>
      </c>
      <c r="E598">
        <f t="shared" si="366"/>
        <v>46.53</v>
      </c>
      <c r="F598">
        <f t="shared" si="366"/>
        <v>422.88249999999988</v>
      </c>
      <c r="G598">
        <f t="shared" si="366"/>
        <v>398.00058673469391</v>
      </c>
      <c r="H598">
        <f t="shared" si="366"/>
        <v>79.889795918367341</v>
      </c>
      <c r="I598">
        <f t="shared" si="366"/>
        <v>159.10265306122452</v>
      </c>
      <c r="J598">
        <f t="shared" si="366"/>
        <v>214.87224489795921</v>
      </c>
      <c r="K598">
        <f t="shared" si="366"/>
        <v>218.05714285714282</v>
      </c>
      <c r="L598">
        <f t="shared" si="366"/>
        <v>214.8</v>
      </c>
      <c r="M598">
        <f t="shared" si="366"/>
        <v>254.42803061224495</v>
      </c>
      <c r="N598">
        <f t="shared" si="366"/>
        <v>277.00517346938778</v>
      </c>
      <c r="O598">
        <f t="shared" si="366"/>
        <v>245.8534795918367</v>
      </c>
      <c r="P598">
        <f t="shared" si="366"/>
        <v>246.49270408163264</v>
      </c>
      <c r="Q598">
        <f t="shared" si="366"/>
        <v>276.10155357142867</v>
      </c>
      <c r="R598">
        <f t="shared" si="366"/>
        <v>279.25053061224492</v>
      </c>
      <c r="S598">
        <f t="shared" si="366"/>
        <v>321.86223214285718</v>
      </c>
      <c r="T598">
        <f t="shared" si="366"/>
        <v>333.53436734693884</v>
      </c>
      <c r="U598">
        <f t="shared" si="366"/>
        <v>313.20691326530613</v>
      </c>
      <c r="V598">
        <f t="shared" si="366"/>
        <v>353.02184183673461</v>
      </c>
      <c r="W598">
        <f t="shared" si="366"/>
        <v>427.06600765306126</v>
      </c>
      <c r="Y598" s="17">
        <f t="shared" si="345"/>
        <v>5591.3890459183676</v>
      </c>
      <c r="Z598">
        <f t="shared" si="346"/>
        <v>420.88167167372126</v>
      </c>
    </row>
    <row r="599" spans="1:26" x14ac:dyDescent="0.25">
      <c r="A599" t="s">
        <v>64</v>
      </c>
      <c r="D599">
        <f t="shared" ref="D599:W599" si="367">D59*D203</f>
        <v>502.46301530612243</v>
      </c>
      <c r="E599">
        <f t="shared" si="367"/>
        <v>450.94398469387755</v>
      </c>
      <c r="F599">
        <f t="shared" si="367"/>
        <v>438.56249999999989</v>
      </c>
      <c r="G599">
        <f t="shared" si="367"/>
        <v>386.50388775510197</v>
      </c>
      <c r="H599">
        <f t="shared" si="367"/>
        <v>310.26185714285714</v>
      </c>
      <c r="I599">
        <f t="shared" si="367"/>
        <v>311.29012244897962</v>
      </c>
      <c r="J599">
        <f t="shared" si="367"/>
        <v>256.32514285714285</v>
      </c>
      <c r="K599">
        <f t="shared" si="367"/>
        <v>275.54690051020407</v>
      </c>
      <c r="L599">
        <f t="shared" si="367"/>
        <v>271.71789843749997</v>
      </c>
      <c r="M599">
        <f t="shared" si="367"/>
        <v>268.08979591836732</v>
      </c>
      <c r="N599">
        <f t="shared" si="367"/>
        <v>222.60795918367342</v>
      </c>
      <c r="O599">
        <f t="shared" si="367"/>
        <v>224.16591836734696</v>
      </c>
      <c r="P599">
        <f t="shared" si="367"/>
        <v>279.42612244897958</v>
      </c>
      <c r="Q599">
        <f t="shared" si="367"/>
        <v>351.37714285714287</v>
      </c>
      <c r="R599">
        <f t="shared" si="367"/>
        <v>409.88265306122452</v>
      </c>
      <c r="S599">
        <f t="shared" si="367"/>
        <v>332.16979591836741</v>
      </c>
      <c r="T599">
        <f t="shared" si="367"/>
        <v>376.85877551020405</v>
      </c>
      <c r="U599">
        <f t="shared" si="367"/>
        <v>393.14081632653068</v>
      </c>
      <c r="V599">
        <f t="shared" si="367"/>
        <v>369.45000000000005</v>
      </c>
      <c r="W599">
        <f t="shared" si="367"/>
        <v>443.42122448979586</v>
      </c>
      <c r="Y599" s="17">
        <f t="shared" si="345"/>
        <v>6874.2055132334172</v>
      </c>
      <c r="Z599">
        <f t="shared" si="346"/>
        <v>532.54260505386776</v>
      </c>
    </row>
    <row r="600" spans="1:26" x14ac:dyDescent="0.25">
      <c r="A600" t="s">
        <v>65</v>
      </c>
      <c r="D600">
        <f t="shared" ref="D600:W600" si="368">D60*D204</f>
        <v>537.87673469387755</v>
      </c>
      <c r="E600">
        <f t="shared" si="368"/>
        <v>617.17040816326517</v>
      </c>
      <c r="F600">
        <f t="shared" si="368"/>
        <v>410.94897959183669</v>
      </c>
      <c r="G600">
        <f t="shared" si="368"/>
        <v>313.20428571428567</v>
      </c>
      <c r="H600">
        <f t="shared" si="368"/>
        <v>364.35673469387757</v>
      </c>
      <c r="I600">
        <f t="shared" si="368"/>
        <v>330.90857142857141</v>
      </c>
      <c r="J600">
        <f t="shared" si="368"/>
        <v>266.15428571428578</v>
      </c>
      <c r="K600">
        <f t="shared" si="368"/>
        <v>272.37551020408159</v>
      </c>
      <c r="L600">
        <f t="shared" si="368"/>
        <v>289.20937500000002</v>
      </c>
      <c r="M600">
        <f t="shared" si="368"/>
        <v>242.22367346938779</v>
      </c>
      <c r="N600">
        <f t="shared" si="368"/>
        <v>280.01469387755111</v>
      </c>
      <c r="O600">
        <f t="shared" si="368"/>
        <v>245.47306122448981</v>
      </c>
      <c r="P600">
        <f t="shared" si="368"/>
        <v>177.08816326530615</v>
      </c>
      <c r="Q600">
        <f t="shared" si="368"/>
        <v>227.53142857142851</v>
      </c>
      <c r="R600">
        <f t="shared" si="368"/>
        <v>146.54285714285712</v>
      </c>
      <c r="S600">
        <f t="shared" si="368"/>
        <v>211.86448979591836</v>
      </c>
      <c r="T600">
        <f t="shared" si="368"/>
        <v>319.24836734693883</v>
      </c>
      <c r="U600">
        <f t="shared" si="368"/>
        <v>296.80714285714288</v>
      </c>
      <c r="V600">
        <f t="shared" si="368"/>
        <v>385.28469387755098</v>
      </c>
      <c r="W600">
        <f t="shared" si="368"/>
        <v>441.29387755102039</v>
      </c>
      <c r="Y600" s="17">
        <f t="shared" si="345"/>
        <v>6375.577334183673</v>
      </c>
      <c r="Z600">
        <f t="shared" si="346"/>
        <v>590.82581684336037</v>
      </c>
    </row>
    <row r="601" spans="1:26" x14ac:dyDescent="0.25">
      <c r="A601" t="s">
        <v>66</v>
      </c>
      <c r="D601">
        <f t="shared" ref="D601:W601" si="369">D61*D205</f>
        <v>500</v>
      </c>
      <c r="E601">
        <f t="shared" si="369"/>
        <v>441.2342857142857</v>
      </c>
      <c r="F601">
        <f t="shared" si="369"/>
        <v>390.48999999999995</v>
      </c>
      <c r="G601">
        <f t="shared" si="369"/>
        <v>347.52408163265306</v>
      </c>
      <c r="H601">
        <f t="shared" si="369"/>
        <v>277.03142857142853</v>
      </c>
      <c r="I601">
        <f t="shared" si="369"/>
        <v>416.65959183673465</v>
      </c>
      <c r="J601">
        <f t="shared" si="369"/>
        <v>412.86367346938778</v>
      </c>
      <c r="K601">
        <f t="shared" si="369"/>
        <v>383.62040816326538</v>
      </c>
      <c r="L601">
        <f t="shared" si="369"/>
        <v>275.82499999999993</v>
      </c>
      <c r="M601">
        <f t="shared" si="369"/>
        <v>242.87959183673465</v>
      </c>
      <c r="N601">
        <f t="shared" si="369"/>
        <v>309.38142857142861</v>
      </c>
      <c r="O601">
        <f t="shared" si="369"/>
        <v>418.54204081632645</v>
      </c>
      <c r="P601">
        <f t="shared" si="369"/>
        <v>263.45571428571424</v>
      </c>
      <c r="Q601">
        <f t="shared" si="369"/>
        <v>270.71775510204088</v>
      </c>
      <c r="R601">
        <f t="shared" si="369"/>
        <v>295.90448979591838</v>
      </c>
      <c r="S601">
        <f t="shared" si="369"/>
        <v>309.20571428571429</v>
      </c>
      <c r="T601">
        <f t="shared" si="369"/>
        <v>327.03367346938779</v>
      </c>
      <c r="U601">
        <f t="shared" si="369"/>
        <v>437.06816326530611</v>
      </c>
      <c r="V601">
        <f t="shared" si="369"/>
        <v>379.40102040816322</v>
      </c>
      <c r="W601">
        <f t="shared" si="369"/>
        <v>422.75142857142862</v>
      </c>
      <c r="Y601" s="17">
        <f t="shared" si="345"/>
        <v>7121.589489795917</v>
      </c>
      <c r="Z601">
        <f t="shared" si="346"/>
        <v>570.29144241794654</v>
      </c>
    </row>
    <row r="602" spans="1:26" x14ac:dyDescent="0.25">
      <c r="A602" t="s">
        <v>67</v>
      </c>
      <c r="D602">
        <f t="shared" ref="D602:W602" si="370">D62*D206</f>
        <v>460.91224489795917</v>
      </c>
      <c r="E602">
        <f t="shared" si="370"/>
        <v>490.9355102040816</v>
      </c>
      <c r="F602">
        <f t="shared" si="370"/>
        <v>469.13632653061222</v>
      </c>
      <c r="G602">
        <f t="shared" si="370"/>
        <v>341.41306122448981</v>
      </c>
      <c r="H602">
        <f t="shared" si="370"/>
        <v>353.63510204081638</v>
      </c>
      <c r="I602">
        <f t="shared" si="370"/>
        <v>361.43571428571443</v>
      </c>
      <c r="J602">
        <f t="shared" si="370"/>
        <v>373.95183673469381</v>
      </c>
      <c r="K602">
        <f t="shared" si="370"/>
        <v>409.99999999999994</v>
      </c>
      <c r="L602">
        <f t="shared" si="370"/>
        <v>372.02979591836726</v>
      </c>
      <c r="M602">
        <f t="shared" si="370"/>
        <v>264.90306122448982</v>
      </c>
      <c r="N602">
        <f t="shared" si="370"/>
        <v>247.00591836734691</v>
      </c>
      <c r="O602">
        <f t="shared" si="370"/>
        <v>239.68816326530612</v>
      </c>
      <c r="P602">
        <f t="shared" si="370"/>
        <v>236.72000000000008</v>
      </c>
      <c r="Q602">
        <f t="shared" si="370"/>
        <v>294.29551020408161</v>
      </c>
      <c r="R602">
        <f t="shared" si="370"/>
        <v>364.53183673469391</v>
      </c>
      <c r="S602">
        <f t="shared" si="370"/>
        <v>259.78224489795923</v>
      </c>
      <c r="T602">
        <f t="shared" si="370"/>
        <v>305.34000000000003</v>
      </c>
      <c r="U602">
        <f t="shared" si="370"/>
        <v>400.32285714285712</v>
      </c>
      <c r="V602">
        <f t="shared" si="370"/>
        <v>402.12244897959187</v>
      </c>
      <c r="W602">
        <f t="shared" si="370"/>
        <v>470.89530612244903</v>
      </c>
      <c r="Y602" s="17">
        <f t="shared" si="345"/>
        <v>7119.0569387755104</v>
      </c>
      <c r="Z602">
        <f t="shared" si="346"/>
        <v>574.23989446862981</v>
      </c>
    </row>
    <row r="603" spans="1:26" x14ac:dyDescent="0.25">
      <c r="A603" t="s">
        <v>68</v>
      </c>
      <c r="D603">
        <f t="shared" ref="D603:W603" si="371">D63*D207</f>
        <v>417.85469387755103</v>
      </c>
      <c r="E603">
        <f t="shared" si="371"/>
        <v>517.04693877551028</v>
      </c>
      <c r="F603">
        <f t="shared" si="371"/>
        <v>749.91081632653049</v>
      </c>
      <c r="G603">
        <f t="shared" si="371"/>
        <v>462.45428571428573</v>
      </c>
      <c r="H603">
        <f t="shared" si="371"/>
        <v>477.55897959183665</v>
      </c>
      <c r="I603">
        <f t="shared" si="371"/>
        <v>322.46816326530609</v>
      </c>
      <c r="J603">
        <f t="shared" si="371"/>
        <v>244.40734693877548</v>
      </c>
      <c r="K603">
        <f t="shared" si="371"/>
        <v>231.19979591836736</v>
      </c>
      <c r="L603">
        <f t="shared" si="371"/>
        <v>314.19523437499998</v>
      </c>
      <c r="M603">
        <f t="shared" si="371"/>
        <v>164.93877551020415</v>
      </c>
      <c r="N603">
        <f t="shared" si="371"/>
        <v>213.4848979591836</v>
      </c>
      <c r="O603">
        <f t="shared" si="371"/>
        <v>219.68489795918367</v>
      </c>
      <c r="P603">
        <f t="shared" si="371"/>
        <v>278.96897959183678</v>
      </c>
      <c r="Q603">
        <f t="shared" si="371"/>
        <v>287.54877551020405</v>
      </c>
      <c r="R603">
        <f t="shared" si="371"/>
        <v>354.29877551020411</v>
      </c>
      <c r="S603">
        <f t="shared" si="371"/>
        <v>362.19857142857143</v>
      </c>
      <c r="T603">
        <f t="shared" si="371"/>
        <v>319.87346938775505</v>
      </c>
      <c r="U603">
        <f t="shared" si="371"/>
        <v>352.48448979591825</v>
      </c>
      <c r="V603">
        <f t="shared" si="371"/>
        <v>334.17142857142852</v>
      </c>
      <c r="W603">
        <f t="shared" si="371"/>
        <v>357.2522448979592</v>
      </c>
      <c r="Y603" s="17">
        <f t="shared" si="345"/>
        <v>6982.0015609056118</v>
      </c>
      <c r="Z603">
        <f t="shared" si="346"/>
        <v>601.32905776282382</v>
      </c>
    </row>
    <row r="604" spans="1:26" x14ac:dyDescent="0.25">
      <c r="A604" t="s">
        <v>69</v>
      </c>
      <c r="D604">
        <f t="shared" ref="D604:W604" si="372">D64*D208</f>
        <v>539.42204081632644</v>
      </c>
      <c r="E604">
        <f t="shared" si="372"/>
        <v>559.91591836734688</v>
      </c>
      <c r="F604">
        <f t="shared" si="372"/>
        <v>515.50081632653064</v>
      </c>
      <c r="G604">
        <f t="shared" si="372"/>
        <v>488.78938775510204</v>
      </c>
      <c r="H604">
        <f t="shared" si="372"/>
        <v>405.11448979591842</v>
      </c>
      <c r="I604">
        <f t="shared" si="372"/>
        <v>460.16530612244895</v>
      </c>
      <c r="J604">
        <f t="shared" si="372"/>
        <v>298.85653061224491</v>
      </c>
      <c r="K604">
        <f t="shared" si="372"/>
        <v>309.36489795918362</v>
      </c>
      <c r="L604">
        <f t="shared" si="372"/>
        <v>252.32406250000005</v>
      </c>
      <c r="M604">
        <f t="shared" si="372"/>
        <v>264.73469387755102</v>
      </c>
      <c r="N604">
        <f t="shared" si="372"/>
        <v>158.57387755102039</v>
      </c>
      <c r="O604">
        <f t="shared" si="372"/>
        <v>225.30367346938775</v>
      </c>
      <c r="P604">
        <f t="shared" si="372"/>
        <v>237.85755102040818</v>
      </c>
      <c r="Q604">
        <f t="shared" si="372"/>
        <v>223.19428571428574</v>
      </c>
      <c r="R604">
        <f t="shared" si="372"/>
        <v>155.97500000000002</v>
      </c>
      <c r="S604">
        <f t="shared" si="372"/>
        <v>270.03306122448981</v>
      </c>
      <c r="T604">
        <f t="shared" si="372"/>
        <v>322.06775510204085</v>
      </c>
      <c r="U604">
        <f t="shared" si="372"/>
        <v>315.73469387755097</v>
      </c>
      <c r="V604">
        <f t="shared" si="372"/>
        <v>376.63816326530622</v>
      </c>
      <c r="W604">
        <f t="shared" si="372"/>
        <v>313.16346938775513</v>
      </c>
      <c r="Y604" s="17">
        <f t="shared" si="345"/>
        <v>6692.7296747448981</v>
      </c>
      <c r="Z604">
        <f t="shared" si="346"/>
        <v>604.08250142735471</v>
      </c>
    </row>
    <row r="605" spans="1:26" x14ac:dyDescent="0.25">
      <c r="Y605" s="17"/>
    </row>
    <row r="606" spans="1:26" x14ac:dyDescent="0.25">
      <c r="A606" t="s">
        <v>70</v>
      </c>
      <c r="D606">
        <f t="shared" ref="D606:W606" si="373">D66*D210</f>
        <v>423.59836734693886</v>
      </c>
      <c r="E606">
        <f t="shared" si="373"/>
        <v>402.20081632653074</v>
      </c>
      <c r="F606">
        <f t="shared" si="373"/>
        <v>454.5612244897959</v>
      </c>
      <c r="G606">
        <f t="shared" si="373"/>
        <v>357.99938775510202</v>
      </c>
      <c r="H606">
        <f t="shared" si="373"/>
        <v>377.64285714285711</v>
      </c>
      <c r="I606">
        <f t="shared" si="373"/>
        <v>402.7885714285714</v>
      </c>
      <c r="J606">
        <f t="shared" si="373"/>
        <v>405.0963265306122</v>
      </c>
      <c r="K606">
        <f t="shared" si="373"/>
        <v>368.8077551020408</v>
      </c>
      <c r="L606">
        <f t="shared" si="373"/>
        <v>260.26</v>
      </c>
      <c r="M606">
        <f t="shared" si="373"/>
        <v>229.34742857142854</v>
      </c>
      <c r="N606">
        <f t="shared" si="373"/>
        <v>254.81755102040819</v>
      </c>
      <c r="O606">
        <f t="shared" si="373"/>
        <v>259.80612244897958</v>
      </c>
      <c r="P606">
        <f t="shared" si="373"/>
        <v>220.04897959183668</v>
      </c>
      <c r="Q606">
        <f t="shared" si="373"/>
        <v>371.31612244897957</v>
      </c>
      <c r="R606">
        <f t="shared" si="373"/>
        <v>287.78571428571433</v>
      </c>
      <c r="S606">
        <f t="shared" si="373"/>
        <v>311.5616048237477</v>
      </c>
      <c r="T606">
        <f t="shared" si="373"/>
        <v>324.74510204081639</v>
      </c>
      <c r="U606">
        <f t="shared" si="373"/>
        <v>307.76326530612243</v>
      </c>
      <c r="V606">
        <f t="shared" si="373"/>
        <v>364.02448979591838</v>
      </c>
      <c r="W606">
        <f t="shared" si="373"/>
        <v>559.31836734693866</v>
      </c>
      <c r="Y606" s="17">
        <f t="shared" si="345"/>
        <v>6943.4900538033407</v>
      </c>
      <c r="Z606">
        <f>SUMPRODUCT($D$610:$W$610,D606:W606)</f>
        <v>510.74147795185587</v>
      </c>
    </row>
    <row r="607" spans="1:26" x14ac:dyDescent="0.25">
      <c r="A607" t="s">
        <v>314</v>
      </c>
      <c r="D607">
        <f t="shared" ref="D607:W607" si="374">D67*D211</f>
        <v>596.10285714285703</v>
      </c>
      <c r="E607">
        <f t="shared" si="374"/>
        <v>567.60408163265311</v>
      </c>
      <c r="F607">
        <f t="shared" si="374"/>
        <v>376.97510204081635</v>
      </c>
      <c r="G607">
        <f t="shared" si="374"/>
        <v>386.87755102040819</v>
      </c>
      <c r="H607">
        <f t="shared" si="374"/>
        <v>408.13836734693871</v>
      </c>
      <c r="I607">
        <f t="shared" si="374"/>
        <v>391.22306122448981</v>
      </c>
      <c r="J607">
        <f t="shared" si="374"/>
        <v>325.07999999999993</v>
      </c>
      <c r="K607">
        <f t="shared" si="374"/>
        <v>298.70408163265313</v>
      </c>
      <c r="L607">
        <f t="shared" si="374"/>
        <v>237.85109375000002</v>
      </c>
      <c r="M607">
        <f t="shared" si="374"/>
        <v>326.05204081632661</v>
      </c>
      <c r="N607">
        <f t="shared" si="374"/>
        <v>264.56081632653064</v>
      </c>
      <c r="O607">
        <f t="shared" si="374"/>
        <v>284.4820408163265</v>
      </c>
      <c r="P607">
        <f t="shared" si="374"/>
        <v>349.32</v>
      </c>
      <c r="Q607">
        <f t="shared" si="374"/>
        <v>354.51</v>
      </c>
      <c r="R607">
        <f t="shared" si="374"/>
        <v>340.40000000000003</v>
      </c>
      <c r="S607">
        <f t="shared" si="374"/>
        <v>342.2</v>
      </c>
      <c r="T607">
        <f t="shared" si="374"/>
        <v>425.82362337662346</v>
      </c>
      <c r="U607">
        <f t="shared" si="374"/>
        <v>419.91714285714284</v>
      </c>
      <c r="V607">
        <f t="shared" si="374"/>
        <v>447.92571428571426</v>
      </c>
      <c r="W607">
        <f t="shared" si="374"/>
        <v>529.71428571428567</v>
      </c>
      <c r="Y607" s="17">
        <f t="shared" si="345"/>
        <v>7673.4618599837659</v>
      </c>
      <c r="Z607">
        <f>SUMPRODUCT($D$610:$W$610,D607:W607)</f>
        <v>552.97879494404162</v>
      </c>
    </row>
    <row r="608" spans="1:26" x14ac:dyDescent="0.25">
      <c r="A608" t="s">
        <v>315</v>
      </c>
      <c r="D608">
        <f t="shared" ref="D608:W608" si="375">D68*D212</f>
        <v>638.769387755102</v>
      </c>
      <c r="E608">
        <f t="shared" si="375"/>
        <v>553.04816326530624</v>
      </c>
      <c r="F608">
        <f t="shared" si="375"/>
        <v>679.22653061224491</v>
      </c>
      <c r="G608">
        <f t="shared" si="375"/>
        <v>481.98857142857139</v>
      </c>
      <c r="H608">
        <f t="shared" si="375"/>
        <v>458.32653061224488</v>
      </c>
      <c r="I608">
        <f t="shared" si="375"/>
        <v>368.26816326530616</v>
      </c>
      <c r="J608">
        <f t="shared" si="375"/>
        <v>306.17285714285708</v>
      </c>
      <c r="K608">
        <f t="shared" si="375"/>
        <v>256.13938775510206</v>
      </c>
      <c r="L608">
        <f t="shared" si="375"/>
        <v>185.05046875000002</v>
      </c>
      <c r="M608">
        <f t="shared" si="375"/>
        <v>216.63000000000002</v>
      </c>
      <c r="N608">
        <f t="shared" si="375"/>
        <v>248.16</v>
      </c>
      <c r="O608">
        <f t="shared" si="375"/>
        <v>218.93999999999997</v>
      </c>
      <c r="P608">
        <f t="shared" si="375"/>
        <v>235.42223887471653</v>
      </c>
      <c r="Q608">
        <f t="shared" si="375"/>
        <v>266.14909793083899</v>
      </c>
      <c r="R608">
        <f t="shared" si="375"/>
        <v>250.42776984126988</v>
      </c>
      <c r="S608">
        <f t="shared" si="375"/>
        <v>259.03978103741503</v>
      </c>
      <c r="T608">
        <f t="shared" si="375"/>
        <v>473.59428571428577</v>
      </c>
      <c r="U608">
        <f t="shared" si="375"/>
        <v>317.64326530612243</v>
      </c>
      <c r="V608">
        <f t="shared" si="375"/>
        <v>388.64204081632653</v>
      </c>
      <c r="W608">
        <f t="shared" si="375"/>
        <v>449.08693877551019</v>
      </c>
      <c r="Y608" s="17">
        <f t="shared" si="345"/>
        <v>7250.7254788832197</v>
      </c>
      <c r="Z608">
        <f>SUMPRODUCT($D$610:$W$610,D608:W608)</f>
        <v>639.63688273800028</v>
      </c>
    </row>
    <row r="609" spans="1:26" x14ac:dyDescent="0.25">
      <c r="A609" t="s">
        <v>677</v>
      </c>
      <c r="D609">
        <f t="shared" ref="D609:W609" si="376">D69*D213</f>
        <v>503.86938775510208</v>
      </c>
      <c r="E609">
        <f t="shared" si="376"/>
        <v>586.6514285714286</v>
      </c>
      <c r="F609">
        <f t="shared" si="376"/>
        <v>503.47040816326535</v>
      </c>
      <c r="G609">
        <f t="shared" si="376"/>
        <v>463.72326530612247</v>
      </c>
      <c r="H609">
        <f t="shared" si="376"/>
        <v>356.15142857142854</v>
      </c>
      <c r="I609">
        <f t="shared" si="376"/>
        <v>359.23285714285714</v>
      </c>
      <c r="J609">
        <f t="shared" si="376"/>
        <v>273.19775510204084</v>
      </c>
      <c r="K609">
        <f t="shared" si="376"/>
        <v>220.92244897959182</v>
      </c>
      <c r="L609">
        <f t="shared" si="376"/>
        <v>193.54499999999999</v>
      </c>
      <c r="M609">
        <f t="shared" si="376"/>
        <v>343.75612244897962</v>
      </c>
      <c r="N609">
        <f t="shared" si="376"/>
        <v>317.59591836734694</v>
      </c>
      <c r="O609">
        <f t="shared" si="376"/>
        <v>163.13265306122469</v>
      </c>
      <c r="P609">
        <f t="shared" si="376"/>
        <v>235.26857142857145</v>
      </c>
      <c r="Q609">
        <f t="shared" si="376"/>
        <v>335.1110204081632</v>
      </c>
      <c r="R609">
        <f t="shared" si="376"/>
        <v>255.24795918367346</v>
      </c>
      <c r="S609">
        <f t="shared" si="376"/>
        <v>267.2410714285715</v>
      </c>
      <c r="T609">
        <f t="shared" si="376"/>
        <v>362.64430075638654</v>
      </c>
      <c r="U609">
        <f t="shared" si="376"/>
        <v>392.55015595119158</v>
      </c>
      <c r="V609">
        <f t="shared" si="376"/>
        <v>398.85335814185817</v>
      </c>
      <c r="W609">
        <f t="shared" si="376"/>
        <v>466.07793920365367</v>
      </c>
      <c r="Y609" s="17">
        <f t="shared" ref="Y609" si="377">SUM(D609:W609)</f>
        <v>6998.2430499714583</v>
      </c>
      <c r="Z609">
        <f>SUMPRODUCT($D$610:$W$610,D609:W609)</f>
        <v>571.98834457116311</v>
      </c>
    </row>
    <row r="610" spans="1:26" x14ac:dyDescent="0.25">
      <c r="A610" s="2" t="s">
        <v>71</v>
      </c>
      <c r="D610" s="3">
        <f>CORREL($B$2:$B$28,D578:D604)</f>
        <v>0.21578690659082664</v>
      </c>
      <c r="E610" s="3">
        <f t="shared" ref="E610:W610" si="378">CORREL($B$2:$B$28,E578:E604)</f>
        <v>0.2236504798640401</v>
      </c>
      <c r="F610" s="3">
        <f t="shared" si="378"/>
        <v>0.35569711339087301</v>
      </c>
      <c r="G610" s="3">
        <f t="shared" si="378"/>
        <v>-4.3884920466148976E-3</v>
      </c>
      <c r="H610" s="3">
        <f t="shared" si="378"/>
        <v>-0.13267370934466816</v>
      </c>
      <c r="I610" s="3">
        <f t="shared" si="378"/>
        <v>0.22018910776372635</v>
      </c>
      <c r="J610" s="3">
        <f t="shared" si="378"/>
        <v>-0.28352400424105934</v>
      </c>
      <c r="K610" s="3">
        <f t="shared" si="378"/>
        <v>0.20340864070043937</v>
      </c>
      <c r="L610" s="3">
        <f t="shared" si="378"/>
        <v>0.26936038424382991</v>
      </c>
      <c r="M610" s="3">
        <f t="shared" si="378"/>
        <v>6.2295664571213438E-2</v>
      </c>
      <c r="N610" s="3">
        <f t="shared" si="378"/>
        <v>5.9260588137398873E-2</v>
      </c>
      <c r="O610" s="3">
        <f t="shared" si="378"/>
        <v>0.24332467950395445</v>
      </c>
      <c r="P610" s="3">
        <f t="shared" si="378"/>
        <v>-0.22811082813608669</v>
      </c>
      <c r="Q610" s="3">
        <f t="shared" si="378"/>
        <v>0.1722524162324717</v>
      </c>
      <c r="R610" s="3">
        <f t="shared" si="378"/>
        <v>-8.6799840712010537E-2</v>
      </c>
      <c r="S610" s="3">
        <f t="shared" si="378"/>
        <v>-8.7436565969597993E-2</v>
      </c>
      <c r="T610" s="3">
        <f t="shared" si="378"/>
        <v>0.14046310591744374</v>
      </c>
      <c r="U610" s="3">
        <f t="shared" si="378"/>
        <v>0.10174687202422432</v>
      </c>
      <c r="V610" s="3">
        <f t="shared" si="378"/>
        <v>-2.5488549317541974E-3</v>
      </c>
      <c r="W610" s="3">
        <f t="shared" si="378"/>
        <v>-5.3165002488318895E-2</v>
      </c>
    </row>
    <row r="613" spans="1:26" x14ac:dyDescent="0.25">
      <c r="D613" t="s">
        <v>200</v>
      </c>
      <c r="E613" t="s">
        <v>201</v>
      </c>
      <c r="F613" t="s">
        <v>202</v>
      </c>
      <c r="G613" t="s">
        <v>203</v>
      </c>
      <c r="H613" t="s">
        <v>204</v>
      </c>
      <c r="I613" t="s">
        <v>205</v>
      </c>
      <c r="J613" t="s">
        <v>206</v>
      </c>
      <c r="K613" t="s">
        <v>207</v>
      </c>
      <c r="L613" t="s">
        <v>357</v>
      </c>
      <c r="M613" t="s">
        <v>419</v>
      </c>
      <c r="N613" t="s">
        <v>420</v>
      </c>
      <c r="O613" t="s">
        <v>421</v>
      </c>
      <c r="P613" t="s">
        <v>521</v>
      </c>
      <c r="Q613" t="s">
        <v>522</v>
      </c>
      <c r="R613" t="s">
        <v>523</v>
      </c>
      <c r="S613" t="s">
        <v>524</v>
      </c>
      <c r="T613" t="s">
        <v>633</v>
      </c>
      <c r="U613" t="s">
        <v>634</v>
      </c>
      <c r="V613" t="s">
        <v>635</v>
      </c>
      <c r="W613" t="s">
        <v>636</v>
      </c>
      <c r="Y613" t="s">
        <v>208</v>
      </c>
      <c r="Z613" t="s">
        <v>209</v>
      </c>
    </row>
    <row r="614" spans="1:26" x14ac:dyDescent="0.25">
      <c r="A614" t="s">
        <v>43</v>
      </c>
      <c r="D614">
        <f t="shared" ref="D614:W614" si="379">D38*D218</f>
        <v>337.00000000000006</v>
      </c>
      <c r="E614">
        <f t="shared" si="379"/>
        <v>373.66081632653061</v>
      </c>
      <c r="F614">
        <f t="shared" si="379"/>
        <v>325.10204081632645</v>
      </c>
      <c r="G614">
        <f t="shared" si="379"/>
        <v>342.39795918367344</v>
      </c>
      <c r="H614">
        <f t="shared" si="379"/>
        <v>322.93183673469389</v>
      </c>
      <c r="I614">
        <f t="shared" si="379"/>
        <v>286.20571428571429</v>
      </c>
      <c r="J614">
        <f t="shared" si="379"/>
        <v>339.05632653061218</v>
      </c>
      <c r="K614">
        <f t="shared" si="379"/>
        <v>321.06897959183675</v>
      </c>
      <c r="L614">
        <f t="shared" si="379"/>
        <v>283.08812499999999</v>
      </c>
      <c r="M614">
        <f t="shared" si="379"/>
        <v>275.69142857142862</v>
      </c>
      <c r="N614">
        <f t="shared" si="379"/>
        <v>213.63734693877555</v>
      </c>
      <c r="O614">
        <f t="shared" si="379"/>
        <v>248.52387755102043</v>
      </c>
      <c r="P614">
        <f t="shared" si="379"/>
        <v>267.05081632653065</v>
      </c>
      <c r="Q614">
        <f t="shared" si="379"/>
        <v>250.97591836734696</v>
      </c>
      <c r="R614">
        <f t="shared" si="379"/>
        <v>283.10204081632645</v>
      </c>
      <c r="S614">
        <f t="shared" si="379"/>
        <v>236.90816326530611</v>
      </c>
      <c r="T614">
        <f t="shared" si="379"/>
        <v>285.23755102040815</v>
      </c>
      <c r="U614">
        <f t="shared" si="379"/>
        <v>272.02061224489802</v>
      </c>
      <c r="V614">
        <f t="shared" si="379"/>
        <v>355.59122448979593</v>
      </c>
      <c r="W614">
        <f t="shared" si="379"/>
        <v>270.42265306122448</v>
      </c>
      <c r="Y614" s="17">
        <f t="shared" ref="Y614:Y644" si="380">SUM(D614:W614)</f>
        <v>5889.67343112245</v>
      </c>
      <c r="Z614">
        <f t="shared" ref="Z614:Z640" si="381">SUMPRODUCT($D$646:$W$646,D614:W614)</f>
        <v>904.08162215337154</v>
      </c>
    </row>
    <row r="615" spans="1:26" x14ac:dyDescent="0.25">
      <c r="A615" t="s">
        <v>44</v>
      </c>
      <c r="D615">
        <f t="shared" ref="D615:W615" si="382">D39*D219</f>
        <v>341.21999999999997</v>
      </c>
      <c r="E615">
        <f t="shared" si="382"/>
        <v>328.32</v>
      </c>
      <c r="F615">
        <f t="shared" si="382"/>
        <v>338.64</v>
      </c>
      <c r="G615">
        <f t="shared" si="382"/>
        <v>273</v>
      </c>
      <c r="H615">
        <f t="shared" si="382"/>
        <v>376.28999999999996</v>
      </c>
      <c r="I615">
        <f t="shared" si="382"/>
        <v>295.74</v>
      </c>
      <c r="J615">
        <f t="shared" si="382"/>
        <v>346.06</v>
      </c>
      <c r="K615">
        <f t="shared" si="382"/>
        <v>252.45</v>
      </c>
      <c r="L615">
        <f t="shared" si="382"/>
        <v>254.52</v>
      </c>
      <c r="M615">
        <f t="shared" si="382"/>
        <v>265.05</v>
      </c>
      <c r="N615">
        <f t="shared" si="382"/>
        <v>267.53999999999996</v>
      </c>
      <c r="O615">
        <f t="shared" si="382"/>
        <v>299.96999999999997</v>
      </c>
      <c r="P615">
        <f t="shared" si="382"/>
        <v>282.14590122448982</v>
      </c>
      <c r="Q615">
        <f t="shared" si="382"/>
        <v>252.79324382189239</v>
      </c>
      <c r="R615">
        <f t="shared" si="382"/>
        <v>277.52285417439703</v>
      </c>
      <c r="S615">
        <f t="shared" si="382"/>
        <v>287.5207400000001</v>
      </c>
      <c r="T615">
        <f t="shared" si="382"/>
        <v>275.42755102040815</v>
      </c>
      <c r="U615">
        <f t="shared" si="382"/>
        <v>291.03265306122455</v>
      </c>
      <c r="V615">
        <f t="shared" si="382"/>
        <v>291.3244897959184</v>
      </c>
      <c r="W615">
        <f t="shared" si="382"/>
        <v>356.16834183673461</v>
      </c>
      <c r="Y615" s="17">
        <f t="shared" si="380"/>
        <v>5952.7357749350649</v>
      </c>
      <c r="Z615">
        <f t="shared" si="381"/>
        <v>857.56434268963403</v>
      </c>
    </row>
    <row r="616" spans="1:26" x14ac:dyDescent="0.25">
      <c r="A616" t="s">
        <v>45</v>
      </c>
      <c r="D616">
        <f t="shared" ref="D616:W616" si="383">D40*D220</f>
        <v>344.89469387755099</v>
      </c>
      <c r="E616">
        <f t="shared" si="383"/>
        <v>274.05714285714294</v>
      </c>
      <c r="F616">
        <f t="shared" si="383"/>
        <v>301.59979591836736</v>
      </c>
      <c r="G616">
        <f t="shared" si="383"/>
        <v>330.49591836734697</v>
      </c>
      <c r="H616">
        <f t="shared" si="383"/>
        <v>345.67836734693878</v>
      </c>
      <c r="I616">
        <f t="shared" si="383"/>
        <v>303.33673469387753</v>
      </c>
      <c r="J616">
        <f t="shared" si="383"/>
        <v>362.43428571428575</v>
      </c>
      <c r="K616">
        <f t="shared" si="383"/>
        <v>220.66000000000005</v>
      </c>
      <c r="L616">
        <f t="shared" si="383"/>
        <v>304.76796874999997</v>
      </c>
      <c r="M616">
        <f t="shared" si="383"/>
        <v>291.22612244897965</v>
      </c>
      <c r="N616">
        <f t="shared" si="383"/>
        <v>347.83346938775503</v>
      </c>
      <c r="O616">
        <f t="shared" si="383"/>
        <v>310.19714285714286</v>
      </c>
      <c r="P616">
        <f t="shared" si="383"/>
        <v>210.8604081632653</v>
      </c>
      <c r="Q616">
        <f t="shared" si="383"/>
        <v>263.75346938775516</v>
      </c>
      <c r="R616">
        <f t="shared" si="383"/>
        <v>333.7534693877551</v>
      </c>
      <c r="S616">
        <f t="shared" si="383"/>
        <v>292.43102040816325</v>
      </c>
      <c r="T616">
        <f t="shared" si="383"/>
        <v>331.85877551020417</v>
      </c>
      <c r="U616">
        <f t="shared" si="383"/>
        <v>385.32857142857148</v>
      </c>
      <c r="V616">
        <f t="shared" si="383"/>
        <v>432.15061224489796</v>
      </c>
      <c r="W616">
        <f t="shared" si="383"/>
        <v>433.00714285714281</v>
      </c>
      <c r="Y616" s="17">
        <f t="shared" si="380"/>
        <v>6420.3251116071433</v>
      </c>
      <c r="Z616">
        <f t="shared" si="381"/>
        <v>847.18102328327916</v>
      </c>
    </row>
    <row r="617" spans="1:26" x14ac:dyDescent="0.25">
      <c r="A617" t="s">
        <v>46</v>
      </c>
      <c r="D617">
        <f t="shared" ref="D617:W617" si="384">D41*D221</f>
        <v>319.85877551020411</v>
      </c>
      <c r="E617">
        <f t="shared" si="384"/>
        <v>284.58612244897967</v>
      </c>
      <c r="F617">
        <f t="shared" si="384"/>
        <v>241.53755102040816</v>
      </c>
      <c r="G617">
        <f t="shared" si="384"/>
        <v>295.58571428571429</v>
      </c>
      <c r="H617">
        <f t="shared" si="384"/>
        <v>240.95428571428573</v>
      </c>
      <c r="I617">
        <f t="shared" si="384"/>
        <v>237.06938775510204</v>
      </c>
      <c r="J617">
        <f t="shared" si="384"/>
        <v>300.41020408163268</v>
      </c>
      <c r="K617">
        <f t="shared" si="384"/>
        <v>324.45795918367349</v>
      </c>
      <c r="L617">
        <f t="shared" si="384"/>
        <v>263.69437499999998</v>
      </c>
      <c r="M617">
        <f t="shared" si="384"/>
        <v>259.59183673469391</v>
      </c>
      <c r="N617">
        <f t="shared" si="384"/>
        <v>145.97020408163269</v>
      </c>
      <c r="O617">
        <f t="shared" si="384"/>
        <v>176.48979591836735</v>
      </c>
      <c r="P617">
        <f t="shared" si="384"/>
        <v>177.39000000000001</v>
      </c>
      <c r="Q617">
        <f t="shared" si="384"/>
        <v>266.67367346938784</v>
      </c>
      <c r="R617">
        <f t="shared" si="384"/>
        <v>257.83897959183668</v>
      </c>
      <c r="S617">
        <f t="shared" si="384"/>
        <v>309.34469387755104</v>
      </c>
      <c r="T617">
        <f t="shared" si="384"/>
        <v>206.9028571428571</v>
      </c>
      <c r="U617">
        <f t="shared" si="384"/>
        <v>208.59428571428569</v>
      </c>
      <c r="V617">
        <f t="shared" si="384"/>
        <v>271.77551020408163</v>
      </c>
      <c r="W617">
        <f t="shared" si="384"/>
        <v>526.22571428571428</v>
      </c>
      <c r="Y617" s="17">
        <f t="shared" si="380"/>
        <v>5314.9519260204088</v>
      </c>
      <c r="Z617">
        <f t="shared" si="381"/>
        <v>750.29756015631631</v>
      </c>
    </row>
    <row r="618" spans="1:26" x14ac:dyDescent="0.25">
      <c r="A618" t="s">
        <v>47</v>
      </c>
      <c r="D618">
        <f t="shared" ref="D618:W618" si="385">D42*D222</f>
        <v>400.08510204081631</v>
      </c>
      <c r="E618">
        <f t="shared" si="385"/>
        <v>335.01836734693876</v>
      </c>
      <c r="F618">
        <f t="shared" si="385"/>
        <v>363.20326530612243</v>
      </c>
      <c r="G618">
        <f t="shared" si="385"/>
        <v>356.13775510204084</v>
      </c>
      <c r="H618">
        <f t="shared" si="385"/>
        <v>307.28571428571428</v>
      </c>
      <c r="I618">
        <f t="shared" si="385"/>
        <v>255.88183673469388</v>
      </c>
      <c r="J618">
        <f t="shared" si="385"/>
        <v>277.76326530612238</v>
      </c>
      <c r="K618">
        <f t="shared" si="385"/>
        <v>265.079387755102</v>
      </c>
      <c r="L618">
        <f t="shared" si="385"/>
        <v>228.27593750000003</v>
      </c>
      <c r="M618">
        <f t="shared" si="385"/>
        <v>289.10938775510203</v>
      </c>
      <c r="N618">
        <f t="shared" si="385"/>
        <v>305.33999999999992</v>
      </c>
      <c r="O618">
        <f t="shared" si="385"/>
        <v>261.8142857142858</v>
      </c>
      <c r="P618">
        <f t="shared" si="385"/>
        <v>274.23367346938772</v>
      </c>
      <c r="Q618">
        <f t="shared" si="385"/>
        <v>199.37020408163264</v>
      </c>
      <c r="R618">
        <f t="shared" si="385"/>
        <v>353.39183673469381</v>
      </c>
      <c r="S618">
        <f t="shared" si="385"/>
        <v>296.85714285714289</v>
      </c>
      <c r="T618">
        <f t="shared" si="385"/>
        <v>307.17551020408166</v>
      </c>
      <c r="U618">
        <f t="shared" si="385"/>
        <v>297.33877551020413</v>
      </c>
      <c r="V618">
        <f t="shared" si="385"/>
        <v>200.55510204081634</v>
      </c>
      <c r="W618">
        <f t="shared" si="385"/>
        <v>292.32857142857148</v>
      </c>
      <c r="Y618" s="17">
        <f t="shared" si="380"/>
        <v>5866.2451211734697</v>
      </c>
      <c r="Z618">
        <f t="shared" si="381"/>
        <v>843.21624556878601</v>
      </c>
    </row>
    <row r="619" spans="1:26" x14ac:dyDescent="0.25">
      <c r="A619" t="s">
        <v>48</v>
      </c>
      <c r="D619">
        <f t="shared" ref="D619:W619" si="386">D43*D223</f>
        <v>411.33183673469398</v>
      </c>
      <c r="E619">
        <f t="shared" si="386"/>
        <v>300.86877551020405</v>
      </c>
      <c r="F619">
        <f t="shared" si="386"/>
        <v>332.52428571428567</v>
      </c>
      <c r="G619">
        <f t="shared" si="386"/>
        <v>418.84081632653061</v>
      </c>
      <c r="H619">
        <f t="shared" si="386"/>
        <v>409.68163265306123</v>
      </c>
      <c r="I619">
        <f t="shared" si="386"/>
        <v>370.02204081632652</v>
      </c>
      <c r="J619">
        <f t="shared" si="386"/>
        <v>320.41428571428571</v>
      </c>
      <c r="K619">
        <f t="shared" si="386"/>
        <v>296.87551020408159</v>
      </c>
      <c r="L619">
        <f t="shared" si="386"/>
        <v>273.32265625000002</v>
      </c>
      <c r="M619">
        <f t="shared" si="386"/>
        <v>160.3642857142857</v>
      </c>
      <c r="N619">
        <f t="shared" si="386"/>
        <v>229.86857142857141</v>
      </c>
      <c r="O619">
        <f t="shared" si="386"/>
        <v>182.05591836734695</v>
      </c>
      <c r="P619">
        <f t="shared" si="386"/>
        <v>350.47510204081635</v>
      </c>
      <c r="Q619">
        <f t="shared" si="386"/>
        <v>276.83632653061221</v>
      </c>
      <c r="R619">
        <f t="shared" si="386"/>
        <v>330.404081632653</v>
      </c>
      <c r="S619">
        <f t="shared" si="386"/>
        <v>173.43183673469389</v>
      </c>
      <c r="T619">
        <f t="shared" si="386"/>
        <v>306.68326530612245</v>
      </c>
      <c r="U619">
        <f t="shared" si="386"/>
        <v>313.91693877551023</v>
      </c>
      <c r="V619">
        <f t="shared" si="386"/>
        <v>247.48285714285717</v>
      </c>
      <c r="W619">
        <f t="shared" si="386"/>
        <v>287.44285714285712</v>
      </c>
      <c r="Y619" s="17">
        <f t="shared" si="380"/>
        <v>5992.8438807397961</v>
      </c>
      <c r="Z619">
        <f t="shared" si="381"/>
        <v>941.8819748451856</v>
      </c>
    </row>
    <row r="620" spans="1:26" x14ac:dyDescent="0.25">
      <c r="A620" t="s">
        <v>49</v>
      </c>
      <c r="D620">
        <f t="shared" ref="D620:W620" si="387">D44*D224</f>
        <v>296.03999999999996</v>
      </c>
      <c r="E620">
        <f t="shared" si="387"/>
        <v>325.08979591836732</v>
      </c>
      <c r="F620">
        <f t="shared" si="387"/>
        <v>430.99999999999994</v>
      </c>
      <c r="G620">
        <f t="shared" si="387"/>
        <v>379.38306122448984</v>
      </c>
      <c r="H620">
        <f t="shared" si="387"/>
        <v>261.50510204081633</v>
      </c>
      <c r="I620">
        <f t="shared" si="387"/>
        <v>290.46204081632652</v>
      </c>
      <c r="J620">
        <f t="shared" si="387"/>
        <v>271.40326530612242</v>
      </c>
      <c r="K620">
        <f t="shared" si="387"/>
        <v>315.11612244897958</v>
      </c>
      <c r="L620">
        <f t="shared" si="387"/>
        <v>169.60468750000004</v>
      </c>
      <c r="M620">
        <f t="shared" si="387"/>
        <v>182.19048979591835</v>
      </c>
      <c r="N620">
        <f t="shared" si="387"/>
        <v>216.73085714285716</v>
      </c>
      <c r="O620">
        <f t="shared" si="387"/>
        <v>198.46653061224487</v>
      </c>
      <c r="P620">
        <f t="shared" si="387"/>
        <v>334.16142857142853</v>
      </c>
      <c r="Q620">
        <f t="shared" si="387"/>
        <v>327.83795918367349</v>
      </c>
      <c r="R620">
        <f t="shared" si="387"/>
        <v>237.91836734693879</v>
      </c>
      <c r="S620">
        <f t="shared" si="387"/>
        <v>212.73591836734695</v>
      </c>
      <c r="T620">
        <f t="shared" si="387"/>
        <v>161.5255102040816</v>
      </c>
      <c r="U620">
        <f t="shared" si="387"/>
        <v>252.28065306122448</v>
      </c>
      <c r="V620">
        <f t="shared" si="387"/>
        <v>315.28857142857146</v>
      </c>
      <c r="W620">
        <f t="shared" si="387"/>
        <v>232.18114285714285</v>
      </c>
      <c r="Y620" s="17">
        <f t="shared" si="380"/>
        <v>5410.9215038265311</v>
      </c>
      <c r="Z620">
        <f t="shared" si="381"/>
        <v>832.39348001925475</v>
      </c>
    </row>
    <row r="621" spans="1:26" x14ac:dyDescent="0.25">
      <c r="A621" t="s">
        <v>50</v>
      </c>
      <c r="D621">
        <f t="shared" ref="D621:W621" si="388">D45*D225</f>
        <v>310.16551020408156</v>
      </c>
      <c r="E621">
        <f t="shared" si="388"/>
        <v>256.00408163265314</v>
      </c>
      <c r="F621">
        <f t="shared" si="388"/>
        <v>365.65306122448987</v>
      </c>
      <c r="G621">
        <f t="shared" si="388"/>
        <v>378.18367346938783</v>
      </c>
      <c r="H621">
        <f t="shared" si="388"/>
        <v>309.61632653061218</v>
      </c>
      <c r="I621">
        <f t="shared" si="388"/>
        <v>374.68571428571425</v>
      </c>
      <c r="J621">
        <f t="shared" si="388"/>
        <v>294.17102040816332</v>
      </c>
      <c r="K621">
        <f t="shared" si="388"/>
        <v>314.30204081632655</v>
      </c>
      <c r="L621">
        <f t="shared" si="388"/>
        <v>312.09843750000005</v>
      </c>
      <c r="M621">
        <f t="shared" si="388"/>
        <v>387.66693877551023</v>
      </c>
      <c r="N621">
        <f t="shared" si="388"/>
        <v>307.053</v>
      </c>
      <c r="O621">
        <f t="shared" si="388"/>
        <v>264.63728571428572</v>
      </c>
      <c r="P621">
        <f t="shared" si="388"/>
        <v>233.87040816326532</v>
      </c>
      <c r="Q621">
        <f t="shared" si="388"/>
        <v>233.32285714285715</v>
      </c>
      <c r="R621">
        <f t="shared" si="388"/>
        <v>247.12591836734691</v>
      </c>
      <c r="S621">
        <f t="shared" si="388"/>
        <v>280.83657142857146</v>
      </c>
      <c r="T621">
        <f t="shared" si="388"/>
        <v>198.42734693877551</v>
      </c>
      <c r="U621">
        <f t="shared" si="388"/>
        <v>298.2465306122449</v>
      </c>
      <c r="V621">
        <f t="shared" si="388"/>
        <v>305.54571428571433</v>
      </c>
      <c r="W621">
        <f t="shared" si="388"/>
        <v>373.45346938775509</v>
      </c>
      <c r="Y621" s="17">
        <f t="shared" si="380"/>
        <v>6045.0659068877549</v>
      </c>
      <c r="Z621">
        <f t="shared" si="381"/>
        <v>885.69838972472758</v>
      </c>
    </row>
    <row r="622" spans="1:26" x14ac:dyDescent="0.25">
      <c r="A622" t="s">
        <v>51</v>
      </c>
      <c r="D622">
        <f t="shared" ref="D622:W622" si="389">D46*D226</f>
        <v>401.4955102040816</v>
      </c>
      <c r="E622">
        <f t="shared" si="389"/>
        <v>376.73265306122448</v>
      </c>
      <c r="F622">
        <f t="shared" si="389"/>
        <v>455.43653061224489</v>
      </c>
      <c r="G622">
        <f t="shared" si="389"/>
        <v>573.64897959183679</v>
      </c>
      <c r="H622">
        <f t="shared" si="389"/>
        <v>242.35714285714286</v>
      </c>
      <c r="I622">
        <f t="shared" si="389"/>
        <v>374.85306122448975</v>
      </c>
      <c r="J622">
        <f t="shared" si="389"/>
        <v>281.39510204081631</v>
      </c>
      <c r="K622">
        <f t="shared" si="389"/>
        <v>266.51516326530611</v>
      </c>
      <c r="L622">
        <f t="shared" si="389"/>
        <v>260.48406249999999</v>
      </c>
      <c r="M622">
        <f t="shared" si="389"/>
        <v>367.0612244897959</v>
      </c>
      <c r="N622">
        <f t="shared" si="389"/>
        <v>354.92448979591836</v>
      </c>
      <c r="O622">
        <f t="shared" si="389"/>
        <v>207.70408163265304</v>
      </c>
      <c r="P622">
        <f t="shared" si="389"/>
        <v>456.5612244897959</v>
      </c>
      <c r="Q622">
        <f t="shared" si="389"/>
        <v>165.97714285714287</v>
      </c>
      <c r="R622">
        <f t="shared" si="389"/>
        <v>254.41959183673472</v>
      </c>
      <c r="S622">
        <f t="shared" si="389"/>
        <v>223.05306122448977</v>
      </c>
      <c r="T622">
        <f t="shared" si="389"/>
        <v>263.98836734693879</v>
      </c>
      <c r="U622">
        <f t="shared" si="389"/>
        <v>236.38387755102042</v>
      </c>
      <c r="V622">
        <f t="shared" si="389"/>
        <v>196.51000000000002</v>
      </c>
      <c r="W622">
        <f t="shared" si="389"/>
        <v>296.75142857142862</v>
      </c>
      <c r="Y622" s="17">
        <f t="shared" si="380"/>
        <v>6256.2526951530617</v>
      </c>
      <c r="Z622">
        <f t="shared" si="381"/>
        <v>952.29818340538475</v>
      </c>
    </row>
    <row r="623" spans="1:26" x14ac:dyDescent="0.25">
      <c r="A623" t="s">
        <v>52</v>
      </c>
      <c r="D623">
        <f t="shared" ref="D623:W623" si="390">D47*D227</f>
        <v>433.04693877551017</v>
      </c>
      <c r="E623">
        <f t="shared" si="390"/>
        <v>347.71755102040822</v>
      </c>
      <c r="F623">
        <f t="shared" si="390"/>
        <v>386.01795918367344</v>
      </c>
      <c r="G623">
        <f t="shared" si="390"/>
        <v>263.03714285714284</v>
      </c>
      <c r="H623">
        <f t="shared" si="390"/>
        <v>303.57510204081638</v>
      </c>
      <c r="I623">
        <f t="shared" si="390"/>
        <v>347.63265306122452</v>
      </c>
      <c r="J623">
        <f t="shared" si="390"/>
        <v>238.69632653061225</v>
      </c>
      <c r="K623">
        <f t="shared" si="390"/>
        <v>235.28081632653061</v>
      </c>
      <c r="L623">
        <f t="shared" si="390"/>
        <v>288.71687499999996</v>
      </c>
      <c r="M623">
        <f t="shared" si="390"/>
        <v>250.80530612244902</v>
      </c>
      <c r="N623">
        <f t="shared" si="390"/>
        <v>202.06775510204079</v>
      </c>
      <c r="O623">
        <f t="shared" si="390"/>
        <v>247.97081632653058</v>
      </c>
      <c r="P623">
        <f t="shared" si="390"/>
        <v>225.53142857142853</v>
      </c>
      <c r="Q623">
        <f t="shared" si="390"/>
        <v>287.62673469387755</v>
      </c>
      <c r="R623">
        <f t="shared" si="390"/>
        <v>294.57551020408164</v>
      </c>
      <c r="S623">
        <f t="shared" si="390"/>
        <v>276.87857142857138</v>
      </c>
      <c r="T623">
        <f t="shared" si="390"/>
        <v>230.62959183673468</v>
      </c>
      <c r="U623">
        <f t="shared" si="390"/>
        <v>320.86204081632656</v>
      </c>
      <c r="V623">
        <f t="shared" si="390"/>
        <v>281.98408163265304</v>
      </c>
      <c r="W623">
        <f t="shared" si="390"/>
        <v>414.04612244897965</v>
      </c>
      <c r="Y623" s="17">
        <f t="shared" si="380"/>
        <v>5876.699323979592</v>
      </c>
      <c r="Z623">
        <f t="shared" si="381"/>
        <v>874.98620508903059</v>
      </c>
    </row>
    <row r="624" spans="1:26" x14ac:dyDescent="0.25">
      <c r="A624" t="s">
        <v>53</v>
      </c>
      <c r="D624">
        <f t="shared" ref="D624:W624" si="391">D48*D228</f>
        <v>378.43755102040814</v>
      </c>
      <c r="E624">
        <f t="shared" si="391"/>
        <v>364.88571428571436</v>
      </c>
      <c r="F624">
        <f t="shared" si="391"/>
        <v>404.21755102040811</v>
      </c>
      <c r="G624">
        <f t="shared" si="391"/>
        <v>546.51020408163265</v>
      </c>
      <c r="H624">
        <f t="shared" si="391"/>
        <v>346.2171428571429</v>
      </c>
      <c r="I624">
        <f t="shared" si="391"/>
        <v>244.37571428571431</v>
      </c>
      <c r="J624">
        <f t="shared" si="391"/>
        <v>336.65428571428566</v>
      </c>
      <c r="K624">
        <f t="shared" si="391"/>
        <v>313.86367346938772</v>
      </c>
      <c r="L624">
        <f t="shared" si="391"/>
        <v>349.00031249999995</v>
      </c>
      <c r="M624">
        <f t="shared" si="391"/>
        <v>387.30408163265309</v>
      </c>
      <c r="N624">
        <f t="shared" si="391"/>
        <v>315.83571428571429</v>
      </c>
      <c r="O624">
        <f t="shared" si="391"/>
        <v>234.73061224489797</v>
      </c>
      <c r="P624">
        <f t="shared" si="391"/>
        <v>301.49571428571426</v>
      </c>
      <c r="Q624">
        <f t="shared" si="391"/>
        <v>224.43224489795918</v>
      </c>
      <c r="R624">
        <f t="shared" si="391"/>
        <v>255.46897959183673</v>
      </c>
      <c r="S624">
        <f t="shared" si="391"/>
        <v>288.74326530612245</v>
      </c>
      <c r="T624">
        <f t="shared" si="391"/>
        <v>348.09228571428565</v>
      </c>
      <c r="U624">
        <f t="shared" si="391"/>
        <v>328.08585714285709</v>
      </c>
      <c r="V624">
        <f t="shared" si="391"/>
        <v>316.45542857142857</v>
      </c>
      <c r="W624">
        <f t="shared" si="391"/>
        <v>345.87300000000005</v>
      </c>
      <c r="Y624" s="17">
        <f t="shared" si="380"/>
        <v>6630.6793329081629</v>
      </c>
      <c r="Z624">
        <f t="shared" si="381"/>
        <v>981.78078901883998</v>
      </c>
    </row>
    <row r="625" spans="1:26" x14ac:dyDescent="0.25">
      <c r="A625" t="s">
        <v>54</v>
      </c>
      <c r="D625">
        <f t="shared" ref="D625:W625" si="392">D49*D229</f>
        <v>443.01020408163271</v>
      </c>
      <c r="E625">
        <f t="shared" si="392"/>
        <v>397.31020408163261</v>
      </c>
      <c r="F625">
        <f t="shared" si="392"/>
        <v>332.65510204081636</v>
      </c>
      <c r="G625">
        <f t="shared" si="392"/>
        <v>325.97551020408162</v>
      </c>
      <c r="H625">
        <f t="shared" si="392"/>
        <v>305.46857142857141</v>
      </c>
      <c r="I625">
        <f t="shared" si="392"/>
        <v>316.91224489795917</v>
      </c>
      <c r="J625">
        <f t="shared" si="392"/>
        <v>228.13142857142861</v>
      </c>
      <c r="K625">
        <f t="shared" si="392"/>
        <v>339.26530612244898</v>
      </c>
      <c r="L625">
        <f t="shared" si="392"/>
        <v>296.489375</v>
      </c>
      <c r="M625">
        <f t="shared" si="392"/>
        <v>281.80200000000002</v>
      </c>
      <c r="N625">
        <f t="shared" si="392"/>
        <v>302.32439999999997</v>
      </c>
      <c r="O625">
        <f t="shared" si="392"/>
        <v>279.68189999999998</v>
      </c>
      <c r="P625">
        <f t="shared" si="392"/>
        <v>204.19560000000001</v>
      </c>
      <c r="Q625">
        <f t="shared" si="392"/>
        <v>274.51769999999999</v>
      </c>
      <c r="R625">
        <f t="shared" si="392"/>
        <v>186.10500000000002</v>
      </c>
      <c r="S625">
        <f t="shared" si="392"/>
        <v>278.09989999999999</v>
      </c>
      <c r="T625">
        <f t="shared" si="392"/>
        <v>199.04400000000001</v>
      </c>
      <c r="U625">
        <f t="shared" si="392"/>
        <v>278.83914285714286</v>
      </c>
      <c r="V625">
        <f t="shared" si="392"/>
        <v>277.12542857142864</v>
      </c>
      <c r="W625">
        <f t="shared" si="392"/>
        <v>375.26171428571428</v>
      </c>
      <c r="Y625" s="17">
        <f t="shared" si="380"/>
        <v>5922.2147321428583</v>
      </c>
      <c r="Z625">
        <f t="shared" si="381"/>
        <v>927.30436387925852</v>
      </c>
    </row>
    <row r="626" spans="1:26" x14ac:dyDescent="0.25">
      <c r="A626" t="s">
        <v>55</v>
      </c>
      <c r="D626">
        <f t="shared" ref="D626:W626" si="393">D50*D230</f>
        <v>494.35189999999994</v>
      </c>
      <c r="E626">
        <f t="shared" si="393"/>
        <v>518.96299999999997</v>
      </c>
      <c r="F626">
        <f t="shared" si="393"/>
        <v>395.13679999999999</v>
      </c>
      <c r="G626">
        <f t="shared" si="393"/>
        <v>456.76449999999994</v>
      </c>
      <c r="H626">
        <f t="shared" si="393"/>
        <v>445.536</v>
      </c>
      <c r="I626">
        <f t="shared" si="393"/>
        <v>457.77599999999995</v>
      </c>
      <c r="J626">
        <f t="shared" si="393"/>
        <v>297.96959999999996</v>
      </c>
      <c r="K626">
        <f t="shared" si="393"/>
        <v>349.00200000000001</v>
      </c>
      <c r="L626">
        <f t="shared" si="393"/>
        <v>317.2</v>
      </c>
      <c r="M626">
        <f t="shared" si="393"/>
        <v>358.42857142857144</v>
      </c>
      <c r="N626">
        <f t="shared" si="393"/>
        <v>371.20408163265307</v>
      </c>
      <c r="O626">
        <f t="shared" si="393"/>
        <v>192.33591836734698</v>
      </c>
      <c r="P626">
        <f t="shared" si="393"/>
        <v>246.18877551020407</v>
      </c>
      <c r="Q626">
        <f t="shared" si="393"/>
        <v>384.06122448979585</v>
      </c>
      <c r="R626">
        <f t="shared" si="393"/>
        <v>285.46938775510205</v>
      </c>
      <c r="S626">
        <f t="shared" si="393"/>
        <v>381.20816326530621</v>
      </c>
      <c r="T626">
        <f t="shared" si="393"/>
        <v>337.5281632653062</v>
      </c>
      <c r="U626">
        <f t="shared" si="393"/>
        <v>302.10571428571427</v>
      </c>
      <c r="V626">
        <f t="shared" si="393"/>
        <v>336.33367346938769</v>
      </c>
      <c r="W626">
        <f t="shared" si="393"/>
        <v>351.57306122448972</v>
      </c>
      <c r="Y626" s="17">
        <f t="shared" si="380"/>
        <v>7279.1365346938774</v>
      </c>
      <c r="Z626">
        <f t="shared" si="381"/>
        <v>1164.4858127557341</v>
      </c>
    </row>
    <row r="627" spans="1:26" x14ac:dyDescent="0.25">
      <c r="A627" t="s">
        <v>56</v>
      </c>
      <c r="D627">
        <f t="shared" ref="D627:W627" si="394">D51*D231</f>
        <v>587.23591836734693</v>
      </c>
      <c r="E627">
        <f t="shared" si="394"/>
        <v>405.48306122448975</v>
      </c>
      <c r="F627">
        <f t="shared" si="394"/>
        <v>430.62857142857143</v>
      </c>
      <c r="G627">
        <f t="shared" si="394"/>
        <v>380.28571428571428</v>
      </c>
      <c r="H627">
        <f t="shared" si="394"/>
        <v>286.72551020408167</v>
      </c>
      <c r="I627">
        <f t="shared" si="394"/>
        <v>296.00326530612239</v>
      </c>
      <c r="J627">
        <f t="shared" si="394"/>
        <v>275.65224489795918</v>
      </c>
      <c r="K627">
        <f t="shared" si="394"/>
        <v>373.87163265306123</v>
      </c>
      <c r="L627">
        <f t="shared" si="394"/>
        <v>297.30875000000009</v>
      </c>
      <c r="M627">
        <f t="shared" si="394"/>
        <v>282.33673469387759</v>
      </c>
      <c r="N627">
        <f t="shared" si="394"/>
        <v>205.27714285714288</v>
      </c>
      <c r="O627">
        <f t="shared" si="394"/>
        <v>359.00816326530611</v>
      </c>
      <c r="P627">
        <f t="shared" si="394"/>
        <v>316.39999999999998</v>
      </c>
      <c r="Q627">
        <f t="shared" si="394"/>
        <v>220.04897959183674</v>
      </c>
      <c r="R627">
        <f t="shared" si="394"/>
        <v>413.26122448979589</v>
      </c>
      <c r="S627">
        <f t="shared" si="394"/>
        <v>523.42244897959188</v>
      </c>
      <c r="T627">
        <f t="shared" si="394"/>
        <v>362.42408163265304</v>
      </c>
      <c r="U627">
        <f t="shared" si="394"/>
        <v>296.43428571428569</v>
      </c>
      <c r="V627">
        <f t="shared" si="394"/>
        <v>345.46000000000004</v>
      </c>
      <c r="W627">
        <f t="shared" si="394"/>
        <v>272.71836734693881</v>
      </c>
      <c r="Y627" s="17">
        <f t="shared" si="380"/>
        <v>6929.9860969387737</v>
      </c>
      <c r="Z627">
        <f t="shared" si="381"/>
        <v>1017.8961873016134</v>
      </c>
    </row>
    <row r="628" spans="1:26" x14ac:dyDescent="0.25">
      <c r="A628" t="s">
        <v>57</v>
      </c>
      <c r="D628">
        <f t="shared" ref="D628:W628" si="395">D52*D232</f>
        <v>442.33469387755105</v>
      </c>
      <c r="E628">
        <f t="shared" si="395"/>
        <v>356.13755102040813</v>
      </c>
      <c r="F628">
        <f t="shared" si="395"/>
        <v>302.11428571428581</v>
      </c>
      <c r="G628">
        <f t="shared" si="395"/>
        <v>317.63285714285712</v>
      </c>
      <c r="H628">
        <f t="shared" si="395"/>
        <v>279.90857142857146</v>
      </c>
      <c r="I628">
        <f t="shared" si="395"/>
        <v>308.03591836734699</v>
      </c>
      <c r="J628">
        <f t="shared" si="395"/>
        <v>310.35714285714289</v>
      </c>
      <c r="K628">
        <f t="shared" si="395"/>
        <v>250.14469387755102</v>
      </c>
      <c r="L628">
        <f t="shared" si="395"/>
        <v>288.97062499999998</v>
      </c>
      <c r="M628">
        <f t="shared" si="395"/>
        <v>278.66285714285709</v>
      </c>
      <c r="N628">
        <f t="shared" si="395"/>
        <v>305.79510204081629</v>
      </c>
      <c r="O628">
        <f t="shared" si="395"/>
        <v>247.14979591836737</v>
      </c>
      <c r="P628">
        <f t="shared" si="395"/>
        <v>318.37142857142857</v>
      </c>
      <c r="Q628">
        <f t="shared" si="395"/>
        <v>285.81714285714287</v>
      </c>
      <c r="R628">
        <f t="shared" si="395"/>
        <v>208.17163265306124</v>
      </c>
      <c r="S628">
        <f t="shared" si="395"/>
        <v>142.77918367346942</v>
      </c>
      <c r="T628">
        <f t="shared" si="395"/>
        <v>283.92899999999997</v>
      </c>
      <c r="U628">
        <f t="shared" si="395"/>
        <v>255.64</v>
      </c>
      <c r="V628">
        <f t="shared" si="395"/>
        <v>230.58938775510208</v>
      </c>
      <c r="W628">
        <f t="shared" si="395"/>
        <v>351.2865306122448</v>
      </c>
      <c r="Y628" s="17">
        <f t="shared" si="380"/>
        <v>5763.8284005102059</v>
      </c>
      <c r="Z628">
        <f t="shared" si="381"/>
        <v>878.26365478521905</v>
      </c>
    </row>
    <row r="629" spans="1:26" x14ac:dyDescent="0.25">
      <c r="A629" t="s">
        <v>58</v>
      </c>
      <c r="D629">
        <f t="shared" ref="D629:W629" si="396">D53*D233</f>
        <v>461.27448979591827</v>
      </c>
      <c r="E629">
        <f t="shared" si="396"/>
        <v>425.16326530612241</v>
      </c>
      <c r="F629">
        <f t="shared" si="396"/>
        <v>450.26734693877546</v>
      </c>
      <c r="G629">
        <f t="shared" si="396"/>
        <v>345.57959183673472</v>
      </c>
      <c r="H629">
        <f t="shared" si="396"/>
        <v>316.65306122448982</v>
      </c>
      <c r="I629">
        <f t="shared" si="396"/>
        <v>264.66612244897959</v>
      </c>
      <c r="J629">
        <f t="shared" si="396"/>
        <v>346.77142857142849</v>
      </c>
      <c r="K629">
        <f t="shared" si="396"/>
        <v>364.81632653061223</v>
      </c>
      <c r="L629">
        <f t="shared" si="396"/>
        <v>287.92031249999997</v>
      </c>
      <c r="M629">
        <f t="shared" si="396"/>
        <v>279.05738938775511</v>
      </c>
      <c r="N629">
        <f t="shared" si="396"/>
        <v>229.40897959183675</v>
      </c>
      <c r="O629">
        <f t="shared" si="396"/>
        <v>204.53571428571431</v>
      </c>
      <c r="P629">
        <f t="shared" si="396"/>
        <v>303.21836734693875</v>
      </c>
      <c r="Q629">
        <f t="shared" si="396"/>
        <v>186.20979591836735</v>
      </c>
      <c r="R629">
        <f t="shared" si="396"/>
        <v>242.30204081632652</v>
      </c>
      <c r="S629">
        <f t="shared" si="396"/>
        <v>209.26714285714286</v>
      </c>
      <c r="T629">
        <f t="shared" si="396"/>
        <v>273.07102040816329</v>
      </c>
      <c r="U629">
        <f t="shared" si="396"/>
        <v>371.30448979591841</v>
      </c>
      <c r="V629">
        <f t="shared" si="396"/>
        <v>311.44816326530611</v>
      </c>
      <c r="W629">
        <f t="shared" si="396"/>
        <v>268.40224489795918</v>
      </c>
      <c r="Y629" s="17">
        <f t="shared" si="380"/>
        <v>6141.3372937244894</v>
      </c>
      <c r="Z629">
        <f t="shared" si="381"/>
        <v>996.72260869334025</v>
      </c>
    </row>
    <row r="630" spans="1:26" x14ac:dyDescent="0.25">
      <c r="A630" t="s">
        <v>59</v>
      </c>
      <c r="D630">
        <f t="shared" ref="D630:W630" si="397">D54*D234</f>
        <v>383.95408163265307</v>
      </c>
      <c r="E630">
        <f t="shared" si="397"/>
        <v>449.1122448979591</v>
      </c>
      <c r="F630">
        <f t="shared" si="397"/>
        <v>332.43285714285713</v>
      </c>
      <c r="G630">
        <f t="shared" si="397"/>
        <v>312.39489795918371</v>
      </c>
      <c r="H630">
        <f t="shared" si="397"/>
        <v>365.63428571428574</v>
      </c>
      <c r="I630">
        <f t="shared" si="397"/>
        <v>408.06122448979596</v>
      </c>
      <c r="J630">
        <f t="shared" si="397"/>
        <v>329.03387755102045</v>
      </c>
      <c r="K630">
        <f t="shared" si="397"/>
        <v>329.95265306122457</v>
      </c>
      <c r="L630">
        <f t="shared" si="397"/>
        <v>287.5530612244898</v>
      </c>
      <c r="M630">
        <f t="shared" si="397"/>
        <v>251.80571428571434</v>
      </c>
      <c r="N630">
        <f t="shared" si="397"/>
        <v>295.01877551020408</v>
      </c>
      <c r="O630">
        <f t="shared" si="397"/>
        <v>251.21959183673468</v>
      </c>
      <c r="P630">
        <f t="shared" si="397"/>
        <v>277.04408163265305</v>
      </c>
      <c r="Q630">
        <f t="shared" si="397"/>
        <v>221.51714285714289</v>
      </c>
      <c r="R630">
        <f t="shared" si="397"/>
        <v>266.0159183673469</v>
      </c>
      <c r="S630">
        <f t="shared" si="397"/>
        <v>474.70612244897961</v>
      </c>
      <c r="T630">
        <f t="shared" si="397"/>
        <v>470.25714285714281</v>
      </c>
      <c r="U630">
        <f t="shared" si="397"/>
        <v>326.72489795918364</v>
      </c>
      <c r="V630">
        <f t="shared" si="397"/>
        <v>296.87857142857143</v>
      </c>
      <c r="W630">
        <f t="shared" si="397"/>
        <v>345.26999999999992</v>
      </c>
      <c r="Y630" s="17">
        <f t="shared" si="380"/>
        <v>6674.5871428571436</v>
      </c>
      <c r="Z630">
        <f t="shared" si="381"/>
        <v>1003.9748815778185</v>
      </c>
    </row>
    <row r="631" spans="1:26" x14ac:dyDescent="0.25">
      <c r="A631" t="s">
        <v>60</v>
      </c>
      <c r="D631">
        <f t="shared" ref="D631:W631" si="398">D55*D235</f>
        <v>319.85877551020411</v>
      </c>
      <c r="E631">
        <f t="shared" si="398"/>
        <v>392.81632653061223</v>
      </c>
      <c r="F631">
        <f t="shared" si="398"/>
        <v>322.89183673469392</v>
      </c>
      <c r="G631">
        <f t="shared" si="398"/>
        <v>298.30040816326533</v>
      </c>
      <c r="H631">
        <f t="shared" si="398"/>
        <v>229.84653061224489</v>
      </c>
      <c r="I631">
        <f t="shared" si="398"/>
        <v>331.56244897959186</v>
      </c>
      <c r="J631">
        <f t="shared" si="398"/>
        <v>335.68408163265309</v>
      </c>
      <c r="K631">
        <f t="shared" si="398"/>
        <v>379.27</v>
      </c>
      <c r="L631">
        <f t="shared" si="398"/>
        <v>261.916875</v>
      </c>
      <c r="M631">
        <f t="shared" si="398"/>
        <v>268.07020408163271</v>
      </c>
      <c r="N631">
        <f t="shared" si="398"/>
        <v>264.10000000000002</v>
      </c>
      <c r="O631">
        <f t="shared" si="398"/>
        <v>251.0204081632653</v>
      </c>
      <c r="P631">
        <f t="shared" si="398"/>
        <v>282.74693877551022</v>
      </c>
      <c r="Q631">
        <f t="shared" si="398"/>
        <v>320.08775510204083</v>
      </c>
      <c r="R631">
        <f t="shared" si="398"/>
        <v>319.29795918367347</v>
      </c>
      <c r="S631">
        <f t="shared" si="398"/>
        <v>303.37102040816319</v>
      </c>
      <c r="T631">
        <f t="shared" si="398"/>
        <v>361.37306122448979</v>
      </c>
      <c r="U631">
        <f t="shared" si="398"/>
        <v>349.62244897959187</v>
      </c>
      <c r="V631">
        <f t="shared" si="398"/>
        <v>182.94979591836733</v>
      </c>
      <c r="W631">
        <f t="shared" si="398"/>
        <v>331.81387755102043</v>
      </c>
      <c r="Y631" s="17">
        <f t="shared" si="380"/>
        <v>6106.6007525510213</v>
      </c>
      <c r="Z631">
        <f t="shared" si="381"/>
        <v>908.07677066499764</v>
      </c>
    </row>
    <row r="632" spans="1:26" x14ac:dyDescent="0.25">
      <c r="A632" t="s">
        <v>61</v>
      </c>
      <c r="D632">
        <f t="shared" ref="D632:W632" si="399">D56*D236</f>
        <v>565.48571428571438</v>
      </c>
      <c r="E632">
        <f t="shared" si="399"/>
        <v>452.9387755102041</v>
      </c>
      <c r="F632">
        <f t="shared" si="399"/>
        <v>355.64408163265307</v>
      </c>
      <c r="G632">
        <f t="shared" si="399"/>
        <v>466.45510204081637</v>
      </c>
      <c r="H632">
        <f t="shared" si="399"/>
        <v>366.88775510204084</v>
      </c>
      <c r="I632">
        <f t="shared" si="399"/>
        <v>356.57142857142856</v>
      </c>
      <c r="J632">
        <f t="shared" si="399"/>
        <v>359.87265306122447</v>
      </c>
      <c r="K632">
        <f t="shared" si="399"/>
        <v>301.66428571428565</v>
      </c>
      <c r="L632">
        <f t="shared" si="399"/>
        <v>245.59718749999999</v>
      </c>
      <c r="M632">
        <f t="shared" si="399"/>
        <v>821.45142857142832</v>
      </c>
      <c r="N632">
        <f t="shared" si="399"/>
        <v>934.84285714285716</v>
      </c>
      <c r="O632">
        <f t="shared" si="399"/>
        <v>1014.7163265306122</v>
      </c>
      <c r="P632">
        <f t="shared" si="399"/>
        <v>869.30612244897952</v>
      </c>
      <c r="Q632">
        <f t="shared" si="399"/>
        <v>911.34612244897949</v>
      </c>
      <c r="R632">
        <f t="shared" si="399"/>
        <v>1041.8465306122448</v>
      </c>
      <c r="S632">
        <f t="shared" si="399"/>
        <v>1179.8999999999999</v>
      </c>
      <c r="T632">
        <f t="shared" si="399"/>
        <v>1018.577755102041</v>
      </c>
      <c r="U632">
        <f t="shared" si="399"/>
        <v>1406.0051020408164</v>
      </c>
      <c r="V632">
        <f t="shared" si="399"/>
        <v>1338.1114285714289</v>
      </c>
      <c r="W632">
        <f t="shared" si="399"/>
        <v>1606.8967346938773</v>
      </c>
      <c r="Y632" s="17">
        <f t="shared" si="380"/>
        <v>15614.117391581629</v>
      </c>
      <c r="Z632">
        <f t="shared" si="381"/>
        <v>1004.490889836811</v>
      </c>
    </row>
    <row r="633" spans="1:26" x14ac:dyDescent="0.25">
      <c r="A633" t="s">
        <v>62</v>
      </c>
      <c r="D633">
        <f t="shared" ref="D633:W633" si="400">D57*D237</f>
        <v>1360.542857142857</v>
      </c>
      <c r="E633">
        <f t="shared" si="400"/>
        <v>1291.8820408163265</v>
      </c>
      <c r="F633">
        <f t="shared" si="400"/>
        <v>1391.1526530612246</v>
      </c>
      <c r="G633">
        <f t="shared" si="400"/>
        <v>1337.9591836734694</v>
      </c>
      <c r="H633">
        <f t="shared" si="400"/>
        <v>1226.6481632653058</v>
      </c>
      <c r="I633">
        <f t="shared" si="400"/>
        <v>1114.9514285714283</v>
      </c>
      <c r="J633">
        <f t="shared" si="400"/>
        <v>1065.8987755102039</v>
      </c>
      <c r="K633">
        <f t="shared" si="400"/>
        <v>941.53102040816327</v>
      </c>
      <c r="L633">
        <f t="shared" si="400"/>
        <v>900.15796875000012</v>
      </c>
      <c r="M633">
        <f t="shared" si="400"/>
        <v>269.11829591836732</v>
      </c>
      <c r="N633">
        <f t="shared" si="400"/>
        <v>274.87188571428572</v>
      </c>
      <c r="O633">
        <f t="shared" si="400"/>
        <v>234.11763877551027</v>
      </c>
      <c r="P633">
        <f t="shared" si="400"/>
        <v>260.82975102040814</v>
      </c>
      <c r="Q633">
        <f t="shared" si="400"/>
        <v>243.8906959183673</v>
      </c>
      <c r="R633">
        <f t="shared" si="400"/>
        <v>270.69033469387756</v>
      </c>
      <c r="S633">
        <f t="shared" si="400"/>
        <v>281.30519795918366</v>
      </c>
      <c r="T633">
        <f t="shared" si="400"/>
        <v>307.0867673469387</v>
      </c>
      <c r="U633">
        <f t="shared" si="400"/>
        <v>306.18385714285711</v>
      </c>
      <c r="V633">
        <f t="shared" si="400"/>
        <v>275.16744489795929</v>
      </c>
      <c r="W633">
        <f t="shared" si="400"/>
        <v>303.8239142857143</v>
      </c>
      <c r="Y633" s="17">
        <f t="shared" si="380"/>
        <v>13657.80987487245</v>
      </c>
      <c r="Z633">
        <f t="shared" si="381"/>
        <v>3260.006240251189</v>
      </c>
    </row>
    <row r="634" spans="1:26" x14ac:dyDescent="0.25">
      <c r="A634" t="s">
        <v>63</v>
      </c>
      <c r="D634">
        <f t="shared" ref="D634:W634" si="401">D58*D238</f>
        <v>432.97682653061219</v>
      </c>
      <c r="E634">
        <f t="shared" si="401"/>
        <v>368.24029999999999</v>
      </c>
      <c r="F634">
        <f t="shared" si="401"/>
        <v>399.7161999999999</v>
      </c>
      <c r="G634">
        <f t="shared" si="401"/>
        <v>414.31198979591835</v>
      </c>
      <c r="H634">
        <f t="shared" si="401"/>
        <v>304.74286530612244</v>
      </c>
      <c r="I634">
        <f t="shared" si="401"/>
        <v>313.66311428571424</v>
      </c>
      <c r="J634">
        <f t="shared" si="401"/>
        <v>278.9552163265306</v>
      </c>
      <c r="K634">
        <f t="shared" si="401"/>
        <v>283.5878571428571</v>
      </c>
      <c r="L634">
        <f t="shared" si="401"/>
        <v>271.38637499999999</v>
      </c>
      <c r="M634">
        <f t="shared" si="401"/>
        <v>242.97510204081632</v>
      </c>
      <c r="N634">
        <f t="shared" si="401"/>
        <v>246.42367346938778</v>
      </c>
      <c r="O634">
        <f t="shared" si="401"/>
        <v>320.3042857142857</v>
      </c>
      <c r="P634">
        <f t="shared" si="401"/>
        <v>190.55510204081634</v>
      </c>
      <c r="Q634">
        <f t="shared" si="401"/>
        <v>300.85142857142864</v>
      </c>
      <c r="R634">
        <f t="shared" si="401"/>
        <v>306.55836734693884</v>
      </c>
      <c r="S634">
        <f t="shared" si="401"/>
        <v>358.75714285714287</v>
      </c>
      <c r="T634">
        <f t="shared" si="401"/>
        <v>413.0306122448979</v>
      </c>
      <c r="U634">
        <f t="shared" si="401"/>
        <v>328.12857142857143</v>
      </c>
      <c r="V634">
        <f t="shared" si="401"/>
        <v>386.71551020408162</v>
      </c>
      <c r="W634">
        <f t="shared" si="401"/>
        <v>424.12755102040819</v>
      </c>
      <c r="Y634" s="17">
        <f t="shared" si="380"/>
        <v>6586.0080913265319</v>
      </c>
      <c r="Z634">
        <f t="shared" si="381"/>
        <v>945.90914670352538</v>
      </c>
    </row>
    <row r="635" spans="1:26" x14ac:dyDescent="0.25">
      <c r="A635" t="s">
        <v>64</v>
      </c>
      <c r="D635">
        <f t="shared" ref="D635:W635" si="402">D59*D239</f>
        <v>483.29265306122454</v>
      </c>
      <c r="E635">
        <f t="shared" si="402"/>
        <v>511.02714285714285</v>
      </c>
      <c r="F635">
        <f t="shared" si="402"/>
        <v>460.16244897959183</v>
      </c>
      <c r="G635">
        <f t="shared" si="402"/>
        <v>463.48163265306113</v>
      </c>
      <c r="H635">
        <f t="shared" si="402"/>
        <v>336.51428571428568</v>
      </c>
      <c r="I635">
        <f t="shared" si="402"/>
        <v>422.76571428571424</v>
      </c>
      <c r="J635">
        <f t="shared" si="402"/>
        <v>330.86204081632656</v>
      </c>
      <c r="K635">
        <f t="shared" si="402"/>
        <v>334.01551020408158</v>
      </c>
      <c r="L635">
        <f t="shared" si="402"/>
        <v>358.20796874999991</v>
      </c>
      <c r="M635">
        <f t="shared" si="402"/>
        <v>298.21224489795918</v>
      </c>
      <c r="N635">
        <f t="shared" si="402"/>
        <v>237.47326530612241</v>
      </c>
      <c r="O635">
        <f t="shared" si="402"/>
        <v>236.90714285714287</v>
      </c>
      <c r="P635">
        <f t="shared" si="402"/>
        <v>341.52081632653062</v>
      </c>
      <c r="Q635">
        <f t="shared" si="402"/>
        <v>362.41285714285715</v>
      </c>
      <c r="R635">
        <f t="shared" si="402"/>
        <v>411.22653061224491</v>
      </c>
      <c r="S635">
        <f t="shared" si="402"/>
        <v>270.38040816326526</v>
      </c>
      <c r="T635">
        <f t="shared" si="402"/>
        <v>334.36979591836734</v>
      </c>
      <c r="U635">
        <f t="shared" si="402"/>
        <v>377.28061224489795</v>
      </c>
      <c r="V635">
        <f t="shared" si="402"/>
        <v>351.35448979591843</v>
      </c>
      <c r="W635">
        <f t="shared" si="402"/>
        <v>337.38571428571424</v>
      </c>
      <c r="Y635" s="17">
        <f t="shared" si="380"/>
        <v>7258.8532748724501</v>
      </c>
      <c r="Z635">
        <f t="shared" si="381"/>
        <v>1143.7498047631254</v>
      </c>
    </row>
    <row r="636" spans="1:26" x14ac:dyDescent="0.25">
      <c r="A636" t="s">
        <v>65</v>
      </c>
      <c r="D636">
        <f t="shared" ref="D636:W636" si="403">D60*D240</f>
        <v>514.83918367346939</v>
      </c>
      <c r="E636">
        <f t="shared" si="403"/>
        <v>485.60897959183671</v>
      </c>
      <c r="F636">
        <f t="shared" si="403"/>
        <v>321.99061224489793</v>
      </c>
      <c r="G636">
        <f t="shared" si="403"/>
        <v>232.03714285714284</v>
      </c>
      <c r="H636">
        <f t="shared" si="403"/>
        <v>318.19591836734696</v>
      </c>
      <c r="I636">
        <f t="shared" si="403"/>
        <v>353.35714285714283</v>
      </c>
      <c r="J636">
        <f t="shared" si="403"/>
        <v>285.56979591836733</v>
      </c>
      <c r="K636">
        <f t="shared" si="403"/>
        <v>312.21551020408162</v>
      </c>
      <c r="L636">
        <f t="shared" si="403"/>
        <v>301.640625</v>
      </c>
      <c r="M636">
        <f t="shared" si="403"/>
        <v>332.76734693877546</v>
      </c>
      <c r="N636">
        <f t="shared" si="403"/>
        <v>297.62040816326538</v>
      </c>
      <c r="O636">
        <f t="shared" si="403"/>
        <v>310.02653061224487</v>
      </c>
      <c r="P636">
        <f t="shared" si="403"/>
        <v>161.88897959183674</v>
      </c>
      <c r="Q636">
        <f t="shared" si="403"/>
        <v>320.88734693877552</v>
      </c>
      <c r="R636">
        <f t="shared" si="403"/>
        <v>229.69</v>
      </c>
      <c r="S636">
        <f t="shared" si="403"/>
        <v>261.24326530612245</v>
      </c>
      <c r="T636">
        <f t="shared" si="403"/>
        <v>231.29714285714286</v>
      </c>
      <c r="U636">
        <f t="shared" si="403"/>
        <v>203.6295918367347</v>
      </c>
      <c r="V636">
        <f t="shared" si="403"/>
        <v>333.17857142857139</v>
      </c>
      <c r="W636">
        <f t="shared" si="403"/>
        <v>378.86693877551011</v>
      </c>
      <c r="Y636" s="17">
        <f t="shared" si="380"/>
        <v>6186.551033163264</v>
      </c>
      <c r="Z636">
        <f t="shared" si="381"/>
        <v>995.34905903050083</v>
      </c>
    </row>
    <row r="637" spans="1:26" x14ac:dyDescent="0.25">
      <c r="A637" t="s">
        <v>66</v>
      </c>
      <c r="D637">
        <f t="shared" ref="D637:W637" si="404">D61*D241</f>
        <v>399.00000000000006</v>
      </c>
      <c r="E637">
        <f t="shared" si="404"/>
        <v>346.93224489795909</v>
      </c>
      <c r="F637">
        <f t="shared" si="404"/>
        <v>322.98632653061213</v>
      </c>
      <c r="G637">
        <f t="shared" si="404"/>
        <v>361.63673469387743</v>
      </c>
      <c r="H637">
        <f t="shared" si="404"/>
        <v>303.5557142857142</v>
      </c>
      <c r="I637">
        <f t="shared" si="404"/>
        <v>391.58285714285699</v>
      </c>
      <c r="J637">
        <f t="shared" si="404"/>
        <v>429.41306122448981</v>
      </c>
      <c r="K637">
        <f t="shared" si="404"/>
        <v>390.12244897959192</v>
      </c>
      <c r="L637">
        <f t="shared" si="404"/>
        <v>290.94374999999991</v>
      </c>
      <c r="M637">
        <f t="shared" si="404"/>
        <v>319.7251020408163</v>
      </c>
      <c r="N637">
        <f t="shared" si="404"/>
        <v>382.28816326530614</v>
      </c>
      <c r="O637">
        <f t="shared" si="404"/>
        <v>432.59591836734683</v>
      </c>
      <c r="P637">
        <f t="shared" si="404"/>
        <v>328.61142857142852</v>
      </c>
      <c r="Q637">
        <f t="shared" si="404"/>
        <v>279.02734693877545</v>
      </c>
      <c r="R637">
        <f t="shared" si="404"/>
        <v>273.77673469387753</v>
      </c>
      <c r="S637">
        <f t="shared" si="404"/>
        <v>320.46530612244896</v>
      </c>
      <c r="T637">
        <f t="shared" si="404"/>
        <v>343.26938775510206</v>
      </c>
      <c r="U637">
        <f t="shared" si="404"/>
        <v>372.28040816326535</v>
      </c>
      <c r="V637">
        <f t="shared" si="404"/>
        <v>342.58979591836732</v>
      </c>
      <c r="W637">
        <f t="shared" si="404"/>
        <v>330.80163265306123</v>
      </c>
      <c r="Y637" s="17">
        <f t="shared" si="380"/>
        <v>6961.6043622448979</v>
      </c>
      <c r="Z637">
        <f t="shared" si="381"/>
        <v>1009.1691513635487</v>
      </c>
    </row>
    <row r="638" spans="1:26" x14ac:dyDescent="0.25">
      <c r="A638" t="s">
        <v>67</v>
      </c>
      <c r="D638">
        <f t="shared" ref="D638:W638" si="405">D62*D242</f>
        <v>355.17959183673474</v>
      </c>
      <c r="E638">
        <f t="shared" si="405"/>
        <v>458.1738775510205</v>
      </c>
      <c r="F638">
        <f t="shared" si="405"/>
        <v>460.59918367346944</v>
      </c>
      <c r="G638">
        <f t="shared" si="405"/>
        <v>345.74571428571414</v>
      </c>
      <c r="H638">
        <f t="shared" si="405"/>
        <v>328.50367346938776</v>
      </c>
      <c r="I638">
        <f t="shared" si="405"/>
        <v>326.80714285714294</v>
      </c>
      <c r="J638">
        <f t="shared" si="405"/>
        <v>429.50265306122441</v>
      </c>
      <c r="K638">
        <f t="shared" si="405"/>
        <v>442.63265306122446</v>
      </c>
      <c r="L638">
        <f t="shared" si="405"/>
        <v>388.72938775510198</v>
      </c>
      <c r="M638">
        <f t="shared" si="405"/>
        <v>357.52102040816322</v>
      </c>
      <c r="N638">
        <f t="shared" si="405"/>
        <v>297.52081632653056</v>
      </c>
      <c r="O638">
        <f t="shared" si="405"/>
        <v>302.21551020408168</v>
      </c>
      <c r="P638">
        <f t="shared" si="405"/>
        <v>325.8742857142858</v>
      </c>
      <c r="Q638">
        <f t="shared" si="405"/>
        <v>353.7534693877551</v>
      </c>
      <c r="R638">
        <f t="shared" si="405"/>
        <v>375.61857142857139</v>
      </c>
      <c r="S638">
        <f t="shared" si="405"/>
        <v>276.58408163265307</v>
      </c>
      <c r="T638">
        <f t="shared" si="405"/>
        <v>310.23612244897964</v>
      </c>
      <c r="U638">
        <f t="shared" si="405"/>
        <v>329.70571428571424</v>
      </c>
      <c r="V638">
        <f t="shared" si="405"/>
        <v>360</v>
      </c>
      <c r="W638">
        <f t="shared" si="405"/>
        <v>322.16326530612247</v>
      </c>
      <c r="Y638" s="17">
        <f t="shared" si="380"/>
        <v>7147.0667346938762</v>
      </c>
      <c r="Z638">
        <f t="shared" si="381"/>
        <v>1107.9984102836875</v>
      </c>
    </row>
    <row r="639" spans="1:26" x14ac:dyDescent="0.25">
      <c r="A639" t="s">
        <v>68</v>
      </c>
      <c r="D639">
        <f t="shared" ref="D639:W639" si="406">D63*D243</f>
        <v>469.6653061224489</v>
      </c>
      <c r="E639">
        <f t="shared" si="406"/>
        <v>519.94897959183675</v>
      </c>
      <c r="F639">
        <f t="shared" si="406"/>
        <v>696.51755102040818</v>
      </c>
      <c r="G639">
        <f t="shared" si="406"/>
        <v>509.06448979591835</v>
      </c>
      <c r="H639">
        <f t="shared" si="406"/>
        <v>551.87408163265309</v>
      </c>
      <c r="I639">
        <f t="shared" si="406"/>
        <v>414.71959183673465</v>
      </c>
      <c r="J639">
        <f t="shared" si="406"/>
        <v>215.99693877551019</v>
      </c>
      <c r="K639">
        <f t="shared" si="406"/>
        <v>262.89326530612249</v>
      </c>
      <c r="L639">
        <f t="shared" si="406"/>
        <v>324.18359375</v>
      </c>
      <c r="M639">
        <f t="shared" si="406"/>
        <v>214.42040816326536</v>
      </c>
      <c r="N639">
        <f t="shared" si="406"/>
        <v>269.53959183673464</v>
      </c>
      <c r="O639">
        <f t="shared" si="406"/>
        <v>217.34367346938774</v>
      </c>
      <c r="P639">
        <f t="shared" si="406"/>
        <v>327.92571428571432</v>
      </c>
      <c r="Q639">
        <f t="shared" si="406"/>
        <v>339.90714285714284</v>
      </c>
      <c r="R639">
        <f t="shared" si="406"/>
        <v>382.48163265306118</v>
      </c>
      <c r="S639">
        <f t="shared" si="406"/>
        <v>373.25469387755106</v>
      </c>
      <c r="T639">
        <f t="shared" si="406"/>
        <v>306.00612244897957</v>
      </c>
      <c r="U639">
        <f t="shared" si="406"/>
        <v>361.19346938775504</v>
      </c>
      <c r="V639">
        <f t="shared" si="406"/>
        <v>260.11428571428576</v>
      </c>
      <c r="W639">
        <f t="shared" si="406"/>
        <v>269.6334693877551</v>
      </c>
      <c r="Y639" s="17">
        <f t="shared" si="380"/>
        <v>7286.6840019132651</v>
      </c>
      <c r="Z639">
        <f t="shared" si="381"/>
        <v>1210.8164447984923</v>
      </c>
    </row>
    <row r="640" spans="1:26" x14ac:dyDescent="0.25">
      <c r="A640" t="s">
        <v>69</v>
      </c>
      <c r="D640">
        <f t="shared" ref="D640:W640" si="407">D64*D244</f>
        <v>416.8261224489795</v>
      </c>
      <c r="E640">
        <f t="shared" si="407"/>
        <v>451.74448979591835</v>
      </c>
      <c r="F640">
        <f t="shared" si="407"/>
        <v>458.44734693877558</v>
      </c>
      <c r="G640">
        <f t="shared" si="407"/>
        <v>380.33020408163264</v>
      </c>
      <c r="H640">
        <f t="shared" si="407"/>
        <v>474.21428571428578</v>
      </c>
      <c r="I640">
        <f t="shared" si="407"/>
        <v>466.30714285714276</v>
      </c>
      <c r="J640">
        <f t="shared" si="407"/>
        <v>310.86224489795916</v>
      </c>
      <c r="K640">
        <f t="shared" si="407"/>
        <v>361.77795918367343</v>
      </c>
      <c r="L640">
        <f t="shared" si="407"/>
        <v>302.85906249999999</v>
      </c>
      <c r="M640">
        <f t="shared" si="407"/>
        <v>284.44897959183669</v>
      </c>
      <c r="N640">
        <f t="shared" si="407"/>
        <v>180.11530612244891</v>
      </c>
      <c r="O640">
        <f t="shared" si="407"/>
        <v>218.63224489795923</v>
      </c>
      <c r="P640">
        <f t="shared" si="407"/>
        <v>252.17673469387756</v>
      </c>
      <c r="Q640">
        <f t="shared" si="407"/>
        <v>255.36285714285722</v>
      </c>
      <c r="R640">
        <f t="shared" si="407"/>
        <v>168.91830357142859</v>
      </c>
      <c r="S640">
        <f t="shared" si="407"/>
        <v>264.35479591836736</v>
      </c>
      <c r="T640">
        <f t="shared" si="407"/>
        <v>299.77775510204077</v>
      </c>
      <c r="U640">
        <f t="shared" si="407"/>
        <v>307.31510204081633</v>
      </c>
      <c r="V640">
        <f t="shared" si="407"/>
        <v>266.67469387755102</v>
      </c>
      <c r="W640">
        <f t="shared" si="407"/>
        <v>303.55102040816331</v>
      </c>
      <c r="Y640" s="17">
        <f t="shared" si="380"/>
        <v>6424.6966517857145</v>
      </c>
      <c r="Z640">
        <f t="shared" si="381"/>
        <v>1129.2699059052622</v>
      </c>
    </row>
    <row r="641" spans="1:26" x14ac:dyDescent="0.25">
      <c r="Y641" s="17"/>
    </row>
    <row r="642" spans="1:26" x14ac:dyDescent="0.25">
      <c r="A642" t="s">
        <v>70</v>
      </c>
      <c r="D642">
        <f t="shared" ref="D642:W642" si="408">D66*D246</f>
        <v>408.50408163265308</v>
      </c>
      <c r="E642">
        <f t="shared" si="408"/>
        <v>372.87367346938788</v>
      </c>
      <c r="F642">
        <f t="shared" si="408"/>
        <v>415.89030612244903</v>
      </c>
      <c r="G642">
        <f t="shared" si="408"/>
        <v>338.45989795918365</v>
      </c>
      <c r="H642">
        <f t="shared" si="408"/>
        <v>379.19785714285706</v>
      </c>
      <c r="I642">
        <f t="shared" si="408"/>
        <v>418.69959183673473</v>
      </c>
      <c r="J642">
        <f t="shared" si="408"/>
        <v>396.9147959183673</v>
      </c>
      <c r="K642">
        <f t="shared" si="408"/>
        <v>384.37775510204085</v>
      </c>
      <c r="L642">
        <f t="shared" si="408"/>
        <v>273.30874999999992</v>
      </c>
      <c r="M642">
        <f t="shared" si="408"/>
        <v>263.66448979591831</v>
      </c>
      <c r="N642">
        <f t="shared" si="408"/>
        <v>295.49265306122447</v>
      </c>
      <c r="O642">
        <f t="shared" si="408"/>
        <v>280.97551020408162</v>
      </c>
      <c r="P642">
        <f t="shared" si="408"/>
        <v>247.08571428571429</v>
      </c>
      <c r="Q642">
        <f t="shared" si="408"/>
        <v>444.01224489795908</v>
      </c>
      <c r="R642">
        <f t="shared" si="408"/>
        <v>366.38265306122446</v>
      </c>
      <c r="S642">
        <f t="shared" si="408"/>
        <v>397.58193592680044</v>
      </c>
      <c r="T642">
        <f t="shared" si="408"/>
        <v>395.58306122448982</v>
      </c>
      <c r="U642">
        <f t="shared" si="408"/>
        <v>295.59183673469386</v>
      </c>
      <c r="V642">
        <f t="shared" si="408"/>
        <v>332.41183673469379</v>
      </c>
      <c r="W642">
        <f t="shared" si="408"/>
        <v>391.36734693877554</v>
      </c>
      <c r="Y642" s="17">
        <f t="shared" si="380"/>
        <v>7098.3759920492494</v>
      </c>
      <c r="Z642">
        <f>SUMPRODUCT($D$646:$W$646,D642:W642)</f>
        <v>1065.0365638431565</v>
      </c>
    </row>
    <row r="643" spans="1:26" x14ac:dyDescent="0.25">
      <c r="A643" t="s">
        <v>314</v>
      </c>
      <c r="D643">
        <f t="shared" ref="D643:W643" si="409">D67*D247</f>
        <v>580.37714285714276</v>
      </c>
      <c r="E643">
        <f t="shared" si="409"/>
        <v>520.94510204081632</v>
      </c>
      <c r="F643">
        <f t="shared" si="409"/>
        <v>398.74040816326527</v>
      </c>
      <c r="G643">
        <f t="shared" si="409"/>
        <v>402.31632653061229</v>
      </c>
      <c r="H643">
        <f t="shared" si="409"/>
        <v>450.13918367346935</v>
      </c>
      <c r="I643">
        <f t="shared" si="409"/>
        <v>389.45081632653051</v>
      </c>
      <c r="J643">
        <f t="shared" si="409"/>
        <v>334.10999999999996</v>
      </c>
      <c r="K643">
        <f t="shared" si="409"/>
        <v>305.66020408163274</v>
      </c>
      <c r="L643">
        <f t="shared" si="409"/>
        <v>294.16109374999996</v>
      </c>
      <c r="M643">
        <f t="shared" si="409"/>
        <v>350.93000000000006</v>
      </c>
      <c r="N643">
        <f t="shared" si="409"/>
        <v>322.48020408163268</v>
      </c>
      <c r="O643">
        <f t="shared" si="409"/>
        <v>246.57612244897962</v>
      </c>
      <c r="P643">
        <f t="shared" si="409"/>
        <v>393.6</v>
      </c>
      <c r="Q643">
        <f t="shared" si="409"/>
        <v>406.02000000000004</v>
      </c>
      <c r="R643">
        <f t="shared" si="409"/>
        <v>352.24</v>
      </c>
      <c r="S643">
        <f t="shared" si="409"/>
        <v>342.2</v>
      </c>
      <c r="T643">
        <f t="shared" si="409"/>
        <v>423.54161038961041</v>
      </c>
      <c r="U643">
        <f t="shared" si="409"/>
        <v>358.53714285714295</v>
      </c>
      <c r="V643">
        <f t="shared" si="409"/>
        <v>255.95755102040812</v>
      </c>
      <c r="W643">
        <f t="shared" si="409"/>
        <v>384.68571428571425</v>
      </c>
      <c r="Y643" s="17">
        <f t="shared" si="380"/>
        <v>7512.6686225069598</v>
      </c>
      <c r="Z643">
        <f>SUMPRODUCT($D$646:$W$646,D643:W643)</f>
        <v>1134.2761095459521</v>
      </c>
    </row>
    <row r="644" spans="1:26" x14ac:dyDescent="0.25">
      <c r="A644" t="s">
        <v>315</v>
      </c>
      <c r="D644">
        <f t="shared" ref="D644:W644" si="410">D68*D248</f>
        <v>559.37142857142851</v>
      </c>
      <c r="E644">
        <f t="shared" si="410"/>
        <v>521.57387755102036</v>
      </c>
      <c r="F644">
        <f t="shared" si="410"/>
        <v>691.5224489795919</v>
      </c>
      <c r="G644">
        <f t="shared" si="410"/>
        <v>444.69183673469388</v>
      </c>
      <c r="H644">
        <f t="shared" si="410"/>
        <v>456.00000000000006</v>
      </c>
      <c r="I644">
        <f t="shared" si="410"/>
        <v>333.97959183673464</v>
      </c>
      <c r="J644">
        <f t="shared" si="410"/>
        <v>527.72918367346927</v>
      </c>
      <c r="K644">
        <f t="shared" si="410"/>
        <v>267.04693877551017</v>
      </c>
      <c r="L644">
        <f t="shared" si="410"/>
        <v>181.48609375000004</v>
      </c>
      <c r="M644">
        <f t="shared" si="410"/>
        <v>292.32</v>
      </c>
      <c r="N644">
        <f t="shared" si="410"/>
        <v>353.76</v>
      </c>
      <c r="O644">
        <f t="shared" si="410"/>
        <v>288.36</v>
      </c>
      <c r="P644">
        <f t="shared" si="410"/>
        <v>339.47964575459815</v>
      </c>
      <c r="Q644">
        <f t="shared" si="410"/>
        <v>372.81059259259263</v>
      </c>
      <c r="R644">
        <f t="shared" si="410"/>
        <v>387.78535590828926</v>
      </c>
      <c r="S644">
        <f t="shared" si="410"/>
        <v>411.21364887881083</v>
      </c>
      <c r="T644">
        <f t="shared" si="410"/>
        <v>480.15795918367337</v>
      </c>
      <c r="U644">
        <f t="shared" si="410"/>
        <v>332.35265306122443</v>
      </c>
      <c r="V644">
        <f t="shared" si="410"/>
        <v>379.91367346938779</v>
      </c>
      <c r="W644">
        <f t="shared" si="410"/>
        <v>413.45999999999992</v>
      </c>
      <c r="Y644" s="17">
        <f t="shared" si="380"/>
        <v>8035.0149287210261</v>
      </c>
      <c r="Z644">
        <f>SUMPRODUCT($D$646:$W$646,D644:W644)</f>
        <v>1211.4920562913337</v>
      </c>
    </row>
    <row r="645" spans="1:26" x14ac:dyDescent="0.25">
      <c r="A645" t="s">
        <v>677</v>
      </c>
      <c r="D645">
        <f t="shared" ref="D645:W645" si="411">D69*D249</f>
        <v>492.24163265306123</v>
      </c>
      <c r="E645">
        <f t="shared" si="411"/>
        <v>443.05469387755096</v>
      </c>
      <c r="F645">
        <f t="shared" si="411"/>
        <v>476.02653061224493</v>
      </c>
      <c r="G645">
        <f t="shared" si="411"/>
        <v>471.43591836734691</v>
      </c>
      <c r="H645">
        <f t="shared" si="411"/>
        <v>369.44408163265302</v>
      </c>
      <c r="I645">
        <f t="shared" si="411"/>
        <v>378.5363265306122</v>
      </c>
      <c r="J645">
        <f t="shared" si="411"/>
        <v>252.37102040816322</v>
      </c>
      <c r="K645">
        <f t="shared" si="411"/>
        <v>213.00408163265305</v>
      </c>
      <c r="L645">
        <f t="shared" si="411"/>
        <v>220.10999999999996</v>
      </c>
      <c r="M645">
        <f t="shared" si="411"/>
        <v>379.72530612244896</v>
      </c>
      <c r="N645">
        <f t="shared" si="411"/>
        <v>342.4885714285715</v>
      </c>
      <c r="O645">
        <f t="shared" si="411"/>
        <v>141.53061224489812</v>
      </c>
      <c r="P645">
        <f t="shared" si="411"/>
        <v>260.64857142857142</v>
      </c>
      <c r="Q645">
        <f t="shared" si="411"/>
        <v>374.6124489795917</v>
      </c>
      <c r="R645">
        <f t="shared" si="411"/>
        <v>224.03673469387758</v>
      </c>
      <c r="S645">
        <f t="shared" si="411"/>
        <v>291</v>
      </c>
      <c r="T645">
        <f t="shared" si="411"/>
        <v>416.37008656771809</v>
      </c>
      <c r="U645">
        <f t="shared" si="411"/>
        <v>414.34429773084054</v>
      </c>
      <c r="V645">
        <f t="shared" si="411"/>
        <v>404.5186637933495</v>
      </c>
      <c r="W645">
        <f t="shared" si="411"/>
        <v>445.91132661624096</v>
      </c>
      <c r="Y645" s="17">
        <f t="shared" ref="Y645" si="412">SUM(D645:W645)</f>
        <v>7011.4109053203947</v>
      </c>
      <c r="Z645">
        <f>SUMPRODUCT($D$646:$W$646,D645:W645)</f>
        <v>1013.5621661176091</v>
      </c>
    </row>
    <row r="646" spans="1:26" x14ac:dyDescent="0.25">
      <c r="A646" s="2" t="s">
        <v>71</v>
      </c>
      <c r="D646" s="3">
        <f>CORREL($B$2:$B$28,D614:D640)</f>
        <v>0.27074579359269019</v>
      </c>
      <c r="E646" s="3">
        <f t="shared" ref="E646:W646" si="413">CORREL($B$2:$B$28,E614:E640)</f>
        <v>0.39549167044787792</v>
      </c>
      <c r="F646" s="3">
        <f t="shared" si="413"/>
        <v>0.30446865950269258</v>
      </c>
      <c r="G646" s="3">
        <f t="shared" si="413"/>
        <v>0.2030516055947281</v>
      </c>
      <c r="H646" s="3">
        <f t="shared" si="413"/>
        <v>0.26214357704135</v>
      </c>
      <c r="I646" s="3">
        <f t="shared" si="413"/>
        <v>0.38144303893804005</v>
      </c>
      <c r="J646" s="3">
        <f t="shared" si="413"/>
        <v>0.28505465970767646</v>
      </c>
      <c r="K646" s="3">
        <f t="shared" si="413"/>
        <v>0.34700777712355929</v>
      </c>
      <c r="L646" s="3">
        <f t="shared" si="413"/>
        <v>0.34681136342885949</v>
      </c>
      <c r="M646" s="3">
        <f t="shared" si="413"/>
        <v>7.5425922953636856E-3</v>
      </c>
      <c r="N646" s="3">
        <f t="shared" si="413"/>
        <v>1.2282144042373962E-2</v>
      </c>
      <c r="O646" s="3">
        <f t="shared" si="413"/>
        <v>5.5846509617243578E-2</v>
      </c>
      <c r="P646" s="3">
        <f t="shared" si="413"/>
        <v>-9.5407861975045652E-2</v>
      </c>
      <c r="Q646" s="3">
        <f t="shared" si="413"/>
        <v>9.2946161057039858E-2</v>
      </c>
      <c r="R646" s="3">
        <f t="shared" si="413"/>
        <v>-3.7401261808622362E-2</v>
      </c>
      <c r="S646" s="3">
        <f t="shared" si="413"/>
        <v>-1.7835534891783574E-2</v>
      </c>
      <c r="T646" s="3">
        <f t="shared" si="413"/>
        <v>7.2707393756031274E-2</v>
      </c>
      <c r="U646" s="3">
        <f t="shared" si="413"/>
        <v>5.4922881062403252E-3</v>
      </c>
      <c r="V646" s="3">
        <f t="shared" si="413"/>
        <v>-1.2066072533093273E-2</v>
      </c>
      <c r="W646" s="3">
        <f t="shared" si="413"/>
        <v>-8.5324813229160107E-2</v>
      </c>
    </row>
    <row r="649" spans="1:26" x14ac:dyDescent="0.25">
      <c r="D649" t="s">
        <v>210</v>
      </c>
      <c r="E649" t="s">
        <v>211</v>
      </c>
      <c r="F649" t="s">
        <v>212</v>
      </c>
      <c r="G649" t="s">
        <v>213</v>
      </c>
      <c r="H649" t="s">
        <v>214</v>
      </c>
      <c r="I649" t="s">
        <v>215</v>
      </c>
      <c r="J649" t="s">
        <v>216</v>
      </c>
      <c r="K649" t="s">
        <v>217</v>
      </c>
      <c r="L649" t="s">
        <v>358</v>
      </c>
      <c r="M649" t="s">
        <v>422</v>
      </c>
      <c r="N649" t="s">
        <v>423</v>
      </c>
      <c r="O649" t="s">
        <v>424</v>
      </c>
      <c r="P649" t="s">
        <v>525</v>
      </c>
      <c r="Q649" t="s">
        <v>526</v>
      </c>
      <c r="R649" t="s">
        <v>527</v>
      </c>
      <c r="S649" t="s">
        <v>528</v>
      </c>
      <c r="T649" t="s">
        <v>637</v>
      </c>
      <c r="U649" t="s">
        <v>638</v>
      </c>
      <c r="V649" t="s">
        <v>639</v>
      </c>
      <c r="W649" t="s">
        <v>640</v>
      </c>
      <c r="Y649" t="s">
        <v>218</v>
      </c>
      <c r="Z649" t="s">
        <v>219</v>
      </c>
    </row>
    <row r="650" spans="1:26" x14ac:dyDescent="0.25">
      <c r="A650" t="s">
        <v>43</v>
      </c>
      <c r="D650">
        <f t="shared" ref="D650:W650" si="414">D74*D110</f>
        <v>1362.2877551020408</v>
      </c>
      <c r="E650">
        <f t="shared" si="414"/>
        <v>1222.3714285714286</v>
      </c>
      <c r="F650">
        <f t="shared" si="414"/>
        <v>1106.8163265306123</v>
      </c>
      <c r="G650">
        <f t="shared" si="414"/>
        <v>1193.5591836734695</v>
      </c>
      <c r="H650">
        <f t="shared" si="414"/>
        <v>1206.3265306122448</v>
      </c>
      <c r="I650">
        <f t="shared" si="414"/>
        <v>983.22448979591854</v>
      </c>
      <c r="J650">
        <f t="shared" si="414"/>
        <v>1228.485714285714</v>
      </c>
      <c r="K650">
        <f t="shared" si="414"/>
        <v>1172.8897959183671</v>
      </c>
      <c r="L650">
        <f t="shared" si="414"/>
        <v>1167.5218749999999</v>
      </c>
      <c r="M650">
        <f t="shared" si="414"/>
        <v>672.69795918367345</v>
      </c>
      <c r="N650">
        <f t="shared" si="414"/>
        <v>757.90204081632658</v>
      </c>
      <c r="O650">
        <f t="shared" si="414"/>
        <v>943.57959183673449</v>
      </c>
      <c r="P650">
        <f t="shared" si="414"/>
        <v>950.69795918367345</v>
      </c>
      <c r="Q650">
        <f t="shared" si="414"/>
        <v>954.19591836734696</v>
      </c>
      <c r="R650">
        <f t="shared" si="414"/>
        <v>1050.538775510204</v>
      </c>
      <c r="S650">
        <f t="shared" si="414"/>
        <v>920.46938775510193</v>
      </c>
      <c r="T650">
        <f t="shared" si="414"/>
        <v>815.81632653061229</v>
      </c>
      <c r="U650">
        <f t="shared" si="414"/>
        <v>841.9591836734694</v>
      </c>
      <c r="V650">
        <f t="shared" si="414"/>
        <v>1280.8163265306121</v>
      </c>
      <c r="W650">
        <f t="shared" si="414"/>
        <v>1075.7102040816326</v>
      </c>
      <c r="Y650" s="17">
        <f t="shared" ref="Y650:Y680" si="415">SUM(D650:W650)</f>
        <v>20907.866772959183</v>
      </c>
      <c r="Z650">
        <f t="shared" ref="Z650:Z676" si="416">SUMPRODUCT($D$682:$W$682,D650:W650)</f>
        <v>2134.5068089255401</v>
      </c>
    </row>
    <row r="651" spans="1:26" x14ac:dyDescent="0.25">
      <c r="A651" t="s">
        <v>44</v>
      </c>
      <c r="D651">
        <f t="shared" ref="D651:W651" si="417">D75*D111</f>
        <v>1211.0899999999999</v>
      </c>
      <c r="E651">
        <f t="shared" si="417"/>
        <v>989.51999999999987</v>
      </c>
      <c r="F651">
        <f t="shared" si="417"/>
        <v>1001.1299999999999</v>
      </c>
      <c r="G651">
        <f t="shared" si="417"/>
        <v>1013.88</v>
      </c>
      <c r="H651">
        <f t="shared" si="417"/>
        <v>1136.8000000000002</v>
      </c>
      <c r="I651">
        <f t="shared" si="417"/>
        <v>988.07999999999993</v>
      </c>
      <c r="J651">
        <f t="shared" si="417"/>
        <v>1224.08</v>
      </c>
      <c r="K651">
        <f t="shared" si="417"/>
        <v>1078.6399999999999</v>
      </c>
      <c r="L651">
        <f t="shared" si="417"/>
        <v>911.91000000000008</v>
      </c>
      <c r="M651">
        <f t="shared" si="417"/>
        <v>699.19999999999993</v>
      </c>
      <c r="N651">
        <f t="shared" si="417"/>
        <v>870.84</v>
      </c>
      <c r="O651">
        <f t="shared" si="417"/>
        <v>977.87999999999988</v>
      </c>
      <c r="P651">
        <f t="shared" si="417"/>
        <v>948.90586775510189</v>
      </c>
      <c r="Q651">
        <f t="shared" si="417"/>
        <v>876.7264065620094</v>
      </c>
      <c r="R651">
        <f t="shared" si="417"/>
        <v>964.34977036106739</v>
      </c>
      <c r="S651">
        <f t="shared" si="417"/>
        <v>977.2115792778651</v>
      </c>
      <c r="T651">
        <f t="shared" si="417"/>
        <v>967.55353108449981</v>
      </c>
      <c r="U651">
        <f t="shared" si="417"/>
        <v>1007.7305027154661</v>
      </c>
      <c r="V651">
        <f t="shared" si="417"/>
        <v>1025.9820020239501</v>
      </c>
      <c r="W651">
        <f t="shared" si="417"/>
        <v>1208.7724923258559</v>
      </c>
      <c r="Y651" s="17">
        <f t="shared" si="415"/>
        <v>20080.282152105814</v>
      </c>
      <c r="Z651">
        <f t="shared" si="416"/>
        <v>2126.1826561437388</v>
      </c>
    </row>
    <row r="652" spans="1:26" x14ac:dyDescent="0.25">
      <c r="A652" t="s">
        <v>45</v>
      </c>
      <c r="D652">
        <f t="shared" ref="D652:W652" si="418">D76*D112</f>
        <v>1178.2877551020406</v>
      </c>
      <c r="E652">
        <f t="shared" si="418"/>
        <v>920.66734693877549</v>
      </c>
      <c r="F652">
        <f t="shared" si="418"/>
        <v>848.85306122448981</v>
      </c>
      <c r="G652">
        <f t="shared" si="418"/>
        <v>1138.7755102040817</v>
      </c>
      <c r="H652">
        <f t="shared" si="418"/>
        <v>1272.1714285714286</v>
      </c>
      <c r="I652">
        <f t="shared" si="418"/>
        <v>915.72244897959183</v>
      </c>
      <c r="J652">
        <f t="shared" si="418"/>
        <v>1201.3714285714286</v>
      </c>
      <c r="K652">
        <f t="shared" si="418"/>
        <v>880.85306122448992</v>
      </c>
      <c r="L652">
        <f t="shared" si="418"/>
        <v>973.50000000000011</v>
      </c>
      <c r="M652">
        <f t="shared" si="418"/>
        <v>989.59591836734671</v>
      </c>
      <c r="N652">
        <f t="shared" si="418"/>
        <v>1075.0530612244897</v>
      </c>
      <c r="O652">
        <f t="shared" si="418"/>
        <v>960.09795918367354</v>
      </c>
      <c r="P652">
        <f t="shared" si="418"/>
        <v>698.21632653061238</v>
      </c>
      <c r="Q652">
        <f t="shared" si="418"/>
        <v>850.51836734693882</v>
      </c>
      <c r="R652">
        <f t="shared" si="418"/>
        <v>1080.4775510204081</v>
      </c>
      <c r="S652">
        <f t="shared" si="418"/>
        <v>949.19387755102036</v>
      </c>
      <c r="T652">
        <f t="shared" si="418"/>
        <v>941.98367346938767</v>
      </c>
      <c r="U652">
        <f t="shared" si="418"/>
        <v>1018.2448979591837</v>
      </c>
      <c r="V652">
        <f t="shared" si="418"/>
        <v>1351.0938775510206</v>
      </c>
      <c r="W652">
        <f t="shared" si="418"/>
        <v>1443.0857142857144</v>
      </c>
      <c r="Y652" s="17">
        <f t="shared" si="415"/>
        <v>20687.763265306123</v>
      </c>
      <c r="Z652">
        <f t="shared" si="416"/>
        <v>2214.3315112189885</v>
      </c>
    </row>
    <row r="653" spans="1:26" x14ac:dyDescent="0.25">
      <c r="A653" t="s">
        <v>46</v>
      </c>
      <c r="D653">
        <f t="shared" ref="D653:W653" si="419">D77*D113</f>
        <v>1247.8040816326532</v>
      </c>
      <c r="E653">
        <f t="shared" si="419"/>
        <v>1104.4897959183672</v>
      </c>
      <c r="F653">
        <f t="shared" si="419"/>
        <v>899.59591836734694</v>
      </c>
      <c r="G653">
        <f t="shared" si="419"/>
        <v>1121.7714285714283</v>
      </c>
      <c r="H653">
        <f t="shared" si="419"/>
        <v>798.97959183673481</v>
      </c>
      <c r="I653">
        <f t="shared" si="419"/>
        <v>874.8</v>
      </c>
      <c r="J653">
        <f t="shared" si="419"/>
        <v>1016.9163265306121</v>
      </c>
      <c r="K653">
        <f t="shared" si="419"/>
        <v>1068.3081632653061</v>
      </c>
      <c r="L653">
        <f t="shared" si="419"/>
        <v>885.61874999999986</v>
      </c>
      <c r="M653">
        <f t="shared" si="419"/>
        <v>891.9775510204081</v>
      </c>
      <c r="N653">
        <f t="shared" si="419"/>
        <v>650.99387755102055</v>
      </c>
      <c r="O653">
        <f t="shared" si="419"/>
        <v>754.62448979591829</v>
      </c>
      <c r="P653">
        <f t="shared" si="419"/>
        <v>670.69387755102048</v>
      </c>
      <c r="Q653">
        <f t="shared" si="419"/>
        <v>889.40816326530637</v>
      </c>
      <c r="R653">
        <f t="shared" si="419"/>
        <v>845.26530612244903</v>
      </c>
      <c r="S653">
        <f t="shared" si="419"/>
        <v>1088.2857142857142</v>
      </c>
      <c r="T653">
        <f t="shared" si="419"/>
        <v>744.12244897959181</v>
      </c>
      <c r="U653">
        <f t="shared" si="419"/>
        <v>945.24285714285725</v>
      </c>
      <c r="V653">
        <f t="shared" si="419"/>
        <v>928.9836734693879</v>
      </c>
      <c r="W653">
        <f t="shared" si="419"/>
        <v>1258.1918367346941</v>
      </c>
      <c r="Y653" s="17">
        <f t="shared" si="415"/>
        <v>18686.073852040819</v>
      </c>
      <c r="Z653">
        <f t="shared" si="416"/>
        <v>2020.1529435469924</v>
      </c>
    </row>
    <row r="654" spans="1:26" x14ac:dyDescent="0.25">
      <c r="A654" t="s">
        <v>47</v>
      </c>
      <c r="D654">
        <f t="shared" ref="D654:W654" si="420">D78*D114</f>
        <v>1275.1714285714286</v>
      </c>
      <c r="E654">
        <f t="shared" si="420"/>
        <v>1029.0122448979591</v>
      </c>
      <c r="F654">
        <f t="shared" si="420"/>
        <v>1141.6040816326531</v>
      </c>
      <c r="G654">
        <f t="shared" si="420"/>
        <v>1270.8000000000002</v>
      </c>
      <c r="H654">
        <f t="shared" si="420"/>
        <v>1111.2367346938775</v>
      </c>
      <c r="I654">
        <f t="shared" si="420"/>
        <v>923.61428571428564</v>
      </c>
      <c r="J654">
        <f t="shared" si="420"/>
        <v>1031.0142857142857</v>
      </c>
      <c r="K654">
        <f t="shared" si="420"/>
        <v>981.51020408163276</v>
      </c>
      <c r="L654">
        <f t="shared" si="420"/>
        <v>734.6796875</v>
      </c>
      <c r="M654">
        <f t="shared" si="420"/>
        <v>908.1632653061223</v>
      </c>
      <c r="N654">
        <f t="shared" si="420"/>
        <v>999.42857142857167</v>
      </c>
      <c r="O654">
        <f t="shared" si="420"/>
        <v>910.75918367346947</v>
      </c>
      <c r="P654">
        <f t="shared" si="420"/>
        <v>1020.8755102040817</v>
      </c>
      <c r="Q654">
        <f t="shared" si="420"/>
        <v>772.94693877551015</v>
      </c>
      <c r="R654">
        <f t="shared" si="420"/>
        <v>1134.6632653061226</v>
      </c>
      <c r="S654">
        <f t="shared" si="420"/>
        <v>1138.7755102040812</v>
      </c>
      <c r="T654">
        <f t="shared" si="420"/>
        <v>1029.0612244897959</v>
      </c>
      <c r="U654">
        <f t="shared" si="420"/>
        <v>1112.8408163265306</v>
      </c>
      <c r="V654">
        <f t="shared" si="420"/>
        <v>730.61224489795927</v>
      </c>
      <c r="W654">
        <f t="shared" si="420"/>
        <v>1095.7632653061225</v>
      </c>
      <c r="Y654" s="17">
        <f t="shared" si="415"/>
        <v>20352.532748724494</v>
      </c>
      <c r="Z654">
        <f t="shared" si="416"/>
        <v>2154.2545776567122</v>
      </c>
    </row>
    <row r="655" spans="1:26" x14ac:dyDescent="0.25">
      <c r="A655" t="s">
        <v>48</v>
      </c>
      <c r="D655">
        <f t="shared" ref="D655:W655" si="421">D79*D115</f>
        <v>1415.2061224489794</v>
      </c>
      <c r="E655">
        <f t="shared" si="421"/>
        <v>1163.8000000000002</v>
      </c>
      <c r="F655">
        <f t="shared" si="421"/>
        <v>1172.3081632653063</v>
      </c>
      <c r="G655">
        <f t="shared" si="421"/>
        <v>1478.2224489795919</v>
      </c>
      <c r="H655">
        <f t="shared" si="421"/>
        <v>1327.3122448979593</v>
      </c>
      <c r="I655">
        <f t="shared" si="421"/>
        <v>1216.5795918367346</v>
      </c>
      <c r="J655">
        <f t="shared" si="421"/>
        <v>1126.2857142857142</v>
      </c>
      <c r="K655">
        <f t="shared" si="421"/>
        <v>1014.4163265306122</v>
      </c>
      <c r="L655">
        <f t="shared" si="421"/>
        <v>973.984375</v>
      </c>
      <c r="M655">
        <f t="shared" si="421"/>
        <v>575.33061224489802</v>
      </c>
      <c r="N655">
        <f t="shared" si="421"/>
        <v>802.28571428571422</v>
      </c>
      <c r="O655">
        <f t="shared" si="421"/>
        <v>611.68775510204091</v>
      </c>
      <c r="P655">
        <f t="shared" si="421"/>
        <v>1087.4285714285713</v>
      </c>
      <c r="Q655">
        <f t="shared" si="421"/>
        <v>938.77346938775509</v>
      </c>
      <c r="R655">
        <f t="shared" si="421"/>
        <v>1092.0428571428572</v>
      </c>
      <c r="S655">
        <f t="shared" si="421"/>
        <v>769.95918367346951</v>
      </c>
      <c r="T655">
        <f t="shared" si="421"/>
        <v>1015.0979591836735</v>
      </c>
      <c r="U655">
        <f t="shared" si="421"/>
        <v>1115.757142857143</v>
      </c>
      <c r="V655">
        <f t="shared" si="421"/>
        <v>1058.4551020408162</v>
      </c>
      <c r="W655">
        <f t="shared" si="421"/>
        <v>1119.0612244897957</v>
      </c>
      <c r="Y655" s="17">
        <f t="shared" si="415"/>
        <v>21073.994579081631</v>
      </c>
      <c r="Z655">
        <f t="shared" si="416"/>
        <v>2036.7683809874288</v>
      </c>
    </row>
    <row r="656" spans="1:26" x14ac:dyDescent="0.25">
      <c r="A656" t="s">
        <v>49</v>
      </c>
      <c r="D656">
        <f t="shared" ref="D656:W656" si="422">D80*D116</f>
        <v>980.81632653061217</v>
      </c>
      <c r="E656">
        <f t="shared" si="422"/>
        <v>1348.295918367347</v>
      </c>
      <c r="F656">
        <f t="shared" si="422"/>
        <v>1326</v>
      </c>
      <c r="G656">
        <f t="shared" si="422"/>
        <v>1195.8285714285714</v>
      </c>
      <c r="H656">
        <f t="shared" si="422"/>
        <v>1006.0530612244897</v>
      </c>
      <c r="I656">
        <f t="shared" si="422"/>
        <v>978.88775510204073</v>
      </c>
      <c r="J656">
        <f t="shared" si="422"/>
        <v>945.07142857142844</v>
      </c>
      <c r="K656">
        <f t="shared" si="422"/>
        <v>1084.5714285714287</v>
      </c>
      <c r="L656">
        <f t="shared" si="422"/>
        <v>700.4296875</v>
      </c>
      <c r="M656">
        <f t="shared" si="422"/>
        <v>556.53061224489795</v>
      </c>
      <c r="N656">
        <f t="shared" si="422"/>
        <v>756.02857142857158</v>
      </c>
      <c r="O656">
        <f t="shared" si="422"/>
        <v>715.05918367346942</v>
      </c>
      <c r="P656">
        <f t="shared" si="422"/>
        <v>1044.5020408163264</v>
      </c>
      <c r="Q656">
        <f t="shared" si="422"/>
        <v>1245.9428571428571</v>
      </c>
      <c r="R656">
        <f t="shared" si="422"/>
        <v>992.44285714285718</v>
      </c>
      <c r="S656">
        <f t="shared" si="422"/>
        <v>726.84285714285727</v>
      </c>
      <c r="T656">
        <f t="shared" si="422"/>
        <v>772.65918367346933</v>
      </c>
      <c r="U656">
        <f t="shared" si="422"/>
        <v>940.70204081632653</v>
      </c>
      <c r="V656">
        <f t="shared" si="422"/>
        <v>1072.5</v>
      </c>
      <c r="W656">
        <f t="shared" si="422"/>
        <v>879.50612244897957</v>
      </c>
      <c r="Y656" s="17">
        <f t="shared" si="415"/>
        <v>19268.670503826535</v>
      </c>
      <c r="Z656">
        <f t="shared" si="416"/>
        <v>2099.6044524523431</v>
      </c>
    </row>
    <row r="657" spans="1:26" x14ac:dyDescent="0.25">
      <c r="A657" t="s">
        <v>50</v>
      </c>
      <c r="D657">
        <f t="shared" ref="D657:W657" si="423">D81*D117</f>
        <v>1077.9122448979592</v>
      </c>
      <c r="E657">
        <f t="shared" si="423"/>
        <v>954.18367346938771</v>
      </c>
      <c r="F657">
        <f t="shared" si="423"/>
        <v>1086.0571428571429</v>
      </c>
      <c r="G657">
        <f t="shared" si="423"/>
        <v>1320.2</v>
      </c>
      <c r="H657">
        <f t="shared" si="423"/>
        <v>1016.2285714285714</v>
      </c>
      <c r="I657">
        <f t="shared" si="423"/>
        <v>1226.6265306122448</v>
      </c>
      <c r="J657">
        <f t="shared" si="423"/>
        <v>1028.1632653061226</v>
      </c>
      <c r="K657">
        <f t="shared" si="423"/>
        <v>988.87346938775522</v>
      </c>
      <c r="L657">
        <f t="shared" si="423"/>
        <v>988.99374999999998</v>
      </c>
      <c r="M657">
        <f t="shared" si="423"/>
        <v>1181.5836734693876</v>
      </c>
      <c r="N657">
        <f t="shared" si="423"/>
        <v>1045.1632653061224</v>
      </c>
      <c r="O657">
        <f t="shared" si="423"/>
        <v>988.54285714285732</v>
      </c>
      <c r="P657">
        <f t="shared" si="423"/>
        <v>892.21224489795918</v>
      </c>
      <c r="Q657">
        <f t="shared" si="423"/>
        <v>824.97551020408173</v>
      </c>
      <c r="R657">
        <f t="shared" si="423"/>
        <v>1040.5653061224489</v>
      </c>
      <c r="S657">
        <f t="shared" si="423"/>
        <v>886.57142857142867</v>
      </c>
      <c r="T657">
        <f t="shared" si="423"/>
        <v>1178.0979591836733</v>
      </c>
      <c r="U657">
        <f t="shared" si="423"/>
        <v>939.61428571428564</v>
      </c>
      <c r="V657">
        <f t="shared" si="423"/>
        <v>862.57551020408152</v>
      </c>
      <c r="W657">
        <f t="shared" si="423"/>
        <v>1274.5102040816328</v>
      </c>
      <c r="Y657" s="17">
        <f t="shared" si="415"/>
        <v>20801.650892857142</v>
      </c>
      <c r="Z657">
        <f t="shared" si="416"/>
        <v>2308.0229384178433</v>
      </c>
    </row>
    <row r="658" spans="1:26" x14ac:dyDescent="0.25">
      <c r="A658" t="s">
        <v>51</v>
      </c>
      <c r="D658">
        <f t="shared" ref="D658:W658" si="424">D82*D118</f>
        <v>1598.7673469387757</v>
      </c>
      <c r="E658">
        <f t="shared" si="424"/>
        <v>1424.457142857143</v>
      </c>
      <c r="F658">
        <f t="shared" si="424"/>
        <v>835.60408163265288</v>
      </c>
      <c r="G658">
        <f t="shared" si="424"/>
        <v>1188.2612244897959</v>
      </c>
      <c r="H658">
        <f t="shared" si="424"/>
        <v>1098.7428571428572</v>
      </c>
      <c r="I658">
        <f t="shared" si="424"/>
        <v>1396.5714285714287</v>
      </c>
      <c r="J658">
        <f t="shared" si="424"/>
        <v>1220.0714285714284</v>
      </c>
      <c r="K658">
        <f t="shared" si="424"/>
        <v>926.39183673469392</v>
      </c>
      <c r="L658">
        <f t="shared" si="424"/>
        <v>799.546875</v>
      </c>
      <c r="M658">
        <f t="shared" si="424"/>
        <v>1101.7346938775509</v>
      </c>
      <c r="N658">
        <f t="shared" si="424"/>
        <v>1328</v>
      </c>
      <c r="O658">
        <f t="shared" si="424"/>
        <v>778.26122448979606</v>
      </c>
      <c r="P658">
        <f t="shared" si="424"/>
        <v>1470.9795918367349</v>
      </c>
      <c r="Q658">
        <f t="shared" si="424"/>
        <v>713.6653061224489</v>
      </c>
      <c r="R658">
        <f t="shared" si="424"/>
        <v>863.59183673469363</v>
      </c>
      <c r="S658">
        <f t="shared" si="424"/>
        <v>921.7714285714286</v>
      </c>
      <c r="T658">
        <f t="shared" si="424"/>
        <v>860.35714285714289</v>
      </c>
      <c r="U658">
        <f t="shared" si="424"/>
        <v>937.08367346938769</v>
      </c>
      <c r="V658">
        <f t="shared" si="424"/>
        <v>938.92244897959188</v>
      </c>
      <c r="W658">
        <f t="shared" si="424"/>
        <v>1182.3428571428572</v>
      </c>
      <c r="Y658" s="17">
        <f t="shared" si="415"/>
        <v>21585.124426020408</v>
      </c>
      <c r="Z658">
        <f t="shared" si="416"/>
        <v>2022.3238919033331</v>
      </c>
    </row>
    <row r="659" spans="1:26" x14ac:dyDescent="0.25">
      <c r="A659" t="s">
        <v>52</v>
      </c>
      <c r="D659">
        <f t="shared" ref="D659:W659" si="425">D83*D119</f>
        <v>1383.8367346938778</v>
      </c>
      <c r="E659">
        <f t="shared" si="425"/>
        <v>1092.2204081632653</v>
      </c>
      <c r="F659">
        <f t="shared" si="425"/>
        <v>1343.5918367346942</v>
      </c>
      <c r="G659">
        <f t="shared" si="425"/>
        <v>990.23673469387745</v>
      </c>
      <c r="H659">
        <f t="shared" si="425"/>
        <v>1084.2693877551021</v>
      </c>
      <c r="I659">
        <f t="shared" si="425"/>
        <v>899.90816326530626</v>
      </c>
      <c r="J659">
        <f t="shared" si="425"/>
        <v>1014.3142857142856</v>
      </c>
      <c r="K659">
        <f t="shared" si="425"/>
        <v>724.76734693877552</v>
      </c>
      <c r="L659">
        <f t="shared" si="425"/>
        <v>883.60312499999998</v>
      </c>
      <c r="M659">
        <f t="shared" si="425"/>
        <v>843.07959183673472</v>
      </c>
      <c r="N659">
        <f t="shared" si="425"/>
        <v>741.7285714285714</v>
      </c>
      <c r="O659">
        <f t="shared" si="425"/>
        <v>841.89183673469381</v>
      </c>
      <c r="P659">
        <f t="shared" si="425"/>
        <v>872.5653061224491</v>
      </c>
      <c r="Q659">
        <f t="shared" si="425"/>
        <v>902.53877551020389</v>
      </c>
      <c r="R659">
        <f t="shared" si="425"/>
        <v>983.39591836734701</v>
      </c>
      <c r="S659">
        <f t="shared" si="425"/>
        <v>1066.0653061224491</v>
      </c>
      <c r="T659">
        <f t="shared" si="425"/>
        <v>830.93877551020398</v>
      </c>
      <c r="U659">
        <f t="shared" si="425"/>
        <v>1105.7816326530613</v>
      </c>
      <c r="V659">
        <f t="shared" si="425"/>
        <v>982.99591836734703</v>
      </c>
      <c r="W659">
        <f t="shared" si="425"/>
        <v>1077.1714285714286</v>
      </c>
      <c r="Y659" s="17">
        <f t="shared" si="415"/>
        <v>19664.901084183675</v>
      </c>
      <c r="Z659">
        <f t="shared" si="416"/>
        <v>2176.7018488482036</v>
      </c>
    </row>
    <row r="660" spans="1:26" x14ac:dyDescent="0.25">
      <c r="A660" t="s">
        <v>53</v>
      </c>
      <c r="D660">
        <f t="shared" ref="D660:W660" si="426">D84*D120</f>
        <v>1137.2755102040817</v>
      </c>
      <c r="E660">
        <f t="shared" si="426"/>
        <v>1178.7591836734696</v>
      </c>
      <c r="F660">
        <f t="shared" si="426"/>
        <v>1045.0571428571429</v>
      </c>
      <c r="G660">
        <f t="shared" si="426"/>
        <v>1135.0591836734693</v>
      </c>
      <c r="H660">
        <f t="shared" si="426"/>
        <v>1178.6428571428573</v>
      </c>
      <c r="I660">
        <f t="shared" si="426"/>
        <v>717.63061224489786</v>
      </c>
      <c r="J660">
        <f t="shared" si="426"/>
        <v>1167.257142857143</v>
      </c>
      <c r="K660">
        <f t="shared" si="426"/>
        <v>1141.7142857142856</v>
      </c>
      <c r="L660">
        <f t="shared" si="426"/>
        <v>1269.8999999999999</v>
      </c>
      <c r="M660">
        <f t="shared" si="426"/>
        <v>1306.5306122448978</v>
      </c>
      <c r="N660">
        <f t="shared" si="426"/>
        <v>1101.2714285714285</v>
      </c>
      <c r="O660">
        <f t="shared" si="426"/>
        <v>835.9</v>
      </c>
      <c r="P660">
        <f t="shared" si="426"/>
        <v>1057.6428571428571</v>
      </c>
      <c r="Q660">
        <f t="shared" si="426"/>
        <v>743.40816326530626</v>
      </c>
      <c r="R660">
        <f t="shared" si="426"/>
        <v>905.77755102040817</v>
      </c>
      <c r="S660">
        <f t="shared" si="426"/>
        <v>948.80816326530589</v>
      </c>
      <c r="T660">
        <f t="shared" si="426"/>
        <v>1407.5510204081631</v>
      </c>
      <c r="U660">
        <f t="shared" si="426"/>
        <v>993.19183673469388</v>
      </c>
      <c r="V660">
        <f t="shared" si="426"/>
        <v>1116.2979591836734</v>
      </c>
      <c r="W660">
        <f t="shared" si="426"/>
        <v>1139.1469387755103</v>
      </c>
      <c r="Y660" s="17">
        <f t="shared" si="415"/>
        <v>21526.82244897959</v>
      </c>
      <c r="Z660">
        <f t="shared" si="416"/>
        <v>2364.2120225070862</v>
      </c>
    </row>
    <row r="661" spans="1:26" x14ac:dyDescent="0.25">
      <c r="A661" t="s">
        <v>54</v>
      </c>
      <c r="D661">
        <f t="shared" ref="D661:W661" si="427">D85*D121</f>
        <v>1590.465306122449</v>
      </c>
      <c r="E661">
        <f t="shared" si="427"/>
        <v>1300.5204081632653</v>
      </c>
      <c r="F661">
        <f t="shared" si="427"/>
        <v>1205.926530612245</v>
      </c>
      <c r="G661">
        <f t="shared" si="427"/>
        <v>1043.3714285714286</v>
      </c>
      <c r="H661">
        <f t="shared" si="427"/>
        <v>1014.1224489795917</v>
      </c>
      <c r="I661">
        <f t="shared" si="427"/>
        <v>1074.5469387755102</v>
      </c>
      <c r="J661">
        <f t="shared" si="427"/>
        <v>641.41020408163251</v>
      </c>
      <c r="K661">
        <f t="shared" si="427"/>
        <v>985.9591836734694</v>
      </c>
      <c r="L661">
        <f t="shared" si="427"/>
        <v>971.90156250000007</v>
      </c>
      <c r="M661">
        <f t="shared" si="427"/>
        <v>843.17269999999996</v>
      </c>
      <c r="N661">
        <f t="shared" si="427"/>
        <v>1087.6476</v>
      </c>
      <c r="O661">
        <f t="shared" si="427"/>
        <v>821.53980000000001</v>
      </c>
      <c r="P661">
        <f t="shared" si="427"/>
        <v>744.68159999999989</v>
      </c>
      <c r="Q661">
        <f t="shared" si="427"/>
        <v>884.62530000000004</v>
      </c>
      <c r="R661">
        <f t="shared" si="427"/>
        <v>716.38620000000003</v>
      </c>
      <c r="S661">
        <f t="shared" si="427"/>
        <v>945.05599999999993</v>
      </c>
      <c r="T661">
        <f t="shared" si="427"/>
        <v>839.82419999999991</v>
      </c>
      <c r="U661">
        <f t="shared" si="427"/>
        <v>1103.9033999999999</v>
      </c>
      <c r="V661">
        <f t="shared" si="427"/>
        <v>1139.268</v>
      </c>
      <c r="W661">
        <f t="shared" si="427"/>
        <v>1419.943</v>
      </c>
      <c r="Y661" s="17">
        <f t="shared" si="415"/>
        <v>20374.27181147959</v>
      </c>
      <c r="Z661">
        <f t="shared" si="416"/>
        <v>2312.4532610333908</v>
      </c>
    </row>
    <row r="662" spans="1:26" x14ac:dyDescent="0.25">
      <c r="A662" t="s">
        <v>55</v>
      </c>
      <c r="D662">
        <f t="shared" ref="D662:W662" si="428">D86*D122</f>
        <v>1618.519</v>
      </c>
      <c r="E662">
        <f t="shared" si="428"/>
        <v>1704.7989000000002</v>
      </c>
      <c r="F662">
        <f t="shared" si="428"/>
        <v>1471.5351000000003</v>
      </c>
      <c r="G662">
        <f t="shared" si="428"/>
        <v>1592.4833999999998</v>
      </c>
      <c r="H662">
        <f t="shared" si="428"/>
        <v>1453.4080000000001</v>
      </c>
      <c r="I662">
        <f t="shared" si="428"/>
        <v>1598.771</v>
      </c>
      <c r="J662">
        <f t="shared" si="428"/>
        <v>1099.2266999999999</v>
      </c>
      <c r="K662">
        <f t="shared" si="428"/>
        <v>1277.9547</v>
      </c>
      <c r="L662">
        <f t="shared" si="428"/>
        <v>1141.3982999999998</v>
      </c>
      <c r="M662">
        <f t="shared" si="428"/>
        <v>1170.5571428571429</v>
      </c>
      <c r="N662">
        <f t="shared" si="428"/>
        <v>1216.8918367346939</v>
      </c>
      <c r="O662">
        <f t="shared" si="428"/>
        <v>686.49795918367352</v>
      </c>
      <c r="P662">
        <f t="shared" si="428"/>
        <v>773.41224489795911</v>
      </c>
      <c r="Q662">
        <f t="shared" si="428"/>
        <v>1125.3571428571429</v>
      </c>
      <c r="R662">
        <f t="shared" si="428"/>
        <v>917.63673469387743</v>
      </c>
      <c r="S662">
        <f t="shared" si="428"/>
        <v>1183.3306122448978</v>
      </c>
      <c r="T662">
        <f t="shared" si="428"/>
        <v>1051.1632653061226</v>
      </c>
      <c r="U662">
        <f t="shared" si="428"/>
        <v>878.25714285714275</v>
      </c>
      <c r="V662">
        <f t="shared" si="428"/>
        <v>1143.661224489796</v>
      </c>
      <c r="W662">
        <f t="shared" si="428"/>
        <v>1371.048979591837</v>
      </c>
      <c r="Y662" s="17">
        <f t="shared" si="415"/>
        <v>24475.909385714283</v>
      </c>
      <c r="Z662">
        <f t="shared" si="416"/>
        <v>2564.6031082503214</v>
      </c>
    </row>
    <row r="663" spans="1:26" x14ac:dyDescent="0.25">
      <c r="A663" t="s">
        <v>56</v>
      </c>
      <c r="D663">
        <f t="shared" ref="D663:W663" si="429">D87*D123</f>
        <v>1715.0571428571429</v>
      </c>
      <c r="E663">
        <f t="shared" si="429"/>
        <v>1512.8816326530612</v>
      </c>
      <c r="F663">
        <f t="shared" si="429"/>
        <v>1392.0489795918368</v>
      </c>
      <c r="G663">
        <f t="shared" si="429"/>
        <v>1306.4326530612248</v>
      </c>
      <c r="H663">
        <f t="shared" si="429"/>
        <v>1049.242857142857</v>
      </c>
      <c r="I663">
        <f t="shared" si="429"/>
        <v>989.94285714285718</v>
      </c>
      <c r="J663">
        <f t="shared" si="429"/>
        <v>999.67755102040803</v>
      </c>
      <c r="K663">
        <f t="shared" si="429"/>
        <v>1082.4489795918366</v>
      </c>
      <c r="L663">
        <f t="shared" si="429"/>
        <v>927.95624999999995</v>
      </c>
      <c r="M663">
        <f t="shared" si="429"/>
        <v>946.37959183673468</v>
      </c>
      <c r="N663">
        <f t="shared" si="429"/>
        <v>745.38979591836733</v>
      </c>
      <c r="O663">
        <f t="shared" si="429"/>
        <v>986.96326530612259</v>
      </c>
      <c r="P663">
        <f t="shared" si="429"/>
        <v>1064.5714285714284</v>
      </c>
      <c r="Q663">
        <f t="shared" si="429"/>
        <v>758.12653061224478</v>
      </c>
      <c r="R663">
        <f t="shared" si="429"/>
        <v>1296.4816326530613</v>
      </c>
      <c r="S663">
        <f t="shared" si="429"/>
        <v>1448.6428571428573</v>
      </c>
      <c r="T663">
        <f t="shared" si="429"/>
        <v>1385.3959183673469</v>
      </c>
      <c r="U663">
        <f t="shared" si="429"/>
        <v>1157.4734693877551</v>
      </c>
      <c r="V663">
        <f t="shared" si="429"/>
        <v>1234.6489795918369</v>
      </c>
      <c r="W663">
        <f t="shared" si="429"/>
        <v>1059.8979591836735</v>
      </c>
      <c r="Y663" s="17">
        <f t="shared" si="415"/>
        <v>23059.660331632647</v>
      </c>
      <c r="Z663">
        <f t="shared" si="416"/>
        <v>2548.8471196222454</v>
      </c>
    </row>
    <row r="664" spans="1:26" x14ac:dyDescent="0.25">
      <c r="A664" t="s">
        <v>57</v>
      </c>
      <c r="D664">
        <f t="shared" ref="D664:W664" si="430">D88*D124</f>
        <v>1480.1836734693875</v>
      </c>
      <c r="E664">
        <f t="shared" si="430"/>
        <v>1366.9346938775509</v>
      </c>
      <c r="F664">
        <f t="shared" si="430"/>
        <v>1183.2489795918366</v>
      </c>
      <c r="G664">
        <f t="shared" si="430"/>
        <v>1158.1102040816327</v>
      </c>
      <c r="H664">
        <f t="shared" si="430"/>
        <v>839.93469387755113</v>
      </c>
      <c r="I664">
        <f t="shared" si="430"/>
        <v>954.49999999999989</v>
      </c>
      <c r="J664">
        <f t="shared" si="430"/>
        <v>801.99387755102055</v>
      </c>
      <c r="K664">
        <f t="shared" si="430"/>
        <v>821.64081632653051</v>
      </c>
      <c r="L664">
        <f t="shared" si="430"/>
        <v>945.75</v>
      </c>
      <c r="M664">
        <f t="shared" si="430"/>
        <v>980.75510204081627</v>
      </c>
      <c r="N664">
        <f t="shared" si="430"/>
        <v>984.37959183673479</v>
      </c>
      <c r="O664">
        <f t="shared" si="430"/>
        <v>780.32653061224494</v>
      </c>
      <c r="P664">
        <f t="shared" si="430"/>
        <v>1093.9448979591837</v>
      </c>
      <c r="Q664">
        <f t="shared" si="430"/>
        <v>997.4367346938775</v>
      </c>
      <c r="R664">
        <f t="shared" si="430"/>
        <v>869.1061224489797</v>
      </c>
      <c r="S664">
        <f t="shared" si="430"/>
        <v>615.93061224489793</v>
      </c>
      <c r="T664">
        <f t="shared" si="430"/>
        <v>964.84285714285716</v>
      </c>
      <c r="U664">
        <f t="shared" si="430"/>
        <v>905.10204081632662</v>
      </c>
      <c r="V664">
        <f t="shared" si="430"/>
        <v>893.9591836734694</v>
      </c>
      <c r="W664">
        <f t="shared" si="430"/>
        <v>1385.8571428571429</v>
      </c>
      <c r="Y664" s="17">
        <f t="shared" si="415"/>
        <v>20023.937755102037</v>
      </c>
      <c r="Z664">
        <f t="shared" si="416"/>
        <v>2141.8106522236326</v>
      </c>
    </row>
    <row r="665" spans="1:26" x14ac:dyDescent="0.25">
      <c r="A665" t="s">
        <v>58</v>
      </c>
      <c r="D665">
        <f t="shared" ref="D665:W665" si="431">D89*D125</f>
        <v>1228.4755102040817</v>
      </c>
      <c r="E665">
        <f t="shared" si="431"/>
        <v>1363.7142857142858</v>
      </c>
      <c r="F665">
        <f t="shared" si="431"/>
        <v>1403.8367346938776</v>
      </c>
      <c r="G665">
        <f t="shared" si="431"/>
        <v>1097.7142857142856</v>
      </c>
      <c r="H665">
        <f t="shared" si="431"/>
        <v>1025.1673469387756</v>
      </c>
      <c r="I665">
        <f t="shared" si="431"/>
        <v>679.10204081632651</v>
      </c>
      <c r="J665">
        <f t="shared" si="431"/>
        <v>952.32653061224482</v>
      </c>
      <c r="K665">
        <f t="shared" si="431"/>
        <v>1008.2081632653062</v>
      </c>
      <c r="L665">
        <f t="shared" si="431"/>
        <v>865.72812499999998</v>
      </c>
      <c r="M665">
        <f t="shared" si="431"/>
        <v>0</v>
      </c>
      <c r="N665">
        <f t="shared" si="431"/>
        <v>823.59183673469386</v>
      </c>
      <c r="O665">
        <f t="shared" si="431"/>
        <v>697.46938775510205</v>
      </c>
      <c r="P665">
        <f t="shared" si="431"/>
        <v>923.47142857142842</v>
      </c>
      <c r="Q665">
        <f t="shared" si="431"/>
        <v>545.28367346938785</v>
      </c>
      <c r="R665">
        <f t="shared" si="431"/>
        <v>779.10816326530619</v>
      </c>
      <c r="S665">
        <f t="shared" si="431"/>
        <v>663.16734693877561</v>
      </c>
      <c r="T665">
        <f t="shared" si="431"/>
        <v>866.74285714285713</v>
      </c>
      <c r="U665">
        <f t="shared" si="431"/>
        <v>1116.7510204081634</v>
      </c>
      <c r="V665">
        <f t="shared" si="431"/>
        <v>987.57142857142856</v>
      </c>
      <c r="W665">
        <f t="shared" si="431"/>
        <v>932.38775510204084</v>
      </c>
      <c r="Y665" s="17">
        <f t="shared" si="415"/>
        <v>17959.817920918369</v>
      </c>
      <c r="Z665">
        <f t="shared" si="416"/>
        <v>1897.6411191072882</v>
      </c>
    </row>
    <row r="666" spans="1:26" x14ac:dyDescent="0.25">
      <c r="A666" t="s">
        <v>59</v>
      </c>
      <c r="D666">
        <f t="shared" ref="D666:W666" si="432">D90*D126</f>
        <v>1368.504081632653</v>
      </c>
      <c r="E666">
        <f t="shared" si="432"/>
        <v>1478.7367346938772</v>
      </c>
      <c r="F666">
        <f t="shared" si="432"/>
        <v>1155.8469387755104</v>
      </c>
      <c r="G666">
        <f t="shared" si="432"/>
        <v>934.80612244897975</v>
      </c>
      <c r="H666">
        <f t="shared" si="432"/>
        <v>1024.8244897959182</v>
      </c>
      <c r="I666">
        <f t="shared" si="432"/>
        <v>788.40816326530603</v>
      </c>
      <c r="J666">
        <f t="shared" si="432"/>
        <v>1008.9795918367347</v>
      </c>
      <c r="K666">
        <f t="shared" si="432"/>
        <v>1051.1428571428571</v>
      </c>
      <c r="L666">
        <f t="shared" si="432"/>
        <v>939.71428571428578</v>
      </c>
      <c r="M666">
        <f t="shared" si="432"/>
        <v>796.55510204081645</v>
      </c>
      <c r="N666">
        <f t="shared" si="432"/>
        <v>945.53061224489784</v>
      </c>
      <c r="O666">
        <f t="shared" si="432"/>
        <v>914.13265306122457</v>
      </c>
      <c r="P666">
        <f t="shared" si="432"/>
        <v>828.09795918367342</v>
      </c>
      <c r="Q666">
        <f t="shared" si="432"/>
        <v>626.39999999999986</v>
      </c>
      <c r="R666">
        <f t="shared" si="432"/>
        <v>752.93877551020398</v>
      </c>
      <c r="S666">
        <f t="shared" si="432"/>
        <v>1081.9285714285713</v>
      </c>
      <c r="T666">
        <f t="shared" si="432"/>
        <v>1247.0204081632653</v>
      </c>
      <c r="U666">
        <f t="shared" si="432"/>
        <v>1020.1530612244899</v>
      </c>
      <c r="V666">
        <f t="shared" si="432"/>
        <v>1171.4857142857143</v>
      </c>
      <c r="W666">
        <f t="shared" si="432"/>
        <v>1185.9183673469388</v>
      </c>
      <c r="Y666" s="17">
        <f t="shared" si="415"/>
        <v>20321.124489795915</v>
      </c>
      <c r="Z666">
        <f t="shared" si="416"/>
        <v>2312.3125044672588</v>
      </c>
    </row>
    <row r="667" spans="1:26" x14ac:dyDescent="0.25">
      <c r="A667" t="s">
        <v>60</v>
      </c>
      <c r="D667">
        <f t="shared" ref="D667:W667" si="433">D91*D127</f>
        <v>1417.212244897959</v>
      </c>
      <c r="E667">
        <f t="shared" si="433"/>
        <v>1210.5795918367346</v>
      </c>
      <c r="F667">
        <f t="shared" si="433"/>
        <v>1181.4428571428571</v>
      </c>
      <c r="G667">
        <f t="shared" si="433"/>
        <v>1228.2285714285713</v>
      </c>
      <c r="H667">
        <f t="shared" si="433"/>
        <v>893.74693877551033</v>
      </c>
      <c r="I667">
        <f t="shared" si="433"/>
        <v>915.42857142857133</v>
      </c>
      <c r="J667">
        <f t="shared" si="433"/>
        <v>995.17142857142846</v>
      </c>
      <c r="K667">
        <f t="shared" si="433"/>
        <v>1211.6571428571428</v>
      </c>
      <c r="L667">
        <f t="shared" si="433"/>
        <v>948.29999999999984</v>
      </c>
      <c r="M667">
        <f t="shared" si="433"/>
        <v>900</v>
      </c>
      <c r="N667">
        <f t="shared" si="433"/>
        <v>742.4591836734694</v>
      </c>
      <c r="O667">
        <f t="shared" si="433"/>
        <v>608.14285714285711</v>
      </c>
      <c r="P667">
        <f t="shared" si="433"/>
        <v>993.36734693877565</v>
      </c>
      <c r="Q667">
        <f t="shared" si="433"/>
        <v>1153.0163265306123</v>
      </c>
      <c r="R667">
        <f t="shared" si="433"/>
        <v>939.92653061224507</v>
      </c>
      <c r="S667">
        <f t="shared" si="433"/>
        <v>979.40816326530603</v>
      </c>
      <c r="T667">
        <f t="shared" si="433"/>
        <v>1264.0244897959187</v>
      </c>
      <c r="U667">
        <f t="shared" si="433"/>
        <v>1221.1857142857145</v>
      </c>
      <c r="V667">
        <f t="shared" si="433"/>
        <v>613.46938775510205</v>
      </c>
      <c r="W667">
        <f t="shared" si="433"/>
        <v>917.0612244897959</v>
      </c>
      <c r="Y667" s="17">
        <f t="shared" si="415"/>
        <v>20333.828571428574</v>
      </c>
      <c r="Z667">
        <f t="shared" si="416"/>
        <v>2233.0932346967093</v>
      </c>
    </row>
    <row r="668" spans="1:26" x14ac:dyDescent="0.25">
      <c r="A668" t="s">
        <v>61</v>
      </c>
      <c r="D668">
        <f t="shared" ref="D668:W668" si="434">D92*D128</f>
        <v>1514.7918367346938</v>
      </c>
      <c r="E668">
        <f t="shared" si="434"/>
        <v>1688.5714285714284</v>
      </c>
      <c r="F668">
        <f t="shared" si="434"/>
        <v>1476.1285714285714</v>
      </c>
      <c r="G668">
        <f t="shared" si="434"/>
        <v>1389.6734693877549</v>
      </c>
      <c r="H668">
        <f t="shared" si="434"/>
        <v>1405.7142857142856</v>
      </c>
      <c r="I668">
        <f t="shared" si="434"/>
        <v>1251.9428571428573</v>
      </c>
      <c r="J668">
        <f t="shared" si="434"/>
        <v>1168.9632653061226</v>
      </c>
      <c r="K668">
        <f t="shared" si="434"/>
        <v>925.30204081632667</v>
      </c>
      <c r="L668">
        <f t="shared" si="434"/>
        <v>862.26562499999989</v>
      </c>
      <c r="M668">
        <f t="shared" si="434"/>
        <v>176.115306122449</v>
      </c>
      <c r="N668">
        <f t="shared" si="434"/>
        <v>180.16673469387754</v>
      </c>
      <c r="O668">
        <f t="shared" si="434"/>
        <v>202.46408163265306</v>
      </c>
      <c r="P668">
        <f t="shared" si="434"/>
        <v>140.6583673469388</v>
      </c>
      <c r="Q668">
        <f t="shared" si="434"/>
        <v>162.1069387755102</v>
      </c>
      <c r="R668">
        <f t="shared" si="434"/>
        <v>123.60428571428572</v>
      </c>
      <c r="S668">
        <f t="shared" si="434"/>
        <v>242.2767346938775</v>
      </c>
      <c r="T668">
        <f t="shared" si="434"/>
        <v>243.70224489795916</v>
      </c>
      <c r="U668">
        <f t="shared" si="434"/>
        <v>268.38551020408164</v>
      </c>
      <c r="V668">
        <f t="shared" si="434"/>
        <v>298.54183673469385</v>
      </c>
      <c r="W668">
        <f t="shared" si="434"/>
        <v>383.72489795918369</v>
      </c>
      <c r="Y668" s="17">
        <f t="shared" si="415"/>
        <v>14105.100318877552</v>
      </c>
      <c r="Z668">
        <f t="shared" si="416"/>
        <v>1029.6412061010806</v>
      </c>
    </row>
    <row r="669" spans="1:26" x14ac:dyDescent="0.25">
      <c r="A669" t="s">
        <v>62</v>
      </c>
      <c r="D669">
        <f t="shared" ref="D669:W669" si="435">D93*D129</f>
        <v>459.20000000000005</v>
      </c>
      <c r="E669">
        <f t="shared" si="435"/>
        <v>453.6</v>
      </c>
      <c r="F669">
        <f t="shared" si="435"/>
        <v>501.7091836734694</v>
      </c>
      <c r="G669">
        <f t="shared" si="435"/>
        <v>359.16979591836741</v>
      </c>
      <c r="H669">
        <f t="shared" si="435"/>
        <v>316.96816326530609</v>
      </c>
      <c r="I669">
        <f t="shared" si="435"/>
        <v>280.39999999999998</v>
      </c>
      <c r="J669">
        <f t="shared" si="435"/>
        <v>226.92551020408169</v>
      </c>
      <c r="K669">
        <f t="shared" si="435"/>
        <v>254.54448979591834</v>
      </c>
      <c r="L669">
        <f t="shared" si="435"/>
        <v>326.48906250000005</v>
      </c>
      <c r="M669">
        <f t="shared" si="435"/>
        <v>953.48571428571427</v>
      </c>
      <c r="N669">
        <f t="shared" si="435"/>
        <v>826.17551020408166</v>
      </c>
      <c r="O669">
        <f t="shared" si="435"/>
        <v>734.46530612244885</v>
      </c>
      <c r="P669">
        <f t="shared" si="435"/>
        <v>810.77346938775497</v>
      </c>
      <c r="Q669">
        <f t="shared" si="435"/>
        <v>891.84489795918375</v>
      </c>
      <c r="R669">
        <f t="shared" si="435"/>
        <v>1303.2428571428572</v>
      </c>
      <c r="S669">
        <f t="shared" si="435"/>
        <v>1268.0979591836733</v>
      </c>
      <c r="T669">
        <f t="shared" si="435"/>
        <v>539.44897959183675</v>
      </c>
      <c r="U669">
        <f t="shared" si="435"/>
        <v>1414.8020408163263</v>
      </c>
      <c r="V669">
        <f t="shared" si="435"/>
        <v>1535.2734693877551</v>
      </c>
      <c r="W669">
        <f t="shared" si="435"/>
        <v>1167.5265306122449</v>
      </c>
      <c r="Y669" s="17">
        <f t="shared" si="415"/>
        <v>14624.142940051021</v>
      </c>
      <c r="Z669">
        <f t="shared" si="416"/>
        <v>2086.1246520133805</v>
      </c>
    </row>
    <row r="670" spans="1:26" x14ac:dyDescent="0.25">
      <c r="A670" t="s">
        <v>63</v>
      </c>
      <c r="D670">
        <f t="shared" ref="D670:W670" si="436">D94*D130</f>
        <v>1446.9795918367347</v>
      </c>
      <c r="E670">
        <f t="shared" si="436"/>
        <v>1269.073469387755</v>
      </c>
      <c r="F670">
        <f t="shared" si="436"/>
        <v>1228.9836734693879</v>
      </c>
      <c r="G670">
        <f t="shared" si="436"/>
        <v>1163.6285714285714</v>
      </c>
      <c r="H670">
        <f t="shared" si="436"/>
        <v>1197.9346938775509</v>
      </c>
      <c r="I670">
        <f t="shared" si="436"/>
        <v>1077.965306122449</v>
      </c>
      <c r="J670">
        <f t="shared" si="436"/>
        <v>932.04489795918391</v>
      </c>
      <c r="K670">
        <f t="shared" si="436"/>
        <v>840.24489795918362</v>
      </c>
      <c r="L670">
        <f t="shared" si="436"/>
        <v>778.89375000000007</v>
      </c>
      <c r="M670">
        <f t="shared" si="436"/>
        <v>992.84081632653067</v>
      </c>
      <c r="N670">
        <f t="shared" si="436"/>
        <v>926.31428571428557</v>
      </c>
      <c r="O670">
        <f t="shared" si="436"/>
        <v>1182.7428571428572</v>
      </c>
      <c r="P670">
        <f t="shared" si="436"/>
        <v>678.63061224489775</v>
      </c>
      <c r="Q670">
        <f t="shared" si="436"/>
        <v>1004.718367346939</v>
      </c>
      <c r="R670">
        <f t="shared" si="436"/>
        <v>1034.9428571428571</v>
      </c>
      <c r="S670">
        <f t="shared" si="436"/>
        <v>1226.3877551020407</v>
      </c>
      <c r="T670">
        <f t="shared" si="436"/>
        <v>1347.3265306122448</v>
      </c>
      <c r="U670">
        <f t="shared" si="436"/>
        <v>1085.3877551020407</v>
      </c>
      <c r="V670">
        <f t="shared" si="436"/>
        <v>1088.2163265306124</v>
      </c>
      <c r="W670">
        <f t="shared" si="436"/>
        <v>1217.8612244897961</v>
      </c>
      <c r="Y670" s="17">
        <f t="shared" si="415"/>
        <v>21721.118239795916</v>
      </c>
      <c r="Z670">
        <f t="shared" si="416"/>
        <v>2552.1903836845254</v>
      </c>
    </row>
    <row r="671" spans="1:26" x14ac:dyDescent="0.25">
      <c r="A671" t="s">
        <v>64</v>
      </c>
      <c r="D671">
        <f t="shared" ref="D671:W671" si="437">D95*D131</f>
        <v>1293.4183673469386</v>
      </c>
      <c r="E671">
        <f t="shared" si="437"/>
        <v>1481.1428571428571</v>
      </c>
      <c r="F671">
        <f t="shared" si="437"/>
        <v>1442.4</v>
      </c>
      <c r="G671">
        <f t="shared" si="437"/>
        <v>1520.4918367346938</v>
      </c>
      <c r="H671">
        <f t="shared" si="437"/>
        <v>1175.0408163265306</v>
      </c>
      <c r="I671">
        <f t="shared" si="437"/>
        <v>1485.1428571428571</v>
      </c>
      <c r="J671">
        <f t="shared" si="437"/>
        <v>1096.6040816326531</v>
      </c>
      <c r="K671">
        <f t="shared" si="437"/>
        <v>1169.5285714285712</v>
      </c>
      <c r="L671">
        <f t="shared" si="437"/>
        <v>1304.4624999999999</v>
      </c>
      <c r="M671">
        <f t="shared" si="437"/>
        <v>1086.1122448979593</v>
      </c>
      <c r="N671">
        <f t="shared" si="437"/>
        <v>920.13061224489786</v>
      </c>
      <c r="O671">
        <f t="shared" si="437"/>
        <v>833.45306122448983</v>
      </c>
      <c r="P671">
        <f t="shared" si="437"/>
        <v>1006.5306122448981</v>
      </c>
      <c r="Q671">
        <f t="shared" si="437"/>
        <v>1183.0122448979594</v>
      </c>
      <c r="R671">
        <f t="shared" si="437"/>
        <v>1379.4</v>
      </c>
      <c r="S671">
        <f t="shared" si="437"/>
        <v>1223.9183673469388</v>
      </c>
      <c r="T671">
        <f t="shared" si="437"/>
        <v>1248.1632653061224</v>
      </c>
      <c r="U671">
        <f t="shared" si="437"/>
        <v>1234.495918367347</v>
      </c>
      <c r="V671">
        <f t="shared" si="437"/>
        <v>1056.8857142857141</v>
      </c>
      <c r="W671">
        <f t="shared" si="437"/>
        <v>1249.0612244897961</v>
      </c>
      <c r="Y671" s="17">
        <f t="shared" si="415"/>
        <v>24389.395153061221</v>
      </c>
      <c r="Z671">
        <f t="shared" si="416"/>
        <v>2752.8621123067001</v>
      </c>
    </row>
    <row r="672" spans="1:26" x14ac:dyDescent="0.25">
      <c r="A672" t="s">
        <v>65</v>
      </c>
      <c r="D672">
        <f t="shared" ref="D672:W672" si="438">D96*D132</f>
        <v>1553.538775510204</v>
      </c>
      <c r="E672">
        <f t="shared" si="438"/>
        <v>1709.8530612244899</v>
      </c>
      <c r="F672">
        <f t="shared" si="438"/>
        <v>1300.9183673469388</v>
      </c>
      <c r="G672">
        <f t="shared" si="438"/>
        <v>954.71632653061226</v>
      </c>
      <c r="H672">
        <f t="shared" si="438"/>
        <v>1214.7306122448981</v>
      </c>
      <c r="I672">
        <f t="shared" si="438"/>
        <v>1224.9306122448979</v>
      </c>
      <c r="J672">
        <f t="shared" si="438"/>
        <v>1023.6734693877549</v>
      </c>
      <c r="K672">
        <f t="shared" si="438"/>
        <v>1091.3306122448978</v>
      </c>
      <c r="L672">
        <f t="shared" si="438"/>
        <v>1090.6499999999999</v>
      </c>
      <c r="M672">
        <f t="shared" si="438"/>
        <v>991.71428571428578</v>
      </c>
      <c r="N672">
        <f t="shared" si="438"/>
        <v>1039.5</v>
      </c>
      <c r="O672">
        <f t="shared" si="438"/>
        <v>863.08571428571418</v>
      </c>
      <c r="P672">
        <f t="shared" si="438"/>
        <v>593.730612244898</v>
      </c>
      <c r="Q672">
        <f t="shared" si="438"/>
        <v>807.64081632653063</v>
      </c>
      <c r="R672">
        <f t="shared" si="438"/>
        <v>545.01428571428562</v>
      </c>
      <c r="S672">
        <f t="shared" si="438"/>
        <v>667.12244897959181</v>
      </c>
      <c r="T672">
        <f t="shared" si="438"/>
        <v>976.0448979591838</v>
      </c>
      <c r="U672">
        <f t="shared" si="438"/>
        <v>802.71020408163258</v>
      </c>
      <c r="V672">
        <f t="shared" si="438"/>
        <v>1131.3142857142859</v>
      </c>
      <c r="W672">
        <f t="shared" si="438"/>
        <v>1295.5102040816325</v>
      </c>
      <c r="Y672" s="17">
        <f t="shared" si="415"/>
        <v>20877.729591836731</v>
      </c>
      <c r="Z672">
        <f t="shared" si="416"/>
        <v>2327.6066893603966</v>
      </c>
    </row>
    <row r="673" spans="1:26" x14ac:dyDescent="0.25">
      <c r="A673" t="s">
        <v>66</v>
      </c>
      <c r="D673">
        <f t="shared" ref="D673:W673" si="439">D97*D133</f>
        <v>1409.587755102041</v>
      </c>
      <c r="E673">
        <f t="shared" si="439"/>
        <v>1281.3183673469389</v>
      </c>
      <c r="F673">
        <f t="shared" si="439"/>
        <v>1213.9346938775509</v>
      </c>
      <c r="G673">
        <f t="shared" si="439"/>
        <v>1126.3836734693878</v>
      </c>
      <c r="H673">
        <f t="shared" si="439"/>
        <v>972.82448979591857</v>
      </c>
      <c r="I673">
        <f t="shared" si="439"/>
        <v>1254.9183673469388</v>
      </c>
      <c r="J673">
        <f t="shared" si="439"/>
        <v>1459.5061224489796</v>
      </c>
      <c r="K673">
        <f t="shared" si="439"/>
        <v>1325.4428571428571</v>
      </c>
      <c r="L673">
        <f t="shared" si="439"/>
        <v>931.32187500000009</v>
      </c>
      <c r="M673">
        <f t="shared" si="439"/>
        <v>888.48367346938767</v>
      </c>
      <c r="N673">
        <f t="shared" si="439"/>
        <v>1156.7857142857142</v>
      </c>
      <c r="O673">
        <f t="shared" si="439"/>
        <v>1563.004081632653</v>
      </c>
      <c r="P673">
        <f t="shared" si="439"/>
        <v>1039.295918367347</v>
      </c>
      <c r="Q673">
        <f t="shared" si="439"/>
        <v>944.86530612244883</v>
      </c>
      <c r="R673">
        <f t="shared" si="439"/>
        <v>955.20408163265301</v>
      </c>
      <c r="S673">
        <f t="shared" si="439"/>
        <v>1061.338775510204</v>
      </c>
      <c r="T673">
        <f t="shared" si="439"/>
        <v>1102.7755102040815</v>
      </c>
      <c r="U673">
        <f t="shared" si="439"/>
        <v>1362.742857142857</v>
      </c>
      <c r="V673">
        <f t="shared" si="439"/>
        <v>1109.8775510204082</v>
      </c>
      <c r="W673">
        <f t="shared" si="439"/>
        <v>1195.204081632653</v>
      </c>
      <c r="Y673" s="17">
        <f t="shared" si="415"/>
        <v>23354.815752551018</v>
      </c>
      <c r="Z673">
        <f t="shared" si="416"/>
        <v>2719.8052641536715</v>
      </c>
    </row>
    <row r="674" spans="1:26" x14ac:dyDescent="0.25">
      <c r="A674" t="s">
        <v>67</v>
      </c>
      <c r="D674">
        <f t="shared" ref="D674:W674" si="440">D98*D134</f>
        <v>1348.9020408163267</v>
      </c>
      <c r="E674">
        <f t="shared" si="440"/>
        <v>1400.387755102041</v>
      </c>
      <c r="F674">
        <f t="shared" si="440"/>
        <v>1737.4122448979592</v>
      </c>
      <c r="G674">
        <f t="shared" si="440"/>
        <v>1163.9795918367345</v>
      </c>
      <c r="H674">
        <f t="shared" si="440"/>
        <v>1218.3061224489795</v>
      </c>
      <c r="I674">
        <f t="shared" si="440"/>
        <v>1265.7020408163266</v>
      </c>
      <c r="J674">
        <f t="shared" si="440"/>
        <v>1455.8918367346942</v>
      </c>
      <c r="K674">
        <f t="shared" si="440"/>
        <v>1534.1142857142854</v>
      </c>
      <c r="L674">
        <f t="shared" si="440"/>
        <v>1419.3979591836735</v>
      </c>
      <c r="M674">
        <f t="shared" si="440"/>
        <v>905.0204081632653</v>
      </c>
      <c r="N674">
        <f t="shared" si="440"/>
        <v>953.25714285714275</v>
      </c>
      <c r="O674">
        <f t="shared" si="440"/>
        <v>935.63265306122469</v>
      </c>
      <c r="P674">
        <f t="shared" si="440"/>
        <v>947.2897959183673</v>
      </c>
      <c r="Q674">
        <f t="shared" si="440"/>
        <v>1101.2816326530613</v>
      </c>
      <c r="R674">
        <f t="shared" si="440"/>
        <v>1293.7142857142858</v>
      </c>
      <c r="S674">
        <f t="shared" si="440"/>
        <v>879.11836734693861</v>
      </c>
      <c r="T674">
        <f t="shared" si="440"/>
        <v>999.26938775510189</v>
      </c>
      <c r="U674">
        <f t="shared" si="440"/>
        <v>1232.8897959183673</v>
      </c>
      <c r="V674">
        <f t="shared" si="440"/>
        <v>1171.873469387755</v>
      </c>
      <c r="W674">
        <f t="shared" si="440"/>
        <v>1223.3571428571429</v>
      </c>
      <c r="Y674" s="17">
        <f t="shared" si="415"/>
        <v>24186.797959183674</v>
      </c>
      <c r="Z674">
        <f t="shared" si="416"/>
        <v>2731.0507698800066</v>
      </c>
    </row>
    <row r="675" spans="1:26" x14ac:dyDescent="0.25">
      <c r="A675" t="s">
        <v>68</v>
      </c>
      <c r="D675">
        <f t="shared" ref="D675:W675" si="441">D99*D135</f>
        <v>1416.257142857143</v>
      </c>
      <c r="E675">
        <f t="shared" si="441"/>
        <v>1573.0693877551021</v>
      </c>
      <c r="F675">
        <f t="shared" si="441"/>
        <v>2124.9387755102043</v>
      </c>
      <c r="G675">
        <f t="shared" si="441"/>
        <v>1763.7448979591836</v>
      </c>
      <c r="H675">
        <f t="shared" si="441"/>
        <v>1738.5489795918368</v>
      </c>
      <c r="I675">
        <f t="shared" si="441"/>
        <v>1213.1102040816324</v>
      </c>
      <c r="J675">
        <f t="shared" si="441"/>
        <v>884.8</v>
      </c>
      <c r="K675">
        <f t="shared" si="441"/>
        <v>854.84897959183672</v>
      </c>
      <c r="L675">
        <f t="shared" si="441"/>
        <v>1209.45</v>
      </c>
      <c r="M675">
        <f t="shared" si="441"/>
        <v>630.80204081632667</v>
      </c>
      <c r="N675">
        <f t="shared" si="441"/>
        <v>666.46938775510193</v>
      </c>
      <c r="O675">
        <f t="shared" si="441"/>
        <v>763.96734693877568</v>
      </c>
      <c r="P675">
        <f t="shared" si="441"/>
        <v>965.73469387755108</v>
      </c>
      <c r="Q675">
        <f t="shared" si="441"/>
        <v>995.94285714285695</v>
      </c>
      <c r="R675">
        <f t="shared" si="441"/>
        <v>1184.830612244898</v>
      </c>
      <c r="S675">
        <f t="shared" si="441"/>
        <v>1213.126530612245</v>
      </c>
      <c r="T675">
        <f t="shared" si="441"/>
        <v>990.77551020408157</v>
      </c>
      <c r="U675">
        <f t="shared" si="441"/>
        <v>1091.7428571428572</v>
      </c>
      <c r="V675">
        <f t="shared" si="441"/>
        <v>1046.204081632653</v>
      </c>
      <c r="W675">
        <f t="shared" si="441"/>
        <v>1053.3673469387754</v>
      </c>
      <c r="Y675" s="17">
        <f t="shared" si="415"/>
        <v>23381.731632653064</v>
      </c>
      <c r="Z675">
        <f t="shared" si="416"/>
        <v>2479.4612769114315</v>
      </c>
    </row>
    <row r="676" spans="1:26" x14ac:dyDescent="0.25">
      <c r="A676" t="s">
        <v>69</v>
      </c>
      <c r="D676">
        <f t="shared" ref="D676:W676" si="442">D100*D136</f>
        <v>1287.4040816326531</v>
      </c>
      <c r="E676">
        <f t="shared" si="442"/>
        <v>1298.1428571428571</v>
      </c>
      <c r="F676">
        <f t="shared" si="442"/>
        <v>1295.4122448979592</v>
      </c>
      <c r="G676">
        <f t="shared" si="442"/>
        <v>988.45714285714291</v>
      </c>
      <c r="H676">
        <f t="shared" si="442"/>
        <v>835.0612244897959</v>
      </c>
      <c r="I676">
        <f t="shared" si="442"/>
        <v>1104.5918367346937</v>
      </c>
      <c r="J676">
        <f t="shared" si="442"/>
        <v>781.50408163265308</v>
      </c>
      <c r="K676">
        <f t="shared" si="442"/>
        <v>1207.05306122449</v>
      </c>
      <c r="L676">
        <f t="shared" si="442"/>
        <v>1002.31875</v>
      </c>
      <c r="M676">
        <f t="shared" si="442"/>
        <v>1015.5271428571428</v>
      </c>
      <c r="N676">
        <f t="shared" si="442"/>
        <v>996.01428571428562</v>
      </c>
      <c r="O676">
        <f t="shared" si="442"/>
        <v>788.66571428571422</v>
      </c>
      <c r="P676">
        <f t="shared" si="442"/>
        <v>713.51428571428562</v>
      </c>
      <c r="Q676">
        <f t="shared" si="442"/>
        <v>752.14285714285711</v>
      </c>
      <c r="R676">
        <f t="shared" si="442"/>
        <v>651.60750000000007</v>
      </c>
      <c r="S676">
        <f t="shared" si="442"/>
        <v>881.59999999999991</v>
      </c>
      <c r="T676">
        <f t="shared" si="442"/>
        <v>1035.257142857143</v>
      </c>
      <c r="U676">
        <f t="shared" si="442"/>
        <v>984.99183673469395</v>
      </c>
      <c r="V676">
        <f t="shared" si="442"/>
        <v>991.45714285714291</v>
      </c>
      <c r="W676">
        <f t="shared" si="442"/>
        <v>859.37755102040819</v>
      </c>
      <c r="Y676" s="17">
        <f t="shared" si="415"/>
        <v>19470.100739795918</v>
      </c>
      <c r="Z676">
        <f t="shared" si="416"/>
        <v>2326.0887781795518</v>
      </c>
    </row>
    <row r="677" spans="1:26" x14ac:dyDescent="0.25">
      <c r="Y677" s="17"/>
    </row>
    <row r="678" spans="1:26" x14ac:dyDescent="0.25">
      <c r="A678" t="s">
        <v>70</v>
      </c>
      <c r="D678">
        <f t="shared" ref="D678:W678" si="443">D102*D138</f>
        <v>1373.1918367346939</v>
      </c>
      <c r="E678">
        <f t="shared" si="443"/>
        <v>1606.5183673469387</v>
      </c>
      <c r="F678">
        <f t="shared" si="443"/>
        <v>1587.6571428571431</v>
      </c>
      <c r="G678">
        <f t="shared" si="443"/>
        <v>1298.6367346938773</v>
      </c>
      <c r="H678">
        <f t="shared" si="443"/>
        <v>1113.3428571428572</v>
      </c>
      <c r="I678">
        <f t="shared" si="443"/>
        <v>857.47346938775513</v>
      </c>
      <c r="J678">
        <f t="shared" si="443"/>
        <v>1287.542857142857</v>
      </c>
      <c r="K678">
        <f t="shared" si="443"/>
        <v>911.80408163265292</v>
      </c>
      <c r="L678">
        <f t="shared" si="443"/>
        <v>866.08124999999995</v>
      </c>
      <c r="M678">
        <f t="shared" si="443"/>
        <v>927.24489795918373</v>
      </c>
      <c r="N678">
        <f t="shared" si="443"/>
        <v>711.64285714285711</v>
      </c>
      <c r="O678">
        <f t="shared" si="443"/>
        <v>929.32448979591823</v>
      </c>
      <c r="P678">
        <f t="shared" si="443"/>
        <v>783.34285714285727</v>
      </c>
      <c r="Q678">
        <f t="shared" si="443"/>
        <v>1091.9183673469386</v>
      </c>
      <c r="R678">
        <f t="shared" si="443"/>
        <v>1065.9571428571428</v>
      </c>
      <c r="S678">
        <f t="shared" si="443"/>
        <v>929.94607050092759</v>
      </c>
      <c r="T678">
        <f t="shared" si="443"/>
        <v>1150.4673469387756</v>
      </c>
      <c r="U678">
        <f t="shared" si="443"/>
        <v>954.0408163265306</v>
      </c>
      <c r="V678">
        <f t="shared" si="443"/>
        <v>1077</v>
      </c>
      <c r="W678">
        <f t="shared" si="443"/>
        <v>1470.4408163265307</v>
      </c>
      <c r="Y678" s="17">
        <f t="shared" si="415"/>
        <v>21993.574259276436</v>
      </c>
      <c r="Z678">
        <f>SUMPRODUCT($D$682:$W$682,D678:W678)</f>
        <v>2430.511721693435</v>
      </c>
    </row>
    <row r="679" spans="1:26" x14ac:dyDescent="0.25">
      <c r="A679" t="s">
        <v>314</v>
      </c>
      <c r="D679">
        <f t="shared" ref="D679:W679" si="444">D103*D139</f>
        <v>1684.0653061224486</v>
      </c>
      <c r="E679">
        <f t="shared" si="444"/>
        <v>1667.159183673469</v>
      </c>
      <c r="F679">
        <f t="shared" si="444"/>
        <v>1230.8122448979591</v>
      </c>
      <c r="G679">
        <f t="shared" si="444"/>
        <v>1230.0795918367346</v>
      </c>
      <c r="H679">
        <f t="shared" si="444"/>
        <v>1315.6530612244899</v>
      </c>
      <c r="I679">
        <f t="shared" si="444"/>
        <v>1266.3061224489795</v>
      </c>
      <c r="J679">
        <f t="shared" si="444"/>
        <v>1048.3918367346939</v>
      </c>
      <c r="K679">
        <f t="shared" si="444"/>
        <v>956.86530612244906</v>
      </c>
      <c r="L679">
        <f t="shared" si="444"/>
        <v>938.6953125</v>
      </c>
      <c r="M679">
        <f t="shared" si="444"/>
        <v>1234.8326530612246</v>
      </c>
      <c r="N679">
        <f t="shared" si="444"/>
        <v>1010.9387755102042</v>
      </c>
      <c r="O679">
        <f t="shared" si="444"/>
        <v>1043.1999999999998</v>
      </c>
      <c r="P679">
        <f t="shared" si="444"/>
        <v>1503.5</v>
      </c>
      <c r="Q679">
        <f t="shared" si="444"/>
        <v>1227.5999999999999</v>
      </c>
      <c r="R679">
        <f t="shared" si="444"/>
        <v>1096.2</v>
      </c>
      <c r="S679">
        <f t="shared" si="444"/>
        <v>1100.8</v>
      </c>
      <c r="T679">
        <f t="shared" si="444"/>
        <v>1367.1836734693877</v>
      </c>
      <c r="U679">
        <f t="shared" si="444"/>
        <v>1165.5510204081631</v>
      </c>
      <c r="V679">
        <f t="shared" si="444"/>
        <v>1335.3979591836737</v>
      </c>
      <c r="W679">
        <f t="shared" si="444"/>
        <v>1535.5265306122451</v>
      </c>
      <c r="Y679" s="17">
        <f t="shared" si="415"/>
        <v>24958.758577806115</v>
      </c>
      <c r="Z679">
        <f>SUMPRODUCT($D$682:$W$682,D679:W679)</f>
        <v>2665.9684966533277</v>
      </c>
    </row>
    <row r="680" spans="1:26" x14ac:dyDescent="0.25">
      <c r="A680" t="s">
        <v>315</v>
      </c>
      <c r="D680">
        <f t="shared" ref="D680:W680" si="445">D104*D140</f>
        <v>1695.1326530612246</v>
      </c>
      <c r="E680">
        <f t="shared" si="445"/>
        <v>1529.7857142857142</v>
      </c>
      <c r="F680">
        <f t="shared" si="445"/>
        <v>1977.1346938775507</v>
      </c>
      <c r="G680">
        <f t="shared" si="445"/>
        <v>1534.1959183673466</v>
      </c>
      <c r="H680">
        <f t="shared" si="445"/>
        <v>1515.7102040816324</v>
      </c>
      <c r="I680">
        <f t="shared" si="445"/>
        <v>1229.3673469387757</v>
      </c>
      <c r="J680">
        <f t="shared" si="445"/>
        <v>1093.2244897959183</v>
      </c>
      <c r="K680">
        <f t="shared" si="445"/>
        <v>972.22857142857151</v>
      </c>
      <c r="L680">
        <f t="shared" si="445"/>
        <v>651.05156249999993</v>
      </c>
      <c r="M680">
        <f t="shared" si="445"/>
        <v>1158.1600000000001</v>
      </c>
      <c r="N680">
        <f t="shared" si="445"/>
        <v>871.38000000000011</v>
      </c>
      <c r="O680">
        <f t="shared" si="445"/>
        <v>928.03</v>
      </c>
      <c r="P680">
        <f t="shared" si="445"/>
        <v>792.73263038548748</v>
      </c>
      <c r="Q680">
        <f t="shared" si="445"/>
        <v>820.71157699443415</v>
      </c>
      <c r="R680">
        <f t="shared" si="445"/>
        <v>869.9940795712223</v>
      </c>
      <c r="S680">
        <f t="shared" si="445"/>
        <v>908.93093382807672</v>
      </c>
      <c r="T680">
        <f t="shared" si="445"/>
        <v>1412.0489795918368</v>
      </c>
      <c r="U680">
        <f t="shared" si="445"/>
        <v>1245.2693877551021</v>
      </c>
      <c r="V680">
        <f t="shared" si="445"/>
        <v>1308.5448979591838</v>
      </c>
      <c r="W680">
        <f t="shared" si="445"/>
        <v>1373.9673469387756</v>
      </c>
      <c r="Y680" s="17">
        <f t="shared" si="415"/>
        <v>23887.600987360853</v>
      </c>
      <c r="Z680">
        <f>SUMPRODUCT($D$682:$W$682,D680:W680)</f>
        <v>2649.7847682983765</v>
      </c>
    </row>
    <row r="681" spans="1:26" x14ac:dyDescent="0.25">
      <c r="A681" t="s">
        <v>677</v>
      </c>
      <c r="D681">
        <f t="shared" ref="D681:W681" si="446">D105*D141</f>
        <v>1329.7959183673468</v>
      </c>
      <c r="E681">
        <f t="shared" si="446"/>
        <v>1553.6979591836737</v>
      </c>
      <c r="F681">
        <f t="shared" si="446"/>
        <v>1404.4285714285713</v>
      </c>
      <c r="G681">
        <f t="shared" si="446"/>
        <v>1237.2367346938775</v>
      </c>
      <c r="H681">
        <f t="shared" si="446"/>
        <v>1098.7632653061225</v>
      </c>
      <c r="I681">
        <f t="shared" si="446"/>
        <v>1013.6836734693877</v>
      </c>
      <c r="J681">
        <f t="shared" si="446"/>
        <v>897.9367346938775</v>
      </c>
      <c r="K681">
        <f t="shared" si="446"/>
        <v>629.60816326530619</v>
      </c>
      <c r="L681">
        <f t="shared" si="446"/>
        <v>566.15625</v>
      </c>
      <c r="M681">
        <f t="shared" si="446"/>
        <v>1003.2938775510205</v>
      </c>
      <c r="N681">
        <f t="shared" si="446"/>
        <v>958.45306122448994</v>
      </c>
      <c r="O681">
        <f t="shared" si="446"/>
        <v>342.91428571428571</v>
      </c>
      <c r="P681">
        <f t="shared" si="446"/>
        <v>620.79795918367347</v>
      </c>
      <c r="Q681">
        <f t="shared" si="446"/>
        <v>1160.3428571428572</v>
      </c>
      <c r="R681">
        <f t="shared" si="446"/>
        <v>849.33673469387747</v>
      </c>
      <c r="S681">
        <f t="shared" si="446"/>
        <v>1058.7588504789671</v>
      </c>
      <c r="T681">
        <f t="shared" si="446"/>
        <v>995.5371282051284</v>
      </c>
      <c r="U681">
        <f t="shared" si="446"/>
        <v>1061.0772663526952</v>
      </c>
      <c r="V681">
        <f t="shared" si="446"/>
        <v>1012.5026500959359</v>
      </c>
      <c r="W681">
        <f t="shared" si="446"/>
        <v>1147.7104099075523</v>
      </c>
      <c r="Y681" s="17">
        <f t="shared" ref="Y681" si="447">SUM(D681:W681)</f>
        <v>19942.032350958645</v>
      </c>
      <c r="Z681">
        <f>SUMPRODUCT($D$682:$W$682,D681:W681)</f>
        <v>2220.8506793439556</v>
      </c>
    </row>
    <row r="682" spans="1:26" x14ac:dyDescent="0.25">
      <c r="A682" s="2" t="s">
        <v>71</v>
      </c>
      <c r="D682" s="3">
        <f>CORREL($B$2:$B$28,D650:D676)</f>
        <v>-0.10179981887092727</v>
      </c>
      <c r="E682" s="3">
        <f t="shared" ref="E682:W682" si="448">CORREL($B$2:$B$28,E650:E676)</f>
        <v>0.18343579744932154</v>
      </c>
      <c r="F682" s="3">
        <f t="shared" si="448"/>
        <v>0.27171744542495768</v>
      </c>
      <c r="G682" s="3">
        <f t="shared" si="448"/>
        <v>-9.4820793931668035E-2</v>
      </c>
      <c r="H682" s="3">
        <f t="shared" si="448"/>
        <v>-8.6129908584656051E-2</v>
      </c>
      <c r="I682" s="3">
        <f t="shared" si="448"/>
        <v>0.13576547289987886</v>
      </c>
      <c r="J682" s="3">
        <f t="shared" si="448"/>
        <v>-8.3069944519956987E-2</v>
      </c>
      <c r="K682" s="3">
        <f t="shared" si="448"/>
        <v>9.5396646043888589E-2</v>
      </c>
      <c r="L682" s="3">
        <f t="shared" si="448"/>
        <v>0.17871981340574233</v>
      </c>
      <c r="M682" s="3">
        <f t="shared" si="448"/>
        <v>0.19360982156733106</v>
      </c>
      <c r="N682" s="3">
        <f t="shared" si="448"/>
        <v>0.1488243149330504</v>
      </c>
      <c r="O682" s="3">
        <f t="shared" si="448"/>
        <v>0.33092217229987303</v>
      </c>
      <c r="P682" s="3">
        <f t="shared" si="448"/>
        <v>-0.13431090902453918</v>
      </c>
      <c r="Q682" s="3">
        <f t="shared" si="448"/>
        <v>0.20736508954027116</v>
      </c>
      <c r="R682" s="3">
        <f t="shared" si="448"/>
        <v>9.5909646923349703E-2</v>
      </c>
      <c r="S682" s="3">
        <f t="shared" si="448"/>
        <v>0.15027074623566491</v>
      </c>
      <c r="T682" s="3">
        <f t="shared" si="448"/>
        <v>0.23372856630895139</v>
      </c>
      <c r="U682" s="3">
        <f t="shared" si="448"/>
        <v>0.35097160125100096</v>
      </c>
      <c r="V682" s="3">
        <f t="shared" si="448"/>
        <v>0.15853222177628357</v>
      </c>
      <c r="W682" s="3">
        <f t="shared" si="448"/>
        <v>5.5342898964824069E-2</v>
      </c>
    </row>
    <row r="685" spans="1:26" x14ac:dyDescent="0.25">
      <c r="D685" t="s">
        <v>220</v>
      </c>
      <c r="E685" t="s">
        <v>221</v>
      </c>
      <c r="F685" t="s">
        <v>222</v>
      </c>
      <c r="G685" t="s">
        <v>223</v>
      </c>
      <c r="H685" t="s">
        <v>224</v>
      </c>
      <c r="I685" t="s">
        <v>225</v>
      </c>
      <c r="J685" t="s">
        <v>226</v>
      </c>
      <c r="K685" t="s">
        <v>227</v>
      </c>
      <c r="L685" t="s">
        <v>359</v>
      </c>
      <c r="M685" t="s">
        <v>425</v>
      </c>
      <c r="N685" t="s">
        <v>426</v>
      </c>
      <c r="O685" t="s">
        <v>427</v>
      </c>
      <c r="P685" t="s">
        <v>529</v>
      </c>
      <c r="Q685" t="s">
        <v>530</v>
      </c>
      <c r="R685" t="s">
        <v>531</v>
      </c>
      <c r="S685" t="s">
        <v>532</v>
      </c>
      <c r="T685" t="s">
        <v>641</v>
      </c>
      <c r="U685" t="s">
        <v>642</v>
      </c>
      <c r="V685" t="s">
        <v>643</v>
      </c>
      <c r="W685" t="s">
        <v>644</v>
      </c>
      <c r="Y685" t="s">
        <v>228</v>
      </c>
      <c r="Z685" t="s">
        <v>229</v>
      </c>
    </row>
    <row r="686" spans="1:26" x14ac:dyDescent="0.25">
      <c r="A686" t="s">
        <v>43</v>
      </c>
      <c r="D686">
        <f t="shared" ref="D686:W686" si="449">D74*D146</f>
        <v>401.68285714285713</v>
      </c>
      <c r="E686">
        <f t="shared" si="449"/>
        <v>432.0836734693878</v>
      </c>
      <c r="F686">
        <f t="shared" si="449"/>
        <v>399.21428571428572</v>
      </c>
      <c r="G686">
        <f t="shared" si="449"/>
        <v>451.07755102040824</v>
      </c>
      <c r="H686">
        <f t="shared" si="449"/>
        <v>434.27755102040817</v>
      </c>
      <c r="I686">
        <f t="shared" si="449"/>
        <v>362.62040816326538</v>
      </c>
      <c r="J686">
        <f t="shared" si="449"/>
        <v>554.79999999999995</v>
      </c>
      <c r="K686">
        <f t="shared" si="449"/>
        <v>469.98775510204075</v>
      </c>
      <c r="L686">
        <f t="shared" si="449"/>
        <v>419.62656249999998</v>
      </c>
      <c r="M686">
        <f t="shared" si="449"/>
        <v>445.19183673469382</v>
      </c>
      <c r="N686">
        <f t="shared" si="449"/>
        <v>307.16734693877549</v>
      </c>
      <c r="O686">
        <f t="shared" si="449"/>
        <v>352.634693877551</v>
      </c>
      <c r="P686">
        <f t="shared" si="449"/>
        <v>374.57142857142856</v>
      </c>
      <c r="Q686">
        <f t="shared" si="449"/>
        <v>370.51224489795919</v>
      </c>
      <c r="R686">
        <f t="shared" si="449"/>
        <v>472.06530612244893</v>
      </c>
      <c r="S686">
        <f t="shared" si="449"/>
        <v>310.87551020408165</v>
      </c>
      <c r="T686">
        <f t="shared" si="449"/>
        <v>388.01020408163265</v>
      </c>
      <c r="U686">
        <f t="shared" si="449"/>
        <v>319.59183673469391</v>
      </c>
      <c r="V686">
        <f t="shared" si="449"/>
        <v>399.18367346938771</v>
      </c>
      <c r="W686">
        <f t="shared" si="449"/>
        <v>289.6142857142857</v>
      </c>
      <c r="Y686" s="17">
        <f t="shared" ref="Y686:Y716" si="450">SUM(D686:W686)</f>
        <v>7954.7890114795928</v>
      </c>
      <c r="Z686">
        <f t="shared" ref="Z686:Z712" si="451">SUMPRODUCT($D$718:$W$718,D686:W686)</f>
        <v>1717.6242242164906</v>
      </c>
    </row>
    <row r="687" spans="1:26" x14ac:dyDescent="0.25">
      <c r="A687" t="s">
        <v>44</v>
      </c>
      <c r="D687">
        <f t="shared" ref="D687:W687" si="452">D75*D147</f>
        <v>363.49</v>
      </c>
      <c r="E687">
        <f t="shared" si="452"/>
        <v>378.47999999999996</v>
      </c>
      <c r="F687">
        <f t="shared" si="452"/>
        <v>388.07</v>
      </c>
      <c r="G687">
        <f t="shared" si="452"/>
        <v>406.12</v>
      </c>
      <c r="H687">
        <f t="shared" si="452"/>
        <v>372.65</v>
      </c>
      <c r="I687">
        <f t="shared" si="452"/>
        <v>353.28000000000003</v>
      </c>
      <c r="J687">
        <f t="shared" si="452"/>
        <v>763.62</v>
      </c>
      <c r="K687">
        <f t="shared" si="452"/>
        <v>426.73</v>
      </c>
      <c r="L687">
        <f t="shared" si="452"/>
        <v>370.64</v>
      </c>
      <c r="M687">
        <f t="shared" si="452"/>
        <v>430.09999999999997</v>
      </c>
      <c r="N687">
        <f t="shared" si="452"/>
        <v>392.37</v>
      </c>
      <c r="O687">
        <f t="shared" si="452"/>
        <v>379.32</v>
      </c>
      <c r="P687">
        <f t="shared" si="452"/>
        <v>375.61761442027353</v>
      </c>
      <c r="Q687">
        <f t="shared" si="452"/>
        <v>335.0576272706885</v>
      </c>
      <c r="R687">
        <f t="shared" si="452"/>
        <v>361.26782437766309</v>
      </c>
      <c r="S687">
        <f t="shared" si="452"/>
        <v>359.74702848172234</v>
      </c>
      <c r="T687">
        <f t="shared" si="452"/>
        <v>339.2826590393733</v>
      </c>
      <c r="U687">
        <f t="shared" si="452"/>
        <v>363.99621933621927</v>
      </c>
      <c r="V687">
        <f t="shared" si="452"/>
        <v>334.44403215831784</v>
      </c>
      <c r="W687">
        <f t="shared" si="452"/>
        <v>409.71833085961651</v>
      </c>
      <c r="Y687" s="17">
        <f t="shared" si="450"/>
        <v>7904.0013359438744</v>
      </c>
      <c r="Z687">
        <f t="shared" si="451"/>
        <v>1650.9289938604456</v>
      </c>
    </row>
    <row r="688" spans="1:26" x14ac:dyDescent="0.25">
      <c r="A688" t="s">
        <v>45</v>
      </c>
      <c r="D688">
        <f t="shared" ref="D688:W688" si="453">D76*D148</f>
        <v>371.55510204081634</v>
      </c>
      <c r="E688">
        <f t="shared" si="453"/>
        <v>324.82224489795919</v>
      </c>
      <c r="F688">
        <f t="shared" si="453"/>
        <v>370.12653061224489</v>
      </c>
      <c r="G688">
        <f t="shared" si="453"/>
        <v>381.63265306122457</v>
      </c>
      <c r="H688">
        <f t="shared" si="453"/>
        <v>412.23673469387757</v>
      </c>
      <c r="I688">
        <f t="shared" si="453"/>
        <v>409.66530612244901</v>
      </c>
      <c r="J688">
        <f t="shared" si="453"/>
        <v>903.11428571428564</v>
      </c>
      <c r="K688">
        <f t="shared" si="453"/>
        <v>325.53265306122455</v>
      </c>
      <c r="L688">
        <f t="shared" si="453"/>
        <v>429.00000000000006</v>
      </c>
      <c r="M688">
        <f t="shared" si="453"/>
        <v>443.36734693877548</v>
      </c>
      <c r="N688">
        <f t="shared" si="453"/>
        <v>518.46530612244896</v>
      </c>
      <c r="O688">
        <f t="shared" si="453"/>
        <v>394.38367346938776</v>
      </c>
      <c r="P688">
        <f t="shared" si="453"/>
        <v>266.78571428571433</v>
      </c>
      <c r="Q688">
        <f t="shared" si="453"/>
        <v>286.86122448979592</v>
      </c>
      <c r="R688">
        <f t="shared" si="453"/>
        <v>422.87346938775511</v>
      </c>
      <c r="S688">
        <f t="shared" si="453"/>
        <v>372.15918367346939</v>
      </c>
      <c r="T688">
        <f t="shared" si="453"/>
        <v>446.86530612244894</v>
      </c>
      <c r="U688">
        <f t="shared" si="453"/>
        <v>469.80408163265309</v>
      </c>
      <c r="V688">
        <f t="shared" si="453"/>
        <v>528.89795918367349</v>
      </c>
      <c r="W688">
        <f t="shared" si="453"/>
        <v>538.54285714285709</v>
      </c>
      <c r="Y688" s="17">
        <f t="shared" si="450"/>
        <v>8616.6916326530609</v>
      </c>
      <c r="Z688">
        <f t="shared" si="451"/>
        <v>1774.3438413792651</v>
      </c>
    </row>
    <row r="689" spans="1:26" x14ac:dyDescent="0.25">
      <c r="A689" t="s">
        <v>46</v>
      </c>
      <c r="D689">
        <f t="shared" ref="D689:W689" si="454">D77*D149</f>
        <v>366.30612244897964</v>
      </c>
      <c r="E689">
        <f t="shared" si="454"/>
        <v>315.86734693877554</v>
      </c>
      <c r="F689">
        <f t="shared" si="454"/>
        <v>259.14285714285717</v>
      </c>
      <c r="G689">
        <f t="shared" si="454"/>
        <v>346.48571428571421</v>
      </c>
      <c r="H689">
        <f t="shared" si="454"/>
        <v>337.34693877551018</v>
      </c>
      <c r="I689">
        <f t="shared" si="454"/>
        <v>334.8</v>
      </c>
      <c r="J689">
        <f t="shared" si="454"/>
        <v>498.65918367346939</v>
      </c>
      <c r="K689">
        <f t="shared" si="454"/>
        <v>394.61632653061218</v>
      </c>
      <c r="L689">
        <f t="shared" si="454"/>
        <v>416.26874999999995</v>
      </c>
      <c r="M689">
        <f t="shared" si="454"/>
        <v>378.32653061224488</v>
      </c>
      <c r="N689">
        <f t="shared" si="454"/>
        <v>232.58571428571432</v>
      </c>
      <c r="O689">
        <f t="shared" si="454"/>
        <v>238.234693877551</v>
      </c>
      <c r="P689">
        <f t="shared" si="454"/>
        <v>199.91836734693877</v>
      </c>
      <c r="Q689">
        <f t="shared" si="454"/>
        <v>272.63265306122452</v>
      </c>
      <c r="R689">
        <f t="shared" si="454"/>
        <v>335.24081632653065</v>
      </c>
      <c r="S689">
        <f t="shared" si="454"/>
        <v>484.71428571428572</v>
      </c>
      <c r="T689">
        <f t="shared" si="454"/>
        <v>218.17959183673469</v>
      </c>
      <c r="U689">
        <f t="shared" si="454"/>
        <v>259.44285714285712</v>
      </c>
      <c r="V689">
        <f t="shared" si="454"/>
        <v>308.92040816326534</v>
      </c>
      <c r="W689">
        <f t="shared" si="454"/>
        <v>539.5448979591838</v>
      </c>
      <c r="Y689" s="17">
        <f t="shared" si="450"/>
        <v>6737.2340561224482</v>
      </c>
      <c r="Z689">
        <f t="shared" si="451"/>
        <v>1334.8734060470019</v>
      </c>
    </row>
    <row r="690" spans="1:26" x14ac:dyDescent="0.25">
      <c r="A690" t="s">
        <v>47</v>
      </c>
      <c r="D690">
        <f t="shared" ref="D690:W690" si="455">D78*D150</f>
        <v>476.35714285714289</v>
      </c>
      <c r="E690">
        <f t="shared" si="455"/>
        <v>450.0408163265306</v>
      </c>
      <c r="F690">
        <f t="shared" si="455"/>
        <v>418.11836734693878</v>
      </c>
      <c r="G690">
        <f t="shared" si="455"/>
        <v>419.27755102040823</v>
      </c>
      <c r="H690">
        <f t="shared" si="455"/>
        <v>534.76734693877552</v>
      </c>
      <c r="I690">
        <f t="shared" si="455"/>
        <v>342.29183673469385</v>
      </c>
      <c r="J690">
        <f t="shared" si="455"/>
        <v>409.13265306122457</v>
      </c>
      <c r="K690">
        <f t="shared" si="455"/>
        <v>418.37755102040813</v>
      </c>
      <c r="L690">
        <f t="shared" si="455"/>
        <v>365.2</v>
      </c>
      <c r="M690">
        <f t="shared" si="455"/>
        <v>446.81632653061217</v>
      </c>
      <c r="N690">
        <f t="shared" si="455"/>
        <v>372.00000000000006</v>
      </c>
      <c r="O690">
        <f t="shared" si="455"/>
        <v>256.15102040816328</v>
      </c>
      <c r="P690">
        <f t="shared" si="455"/>
        <v>306.44081632653064</v>
      </c>
      <c r="Q690">
        <f t="shared" si="455"/>
        <v>238.17551020408163</v>
      </c>
      <c r="R690">
        <f t="shared" si="455"/>
        <v>452.14285714285717</v>
      </c>
      <c r="S690">
        <f t="shared" si="455"/>
        <v>506.12244897959175</v>
      </c>
      <c r="T690">
        <f t="shared" si="455"/>
        <v>413.06122448979585</v>
      </c>
      <c r="U690">
        <f t="shared" si="455"/>
        <v>444.3428571428571</v>
      </c>
      <c r="V690">
        <f t="shared" si="455"/>
        <v>211.87755102040819</v>
      </c>
      <c r="W690">
        <f t="shared" si="455"/>
        <v>294.25306122448978</v>
      </c>
      <c r="Y690" s="17">
        <f t="shared" si="450"/>
        <v>7774.9469387755089</v>
      </c>
      <c r="Z690">
        <f t="shared" si="451"/>
        <v>1672.9331175643611</v>
      </c>
    </row>
    <row r="691" spans="1:26" x14ac:dyDescent="0.25">
      <c r="A691" t="s">
        <v>48</v>
      </c>
      <c r="D691">
        <f t="shared" ref="D691:W691" si="456">D79*D151</f>
        <v>608.4571428571428</v>
      </c>
      <c r="E691">
        <f t="shared" si="456"/>
        <v>375.6979591836735</v>
      </c>
      <c r="F691">
        <f t="shared" si="456"/>
        <v>453.20000000000005</v>
      </c>
      <c r="G691">
        <f t="shared" si="456"/>
        <v>896.12448979591852</v>
      </c>
      <c r="H691">
        <f t="shared" si="456"/>
        <v>713.40000000000009</v>
      </c>
      <c r="I691">
        <f t="shared" si="456"/>
        <v>811.05306122448974</v>
      </c>
      <c r="J691">
        <f t="shared" si="456"/>
        <v>486.269387755102</v>
      </c>
      <c r="K691">
        <f t="shared" si="456"/>
        <v>485.31428571428569</v>
      </c>
      <c r="L691">
        <f t="shared" si="456"/>
        <v>419.453125</v>
      </c>
      <c r="M691">
        <f t="shared" si="456"/>
        <v>222.43265306122453</v>
      </c>
      <c r="N691">
        <f t="shared" si="456"/>
        <v>368.91428571428571</v>
      </c>
      <c r="O691">
        <f t="shared" si="456"/>
        <v>254.53673469387761</v>
      </c>
      <c r="P691">
        <f t="shared" si="456"/>
        <v>351.29591836734687</v>
      </c>
      <c r="Q691">
        <f t="shared" si="456"/>
        <v>340.69591836734696</v>
      </c>
      <c r="R691">
        <f t="shared" si="456"/>
        <v>413.51020408163259</v>
      </c>
      <c r="S691">
        <f t="shared" si="456"/>
        <v>246.85714285714289</v>
      </c>
      <c r="T691">
        <f t="shared" si="456"/>
        <v>435.32857142857142</v>
      </c>
      <c r="U691">
        <f t="shared" si="456"/>
        <v>364.87755102040819</v>
      </c>
      <c r="V691">
        <f t="shared" si="456"/>
        <v>301.23673469387751</v>
      </c>
      <c r="W691">
        <f t="shared" si="456"/>
        <v>318.73469387755102</v>
      </c>
      <c r="Y691" s="17">
        <f t="shared" si="450"/>
        <v>8867.389859693878</v>
      </c>
      <c r="Z691">
        <f t="shared" si="451"/>
        <v>1693.7147563303588</v>
      </c>
    </row>
    <row r="692" spans="1:26" x14ac:dyDescent="0.25">
      <c r="A692" t="s">
        <v>49</v>
      </c>
      <c r="D692">
        <f t="shared" ref="D692:W692" si="457">D80*D152</f>
        <v>317.38775510204079</v>
      </c>
      <c r="E692">
        <f t="shared" si="457"/>
        <v>467.34693877551024</v>
      </c>
      <c r="F692">
        <f t="shared" si="457"/>
        <v>846.85714285714289</v>
      </c>
      <c r="G692">
        <f t="shared" si="457"/>
        <v>638.11020408163267</v>
      </c>
      <c r="H692">
        <f t="shared" si="457"/>
        <v>361.57959183673472</v>
      </c>
      <c r="I692">
        <f t="shared" si="457"/>
        <v>326.29591836734693</v>
      </c>
      <c r="J692">
        <f t="shared" si="457"/>
        <v>389.25714285714287</v>
      </c>
      <c r="K692">
        <f t="shared" si="457"/>
        <v>486.57142857142861</v>
      </c>
      <c r="L692">
        <f t="shared" si="457"/>
        <v>254.9765625</v>
      </c>
      <c r="M692">
        <f t="shared" si="457"/>
        <v>206.08163265306123</v>
      </c>
      <c r="N692">
        <f t="shared" si="457"/>
        <v>287.37142857142862</v>
      </c>
      <c r="O692">
        <f t="shared" si="457"/>
        <v>234.17142857142855</v>
      </c>
      <c r="P692">
        <f t="shared" si="457"/>
        <v>379.97959183673464</v>
      </c>
      <c r="Q692">
        <f t="shared" si="457"/>
        <v>566.86530612244894</v>
      </c>
      <c r="R692">
        <f t="shared" si="457"/>
        <v>341.63265306122452</v>
      </c>
      <c r="S692">
        <f t="shared" si="457"/>
        <v>241.44693877551023</v>
      </c>
      <c r="T692">
        <f t="shared" si="457"/>
        <v>196.29326530612244</v>
      </c>
      <c r="U692">
        <f t="shared" si="457"/>
        <v>304.65918367346939</v>
      </c>
      <c r="V692">
        <f t="shared" si="457"/>
        <v>407.90816326530614</v>
      </c>
      <c r="W692">
        <f t="shared" si="457"/>
        <v>243.86306122448977</v>
      </c>
      <c r="Y692" s="17">
        <f t="shared" si="450"/>
        <v>7498.6553380102032</v>
      </c>
      <c r="Z692">
        <f t="shared" si="451"/>
        <v>1640.0944932501372</v>
      </c>
    </row>
    <row r="693" spans="1:26" x14ac:dyDescent="0.25">
      <c r="A693" t="s">
        <v>50</v>
      </c>
      <c r="D693">
        <f t="shared" ref="D693:W693" si="458">D81*D153</f>
        <v>390.07959183673472</v>
      </c>
      <c r="E693">
        <f t="shared" si="458"/>
        <v>313.82040816326526</v>
      </c>
      <c r="F693">
        <f t="shared" si="458"/>
        <v>504.24081632653065</v>
      </c>
      <c r="G693">
        <f t="shared" si="458"/>
        <v>618.70000000000005</v>
      </c>
      <c r="H693">
        <f t="shared" si="458"/>
        <v>415.0530612244898</v>
      </c>
      <c r="I693">
        <f t="shared" si="458"/>
        <v>523.02857142857135</v>
      </c>
      <c r="J693">
        <f t="shared" si="458"/>
        <v>437.43673469387761</v>
      </c>
      <c r="K693">
        <f t="shared" si="458"/>
        <v>454.29795918367347</v>
      </c>
      <c r="L693">
        <f t="shared" si="458"/>
        <v>409.33749999999998</v>
      </c>
      <c r="M693">
        <f t="shared" si="458"/>
        <v>516.48979591836735</v>
      </c>
      <c r="N693">
        <f t="shared" si="458"/>
        <v>461.81632653061229</v>
      </c>
      <c r="O693">
        <f t="shared" si="458"/>
        <v>407.14285714285722</v>
      </c>
      <c r="P693">
        <f t="shared" si="458"/>
        <v>306.69795918367345</v>
      </c>
      <c r="Q693">
        <f t="shared" si="458"/>
        <v>247.18367346938777</v>
      </c>
      <c r="R693">
        <f t="shared" si="458"/>
        <v>256.78775510204082</v>
      </c>
      <c r="S693">
        <f t="shared" si="458"/>
        <v>269.02857142857147</v>
      </c>
      <c r="T693">
        <f t="shared" si="458"/>
        <v>310.47346938775507</v>
      </c>
      <c r="U693">
        <f t="shared" si="458"/>
        <v>369.5938775510204</v>
      </c>
      <c r="V693">
        <f t="shared" si="458"/>
        <v>272.09999999999997</v>
      </c>
      <c r="W693">
        <f t="shared" si="458"/>
        <v>453.76530612244898</v>
      </c>
      <c r="Y693" s="17">
        <f t="shared" si="450"/>
        <v>7937.0742346938787</v>
      </c>
      <c r="Z693">
        <f t="shared" si="451"/>
        <v>1639.9159124590008</v>
      </c>
    </row>
    <row r="694" spans="1:26" x14ac:dyDescent="0.25">
      <c r="A694" t="s">
        <v>51</v>
      </c>
      <c r="D694">
        <f t="shared" ref="D694:W694" si="459">D82*D154</f>
        <v>623.63265306122457</v>
      </c>
      <c r="E694">
        <f t="shared" si="459"/>
        <v>526.10612244897959</v>
      </c>
      <c r="F694">
        <f t="shared" si="459"/>
        <v>461.24081632653053</v>
      </c>
      <c r="G694">
        <f t="shared" si="459"/>
        <v>771.14897959183668</v>
      </c>
      <c r="H694">
        <f t="shared" si="459"/>
        <v>318.05714285714288</v>
      </c>
      <c r="I694">
        <f t="shared" si="459"/>
        <v>598.53061224489795</v>
      </c>
      <c r="J694">
        <f t="shared" si="459"/>
        <v>399.78571428571428</v>
      </c>
      <c r="K694">
        <f t="shared" si="459"/>
        <v>351.89795918367349</v>
      </c>
      <c r="L694">
        <f t="shared" si="459"/>
        <v>370.24062500000002</v>
      </c>
      <c r="M694">
        <f t="shared" si="459"/>
        <v>487.65306122448976</v>
      </c>
      <c r="N694">
        <f t="shared" si="459"/>
        <v>702</v>
      </c>
      <c r="O694">
        <f t="shared" si="459"/>
        <v>314.44897959183675</v>
      </c>
      <c r="P694">
        <f t="shared" si="459"/>
        <v>719.94285714285718</v>
      </c>
      <c r="Q694">
        <f t="shared" si="459"/>
        <v>209.08163265306118</v>
      </c>
      <c r="R694">
        <f t="shared" si="459"/>
        <v>310.08163265306115</v>
      </c>
      <c r="S694">
        <f t="shared" si="459"/>
        <v>280.11428571428576</v>
      </c>
      <c r="T694">
        <f t="shared" si="459"/>
        <v>353.97551020408162</v>
      </c>
      <c r="U694">
        <f t="shared" si="459"/>
        <v>274.03469387755098</v>
      </c>
      <c r="V694">
        <f t="shared" si="459"/>
        <v>230.98775510204081</v>
      </c>
      <c r="W694">
        <f t="shared" si="459"/>
        <v>312.68571428571431</v>
      </c>
      <c r="Y694" s="17">
        <f t="shared" si="450"/>
        <v>8615.64674744898</v>
      </c>
      <c r="Z694">
        <f t="shared" si="451"/>
        <v>1693.0364647797678</v>
      </c>
    </row>
    <row r="695" spans="1:26" x14ac:dyDescent="0.25">
      <c r="A695" t="s">
        <v>52</v>
      </c>
      <c r="D695">
        <f t="shared" ref="D695:W695" si="460">D83*D155</f>
        <v>604.09795918367354</v>
      </c>
      <c r="E695">
        <f t="shared" si="460"/>
        <v>490.43877551020404</v>
      </c>
      <c r="F695">
        <f t="shared" si="460"/>
        <v>576.88163265306139</v>
      </c>
      <c r="G695">
        <f t="shared" si="460"/>
        <v>404.90612244897954</v>
      </c>
      <c r="H695">
        <f t="shared" si="460"/>
        <v>360.85306122448981</v>
      </c>
      <c r="I695">
        <f t="shared" si="460"/>
        <v>374.59591836734694</v>
      </c>
      <c r="J695">
        <f t="shared" si="460"/>
        <v>391.12857142857138</v>
      </c>
      <c r="K695">
        <f t="shared" si="460"/>
        <v>292.24489795918367</v>
      </c>
      <c r="L695">
        <f t="shared" si="460"/>
        <v>346.68281249999995</v>
      </c>
      <c r="M695">
        <f t="shared" si="460"/>
        <v>368.04489795918363</v>
      </c>
      <c r="N695">
        <f t="shared" si="460"/>
        <v>313.58571428571429</v>
      </c>
      <c r="O695">
        <f t="shared" si="460"/>
        <v>410.36938775510197</v>
      </c>
      <c r="P695">
        <f t="shared" si="460"/>
        <v>293.37551020408171</v>
      </c>
      <c r="Q695">
        <f t="shared" si="460"/>
        <v>380.46530612244891</v>
      </c>
      <c r="R695">
        <f t="shared" si="460"/>
        <v>363.26938775510206</v>
      </c>
      <c r="S695">
        <f t="shared" si="460"/>
        <v>401.0938775510204</v>
      </c>
      <c r="T695">
        <f t="shared" si="460"/>
        <v>265.83673469387753</v>
      </c>
      <c r="U695">
        <f t="shared" si="460"/>
        <v>455.07959183673472</v>
      </c>
      <c r="V695">
        <f t="shared" si="460"/>
        <v>409.76326530612249</v>
      </c>
      <c r="W695">
        <f t="shared" si="460"/>
        <v>534.67346938775506</v>
      </c>
      <c r="Y695" s="17">
        <f t="shared" si="450"/>
        <v>8037.3868941326537</v>
      </c>
      <c r="Z695">
        <f t="shared" si="451"/>
        <v>1743.0648108331459</v>
      </c>
    </row>
    <row r="696" spans="1:26" x14ac:dyDescent="0.25">
      <c r="A696" t="s">
        <v>53</v>
      </c>
      <c r="D696">
        <f t="shared" ref="D696:W696" si="461">D84*D156</f>
        <v>483.04897959183671</v>
      </c>
      <c r="E696">
        <f t="shared" si="461"/>
        <v>468.92244897959188</v>
      </c>
      <c r="F696">
        <f t="shared" si="461"/>
        <v>442.21224489795924</v>
      </c>
      <c r="G696">
        <f t="shared" si="461"/>
        <v>841.77959183673454</v>
      </c>
      <c r="H696">
        <f t="shared" si="461"/>
        <v>532.35714285714289</v>
      </c>
      <c r="I696">
        <f t="shared" si="461"/>
        <v>308.9571428571428</v>
      </c>
      <c r="J696">
        <f t="shared" si="461"/>
        <v>463.88571428571436</v>
      </c>
      <c r="K696">
        <f t="shared" si="461"/>
        <v>438.56326530612239</v>
      </c>
      <c r="L696">
        <f t="shared" si="461"/>
        <v>761.17499999999995</v>
      </c>
      <c r="M696">
        <f t="shared" si="461"/>
        <v>929.38775510204084</v>
      </c>
      <c r="N696">
        <f t="shared" si="461"/>
        <v>489.85714285714289</v>
      </c>
      <c r="O696">
        <f t="shared" si="461"/>
        <v>392.36122448979592</v>
      </c>
      <c r="P696">
        <f t="shared" si="461"/>
        <v>440.83265306122445</v>
      </c>
      <c r="Q696">
        <f t="shared" si="461"/>
        <v>275.61224489795916</v>
      </c>
      <c r="R696">
        <f t="shared" si="461"/>
        <v>311.62857142857143</v>
      </c>
      <c r="S696">
        <f t="shared" si="461"/>
        <v>364.07755102040812</v>
      </c>
      <c r="T696">
        <f t="shared" si="461"/>
        <v>505.10204081632656</v>
      </c>
      <c r="U696">
        <f t="shared" si="461"/>
        <v>367.55918367346942</v>
      </c>
      <c r="V696">
        <f t="shared" si="461"/>
        <v>315.47551020408156</v>
      </c>
      <c r="W696">
        <f t="shared" si="461"/>
        <v>461.97142857142865</v>
      </c>
      <c r="Y696" s="17">
        <f t="shared" si="450"/>
        <v>9594.7668367346942</v>
      </c>
      <c r="Z696">
        <f t="shared" si="451"/>
        <v>1903.2306688367853</v>
      </c>
    </row>
    <row r="697" spans="1:26" x14ac:dyDescent="0.25">
      <c r="A697" t="s">
        <v>54</v>
      </c>
      <c r="D697">
        <f t="shared" ref="D697:W697" si="462">D85*D157</f>
        <v>642.48979591836735</v>
      </c>
      <c r="E697">
        <f t="shared" si="462"/>
        <v>577.74489795918362</v>
      </c>
      <c r="F697">
        <f t="shared" si="462"/>
        <v>498.5632653061225</v>
      </c>
      <c r="G697">
        <f t="shared" si="462"/>
        <v>418.05714285714294</v>
      </c>
      <c r="H697">
        <f t="shared" si="462"/>
        <v>361.46938775510205</v>
      </c>
      <c r="I697">
        <f t="shared" si="462"/>
        <v>455.97551020408156</v>
      </c>
      <c r="J697">
        <f t="shared" si="462"/>
        <v>288.42857142857144</v>
      </c>
      <c r="K697">
        <f t="shared" si="462"/>
        <v>545.76326530612255</v>
      </c>
      <c r="L697">
        <f t="shared" si="462"/>
        <v>391.078125</v>
      </c>
      <c r="M697">
        <f t="shared" si="462"/>
        <v>423.19439999999997</v>
      </c>
      <c r="N697">
        <f t="shared" si="462"/>
        <v>674.87459999999999</v>
      </c>
      <c r="O697">
        <f t="shared" si="462"/>
        <v>412.50079999999997</v>
      </c>
      <c r="P697">
        <f t="shared" si="462"/>
        <v>255.38759999999999</v>
      </c>
      <c r="Q697">
        <f t="shared" si="462"/>
        <v>379.08</v>
      </c>
      <c r="R697">
        <f t="shared" si="462"/>
        <v>200.1942</v>
      </c>
      <c r="S697">
        <f t="shared" si="462"/>
        <v>336</v>
      </c>
      <c r="T697">
        <f t="shared" si="462"/>
        <v>214.20260000000002</v>
      </c>
      <c r="U697">
        <f t="shared" si="462"/>
        <v>330.2226</v>
      </c>
      <c r="V697">
        <f t="shared" si="462"/>
        <v>333.99599999999998</v>
      </c>
      <c r="W697">
        <f t="shared" si="462"/>
        <v>523.68539999999996</v>
      </c>
      <c r="Y697" s="17">
        <f t="shared" si="450"/>
        <v>8262.9081617346947</v>
      </c>
      <c r="Z697">
        <f t="shared" si="451"/>
        <v>1863.2715050630491</v>
      </c>
    </row>
    <row r="698" spans="1:26" x14ac:dyDescent="0.25">
      <c r="A698" t="s">
        <v>55</v>
      </c>
      <c r="D698">
        <f t="shared" ref="D698:W698" si="463">D86*D158</f>
        <v>780.8916999999999</v>
      </c>
      <c r="E698">
        <f t="shared" si="463"/>
        <v>732.7075000000001</v>
      </c>
      <c r="F698">
        <f t="shared" si="463"/>
        <v>584.63369999999998</v>
      </c>
      <c r="G698">
        <f t="shared" si="463"/>
        <v>953.79079999999999</v>
      </c>
      <c r="H698">
        <f t="shared" si="463"/>
        <v>977.85600000000011</v>
      </c>
      <c r="I698">
        <f t="shared" si="463"/>
        <v>1036.2631999999999</v>
      </c>
      <c r="J698">
        <f t="shared" si="463"/>
        <v>554.95439999999996</v>
      </c>
      <c r="K698">
        <f t="shared" si="463"/>
        <v>830.67769999999996</v>
      </c>
      <c r="L698">
        <f t="shared" si="463"/>
        <v>713.49459999999999</v>
      </c>
      <c r="M698">
        <f t="shared" si="463"/>
        <v>655.75714285714287</v>
      </c>
      <c r="N698">
        <f t="shared" si="463"/>
        <v>545.36938775510203</v>
      </c>
      <c r="O698">
        <f t="shared" si="463"/>
        <v>268.16326530612247</v>
      </c>
      <c r="P698">
        <f t="shared" si="463"/>
        <v>397.07755102040812</v>
      </c>
      <c r="Q698">
        <f t="shared" si="463"/>
        <v>561.70000000000005</v>
      </c>
      <c r="R698">
        <f t="shared" si="463"/>
        <v>317.3428571428571</v>
      </c>
      <c r="S698">
        <f t="shared" si="463"/>
        <v>551.16734693877538</v>
      </c>
      <c r="T698">
        <f t="shared" si="463"/>
        <v>454.31632653061229</v>
      </c>
      <c r="U698">
        <f t="shared" si="463"/>
        <v>295</v>
      </c>
      <c r="V698">
        <f t="shared" si="463"/>
        <v>458.40000000000009</v>
      </c>
      <c r="W698">
        <f t="shared" si="463"/>
        <v>477.78979591836742</v>
      </c>
      <c r="Y698" s="17">
        <f t="shared" si="450"/>
        <v>12147.353273469387</v>
      </c>
      <c r="Z698">
        <f t="shared" si="451"/>
        <v>2482.3924771038855</v>
      </c>
    </row>
    <row r="699" spans="1:26" x14ac:dyDescent="0.25">
      <c r="A699" t="s">
        <v>56</v>
      </c>
      <c r="D699">
        <f t="shared" ref="D699:W699" si="464">D87*D159</f>
        <v>963.00000000000011</v>
      </c>
      <c r="E699">
        <f t="shared" si="464"/>
        <v>630.36734693877543</v>
      </c>
      <c r="F699">
        <f t="shared" si="464"/>
        <v>698.40000000000009</v>
      </c>
      <c r="G699">
        <f t="shared" si="464"/>
        <v>544.34693877551035</v>
      </c>
      <c r="H699">
        <f t="shared" si="464"/>
        <v>343.98571428571427</v>
      </c>
      <c r="I699">
        <f t="shared" si="464"/>
        <v>343.34285714285716</v>
      </c>
      <c r="J699">
        <f t="shared" si="464"/>
        <v>458.99591836734686</v>
      </c>
      <c r="K699">
        <f t="shared" si="464"/>
        <v>468.57142857142856</v>
      </c>
      <c r="L699">
        <f t="shared" si="464"/>
        <v>380.7</v>
      </c>
      <c r="M699">
        <f t="shared" si="464"/>
        <v>414.93877551020415</v>
      </c>
      <c r="N699">
        <f t="shared" si="464"/>
        <v>300.99795918367346</v>
      </c>
      <c r="O699">
        <f t="shared" si="464"/>
        <v>511.56734693877559</v>
      </c>
      <c r="P699">
        <f t="shared" si="464"/>
        <v>537.24489795918373</v>
      </c>
      <c r="Q699">
        <f t="shared" si="464"/>
        <v>322.40612244897954</v>
      </c>
      <c r="R699">
        <f t="shared" si="464"/>
        <v>710.21224489795918</v>
      </c>
      <c r="S699">
        <f t="shared" si="464"/>
        <v>725.53877551020412</v>
      </c>
      <c r="T699">
        <f t="shared" si="464"/>
        <v>506.73877551020411</v>
      </c>
      <c r="U699">
        <f t="shared" si="464"/>
        <v>347.71836734693875</v>
      </c>
      <c r="V699">
        <f t="shared" si="464"/>
        <v>497.22244897959195</v>
      </c>
      <c r="W699">
        <f t="shared" si="464"/>
        <v>313.4591836734694</v>
      </c>
      <c r="Y699" s="17">
        <f t="shared" si="450"/>
        <v>10019.755102040817</v>
      </c>
      <c r="Z699">
        <f t="shared" si="451"/>
        <v>2149.045036557759</v>
      </c>
    </row>
    <row r="700" spans="1:26" x14ac:dyDescent="0.25">
      <c r="A700" t="s">
        <v>57</v>
      </c>
      <c r="D700">
        <f t="shared" ref="D700:W700" si="465">D88*D160</f>
        <v>509.5714285714285</v>
      </c>
      <c r="E700">
        <f t="shared" si="465"/>
        <v>429.2081632653061</v>
      </c>
      <c r="F700">
        <f t="shared" si="465"/>
        <v>341.96734693877551</v>
      </c>
      <c r="G700">
        <f t="shared" si="465"/>
        <v>450.85102040816327</v>
      </c>
      <c r="H700">
        <f t="shared" si="465"/>
        <v>336.6979591836735</v>
      </c>
      <c r="I700">
        <f t="shared" si="465"/>
        <v>377.85714285714278</v>
      </c>
      <c r="J700">
        <f t="shared" si="465"/>
        <v>394.54081632653066</v>
      </c>
      <c r="K700">
        <f t="shared" si="465"/>
        <v>320.8</v>
      </c>
      <c r="L700">
        <f t="shared" si="465"/>
        <v>419.828125</v>
      </c>
      <c r="M700">
        <f t="shared" si="465"/>
        <v>357.40816326530614</v>
      </c>
      <c r="N700">
        <f t="shared" si="465"/>
        <v>394.99591836734692</v>
      </c>
      <c r="O700">
        <f t="shared" si="465"/>
        <v>370.81632653061223</v>
      </c>
      <c r="P700">
        <f t="shared" si="465"/>
        <v>508.10612244897953</v>
      </c>
      <c r="Q700">
        <f t="shared" si="465"/>
        <v>415.86938775510203</v>
      </c>
      <c r="R700">
        <f t="shared" si="465"/>
        <v>317.52653061224493</v>
      </c>
      <c r="S700">
        <f t="shared" si="465"/>
        <v>162.22040816326526</v>
      </c>
      <c r="T700">
        <f t="shared" si="465"/>
        <v>404.87142857142857</v>
      </c>
      <c r="U700">
        <f t="shared" si="465"/>
        <v>257.04897959183677</v>
      </c>
      <c r="V700">
        <f t="shared" si="465"/>
        <v>278.16326530612247</v>
      </c>
      <c r="W700">
        <f t="shared" si="465"/>
        <v>438.22448979591837</v>
      </c>
      <c r="Y700" s="17">
        <f t="shared" si="450"/>
        <v>7486.5730229591827</v>
      </c>
      <c r="Z700">
        <f t="shared" si="451"/>
        <v>1551.2428985261793</v>
      </c>
    </row>
    <row r="701" spans="1:26" x14ac:dyDescent="0.25">
      <c r="A701" t="s">
        <v>58</v>
      </c>
      <c r="D701">
        <f t="shared" ref="D701:W701" si="466">D89*D161</f>
        <v>478.43265306122447</v>
      </c>
      <c r="E701">
        <f t="shared" si="466"/>
        <v>474.22857142857146</v>
      </c>
      <c r="F701">
        <f t="shared" si="466"/>
        <v>508.97959183673476</v>
      </c>
      <c r="G701">
        <f t="shared" si="466"/>
        <v>380.8</v>
      </c>
      <c r="H701">
        <f t="shared" si="466"/>
        <v>483.41224489795923</v>
      </c>
      <c r="I701">
        <f t="shared" si="466"/>
        <v>260.08163265306121</v>
      </c>
      <c r="J701">
        <f t="shared" si="466"/>
        <v>328.81632653061223</v>
      </c>
      <c r="K701">
        <f t="shared" si="466"/>
        <v>431.13061224489803</v>
      </c>
      <c r="L701">
        <f t="shared" si="466"/>
        <v>384.45625000000001</v>
      </c>
      <c r="M701">
        <f t="shared" si="466"/>
        <v>0</v>
      </c>
      <c r="N701">
        <f t="shared" si="466"/>
        <v>359.77959183673465</v>
      </c>
      <c r="O701">
        <f t="shared" si="466"/>
        <v>286.25306122448984</v>
      </c>
      <c r="P701">
        <f t="shared" si="466"/>
        <v>429.98571428571421</v>
      </c>
      <c r="Q701">
        <f t="shared" si="466"/>
        <v>170.72448979591837</v>
      </c>
      <c r="R701">
        <f t="shared" si="466"/>
        <v>330.18571428571431</v>
      </c>
      <c r="S701">
        <f t="shared" si="466"/>
        <v>163.59591836734694</v>
      </c>
      <c r="T701">
        <f t="shared" si="466"/>
        <v>283.68979591836734</v>
      </c>
      <c r="U701">
        <f t="shared" si="466"/>
        <v>414.95714285714286</v>
      </c>
      <c r="V701">
        <f t="shared" si="466"/>
        <v>378.64285714285711</v>
      </c>
      <c r="W701">
        <f t="shared" si="466"/>
        <v>267.22040816326529</v>
      </c>
      <c r="Y701" s="17">
        <f t="shared" si="450"/>
        <v>6815.3725765306117</v>
      </c>
      <c r="Z701">
        <f t="shared" si="451"/>
        <v>1470.4528837715548</v>
      </c>
    </row>
    <row r="702" spans="1:26" x14ac:dyDescent="0.25">
      <c r="A702" t="s">
        <v>59</v>
      </c>
      <c r="D702">
        <f t="shared" ref="D702:W702" si="467">D90*D162</f>
        <v>387.45306122448977</v>
      </c>
      <c r="E702">
        <f t="shared" si="467"/>
        <v>504.29387755102027</v>
      </c>
      <c r="F702">
        <f t="shared" si="467"/>
        <v>409.98979591836735</v>
      </c>
      <c r="G702">
        <f t="shared" si="467"/>
        <v>371.77346938775514</v>
      </c>
      <c r="H702">
        <f t="shared" si="467"/>
        <v>413.33877551020413</v>
      </c>
      <c r="I702">
        <f t="shared" si="467"/>
        <v>522.61224489795904</v>
      </c>
      <c r="J702">
        <f t="shared" si="467"/>
        <v>331.28163265306125</v>
      </c>
      <c r="K702">
        <f t="shared" si="467"/>
        <v>432.71428571428572</v>
      </c>
      <c r="L702">
        <f t="shared" si="467"/>
        <v>406.71428571428572</v>
      </c>
      <c r="M702">
        <f t="shared" si="467"/>
        <v>376.15102040816328</v>
      </c>
      <c r="N702">
        <f t="shared" si="467"/>
        <v>402.95510204081626</v>
      </c>
      <c r="O702">
        <f t="shared" si="467"/>
        <v>414.93673469387761</v>
      </c>
      <c r="P702">
        <f t="shared" si="467"/>
        <v>404.81632653061217</v>
      </c>
      <c r="Q702">
        <f t="shared" si="467"/>
        <v>296.86530612244894</v>
      </c>
      <c r="R702">
        <f t="shared" si="467"/>
        <v>375.01020408163265</v>
      </c>
      <c r="S702">
        <f t="shared" si="467"/>
        <v>603.64285714285711</v>
      </c>
      <c r="T702">
        <f t="shared" si="467"/>
        <v>615.30612244897952</v>
      </c>
      <c r="U702">
        <f t="shared" si="467"/>
        <v>390.51020408163265</v>
      </c>
      <c r="V702">
        <f t="shared" si="467"/>
        <v>386.54285714285714</v>
      </c>
      <c r="W702">
        <f t="shared" si="467"/>
        <v>469.59183673469391</v>
      </c>
      <c r="Y702" s="17">
        <f t="shared" si="450"/>
        <v>8516.4999999999982</v>
      </c>
      <c r="Z702">
        <f t="shared" si="451"/>
        <v>1860.3670674172006</v>
      </c>
    </row>
    <row r="703" spans="1:26" x14ac:dyDescent="0.25">
      <c r="A703" t="s">
        <v>60</v>
      </c>
      <c r="D703">
        <f t="shared" ref="D703:W703" si="468">D91*D163</f>
        <v>332.37551020408159</v>
      </c>
      <c r="E703">
        <f t="shared" si="468"/>
        <v>538.84081632653067</v>
      </c>
      <c r="F703">
        <f t="shared" si="468"/>
        <v>391.73061224489794</v>
      </c>
      <c r="G703">
        <f t="shared" si="468"/>
        <v>303.06938775510201</v>
      </c>
      <c r="H703">
        <f t="shared" si="468"/>
        <v>242.40000000000003</v>
      </c>
      <c r="I703">
        <f t="shared" si="468"/>
        <v>370.53061224489795</v>
      </c>
      <c r="J703">
        <f t="shared" si="468"/>
        <v>371.2285714285714</v>
      </c>
      <c r="K703">
        <f t="shared" si="468"/>
        <v>470.88979591836738</v>
      </c>
      <c r="L703">
        <f t="shared" si="468"/>
        <v>386.94999999999993</v>
      </c>
      <c r="M703">
        <f t="shared" si="468"/>
        <v>485.99999999999994</v>
      </c>
      <c r="N703">
        <f t="shared" si="468"/>
        <v>492.34693877551024</v>
      </c>
      <c r="O703">
        <f t="shared" si="468"/>
        <v>317.42857142857144</v>
      </c>
      <c r="P703">
        <f t="shared" si="468"/>
        <v>341.78571428571433</v>
      </c>
      <c r="Q703">
        <f t="shared" si="468"/>
        <v>573.48979591836735</v>
      </c>
      <c r="R703">
        <f t="shared" si="468"/>
        <v>422.15510204081642</v>
      </c>
      <c r="S703">
        <f t="shared" si="468"/>
        <v>401.36530612244894</v>
      </c>
      <c r="T703">
        <f t="shared" si="468"/>
        <v>560.78367346938785</v>
      </c>
      <c r="U703">
        <f t="shared" si="468"/>
        <v>458.84081632653067</v>
      </c>
      <c r="V703">
        <f t="shared" si="468"/>
        <v>159.42857142857147</v>
      </c>
      <c r="W703">
        <f t="shared" si="468"/>
        <v>326.56326530612245</v>
      </c>
      <c r="Y703" s="17">
        <f t="shared" si="450"/>
        <v>7948.203061224488</v>
      </c>
      <c r="Z703">
        <f t="shared" si="451"/>
        <v>1871.2407088285513</v>
      </c>
    </row>
    <row r="704" spans="1:26" x14ac:dyDescent="0.25">
      <c r="A704" t="s">
        <v>61</v>
      </c>
      <c r="D704">
        <f t="shared" ref="D704:W704" si="469">D92*D164</f>
        <v>722.90612244897954</v>
      </c>
      <c r="E704">
        <f t="shared" si="469"/>
        <v>630.4</v>
      </c>
      <c r="F704">
        <f t="shared" si="469"/>
        <v>497.57142857142856</v>
      </c>
      <c r="G704">
        <f t="shared" si="469"/>
        <v>730.86530612244883</v>
      </c>
      <c r="H704">
        <f t="shared" si="469"/>
        <v>545.88571428571424</v>
      </c>
      <c r="I704">
        <f t="shared" si="469"/>
        <v>413.48571428571432</v>
      </c>
      <c r="J704">
        <f t="shared" si="469"/>
        <v>536.9795918367347</v>
      </c>
      <c r="K704">
        <f t="shared" si="469"/>
        <v>493.38367346938782</v>
      </c>
      <c r="L704">
        <f t="shared" si="469"/>
        <v>393.98906249999999</v>
      </c>
      <c r="M704">
        <f t="shared" si="469"/>
        <v>203.85</v>
      </c>
      <c r="N704">
        <f t="shared" si="469"/>
        <v>209.59448979591838</v>
      </c>
      <c r="O704">
        <f t="shared" si="469"/>
        <v>232.58</v>
      </c>
      <c r="P704">
        <f t="shared" si="469"/>
        <v>166.59265306122452</v>
      </c>
      <c r="Q704">
        <f t="shared" si="469"/>
        <v>192.16367346938776</v>
      </c>
      <c r="R704">
        <f t="shared" si="469"/>
        <v>154.3591836734694</v>
      </c>
      <c r="S704">
        <f t="shared" si="469"/>
        <v>278.37999999999994</v>
      </c>
      <c r="T704">
        <f t="shared" si="469"/>
        <v>283.16387755102039</v>
      </c>
      <c r="U704">
        <f t="shared" si="469"/>
        <v>312.27244897959179</v>
      </c>
      <c r="V704">
        <f t="shared" si="469"/>
        <v>336.66183673469385</v>
      </c>
      <c r="W704">
        <f t="shared" si="469"/>
        <v>432.23918367346943</v>
      </c>
      <c r="Y704" s="17">
        <f t="shared" si="450"/>
        <v>7767.3239604591827</v>
      </c>
      <c r="Z704">
        <f t="shared" si="451"/>
        <v>1461.6954265438578</v>
      </c>
    </row>
    <row r="705" spans="1:26" x14ac:dyDescent="0.25">
      <c r="A705" t="s">
        <v>62</v>
      </c>
      <c r="D705">
        <f t="shared" ref="D705:W705" si="470">D93*D165</f>
        <v>504.9861224489797</v>
      </c>
      <c r="E705">
        <f t="shared" si="470"/>
        <v>501.39000000000004</v>
      </c>
      <c r="F705">
        <f t="shared" si="470"/>
        <v>545.80306122448985</v>
      </c>
      <c r="G705">
        <f t="shared" si="470"/>
        <v>396.52163265306126</v>
      </c>
      <c r="H705">
        <f t="shared" si="470"/>
        <v>359.50408163265303</v>
      </c>
      <c r="I705">
        <f t="shared" si="470"/>
        <v>314.2</v>
      </c>
      <c r="J705">
        <f t="shared" si="470"/>
        <v>262.08551020408163</v>
      </c>
      <c r="K705">
        <f t="shared" si="470"/>
        <v>271.72448979591837</v>
      </c>
      <c r="L705">
        <f t="shared" si="470"/>
        <v>358.43906250000003</v>
      </c>
      <c r="M705">
        <f t="shared" si="470"/>
        <v>482.91428571428565</v>
      </c>
      <c r="N705">
        <f t="shared" si="470"/>
        <v>332.33877551020407</v>
      </c>
      <c r="O705">
        <f t="shared" si="470"/>
        <v>330.6448979591836</v>
      </c>
      <c r="P705">
        <f t="shared" si="470"/>
        <v>418.41428571428571</v>
      </c>
      <c r="Q705">
        <f t="shared" si="470"/>
        <v>437.70612244897956</v>
      </c>
      <c r="R705">
        <f t="shared" si="470"/>
        <v>678.81428571428569</v>
      </c>
      <c r="S705">
        <f t="shared" si="470"/>
        <v>629.91836734693879</v>
      </c>
      <c r="T705">
        <f t="shared" si="470"/>
        <v>214.5673469387755</v>
      </c>
      <c r="U705">
        <f t="shared" si="470"/>
        <v>566.88163265306116</v>
      </c>
      <c r="V705">
        <f t="shared" si="470"/>
        <v>729.12653061224489</v>
      </c>
      <c r="W705">
        <f t="shared" si="470"/>
        <v>395.60816326530613</v>
      </c>
      <c r="Y705" s="17">
        <f t="shared" si="450"/>
        <v>8731.588654336736</v>
      </c>
      <c r="Z705">
        <f t="shared" si="451"/>
        <v>1969.328190197559</v>
      </c>
    </row>
    <row r="706" spans="1:26" x14ac:dyDescent="0.25">
      <c r="A706" t="s">
        <v>63</v>
      </c>
      <c r="D706">
        <f t="shared" ref="D706:W706" si="471">D94*D166</f>
        <v>604.10204081632662</v>
      </c>
      <c r="E706">
        <f t="shared" si="471"/>
        <v>567.68571428571431</v>
      </c>
      <c r="F706">
        <f t="shared" si="471"/>
        <v>593.02040816326542</v>
      </c>
      <c r="G706">
        <f t="shared" si="471"/>
        <v>430.90000000000003</v>
      </c>
      <c r="H706">
        <f t="shared" si="471"/>
        <v>551.76326530612243</v>
      </c>
      <c r="I706">
        <f t="shared" si="471"/>
        <v>647.18367346938783</v>
      </c>
      <c r="J706">
        <f t="shared" si="471"/>
        <v>473.5632653061225</v>
      </c>
      <c r="K706">
        <f t="shared" si="471"/>
        <v>366.88775510204084</v>
      </c>
      <c r="L706">
        <f t="shared" si="471"/>
        <v>290.51249999999999</v>
      </c>
      <c r="M706">
        <f t="shared" si="471"/>
        <v>693.7714285714286</v>
      </c>
      <c r="N706">
        <f t="shared" si="471"/>
        <v>374.5</v>
      </c>
      <c r="O706">
        <f t="shared" si="471"/>
        <v>501.54285714285709</v>
      </c>
      <c r="P706">
        <f t="shared" si="471"/>
        <v>266.8224489795918</v>
      </c>
      <c r="Q706">
        <f t="shared" si="471"/>
        <v>398.66938775510209</v>
      </c>
      <c r="R706">
        <f t="shared" si="471"/>
        <v>280.74693877551016</v>
      </c>
      <c r="S706">
        <f t="shared" si="471"/>
        <v>436.40816326530609</v>
      </c>
      <c r="T706">
        <f t="shared" si="471"/>
        <v>438.91836734693879</v>
      </c>
      <c r="U706">
        <f t="shared" si="471"/>
        <v>402.4979591836734</v>
      </c>
      <c r="V706">
        <f t="shared" si="471"/>
        <v>527.48571428571438</v>
      </c>
      <c r="W706">
        <f t="shared" si="471"/>
        <v>475.80408163265315</v>
      </c>
      <c r="Y706" s="17">
        <f t="shared" si="450"/>
        <v>9322.7859693877563</v>
      </c>
      <c r="Z706">
        <f t="shared" si="451"/>
        <v>2095.1548915659846</v>
      </c>
    </row>
    <row r="707" spans="1:26" x14ac:dyDescent="0.25">
      <c r="A707" t="s">
        <v>64</v>
      </c>
      <c r="D707">
        <f t="shared" ref="D707:W707" si="472">D95*D167</f>
        <v>627.5</v>
      </c>
      <c r="E707">
        <f t="shared" si="472"/>
        <v>702.69387755102036</v>
      </c>
      <c r="F707">
        <f t="shared" si="472"/>
        <v>952.80000000000007</v>
      </c>
      <c r="G707">
        <f t="shared" si="472"/>
        <v>557.27346938775509</v>
      </c>
      <c r="H707">
        <f t="shared" si="472"/>
        <v>632.71428571428567</v>
      </c>
      <c r="I707">
        <f t="shared" si="472"/>
        <v>763.32653061224482</v>
      </c>
      <c r="J707">
        <f t="shared" si="472"/>
        <v>654.0204081632653</v>
      </c>
      <c r="K707">
        <f t="shared" si="472"/>
        <v>568.44081632653058</v>
      </c>
      <c r="L707">
        <f t="shared" si="472"/>
        <v>677.73749999999995</v>
      </c>
      <c r="M707">
        <f t="shared" si="472"/>
        <v>535.57142857142856</v>
      </c>
      <c r="N707">
        <f t="shared" si="472"/>
        <v>425.4367346938775</v>
      </c>
      <c r="O707">
        <f t="shared" si="472"/>
        <v>366.83673469387759</v>
      </c>
      <c r="P707">
        <f t="shared" si="472"/>
        <v>479.38775510204084</v>
      </c>
      <c r="Q707">
        <f t="shared" si="472"/>
        <v>510.24489795918367</v>
      </c>
      <c r="R707">
        <f t="shared" si="472"/>
        <v>664.40000000000009</v>
      </c>
      <c r="S707">
        <f t="shared" si="472"/>
        <v>446.9795918367347</v>
      </c>
      <c r="T707">
        <f t="shared" si="472"/>
        <v>433.26530612244898</v>
      </c>
      <c r="U707">
        <f t="shared" si="472"/>
        <v>486.2530612244899</v>
      </c>
      <c r="V707">
        <f t="shared" si="472"/>
        <v>399.78775510204076</v>
      </c>
      <c r="W707">
        <f t="shared" si="472"/>
        <v>401.56734693877559</v>
      </c>
      <c r="Y707" s="17">
        <f t="shared" si="450"/>
        <v>11286.237499999999</v>
      </c>
      <c r="Z707">
        <f t="shared" si="451"/>
        <v>2526.2219148226291</v>
      </c>
    </row>
    <row r="708" spans="1:26" x14ac:dyDescent="0.25">
      <c r="A708" t="s">
        <v>65</v>
      </c>
      <c r="D708">
        <f t="shared" ref="D708:W708" si="473">D96*D168</f>
        <v>746.54489795918357</v>
      </c>
      <c r="E708">
        <f t="shared" si="473"/>
        <v>611.85918367346937</v>
      </c>
      <c r="F708">
        <f t="shared" si="473"/>
        <v>409.1979591836735</v>
      </c>
      <c r="G708">
        <f t="shared" si="473"/>
        <v>258.9061224489796</v>
      </c>
      <c r="H708">
        <f t="shared" si="473"/>
        <v>440.77959183673465</v>
      </c>
      <c r="I708">
        <f t="shared" si="473"/>
        <v>627.72244897959183</v>
      </c>
      <c r="J708">
        <f t="shared" si="473"/>
        <v>529.28571428571422</v>
      </c>
      <c r="K708">
        <f t="shared" si="473"/>
        <v>515.57346938775504</v>
      </c>
      <c r="L708">
        <f t="shared" si="473"/>
        <v>480.15</v>
      </c>
      <c r="M708">
        <f t="shared" si="473"/>
        <v>601.71428571428567</v>
      </c>
      <c r="N708">
        <f t="shared" si="473"/>
        <v>489.85714285714283</v>
      </c>
      <c r="O708">
        <f t="shared" si="473"/>
        <v>445.02857142857141</v>
      </c>
      <c r="P708">
        <f t="shared" si="473"/>
        <v>220.89795918367349</v>
      </c>
      <c r="Q708">
        <f t="shared" si="473"/>
        <v>508.16326530612241</v>
      </c>
      <c r="R708">
        <f t="shared" si="473"/>
        <v>356.61428571428564</v>
      </c>
      <c r="S708">
        <f t="shared" si="473"/>
        <v>270.97551020408162</v>
      </c>
      <c r="T708">
        <f t="shared" si="473"/>
        <v>283.08775510204083</v>
      </c>
      <c r="U708">
        <f t="shared" si="473"/>
        <v>162.84489795918367</v>
      </c>
      <c r="V708">
        <f t="shared" si="473"/>
        <v>334.40000000000003</v>
      </c>
      <c r="W708">
        <f t="shared" si="473"/>
        <v>478.77551020408163</v>
      </c>
      <c r="Y708" s="17">
        <f t="shared" si="450"/>
        <v>8772.3785714285696</v>
      </c>
      <c r="Z708">
        <f t="shared" si="451"/>
        <v>2022.698729145462</v>
      </c>
    </row>
    <row r="709" spans="1:26" x14ac:dyDescent="0.25">
      <c r="A709" t="s">
        <v>66</v>
      </c>
      <c r="D709">
        <f t="shared" ref="D709:W709" si="474">D97*D169</f>
        <v>491.6</v>
      </c>
      <c r="E709">
        <f t="shared" si="474"/>
        <v>421.54897959183671</v>
      </c>
      <c r="F709">
        <f t="shared" si="474"/>
        <v>450.95510204081626</v>
      </c>
      <c r="G709">
        <f t="shared" si="474"/>
        <v>583.96530612244908</v>
      </c>
      <c r="H709">
        <f t="shared" si="474"/>
        <v>602.11224489795939</v>
      </c>
      <c r="I709">
        <f t="shared" si="474"/>
        <v>511.71428571428572</v>
      </c>
      <c r="J709">
        <f t="shared" si="474"/>
        <v>752.74693877551022</v>
      </c>
      <c r="K709">
        <f t="shared" si="474"/>
        <v>729.11428571428576</v>
      </c>
      <c r="L709">
        <f t="shared" si="474"/>
        <v>348.92500000000001</v>
      </c>
      <c r="M709">
        <f t="shared" si="474"/>
        <v>496.83877551020402</v>
      </c>
      <c r="N709">
        <f t="shared" si="474"/>
        <v>820</v>
      </c>
      <c r="O709">
        <f t="shared" si="474"/>
        <v>828.34285714285716</v>
      </c>
      <c r="P709">
        <f t="shared" si="474"/>
        <v>494.98979591836741</v>
      </c>
      <c r="Q709">
        <f t="shared" si="474"/>
        <v>316.51428571428568</v>
      </c>
      <c r="R709">
        <f t="shared" si="474"/>
        <v>453.28775510204076</v>
      </c>
      <c r="S709">
        <f t="shared" si="474"/>
        <v>435.56734693877553</v>
      </c>
      <c r="T709">
        <f t="shared" si="474"/>
        <v>446.69387755102036</v>
      </c>
      <c r="U709">
        <f t="shared" si="474"/>
        <v>434.97142857142853</v>
      </c>
      <c r="V709">
        <f t="shared" si="474"/>
        <v>379.2081632653061</v>
      </c>
      <c r="W709">
        <f t="shared" si="474"/>
        <v>338.01020408163265</v>
      </c>
      <c r="Y709" s="17">
        <f t="shared" si="450"/>
        <v>10337.106632653062</v>
      </c>
      <c r="Z709">
        <f t="shared" si="451"/>
        <v>2340.6799248709713</v>
      </c>
    </row>
    <row r="710" spans="1:26" x14ac:dyDescent="0.25">
      <c r="A710" t="s">
        <v>67</v>
      </c>
      <c r="D710">
        <f t="shared" ref="D710:W710" si="475">D98*D170</f>
        <v>378.55510204081639</v>
      </c>
      <c r="E710">
        <f t="shared" si="475"/>
        <v>778.86734693877554</v>
      </c>
      <c r="F710">
        <f t="shared" si="475"/>
        <v>1040.2857142857142</v>
      </c>
      <c r="G710">
        <f t="shared" si="475"/>
        <v>526.96530612244896</v>
      </c>
      <c r="H710">
        <f t="shared" si="475"/>
        <v>452.57142857142856</v>
      </c>
      <c r="I710">
        <f t="shared" si="475"/>
        <v>484.95102040816334</v>
      </c>
      <c r="J710">
        <f t="shared" si="475"/>
        <v>687.97551020408173</v>
      </c>
      <c r="K710">
        <f t="shared" si="475"/>
        <v>896.52857142857135</v>
      </c>
      <c r="L710">
        <f t="shared" si="475"/>
        <v>621.36734693877554</v>
      </c>
      <c r="M710">
        <f t="shared" si="475"/>
        <v>555.71428571428567</v>
      </c>
      <c r="N710">
        <f t="shared" si="475"/>
        <v>507.08979591836732</v>
      </c>
      <c r="O710">
        <f t="shared" si="475"/>
        <v>429.79591836734704</v>
      </c>
      <c r="P710">
        <f t="shared" si="475"/>
        <v>394.70408163265301</v>
      </c>
      <c r="Q710">
        <f t="shared" si="475"/>
        <v>496.43265306122453</v>
      </c>
      <c r="R710">
        <f t="shared" si="475"/>
        <v>607.58367346938769</v>
      </c>
      <c r="S710">
        <f t="shared" si="475"/>
        <v>363.03673469387752</v>
      </c>
      <c r="T710">
        <f t="shared" si="475"/>
        <v>400.55102040816325</v>
      </c>
      <c r="U710">
        <f t="shared" si="475"/>
        <v>413.33877551020413</v>
      </c>
      <c r="V710">
        <f t="shared" si="475"/>
        <v>501.46530612244891</v>
      </c>
      <c r="W710">
        <f t="shared" si="475"/>
        <v>286.68571428571431</v>
      </c>
      <c r="Y710" s="17">
        <f t="shared" si="450"/>
        <v>10824.465306122453</v>
      </c>
      <c r="Z710">
        <f t="shared" si="451"/>
        <v>2567.4870874875783</v>
      </c>
    </row>
    <row r="711" spans="1:26" x14ac:dyDescent="0.25">
      <c r="A711" t="s">
        <v>68</v>
      </c>
      <c r="D711">
        <f t="shared" ref="D711:W711" si="476">D99*D171</f>
        <v>589.88571428571413</v>
      </c>
      <c r="E711">
        <f t="shared" si="476"/>
        <v>684.46530612244942</v>
      </c>
      <c r="F711">
        <f t="shared" si="476"/>
        <v>835.14285714285722</v>
      </c>
      <c r="G711">
        <f t="shared" si="476"/>
        <v>741.60612244897879</v>
      </c>
      <c r="H711">
        <f t="shared" si="476"/>
        <v>1141.8551020408165</v>
      </c>
      <c r="I711">
        <f t="shared" si="476"/>
        <v>654.08367346938792</v>
      </c>
      <c r="J711">
        <f t="shared" si="476"/>
        <v>396.1999999999997</v>
      </c>
      <c r="K711">
        <f t="shared" si="476"/>
        <v>319.88775510204079</v>
      </c>
      <c r="L711">
        <f t="shared" si="476"/>
        <v>579.15</v>
      </c>
      <c r="M711">
        <f t="shared" si="476"/>
        <v>375.10408163265294</v>
      </c>
      <c r="N711">
        <f t="shared" si="476"/>
        <v>316.13061224489792</v>
      </c>
      <c r="O711">
        <f t="shared" si="476"/>
        <v>364.97755102040855</v>
      </c>
      <c r="P711">
        <f t="shared" si="476"/>
        <v>444.97959183673476</v>
      </c>
      <c r="Q711">
        <f t="shared" si="476"/>
        <v>435.82857142857131</v>
      </c>
      <c r="R711">
        <f t="shared" si="476"/>
        <v>631.03061224489841</v>
      </c>
      <c r="S711">
        <f t="shared" si="476"/>
        <v>579.18367346938783</v>
      </c>
      <c r="T711">
        <f t="shared" si="476"/>
        <v>364.53061224489795</v>
      </c>
      <c r="U711">
        <f t="shared" si="476"/>
        <v>429.04285714285709</v>
      </c>
      <c r="V711">
        <f t="shared" si="476"/>
        <v>311.68163265306117</v>
      </c>
      <c r="W711">
        <f t="shared" si="476"/>
        <v>269.19387755102031</v>
      </c>
      <c r="Y711" s="17">
        <f t="shared" si="450"/>
        <v>10463.960204081632</v>
      </c>
      <c r="Z711">
        <f t="shared" si="451"/>
        <v>2291.6882380032985</v>
      </c>
    </row>
    <row r="712" spans="1:26" x14ac:dyDescent="0.25">
      <c r="A712" t="s">
        <v>69</v>
      </c>
      <c r="D712">
        <f t="shared" ref="D712:W712" si="477">D100*D172</f>
        <v>642.48979591836735</v>
      </c>
      <c r="E712">
        <f t="shared" si="477"/>
        <v>577.74489795918362</v>
      </c>
      <c r="F712">
        <f t="shared" si="477"/>
        <v>498.5632653061225</v>
      </c>
      <c r="G712">
        <f t="shared" si="477"/>
        <v>418.05714285714294</v>
      </c>
      <c r="H712">
        <f t="shared" si="477"/>
        <v>361.46938775510205</v>
      </c>
      <c r="I712">
        <f t="shared" si="477"/>
        <v>455.97551020408156</v>
      </c>
      <c r="J712">
        <f t="shared" si="477"/>
        <v>288.42857142857144</v>
      </c>
      <c r="K712">
        <f t="shared" si="477"/>
        <v>545.76326530612255</v>
      </c>
      <c r="L712">
        <f t="shared" si="477"/>
        <v>391.078125</v>
      </c>
      <c r="M712">
        <f t="shared" si="477"/>
        <v>423.19439999999997</v>
      </c>
      <c r="N712">
        <f t="shared" si="477"/>
        <v>674.87459999999999</v>
      </c>
      <c r="O712">
        <f t="shared" si="477"/>
        <v>412.50079999999997</v>
      </c>
      <c r="P712">
        <f t="shared" si="477"/>
        <v>255.38759999999999</v>
      </c>
      <c r="Q712">
        <f t="shared" si="477"/>
        <v>379.08</v>
      </c>
      <c r="R712">
        <f t="shared" si="477"/>
        <v>200.1942</v>
      </c>
      <c r="S712">
        <f t="shared" si="477"/>
        <v>336</v>
      </c>
      <c r="T712">
        <f t="shared" si="477"/>
        <v>322.42857142857144</v>
      </c>
      <c r="U712">
        <f t="shared" si="477"/>
        <v>385.18163265306123</v>
      </c>
      <c r="V712">
        <f t="shared" si="477"/>
        <v>281.95714285714286</v>
      </c>
      <c r="W712">
        <f t="shared" si="477"/>
        <v>274.83673469387753</v>
      </c>
      <c r="Y712" s="17">
        <f t="shared" si="450"/>
        <v>8125.2056433673479</v>
      </c>
      <c r="Z712">
        <f t="shared" si="451"/>
        <v>1904.392051345864</v>
      </c>
    </row>
    <row r="713" spans="1:26" x14ac:dyDescent="0.25">
      <c r="Y713" s="17"/>
    </row>
    <row r="714" spans="1:26" x14ac:dyDescent="0.25">
      <c r="A714" t="s">
        <v>70</v>
      </c>
      <c r="D714">
        <f t="shared" ref="D714:W714" si="478">D102*D174</f>
        <v>604.09795918367354</v>
      </c>
      <c r="E714">
        <f t="shared" si="478"/>
        <v>490.43877551020404</v>
      </c>
      <c r="F714">
        <f t="shared" si="478"/>
        <v>576.88163265306139</v>
      </c>
      <c r="G714">
        <f t="shared" si="478"/>
        <v>404.90612244897954</v>
      </c>
      <c r="H714">
        <f t="shared" si="478"/>
        <v>360.85306122448981</v>
      </c>
      <c r="I714">
        <f t="shared" si="478"/>
        <v>374.59591836734694</v>
      </c>
      <c r="J714">
        <f t="shared" si="478"/>
        <v>391.12857142857138</v>
      </c>
      <c r="K714">
        <f t="shared" si="478"/>
        <v>292.24489795918367</v>
      </c>
      <c r="L714">
        <f t="shared" si="478"/>
        <v>346.68281249999995</v>
      </c>
      <c r="M714">
        <f t="shared" si="478"/>
        <v>368.04489795918363</v>
      </c>
      <c r="N714">
        <f t="shared" si="478"/>
        <v>313.58571428571429</v>
      </c>
      <c r="O714">
        <f t="shared" si="478"/>
        <v>410.36938775510197</v>
      </c>
      <c r="P714">
        <f t="shared" si="478"/>
        <v>293.37551020408171</v>
      </c>
      <c r="Q714">
        <f t="shared" si="478"/>
        <v>380.46530612244891</v>
      </c>
      <c r="R714">
        <f t="shared" si="478"/>
        <v>363.26938775510206</v>
      </c>
      <c r="S714">
        <f t="shared" si="478"/>
        <v>401.0938775510204</v>
      </c>
      <c r="T714">
        <f t="shared" si="478"/>
        <v>518.40816326530614</v>
      </c>
      <c r="U714">
        <f t="shared" si="478"/>
        <v>352.26122448979589</v>
      </c>
      <c r="V714">
        <f t="shared" si="478"/>
        <v>345.07959183673466</v>
      </c>
      <c r="W714">
        <f t="shared" si="478"/>
        <v>474.98775510204086</v>
      </c>
      <c r="Y714" s="17">
        <f t="shared" si="450"/>
        <v>8062.7705676020405</v>
      </c>
      <c r="Z714">
        <f>SUMPRODUCT($D$718:$W$718,D714:W714)</f>
        <v>1740.9559379249899</v>
      </c>
    </row>
    <row r="715" spans="1:26" x14ac:dyDescent="0.25">
      <c r="A715" t="s">
        <v>314</v>
      </c>
      <c r="D715">
        <f t="shared" ref="D715:W715" si="479">D103*D175</f>
        <v>812.55510204081611</v>
      </c>
      <c r="E715">
        <f t="shared" si="479"/>
        <v>813.31428571428557</v>
      </c>
      <c r="F715">
        <f t="shared" si="479"/>
        <v>661.16122448979581</v>
      </c>
      <c r="G715">
        <f t="shared" si="479"/>
        <v>528.9979591836734</v>
      </c>
      <c r="H715">
        <f t="shared" si="479"/>
        <v>699.61224489795916</v>
      </c>
      <c r="I715">
        <f t="shared" si="479"/>
        <v>543.82448979591834</v>
      </c>
      <c r="J715">
        <f t="shared" si="479"/>
        <v>418.08979591836743</v>
      </c>
      <c r="K715">
        <f t="shared" si="479"/>
        <v>397.97551020408167</v>
      </c>
      <c r="L715">
        <f t="shared" si="479"/>
        <v>631.48593749999998</v>
      </c>
      <c r="M715">
        <f t="shared" si="479"/>
        <v>684.56734693877559</v>
      </c>
      <c r="N715">
        <f t="shared" si="479"/>
        <v>543.37959183673479</v>
      </c>
      <c r="O715">
        <f t="shared" si="479"/>
        <v>470.4</v>
      </c>
      <c r="P715">
        <f t="shared" si="479"/>
        <v>1038.5</v>
      </c>
      <c r="Q715">
        <f t="shared" si="479"/>
        <v>554.4</v>
      </c>
      <c r="R715">
        <f t="shared" si="479"/>
        <v>534.24</v>
      </c>
      <c r="S715">
        <f t="shared" si="479"/>
        <v>545.28000000000009</v>
      </c>
      <c r="T715">
        <f t="shared" si="479"/>
        <v>655.46938775510205</v>
      </c>
      <c r="U715">
        <f t="shared" si="479"/>
        <v>446.95510204081631</v>
      </c>
      <c r="V715">
        <f t="shared" si="479"/>
        <v>538.97142857142865</v>
      </c>
      <c r="W715">
        <f t="shared" si="479"/>
        <v>463.05306122448985</v>
      </c>
      <c r="Y715" s="17">
        <f t="shared" si="450"/>
        <v>11982.232468112245</v>
      </c>
      <c r="Z715">
        <f>SUMPRODUCT($D$718:$W$718,D715:W715)</f>
        <v>2592.5774376689014</v>
      </c>
    </row>
    <row r="716" spans="1:26" x14ac:dyDescent="0.25">
      <c r="A716" t="s">
        <v>315</v>
      </c>
      <c r="D716">
        <f t="shared" ref="D716:W716" si="480">D104*D176</f>
        <v>713.44897959183675</v>
      </c>
      <c r="E716">
        <f t="shared" si="480"/>
        <v>675.12857142857149</v>
      </c>
      <c r="F716">
        <f t="shared" si="480"/>
        <v>1182.4040816326528</v>
      </c>
      <c r="G716">
        <f t="shared" si="480"/>
        <v>592.97142857142842</v>
      </c>
      <c r="H716">
        <f t="shared" si="480"/>
        <v>628.95306122448972</v>
      </c>
      <c r="I716">
        <f t="shared" si="480"/>
        <v>608.43265306122453</v>
      </c>
      <c r="J716">
        <f t="shared" si="480"/>
        <v>855.18367346938771</v>
      </c>
      <c r="K716">
        <f t="shared" si="480"/>
        <v>503.8448979591837</v>
      </c>
      <c r="L716">
        <f t="shared" si="480"/>
        <v>267.76249999999999</v>
      </c>
      <c r="M716">
        <f t="shared" si="480"/>
        <v>553.04000000000008</v>
      </c>
      <c r="N716">
        <f t="shared" si="480"/>
        <v>402.32</v>
      </c>
      <c r="O716">
        <f t="shared" si="480"/>
        <v>450.11000000000007</v>
      </c>
      <c r="P716">
        <f t="shared" si="480"/>
        <v>364.0037959183673</v>
      </c>
      <c r="Q716">
        <f t="shared" si="480"/>
        <v>384.91475510204077</v>
      </c>
      <c r="R716">
        <f t="shared" si="480"/>
        <v>427.16170686456394</v>
      </c>
      <c r="S716">
        <f t="shared" si="480"/>
        <v>383.3618682745826</v>
      </c>
      <c r="T716">
        <f t="shared" si="480"/>
        <v>578.2897959183673</v>
      </c>
      <c r="U716">
        <f t="shared" si="480"/>
        <v>696.7102040816327</v>
      </c>
      <c r="V716">
        <f t="shared" si="480"/>
        <v>541.23061224489788</v>
      </c>
      <c r="W716">
        <f t="shared" si="480"/>
        <v>624.53061224489807</v>
      </c>
      <c r="Y716" s="17">
        <f t="shared" si="450"/>
        <v>11433.803197588124</v>
      </c>
      <c r="Z716">
        <f>SUMPRODUCT($D$718:$W$718,D716:W716)</f>
        <v>2462.8055575965664</v>
      </c>
    </row>
    <row r="717" spans="1:26" x14ac:dyDescent="0.25">
      <c r="A717" t="s">
        <v>677</v>
      </c>
      <c r="D717">
        <f t="shared" ref="D717:W717" si="481">D105*D177</f>
        <v>683.26530612244892</v>
      </c>
      <c r="E717">
        <f t="shared" si="481"/>
        <v>519.51020408163265</v>
      </c>
      <c r="F717">
        <f t="shared" si="481"/>
        <v>555.77551020408168</v>
      </c>
      <c r="G717">
        <f t="shared" si="481"/>
        <v>665.60204081632662</v>
      </c>
      <c r="H717">
        <f t="shared" si="481"/>
        <v>531.14489795918371</v>
      </c>
      <c r="I717">
        <f t="shared" si="481"/>
        <v>370.28775510204082</v>
      </c>
      <c r="J717">
        <f t="shared" si="481"/>
        <v>341.42653061224485</v>
      </c>
      <c r="K717">
        <f t="shared" si="481"/>
        <v>245.16734693877555</v>
      </c>
      <c r="L717">
        <f t="shared" si="481"/>
        <v>233.0625</v>
      </c>
      <c r="M717">
        <f t="shared" si="481"/>
        <v>388.22448979591843</v>
      </c>
      <c r="N717">
        <f t="shared" si="481"/>
        <v>409.49387755102043</v>
      </c>
      <c r="O717">
        <f t="shared" si="481"/>
        <v>141.82857142857142</v>
      </c>
      <c r="P717">
        <f t="shared" si="481"/>
        <v>221.10612244897959</v>
      </c>
      <c r="Q717">
        <f t="shared" si="481"/>
        <v>533.07959183673472</v>
      </c>
      <c r="R717">
        <f t="shared" si="481"/>
        <v>278.36734693877548</v>
      </c>
      <c r="S717">
        <f t="shared" si="481"/>
        <v>418.76773566569489</v>
      </c>
      <c r="T717">
        <f t="shared" si="481"/>
        <v>397.18623582766446</v>
      </c>
      <c r="U717">
        <f t="shared" si="481"/>
        <v>392.37894395853579</v>
      </c>
      <c r="V717">
        <f t="shared" si="481"/>
        <v>403.66221898283123</v>
      </c>
      <c r="W717">
        <f t="shared" si="481"/>
        <v>419.4445059928733</v>
      </c>
      <c r="Y717" s="17">
        <f t="shared" ref="Y717" si="482">SUM(D717:W717)</f>
        <v>8148.7817322643341</v>
      </c>
      <c r="Z717">
        <f>SUMPRODUCT($D$718:$W$718,D717:W717)</f>
        <v>1641.1854200156413</v>
      </c>
    </row>
    <row r="718" spans="1:26" x14ac:dyDescent="0.25">
      <c r="A718" s="2" t="s">
        <v>71</v>
      </c>
      <c r="D718" s="3">
        <f>CORREL($B$2:$B$28,D686:D712)</f>
        <v>7.9421265270476021E-2</v>
      </c>
      <c r="E718" s="3">
        <f t="shared" ref="E718:W718" si="483">CORREL($B$2:$B$28,E686:E712)</f>
        <v>0.42836643862692952</v>
      </c>
      <c r="F718" s="3">
        <f t="shared" si="483"/>
        <v>0.34495221652885971</v>
      </c>
      <c r="G718" s="3">
        <f t="shared" si="483"/>
        <v>-0.17861554146848149</v>
      </c>
      <c r="H718" s="3">
        <f t="shared" si="483"/>
        <v>0.23226802918978925</v>
      </c>
      <c r="I718" s="3">
        <f t="shared" si="483"/>
        <v>0.26336097224340327</v>
      </c>
      <c r="J718" s="3">
        <f t="shared" si="483"/>
        <v>5.0241566046097953E-2</v>
      </c>
      <c r="K718" s="3">
        <f t="shared" si="483"/>
        <v>0.27231810913682614</v>
      </c>
      <c r="L718" s="3">
        <f t="shared" si="483"/>
        <v>0.21449092949173471</v>
      </c>
      <c r="M718" s="3">
        <f t="shared" si="483"/>
        <v>0.28280028401743107</v>
      </c>
      <c r="N718" s="3">
        <f t="shared" si="483"/>
        <v>0.33685748875158827</v>
      </c>
      <c r="O718" s="3">
        <f t="shared" si="483"/>
        <v>0.54116274188575086</v>
      </c>
      <c r="P718" s="3">
        <f t="shared" si="483"/>
        <v>5.2548263021417012E-2</v>
      </c>
      <c r="Q718" s="3">
        <f t="shared" si="483"/>
        <v>0.38969126194874465</v>
      </c>
      <c r="R718" s="3">
        <f t="shared" si="483"/>
        <v>0.29843061446479646</v>
      </c>
      <c r="S718" s="3">
        <f t="shared" si="483"/>
        <v>0.17486849339502866</v>
      </c>
      <c r="T718" s="3">
        <f t="shared" si="483"/>
        <v>0.15377304089794314</v>
      </c>
      <c r="U718" s="3">
        <f t="shared" si="483"/>
        <v>0.30667398790119998</v>
      </c>
      <c r="V718" s="3">
        <f t="shared" si="483"/>
        <v>0.21540015243404048</v>
      </c>
      <c r="W718" s="3">
        <f t="shared" si="483"/>
        <v>-7.5680460552602094E-2</v>
      </c>
    </row>
    <row r="721" spans="1:26" x14ac:dyDescent="0.25">
      <c r="D721" t="s">
        <v>230</v>
      </c>
      <c r="E721" t="s">
        <v>231</v>
      </c>
      <c r="F721" t="s">
        <v>232</v>
      </c>
      <c r="G721" t="s">
        <v>233</v>
      </c>
      <c r="H721" t="s">
        <v>234</v>
      </c>
      <c r="I721" t="s">
        <v>235</v>
      </c>
      <c r="J721" t="s">
        <v>236</v>
      </c>
      <c r="K721" t="s">
        <v>237</v>
      </c>
      <c r="L721" t="s">
        <v>360</v>
      </c>
      <c r="M721" t="s">
        <v>428</v>
      </c>
      <c r="N721" t="s">
        <v>429</v>
      </c>
      <c r="O721" t="s">
        <v>430</v>
      </c>
      <c r="P721" t="s">
        <v>533</v>
      </c>
      <c r="Q721" t="s">
        <v>534</v>
      </c>
      <c r="R721" t="s">
        <v>535</v>
      </c>
      <c r="S721" t="s">
        <v>536</v>
      </c>
      <c r="T721" t="s">
        <v>645</v>
      </c>
      <c r="U721" t="s">
        <v>646</v>
      </c>
      <c r="V721" t="s">
        <v>647</v>
      </c>
      <c r="W721" t="s">
        <v>648</v>
      </c>
      <c r="Y721" t="s">
        <v>238</v>
      </c>
      <c r="Z721" t="s">
        <v>239</v>
      </c>
    </row>
    <row r="722" spans="1:26" x14ac:dyDescent="0.25">
      <c r="A722" t="s">
        <v>43</v>
      </c>
      <c r="D722">
        <f t="shared" ref="D722:W722" si="484">D74*D182</f>
        <v>201.0673469387755</v>
      </c>
      <c r="E722">
        <f t="shared" si="484"/>
        <v>183.57959183673469</v>
      </c>
      <c r="F722">
        <f t="shared" si="484"/>
        <v>159.89693877551022</v>
      </c>
      <c r="G722">
        <f t="shared" si="484"/>
        <v>161.66938775510206</v>
      </c>
      <c r="H722">
        <f t="shared" si="484"/>
        <v>161.3330612244898</v>
      </c>
      <c r="I722">
        <f t="shared" si="484"/>
        <v>116.18285714285715</v>
      </c>
      <c r="J722">
        <f t="shared" si="484"/>
        <v>164.14571428571426</v>
      </c>
      <c r="K722">
        <f t="shared" si="484"/>
        <v>156.59326530612242</v>
      </c>
      <c r="L722">
        <f t="shared" si="484"/>
        <v>136.10765624999999</v>
      </c>
      <c r="M722">
        <f t="shared" si="484"/>
        <v>69.397551020408159</v>
      </c>
      <c r="N722">
        <f t="shared" si="484"/>
        <v>83.302448979591844</v>
      </c>
      <c r="O722">
        <f t="shared" si="484"/>
        <v>99.671632653061224</v>
      </c>
      <c r="P722">
        <f t="shared" si="484"/>
        <v>108.09061224489795</v>
      </c>
      <c r="Q722">
        <f t="shared" si="484"/>
        <v>107.43163265306123</v>
      </c>
      <c r="R722">
        <f t="shared" si="484"/>
        <v>133.10693877551017</v>
      </c>
      <c r="S722">
        <f t="shared" si="484"/>
        <v>106.28816326530612</v>
      </c>
      <c r="T722">
        <f t="shared" si="484"/>
        <v>103.07142857142858</v>
      </c>
      <c r="U722">
        <f t="shared" si="484"/>
        <v>121.44489795918369</v>
      </c>
      <c r="V722">
        <f t="shared" si="484"/>
        <v>196.65306122448979</v>
      </c>
      <c r="W722">
        <f t="shared" si="484"/>
        <v>156.34816326530611</v>
      </c>
      <c r="Y722" s="17">
        <f t="shared" ref="Y722:Y752" si="485">SUM(D722:W722)</f>
        <v>2725.382350127551</v>
      </c>
      <c r="Z722">
        <f t="shared" ref="Z722:Z748" si="486">SUMPRODUCT($D$754:$W$754,D722:W722)</f>
        <v>304.97953541347482</v>
      </c>
    </row>
    <row r="723" spans="1:26" x14ac:dyDescent="0.25">
      <c r="A723" t="s">
        <v>44</v>
      </c>
      <c r="D723">
        <f t="shared" ref="D723:W723" si="487">D75*D183</f>
        <v>203.75</v>
      </c>
      <c r="E723">
        <f t="shared" si="487"/>
        <v>133.76</v>
      </c>
      <c r="F723">
        <f t="shared" si="487"/>
        <v>144.95999999999998</v>
      </c>
      <c r="G723">
        <f t="shared" si="487"/>
        <v>153.36000000000001</v>
      </c>
      <c r="H723">
        <f t="shared" si="487"/>
        <v>171.10000000000002</v>
      </c>
      <c r="I723">
        <f t="shared" si="487"/>
        <v>107.64</v>
      </c>
      <c r="J723">
        <f t="shared" si="487"/>
        <v>1005.29</v>
      </c>
      <c r="K723">
        <f t="shared" si="487"/>
        <v>134.82999999999998</v>
      </c>
      <c r="L723">
        <f t="shared" si="487"/>
        <v>97.18</v>
      </c>
      <c r="M723">
        <f t="shared" si="487"/>
        <v>95.45</v>
      </c>
      <c r="N723">
        <f t="shared" si="487"/>
        <v>102.09000000000002</v>
      </c>
      <c r="O723">
        <f t="shared" si="487"/>
        <v>117.16</v>
      </c>
      <c r="P723">
        <f t="shared" si="487"/>
        <v>103.3764280690738</v>
      </c>
      <c r="Q723">
        <f t="shared" si="487"/>
        <v>93.476083924646787</v>
      </c>
      <c r="R723">
        <f t="shared" si="487"/>
        <v>106.89886135007848</v>
      </c>
      <c r="S723">
        <f t="shared" si="487"/>
        <v>114.64615384615387</v>
      </c>
      <c r="T723">
        <f t="shared" si="487"/>
        <v>111.05674072356214</v>
      </c>
      <c r="U723">
        <f t="shared" si="487"/>
        <v>132.71580357142855</v>
      </c>
      <c r="V723">
        <f t="shared" si="487"/>
        <v>147.8085111317254</v>
      </c>
      <c r="W723">
        <f t="shared" si="487"/>
        <v>197.83912221706862</v>
      </c>
      <c r="Y723" s="17">
        <f t="shared" si="485"/>
        <v>3474.3877048337376</v>
      </c>
      <c r="Z723">
        <f t="shared" si="486"/>
        <v>43.632422888589318</v>
      </c>
    </row>
    <row r="724" spans="1:26" x14ac:dyDescent="0.25">
      <c r="A724" t="s">
        <v>45</v>
      </c>
      <c r="D724">
        <f t="shared" ref="D724:W724" si="488">D76*D184</f>
        <v>225.47795918367345</v>
      </c>
      <c r="E724">
        <f t="shared" si="488"/>
        <v>146.99163265306126</v>
      </c>
      <c r="F724">
        <f t="shared" si="488"/>
        <v>135.19591836734693</v>
      </c>
      <c r="G724">
        <f t="shared" si="488"/>
        <v>160.61224489795919</v>
      </c>
      <c r="H724">
        <f t="shared" si="488"/>
        <v>188.38775510204081</v>
      </c>
      <c r="I724">
        <f t="shared" si="488"/>
        <v>122.8995918367347</v>
      </c>
      <c r="J724">
        <f t="shared" si="488"/>
        <v>164.98000000000002</v>
      </c>
      <c r="K724">
        <f t="shared" si="488"/>
        <v>100.96734693877553</v>
      </c>
      <c r="L724">
        <f t="shared" si="488"/>
        <v>118.63499999999999</v>
      </c>
      <c r="M724">
        <f t="shared" si="488"/>
        <v>114.03408163265304</v>
      </c>
      <c r="N724">
        <f t="shared" si="488"/>
        <v>133.61918367346939</v>
      </c>
      <c r="O724">
        <f t="shared" si="488"/>
        <v>107.0008163265306</v>
      </c>
      <c r="P724">
        <f t="shared" si="488"/>
        <v>75.157346938775532</v>
      </c>
      <c r="Q724">
        <f t="shared" si="488"/>
        <v>94.278367346938779</v>
      </c>
      <c r="R724">
        <f t="shared" si="488"/>
        <v>130.08734693877548</v>
      </c>
      <c r="S724">
        <f t="shared" si="488"/>
        <v>122.92530612244899</v>
      </c>
      <c r="T724">
        <f t="shared" si="488"/>
        <v>138.46530612244896</v>
      </c>
      <c r="U724">
        <f t="shared" si="488"/>
        <v>141.54612244897959</v>
      </c>
      <c r="V724">
        <f t="shared" si="488"/>
        <v>218.77142857142857</v>
      </c>
      <c r="W724">
        <f t="shared" si="488"/>
        <v>274.5</v>
      </c>
      <c r="Y724" s="17">
        <f t="shared" si="485"/>
        <v>2914.5327551020409</v>
      </c>
      <c r="Z724">
        <f t="shared" si="486"/>
        <v>298.68454658791956</v>
      </c>
    </row>
    <row r="725" spans="1:26" x14ac:dyDescent="0.25">
      <c r="A725" t="s">
        <v>46</v>
      </c>
      <c r="D725">
        <f t="shared" ref="D725:W725" si="489">D77*D185</f>
        <v>203.24081632653065</v>
      </c>
      <c r="E725">
        <f t="shared" si="489"/>
        <v>165.25510204081633</v>
      </c>
      <c r="F725">
        <f t="shared" si="489"/>
        <v>123.09285714285714</v>
      </c>
      <c r="G725">
        <f t="shared" si="489"/>
        <v>144.91142857142856</v>
      </c>
      <c r="H725">
        <f t="shared" si="489"/>
        <v>99.60612244897959</v>
      </c>
      <c r="I725">
        <f t="shared" si="489"/>
        <v>108.53999999999999</v>
      </c>
      <c r="J725">
        <f t="shared" si="489"/>
        <v>135.44367346938776</v>
      </c>
      <c r="K725">
        <f t="shared" si="489"/>
        <v>121.0512244897959</v>
      </c>
      <c r="L725">
        <f t="shared" si="489"/>
        <v>92.61281249999999</v>
      </c>
      <c r="M725">
        <f t="shared" si="489"/>
        <v>87.45163265306121</v>
      </c>
      <c r="N725">
        <f t="shared" si="489"/>
        <v>58.70020408163267</v>
      </c>
      <c r="O725">
        <f t="shared" si="489"/>
        <v>67.349591836734689</v>
      </c>
      <c r="P725">
        <f t="shared" si="489"/>
        <v>60.2334693877551</v>
      </c>
      <c r="Q725">
        <f t="shared" si="489"/>
        <v>87.600000000000023</v>
      </c>
      <c r="R725">
        <f t="shared" si="489"/>
        <v>85.099591836734689</v>
      </c>
      <c r="S725">
        <f t="shared" si="489"/>
        <v>135.75714285714284</v>
      </c>
      <c r="T725">
        <f t="shared" si="489"/>
        <v>76.435102040816332</v>
      </c>
      <c r="U725">
        <f t="shared" si="489"/>
        <v>111.03428571428573</v>
      </c>
      <c r="V725">
        <f t="shared" si="489"/>
        <v>136.23612244897959</v>
      </c>
      <c r="W725">
        <f t="shared" si="489"/>
        <v>188.05714285714288</v>
      </c>
      <c r="Y725" s="17">
        <f t="shared" si="485"/>
        <v>2287.7083227040812</v>
      </c>
      <c r="Z725">
        <f t="shared" si="486"/>
        <v>253.03617346580438</v>
      </c>
    </row>
    <row r="726" spans="1:26" x14ac:dyDescent="0.25">
      <c r="A726" t="s">
        <v>47</v>
      </c>
      <c r="D726">
        <f t="shared" ref="D726:W726" si="490">D78*D186</f>
        <v>214.97142857142859</v>
      </c>
      <c r="E726">
        <f t="shared" si="490"/>
        <v>174.90775510204082</v>
      </c>
      <c r="F726">
        <f t="shared" si="490"/>
        <v>185.09959183673467</v>
      </c>
      <c r="G726">
        <f t="shared" si="490"/>
        <v>181.54285714285714</v>
      </c>
      <c r="H726">
        <f t="shared" si="490"/>
        <v>171.22367346938776</v>
      </c>
      <c r="I726">
        <f t="shared" si="490"/>
        <v>115.88204081632651</v>
      </c>
      <c r="J726">
        <f t="shared" si="490"/>
        <v>119.46673469387757</v>
      </c>
      <c r="K726">
        <f t="shared" si="490"/>
        <v>113.33265306122451</v>
      </c>
      <c r="L726">
        <f t="shared" si="490"/>
        <v>78.603593749999987</v>
      </c>
      <c r="M726">
        <f t="shared" si="490"/>
        <v>105.89183673469384</v>
      </c>
      <c r="N726">
        <f t="shared" si="490"/>
        <v>109.54285714285716</v>
      </c>
      <c r="O726">
        <f t="shared" si="490"/>
        <v>90.776326530612252</v>
      </c>
      <c r="P726">
        <f t="shared" si="490"/>
        <v>115.44979591836734</v>
      </c>
      <c r="Q726">
        <f t="shared" si="490"/>
        <v>79.391836734693882</v>
      </c>
      <c r="R726">
        <f t="shared" si="490"/>
        <v>160.83367346938778</v>
      </c>
      <c r="S726">
        <f t="shared" si="490"/>
        <v>152.04081632653055</v>
      </c>
      <c r="T726">
        <f t="shared" si="490"/>
        <v>121.94285714285715</v>
      </c>
      <c r="U726">
        <f t="shared" si="490"/>
        <v>146.39510204081631</v>
      </c>
      <c r="V726">
        <f t="shared" si="490"/>
        <v>94.796938775510228</v>
      </c>
      <c r="W726">
        <f t="shared" si="490"/>
        <v>162.05877551020407</v>
      </c>
      <c r="Y726" s="17">
        <f t="shared" si="485"/>
        <v>2694.1511447704083</v>
      </c>
      <c r="Z726">
        <f t="shared" si="486"/>
        <v>301.13871374572454</v>
      </c>
    </row>
    <row r="727" spans="1:26" x14ac:dyDescent="0.25">
      <c r="A727" t="s">
        <v>48</v>
      </c>
      <c r="D727">
        <f t="shared" ref="D727:W727" si="491">D79*D187</f>
        <v>277.06530612244893</v>
      </c>
      <c r="E727">
        <f t="shared" si="491"/>
        <v>177.0530612244898</v>
      </c>
      <c r="F727">
        <f t="shared" si="491"/>
        <v>184.51714285714289</v>
      </c>
      <c r="G727">
        <f t="shared" si="491"/>
        <v>247.64693877551025</v>
      </c>
      <c r="H727">
        <f t="shared" si="491"/>
        <v>211.10816326530616</v>
      </c>
      <c r="I727">
        <f t="shared" si="491"/>
        <v>179.45714285714286</v>
      </c>
      <c r="J727">
        <f t="shared" si="491"/>
        <v>130.32734693877552</v>
      </c>
      <c r="K727">
        <f t="shared" si="491"/>
        <v>118.95673469387755</v>
      </c>
      <c r="L727">
        <f t="shared" si="491"/>
        <v>109.0578125</v>
      </c>
      <c r="M727">
        <f t="shared" si="491"/>
        <v>45.98367346938776</v>
      </c>
      <c r="N727">
        <f t="shared" si="491"/>
        <v>77.348571428571418</v>
      </c>
      <c r="O727">
        <f t="shared" si="491"/>
        <v>58.370204081632664</v>
      </c>
      <c r="P727">
        <f t="shared" si="491"/>
        <v>117.39285714285712</v>
      </c>
      <c r="Q727">
        <f t="shared" si="491"/>
        <v>99.828367346938791</v>
      </c>
      <c r="R727">
        <f t="shared" si="491"/>
        <v>132.32326530612247</v>
      </c>
      <c r="S727">
        <f t="shared" si="491"/>
        <v>77.43673469387754</v>
      </c>
      <c r="T727">
        <f t="shared" si="491"/>
        <v>142.23408163265307</v>
      </c>
      <c r="U727">
        <f t="shared" si="491"/>
        <v>145.3748979591837</v>
      </c>
      <c r="V727">
        <f t="shared" si="491"/>
        <v>148.55510204081631</v>
      </c>
      <c r="W727">
        <f t="shared" si="491"/>
        <v>177.04897959183671</v>
      </c>
      <c r="Y727" s="17">
        <f t="shared" si="485"/>
        <v>2857.0863839285707</v>
      </c>
      <c r="Z727">
        <f t="shared" si="486"/>
        <v>321.39007758076491</v>
      </c>
    </row>
    <row r="728" spans="1:26" x14ac:dyDescent="0.25">
      <c r="A728" t="s">
        <v>49</v>
      </c>
      <c r="D728">
        <f t="shared" ref="D728:W728" si="492">D80*D188</f>
        <v>153.84489795918367</v>
      </c>
      <c r="E728">
        <f t="shared" si="492"/>
        <v>202.82857142857145</v>
      </c>
      <c r="F728">
        <f t="shared" si="492"/>
        <v>245.14285714285714</v>
      </c>
      <c r="G728">
        <f t="shared" si="492"/>
        <v>201.98448979591836</v>
      </c>
      <c r="H728">
        <f t="shared" si="492"/>
        <v>127.02122448979591</v>
      </c>
      <c r="I728">
        <f t="shared" si="492"/>
        <v>111.49897959183673</v>
      </c>
      <c r="J728">
        <f t="shared" si="492"/>
        <v>116.02857142857144</v>
      </c>
      <c r="K728">
        <f t="shared" si="492"/>
        <v>128.32857142857142</v>
      </c>
      <c r="L728">
        <f t="shared" si="492"/>
        <v>60.367968749999996</v>
      </c>
      <c r="M728">
        <f t="shared" si="492"/>
        <v>47.167346938775509</v>
      </c>
      <c r="N728">
        <f t="shared" si="492"/>
        <v>72.11142857142859</v>
      </c>
      <c r="O728">
        <f t="shared" si="492"/>
        <v>69.972653061224491</v>
      </c>
      <c r="P728">
        <f t="shared" si="492"/>
        <v>121.94693877551019</v>
      </c>
      <c r="Q728">
        <f t="shared" si="492"/>
        <v>154.38857142857142</v>
      </c>
      <c r="R728">
        <f t="shared" si="492"/>
        <v>112.90959183673472</v>
      </c>
      <c r="S728">
        <f t="shared" si="492"/>
        <v>66.429183673469396</v>
      </c>
      <c r="T728">
        <f t="shared" si="492"/>
        <v>80.176122448979598</v>
      </c>
      <c r="U728">
        <f t="shared" si="492"/>
        <v>117.94408163265307</v>
      </c>
      <c r="V728">
        <f t="shared" si="492"/>
        <v>149.23469387755102</v>
      </c>
      <c r="W728">
        <f t="shared" si="492"/>
        <v>135.50285714285715</v>
      </c>
      <c r="Y728" s="17">
        <f t="shared" si="485"/>
        <v>2474.8296014030616</v>
      </c>
      <c r="Z728">
        <f t="shared" si="486"/>
        <v>302.76781054425214</v>
      </c>
    </row>
    <row r="729" spans="1:26" x14ac:dyDescent="0.25">
      <c r="A729" t="s">
        <v>50</v>
      </c>
      <c r="D729">
        <f t="shared" ref="D729:W729" si="493">D81*D189</f>
        <v>189.26938775510203</v>
      </c>
      <c r="E729">
        <f t="shared" si="493"/>
        <v>148.64061224489794</v>
      </c>
      <c r="F729">
        <f t="shared" si="493"/>
        <v>177.51102040816326</v>
      </c>
      <c r="G729">
        <f t="shared" si="493"/>
        <v>206.77000000000004</v>
      </c>
      <c r="H729">
        <f t="shared" si="493"/>
        <v>127.30775510204083</v>
      </c>
      <c r="I729">
        <f t="shared" si="493"/>
        <v>168.11632653061221</v>
      </c>
      <c r="J729">
        <f t="shared" si="493"/>
        <v>129.92244897959185</v>
      </c>
      <c r="K729">
        <f t="shared" si="493"/>
        <v>113.48326530612246</v>
      </c>
      <c r="L729">
        <f t="shared" si="493"/>
        <v>105.33999999999999</v>
      </c>
      <c r="M729">
        <f t="shared" si="493"/>
        <v>141.35510204081632</v>
      </c>
      <c r="N729">
        <f t="shared" si="493"/>
        <v>110.34979591836735</v>
      </c>
      <c r="O729">
        <f t="shared" si="493"/>
        <v>106.99714285714288</v>
      </c>
      <c r="P729">
        <f t="shared" si="493"/>
        <v>89.221224489795901</v>
      </c>
      <c r="Q729">
        <f t="shared" si="493"/>
        <v>86.51428571428572</v>
      </c>
      <c r="R729">
        <f t="shared" si="493"/>
        <v>108.27244897959183</v>
      </c>
      <c r="S729">
        <f t="shared" si="493"/>
        <v>111.43285714285716</v>
      </c>
      <c r="T729">
        <f t="shared" si="493"/>
        <v>130.14367346938775</v>
      </c>
      <c r="U729">
        <f t="shared" si="493"/>
        <v>132.7595918367347</v>
      </c>
      <c r="V729">
        <f t="shared" si="493"/>
        <v>135.30959183673465</v>
      </c>
      <c r="W729">
        <f t="shared" si="493"/>
        <v>219.93979591836731</v>
      </c>
      <c r="Y729" s="17">
        <f t="shared" si="485"/>
        <v>2738.6563265306127</v>
      </c>
      <c r="Z729">
        <f t="shared" si="486"/>
        <v>323.49029284395328</v>
      </c>
    </row>
    <row r="730" spans="1:26" x14ac:dyDescent="0.25">
      <c r="A730" t="s">
        <v>51</v>
      </c>
      <c r="D730">
        <f t="shared" ref="D730:W730" si="494">D82*D190</f>
        <v>286.30408163265309</v>
      </c>
      <c r="E730">
        <f t="shared" si="494"/>
        <v>240.71836734693881</v>
      </c>
      <c r="F730">
        <f t="shared" si="494"/>
        <v>161.59224489795915</v>
      </c>
      <c r="G730">
        <f t="shared" si="494"/>
        <v>206.11448979591836</v>
      </c>
      <c r="H730">
        <f t="shared" si="494"/>
        <v>128.66857142857143</v>
      </c>
      <c r="I730">
        <f t="shared" si="494"/>
        <v>190.78163265306125</v>
      </c>
      <c r="J730">
        <f t="shared" si="494"/>
        <v>134.43571428571428</v>
      </c>
      <c r="K730">
        <f t="shared" si="494"/>
        <v>98.858775510204083</v>
      </c>
      <c r="L730">
        <f t="shared" si="494"/>
        <v>91.191562500000003</v>
      </c>
      <c r="M730">
        <f t="shared" si="494"/>
        <v>129.31836734693877</v>
      </c>
      <c r="N730">
        <f t="shared" si="494"/>
        <v>168</v>
      </c>
      <c r="O730">
        <f t="shared" si="494"/>
        <v>71.144081632653084</v>
      </c>
      <c r="P730">
        <f t="shared" si="494"/>
        <v>217.65714285714287</v>
      </c>
      <c r="Q730">
        <f t="shared" si="494"/>
        <v>69.972653061224491</v>
      </c>
      <c r="R730">
        <f t="shared" si="494"/>
        <v>87.663265306122426</v>
      </c>
      <c r="S730">
        <f t="shared" si="494"/>
        <v>101.94857142857144</v>
      </c>
      <c r="T730">
        <f t="shared" si="494"/>
        <v>96.85163265306123</v>
      </c>
      <c r="U730">
        <f t="shared" si="494"/>
        <v>119.00387755102038</v>
      </c>
      <c r="V730">
        <f t="shared" si="494"/>
        <v>135.17061224489797</v>
      </c>
      <c r="W730">
        <f t="shared" si="494"/>
        <v>205.20000000000002</v>
      </c>
      <c r="Y730" s="17">
        <f t="shared" si="485"/>
        <v>2940.595644132653</v>
      </c>
      <c r="Z730">
        <f t="shared" si="486"/>
        <v>319.87201680641812</v>
      </c>
    </row>
    <row r="731" spans="1:26" x14ac:dyDescent="0.25">
      <c r="A731" t="s">
        <v>52</v>
      </c>
      <c r="D731">
        <f t="shared" ref="D731:W731" si="495">D83*D191</f>
        <v>268.78367346938779</v>
      </c>
      <c r="E731">
        <f t="shared" si="495"/>
        <v>196.17551020408163</v>
      </c>
      <c r="F731">
        <f t="shared" si="495"/>
        <v>224.34285714285718</v>
      </c>
      <c r="G731">
        <f t="shared" si="495"/>
        <v>136.15755102040816</v>
      </c>
      <c r="H731">
        <f t="shared" si="495"/>
        <v>124.67387755102041</v>
      </c>
      <c r="I731">
        <f t="shared" si="495"/>
        <v>114.13469387755103</v>
      </c>
      <c r="J731">
        <f t="shared" si="495"/>
        <v>98.624285714285691</v>
      </c>
      <c r="K731">
        <f t="shared" si="495"/>
        <v>78.175510204081633</v>
      </c>
      <c r="L731">
        <f t="shared" si="495"/>
        <v>87.233906250000004</v>
      </c>
      <c r="M731">
        <f t="shared" si="495"/>
        <v>81.597551020408176</v>
      </c>
      <c r="N731">
        <f t="shared" si="495"/>
        <v>65.494285714285709</v>
      </c>
      <c r="O731">
        <f t="shared" si="495"/>
        <v>81.932857142857117</v>
      </c>
      <c r="P731">
        <f t="shared" si="495"/>
        <v>88.617551020408158</v>
      </c>
      <c r="Q731">
        <f t="shared" si="495"/>
        <v>103.56163265306122</v>
      </c>
      <c r="R731">
        <f t="shared" si="495"/>
        <v>117.0534693877551</v>
      </c>
      <c r="S731">
        <f t="shared" si="495"/>
        <v>126.66122448979594</v>
      </c>
      <c r="T731">
        <f t="shared" si="495"/>
        <v>97.897959183673478</v>
      </c>
      <c r="U731">
        <f t="shared" si="495"/>
        <v>152.58551020408163</v>
      </c>
      <c r="V731">
        <f t="shared" si="495"/>
        <v>146.46857142857144</v>
      </c>
      <c r="W731">
        <f t="shared" si="495"/>
        <v>189.09183673469389</v>
      </c>
      <c r="Y731" s="17">
        <f t="shared" si="485"/>
        <v>2579.2643144132653</v>
      </c>
      <c r="Z731">
        <f t="shared" si="486"/>
        <v>320.94769322661102</v>
      </c>
    </row>
    <row r="732" spans="1:26" x14ac:dyDescent="0.25">
      <c r="A732" t="s">
        <v>53</v>
      </c>
      <c r="D732">
        <f t="shared" ref="D732:W732" si="496">D84*D192</f>
        <v>204.0061224489796</v>
      </c>
      <c r="E732">
        <f t="shared" si="496"/>
        <v>172.08163265306123</v>
      </c>
      <c r="F732">
        <f t="shared" si="496"/>
        <v>145.51428571428573</v>
      </c>
      <c r="G732">
        <f t="shared" si="496"/>
        <v>183.35571428571427</v>
      </c>
      <c r="H732">
        <f t="shared" si="496"/>
        <v>157.22142857142859</v>
      </c>
      <c r="I732">
        <f t="shared" si="496"/>
        <v>91.869795918367331</v>
      </c>
      <c r="J732">
        <f t="shared" si="496"/>
        <v>143.31428571428575</v>
      </c>
      <c r="K732">
        <f t="shared" si="496"/>
        <v>135.1934693877551</v>
      </c>
      <c r="L732">
        <f t="shared" si="496"/>
        <v>175.75874999999999</v>
      </c>
      <c r="M732">
        <f t="shared" si="496"/>
        <v>183.40816326530614</v>
      </c>
      <c r="N732">
        <f t="shared" si="496"/>
        <v>129.90285714285713</v>
      </c>
      <c r="O732">
        <f t="shared" si="496"/>
        <v>79.390816326530611</v>
      </c>
      <c r="P732">
        <f t="shared" si="496"/>
        <v>119.62918367346937</v>
      </c>
      <c r="Q732">
        <f t="shared" si="496"/>
        <v>75.085714285714289</v>
      </c>
      <c r="R732">
        <f t="shared" si="496"/>
        <v>101.87857142857143</v>
      </c>
      <c r="S732">
        <f t="shared" si="496"/>
        <v>114.18795918367347</v>
      </c>
      <c r="T732">
        <f t="shared" si="496"/>
        <v>208.10204081632654</v>
      </c>
      <c r="U732">
        <f t="shared" si="496"/>
        <v>130.40530612244899</v>
      </c>
      <c r="V732">
        <f t="shared" si="496"/>
        <v>174.06306122448979</v>
      </c>
      <c r="W732">
        <f t="shared" si="496"/>
        <v>244.1848979591837</v>
      </c>
      <c r="Y732" s="17">
        <f t="shared" si="485"/>
        <v>2968.5540561224498</v>
      </c>
      <c r="Z732">
        <f t="shared" si="486"/>
        <v>325.06029408539774</v>
      </c>
    </row>
    <row r="733" spans="1:26" x14ac:dyDescent="0.25">
      <c r="A733" t="s">
        <v>54</v>
      </c>
      <c r="D733">
        <f t="shared" ref="D733:W733" si="497">D85*D193</f>
        <v>256.99591836734692</v>
      </c>
      <c r="E733">
        <f t="shared" si="497"/>
        <v>218.49693877551022</v>
      </c>
      <c r="F733">
        <f t="shared" si="497"/>
        <v>199.42530612244897</v>
      </c>
      <c r="G733">
        <f t="shared" si="497"/>
        <v>128.6057142857143</v>
      </c>
      <c r="H733">
        <f t="shared" si="497"/>
        <v>126.01224489795916</v>
      </c>
      <c r="I733">
        <f t="shared" si="497"/>
        <v>123.00734693877553</v>
      </c>
      <c r="J733">
        <f t="shared" si="497"/>
        <v>66.201224489795919</v>
      </c>
      <c r="K733">
        <f t="shared" si="497"/>
        <v>122.89632653061227</v>
      </c>
      <c r="L733">
        <f t="shared" si="497"/>
        <v>105.44624999999999</v>
      </c>
      <c r="M733">
        <f t="shared" si="497"/>
        <v>87.389200000000002</v>
      </c>
      <c r="N733">
        <f t="shared" si="497"/>
        <v>121.9192</v>
      </c>
      <c r="O733">
        <f t="shared" si="497"/>
        <v>76.159599999999983</v>
      </c>
      <c r="P733">
        <f t="shared" si="497"/>
        <v>67.802800000000005</v>
      </c>
      <c r="Q733">
        <f t="shared" si="497"/>
        <v>93.401099999999985</v>
      </c>
      <c r="R733">
        <f t="shared" si="497"/>
        <v>62.146800000000006</v>
      </c>
      <c r="S733">
        <f t="shared" si="497"/>
        <v>105.83999999999999</v>
      </c>
      <c r="T733">
        <f t="shared" si="497"/>
        <v>92.210799999999992</v>
      </c>
      <c r="U733">
        <f t="shared" si="497"/>
        <v>155.33969999999999</v>
      </c>
      <c r="V733">
        <f t="shared" si="497"/>
        <v>177.21599999999998</v>
      </c>
      <c r="W733">
        <f t="shared" si="497"/>
        <v>263.33150000000001</v>
      </c>
      <c r="Y733" s="17">
        <f t="shared" si="485"/>
        <v>2649.8439704081629</v>
      </c>
      <c r="Z733">
        <f t="shared" si="486"/>
        <v>356.86268602803005</v>
      </c>
    </row>
    <row r="734" spans="1:26" x14ac:dyDescent="0.25">
      <c r="A734" t="s">
        <v>55</v>
      </c>
      <c r="D734">
        <f t="shared" ref="D734:W734" si="498">D86*D194</f>
        <v>320.40069999999997</v>
      </c>
      <c r="E734">
        <f t="shared" si="498"/>
        <v>335.17680000000001</v>
      </c>
      <c r="F734">
        <f t="shared" si="498"/>
        <v>243.24300000000002</v>
      </c>
      <c r="G734">
        <f t="shared" si="498"/>
        <v>278.52760000000001</v>
      </c>
      <c r="H734">
        <f t="shared" si="498"/>
        <v>240.41600000000003</v>
      </c>
      <c r="I734">
        <f t="shared" si="498"/>
        <v>256.78559999999999</v>
      </c>
      <c r="J734">
        <f t="shared" si="498"/>
        <v>134.1054</v>
      </c>
      <c r="K734">
        <f t="shared" si="498"/>
        <v>162.19149999999999</v>
      </c>
      <c r="L734">
        <f t="shared" si="498"/>
        <v>143.82969999999997</v>
      </c>
      <c r="M734">
        <f t="shared" si="498"/>
        <v>147.08571428571432</v>
      </c>
      <c r="N734">
        <f t="shared" si="498"/>
        <v>154.87714285714287</v>
      </c>
      <c r="O734">
        <f t="shared" si="498"/>
        <v>63.405714285714296</v>
      </c>
      <c r="P734">
        <f t="shared" si="498"/>
        <v>77.637551020408168</v>
      </c>
      <c r="Q734">
        <f t="shared" si="498"/>
        <v>149.72142857142859</v>
      </c>
      <c r="R734">
        <f t="shared" si="498"/>
        <v>93.483265306122433</v>
      </c>
      <c r="S734">
        <f t="shared" si="498"/>
        <v>156.4604081632653</v>
      </c>
      <c r="T734">
        <f t="shared" si="498"/>
        <v>125.60510204081632</v>
      </c>
      <c r="U734">
        <f t="shared" si="498"/>
        <v>101.14285714285712</v>
      </c>
      <c r="V734">
        <f t="shared" si="498"/>
        <v>180.31959183673473</v>
      </c>
      <c r="W734">
        <f t="shared" si="498"/>
        <v>219.04469387755105</v>
      </c>
      <c r="Y734" s="17">
        <f t="shared" si="485"/>
        <v>3583.4597693877545</v>
      </c>
      <c r="Z734">
        <f t="shared" si="486"/>
        <v>467.23419958129415</v>
      </c>
    </row>
    <row r="735" spans="1:26" x14ac:dyDescent="0.25">
      <c r="A735" t="s">
        <v>56</v>
      </c>
      <c r="D735">
        <f t="shared" ref="D735:W735" si="499">D87*D195</f>
        <v>369.91428571428571</v>
      </c>
      <c r="E735">
        <f t="shared" si="499"/>
        <v>267.90612244897954</v>
      </c>
      <c r="F735">
        <f t="shared" si="499"/>
        <v>228.04897959183674</v>
      </c>
      <c r="G735">
        <f t="shared" si="499"/>
        <v>179.31428571428575</v>
      </c>
      <c r="H735">
        <f t="shared" si="499"/>
        <v>122.03714285714287</v>
      </c>
      <c r="I735">
        <f t="shared" si="499"/>
        <v>115.72571428571429</v>
      </c>
      <c r="J735">
        <f t="shared" si="499"/>
        <v>123.69551020408161</v>
      </c>
      <c r="K735">
        <f t="shared" si="499"/>
        <v>115.10204081632654</v>
      </c>
      <c r="L735">
        <f t="shared" si="499"/>
        <v>95.175000000000011</v>
      </c>
      <c r="M735">
        <f t="shared" si="499"/>
        <v>102.13877551020408</v>
      </c>
      <c r="N735">
        <f t="shared" si="499"/>
        <v>70.405102040816317</v>
      </c>
      <c r="O735">
        <f t="shared" si="499"/>
        <v>115.23183673469391</v>
      </c>
      <c r="P735">
        <f t="shared" si="499"/>
        <v>115.38367346938777</v>
      </c>
      <c r="Q735">
        <f t="shared" si="499"/>
        <v>71.630816326530621</v>
      </c>
      <c r="R735">
        <f t="shared" si="499"/>
        <v>160.33877551020407</v>
      </c>
      <c r="S735">
        <f t="shared" si="499"/>
        <v>226.42653061224493</v>
      </c>
      <c r="T735">
        <f t="shared" si="499"/>
        <v>199.9061224489796</v>
      </c>
      <c r="U735">
        <f t="shared" si="499"/>
        <v>184.33836734693878</v>
      </c>
      <c r="V735">
        <f t="shared" si="499"/>
        <v>208.97755102040819</v>
      </c>
      <c r="W735">
        <f t="shared" si="499"/>
        <v>164.84795918367345</v>
      </c>
      <c r="Y735" s="17">
        <f t="shared" si="485"/>
        <v>3236.5445918367345</v>
      </c>
      <c r="Z735">
        <f t="shared" si="486"/>
        <v>387.9886124755696</v>
      </c>
    </row>
    <row r="736" spans="1:26" x14ac:dyDescent="0.25">
      <c r="A736" t="s">
        <v>57</v>
      </c>
      <c r="D736">
        <f t="shared" ref="D736:W736" si="500">D88*D196</f>
        <v>242.65306122448979</v>
      </c>
      <c r="E736">
        <f t="shared" si="500"/>
        <v>216.93673469387758</v>
      </c>
      <c r="F736">
        <f t="shared" si="500"/>
        <v>172.03265306122447</v>
      </c>
      <c r="G736">
        <f t="shared" si="500"/>
        <v>163.88755102040815</v>
      </c>
      <c r="H736">
        <f t="shared" si="500"/>
        <v>102.45755102040818</v>
      </c>
      <c r="I736">
        <f t="shared" si="500"/>
        <v>105.47142857142858</v>
      </c>
      <c r="J736">
        <f t="shared" si="500"/>
        <v>78.190816326530637</v>
      </c>
      <c r="K736">
        <f t="shared" si="500"/>
        <v>88.383673469387759</v>
      </c>
      <c r="L736">
        <f t="shared" si="500"/>
        <v>104.4265625</v>
      </c>
      <c r="M736">
        <f t="shared" si="500"/>
        <v>104.17346938775512</v>
      </c>
      <c r="N736">
        <f t="shared" si="500"/>
        <v>103.56979591836735</v>
      </c>
      <c r="O736">
        <f t="shared" si="500"/>
        <v>82.708163265306126</v>
      </c>
      <c r="P736">
        <f t="shared" si="500"/>
        <v>131.00795918367345</v>
      </c>
      <c r="Q736">
        <f t="shared" si="500"/>
        <v>113.22693877551021</v>
      </c>
      <c r="R736">
        <f t="shared" si="500"/>
        <v>94.275918367346947</v>
      </c>
      <c r="S736">
        <f t="shared" si="500"/>
        <v>56.650408163265297</v>
      </c>
      <c r="T736">
        <f t="shared" si="500"/>
        <v>120.05142857142857</v>
      </c>
      <c r="U736">
        <f t="shared" si="500"/>
        <v>112.95673469387756</v>
      </c>
      <c r="V736">
        <f t="shared" si="500"/>
        <v>120.08979591836736</v>
      </c>
      <c r="W736">
        <f t="shared" si="500"/>
        <v>206.87755102040816</v>
      </c>
      <c r="Y736" s="17">
        <f t="shared" si="485"/>
        <v>2520.028195153061</v>
      </c>
      <c r="Z736">
        <f t="shared" si="486"/>
        <v>318.24037559538374</v>
      </c>
    </row>
    <row r="737" spans="1:26" x14ac:dyDescent="0.25">
      <c r="A737" t="s">
        <v>58</v>
      </c>
      <c r="D737">
        <f t="shared" ref="D737:W737" si="501">D89*D197</f>
        <v>210.56020408163266</v>
      </c>
      <c r="E737">
        <f t="shared" si="501"/>
        <v>218.68571428571425</v>
      </c>
      <c r="F737">
        <f t="shared" si="501"/>
        <v>220.16326530612247</v>
      </c>
      <c r="G737">
        <f t="shared" si="501"/>
        <v>142.79999999999998</v>
      </c>
      <c r="H737">
        <f t="shared" si="501"/>
        <v>137.73081632653063</v>
      </c>
      <c r="I737">
        <f t="shared" si="501"/>
        <v>68.488163265306127</v>
      </c>
      <c r="J737">
        <f t="shared" si="501"/>
        <v>98.64489795918368</v>
      </c>
      <c r="K737">
        <f t="shared" si="501"/>
        <v>110.55061224489798</v>
      </c>
      <c r="L737">
        <f t="shared" si="501"/>
        <v>94.29</v>
      </c>
      <c r="M737">
        <f t="shared" si="501"/>
        <v>0</v>
      </c>
      <c r="N737">
        <f t="shared" si="501"/>
        <v>83.081632653061234</v>
      </c>
      <c r="O737">
        <f t="shared" si="501"/>
        <v>68.439183673469387</v>
      </c>
      <c r="P737">
        <f t="shared" si="501"/>
        <v>105.59142857142858</v>
      </c>
      <c r="Q737">
        <f t="shared" si="501"/>
        <v>46.664693877551024</v>
      </c>
      <c r="R737">
        <f t="shared" si="501"/>
        <v>80.187959183673485</v>
      </c>
      <c r="S737">
        <f t="shared" si="501"/>
        <v>56.874285714285719</v>
      </c>
      <c r="T737">
        <f t="shared" si="501"/>
        <v>92.160000000000011</v>
      </c>
      <c r="U737">
        <f t="shared" si="501"/>
        <v>138.82897959183671</v>
      </c>
      <c r="V737">
        <f t="shared" si="501"/>
        <v>145.4785714285714</v>
      </c>
      <c r="W737">
        <f t="shared" si="501"/>
        <v>128.41959183673467</v>
      </c>
      <c r="Y737" s="17">
        <f t="shared" si="485"/>
        <v>2247.64</v>
      </c>
      <c r="Z737">
        <f t="shared" si="486"/>
        <v>290.84485522406646</v>
      </c>
    </row>
    <row r="738" spans="1:26" x14ac:dyDescent="0.25">
      <c r="A738" t="s">
        <v>59</v>
      </c>
      <c r="D738">
        <f t="shared" ref="D738:W738" si="502">D90*D198</f>
        <v>238.43265306122447</v>
      </c>
      <c r="E738">
        <f t="shared" si="502"/>
        <v>265.27959183673465</v>
      </c>
      <c r="F738">
        <f t="shared" si="502"/>
        <v>182.5265306122449</v>
      </c>
      <c r="G738">
        <f t="shared" si="502"/>
        <v>139.46877551020407</v>
      </c>
      <c r="H738">
        <f t="shared" si="502"/>
        <v>154.89551020408163</v>
      </c>
      <c r="I738">
        <f t="shared" si="502"/>
        <v>96.261224489795907</v>
      </c>
      <c r="J738">
        <f t="shared" si="502"/>
        <v>112.16489795918368</v>
      </c>
      <c r="K738">
        <f t="shared" si="502"/>
        <v>127.95714285714287</v>
      </c>
      <c r="L738">
        <f t="shared" si="502"/>
        <v>114.95714285714287</v>
      </c>
      <c r="M738">
        <f t="shared" si="502"/>
        <v>89.867755102040817</v>
      </c>
      <c r="N738">
        <f t="shared" si="502"/>
        <v>107.27795918367343</v>
      </c>
      <c r="O738">
        <f t="shared" si="502"/>
        <v>97.772448979591857</v>
      </c>
      <c r="P738">
        <f t="shared" si="502"/>
        <v>80.963265306122437</v>
      </c>
      <c r="Q738">
        <f t="shared" si="502"/>
        <v>62.071836734693868</v>
      </c>
      <c r="R738">
        <f t="shared" si="502"/>
        <v>78.212244897959181</v>
      </c>
      <c r="S738">
        <f t="shared" si="502"/>
        <v>133.07142857142858</v>
      </c>
      <c r="T738">
        <f t="shared" si="502"/>
        <v>172.28571428571428</v>
      </c>
      <c r="U738">
        <f t="shared" si="502"/>
        <v>149.62244897959187</v>
      </c>
      <c r="V738">
        <f t="shared" si="502"/>
        <v>185.92000000000004</v>
      </c>
      <c r="W738">
        <f t="shared" si="502"/>
        <v>214.10204081632654</v>
      </c>
      <c r="Y738" s="17">
        <f t="shared" si="485"/>
        <v>2803.1106122448978</v>
      </c>
      <c r="Z738">
        <f t="shared" si="486"/>
        <v>353.13113716897766</v>
      </c>
    </row>
    <row r="739" spans="1:26" x14ac:dyDescent="0.25">
      <c r="A739" t="s">
        <v>60</v>
      </c>
      <c r="D739">
        <f t="shared" ref="D739:W739" si="503">D91*D199</f>
        <v>223.89183673469384</v>
      </c>
      <c r="E739">
        <f t="shared" si="503"/>
        <v>205.38775510204081</v>
      </c>
      <c r="F739">
        <f t="shared" si="503"/>
        <v>167.52734693877551</v>
      </c>
      <c r="G739">
        <f t="shared" si="503"/>
        <v>161.50408163265303</v>
      </c>
      <c r="H739">
        <f t="shared" si="503"/>
        <v>105.8644897959184</v>
      </c>
      <c r="I739">
        <f t="shared" si="503"/>
        <v>116.42653061224489</v>
      </c>
      <c r="J739">
        <f t="shared" si="503"/>
        <v>119.03714285714284</v>
      </c>
      <c r="K739">
        <f t="shared" si="503"/>
        <v>145.17551020408163</v>
      </c>
      <c r="L739">
        <f t="shared" si="503"/>
        <v>101.91499999999998</v>
      </c>
      <c r="M739">
        <f t="shared" si="503"/>
        <v>108.89999999999999</v>
      </c>
      <c r="N739">
        <f t="shared" si="503"/>
        <v>97.681632653061214</v>
      </c>
      <c r="O739">
        <f t="shared" si="503"/>
        <v>67.257142857142853</v>
      </c>
      <c r="P739">
        <f t="shared" si="503"/>
        <v>112.80612244897959</v>
      </c>
      <c r="Q739">
        <f t="shared" si="503"/>
        <v>152.52816326530609</v>
      </c>
      <c r="R739">
        <f t="shared" si="503"/>
        <v>119.61061224489798</v>
      </c>
      <c r="S739">
        <f t="shared" si="503"/>
        <v>131.16387755102039</v>
      </c>
      <c r="T739">
        <f t="shared" si="503"/>
        <v>189.26448979591839</v>
      </c>
      <c r="U739">
        <f t="shared" si="503"/>
        <v>204.32755102040818</v>
      </c>
      <c r="V739">
        <f t="shared" si="503"/>
        <v>83.571428571428569</v>
      </c>
      <c r="W739">
        <f t="shared" si="503"/>
        <v>141.13795918367347</v>
      </c>
      <c r="Y739" s="17">
        <f t="shared" si="485"/>
        <v>2754.9786734693871</v>
      </c>
      <c r="Z739">
        <f t="shared" si="486"/>
        <v>345.32932765754271</v>
      </c>
    </row>
    <row r="740" spans="1:26" x14ac:dyDescent="0.25">
      <c r="A740" t="s">
        <v>61</v>
      </c>
      <c r="D740">
        <f t="shared" ref="D740:W740" si="504">D92*D200</f>
        <v>284.19591836734691</v>
      </c>
      <c r="E740">
        <f t="shared" si="504"/>
        <v>309.57142857142856</v>
      </c>
      <c r="F740">
        <f t="shared" si="504"/>
        <v>220.35306122448981</v>
      </c>
      <c r="G740">
        <f t="shared" si="504"/>
        <v>244.47959183673467</v>
      </c>
      <c r="H740">
        <f t="shared" si="504"/>
        <v>210.85714285714286</v>
      </c>
      <c r="I740">
        <f t="shared" si="504"/>
        <v>153.14285714285714</v>
      </c>
      <c r="J740">
        <f t="shared" si="504"/>
        <v>159.23510204081632</v>
      </c>
      <c r="K740">
        <f t="shared" si="504"/>
        <v>105.82000000000001</v>
      </c>
      <c r="L740">
        <f t="shared" si="504"/>
        <v>90.604218749999987</v>
      </c>
      <c r="M740">
        <f t="shared" si="504"/>
        <v>84.991428571428571</v>
      </c>
      <c r="N740">
        <f t="shared" si="504"/>
        <v>108.25657142857143</v>
      </c>
      <c r="O740">
        <f t="shared" si="504"/>
        <v>95.781714285714287</v>
      </c>
      <c r="P740">
        <f t="shared" si="504"/>
        <v>68.591714285714303</v>
      </c>
      <c r="Q740">
        <f t="shared" si="504"/>
        <v>88.446571428571417</v>
      </c>
      <c r="R740">
        <f t="shared" si="504"/>
        <v>59.919428571428583</v>
      </c>
      <c r="S740">
        <f t="shared" si="504"/>
        <v>121.22999999999998</v>
      </c>
      <c r="T740">
        <f t="shared" si="504"/>
        <v>315.69306122448978</v>
      </c>
      <c r="U740">
        <f t="shared" si="504"/>
        <v>354.09632653061226</v>
      </c>
      <c r="V740">
        <f t="shared" si="504"/>
        <v>381.39448979591833</v>
      </c>
      <c r="W740">
        <f t="shared" si="504"/>
        <v>479.36734693877548</v>
      </c>
      <c r="Y740" s="17">
        <f t="shared" si="485"/>
        <v>3936.0279738520403</v>
      </c>
      <c r="Z740">
        <f t="shared" si="486"/>
        <v>440.83167793001007</v>
      </c>
    </row>
    <row r="741" spans="1:26" x14ac:dyDescent="0.25">
      <c r="A741" t="s">
        <v>62</v>
      </c>
      <c r="D741">
        <f t="shared" ref="D741:W741" si="505">D93*D201</f>
        <v>267.75510204081638</v>
      </c>
      <c r="E741">
        <f t="shared" si="505"/>
        <v>251.10000000000005</v>
      </c>
      <c r="F741">
        <f t="shared" si="505"/>
        <v>231.7755102040816</v>
      </c>
      <c r="G741">
        <f t="shared" si="505"/>
        <v>174.68816326530612</v>
      </c>
      <c r="H741">
        <f t="shared" si="505"/>
        <v>122.20979591836733</v>
      </c>
      <c r="I741">
        <f t="shared" si="505"/>
        <v>128.4</v>
      </c>
      <c r="J741">
        <f t="shared" si="505"/>
        <v>97.766326530612261</v>
      </c>
      <c r="K741">
        <f t="shared" si="505"/>
        <v>94.665306122448982</v>
      </c>
      <c r="L741">
        <f t="shared" si="505"/>
        <v>137.58468750000003</v>
      </c>
      <c r="M741">
        <f t="shared" si="505"/>
        <v>79.765714285714282</v>
      </c>
      <c r="N741">
        <f t="shared" si="505"/>
        <v>76.344489795918378</v>
      </c>
      <c r="O741">
        <f t="shared" si="505"/>
        <v>69.381224489795898</v>
      </c>
      <c r="P741">
        <f t="shared" si="505"/>
        <v>84.295918367346928</v>
      </c>
      <c r="Q741">
        <f t="shared" si="505"/>
        <v>73.797551020408179</v>
      </c>
      <c r="R741">
        <f t="shared" si="505"/>
        <v>19.94142857142857</v>
      </c>
      <c r="S741">
        <f t="shared" si="505"/>
        <v>15.28326530612245</v>
      </c>
      <c r="T741">
        <f t="shared" si="505"/>
        <v>49.944489795918372</v>
      </c>
      <c r="U741">
        <f t="shared" si="505"/>
        <v>166.45242091836735</v>
      </c>
      <c r="V741">
        <f t="shared" si="505"/>
        <v>192.87835714285714</v>
      </c>
      <c r="W741">
        <f t="shared" si="505"/>
        <v>199.53788265306125</v>
      </c>
      <c r="Y741" s="17">
        <f t="shared" si="485"/>
        <v>2533.5676339285719</v>
      </c>
      <c r="Z741">
        <f t="shared" si="486"/>
        <v>357.42385569726571</v>
      </c>
    </row>
    <row r="742" spans="1:26" x14ac:dyDescent="0.25">
      <c r="A742" t="s">
        <v>63</v>
      </c>
      <c r="D742">
        <f t="shared" ref="D742:W742" si="506">D94*D202</f>
        <v>242.78395408163269</v>
      </c>
      <c r="E742">
        <f t="shared" si="506"/>
        <v>21.699183673469388</v>
      </c>
      <c r="F742">
        <f t="shared" si="506"/>
        <v>183.98969387755099</v>
      </c>
      <c r="G742">
        <f t="shared" si="506"/>
        <v>168.00632142857143</v>
      </c>
      <c r="H742">
        <f t="shared" si="506"/>
        <v>38.812244897959182</v>
      </c>
      <c r="I742">
        <f t="shared" si="506"/>
        <v>76.650816326530631</v>
      </c>
      <c r="J742">
        <f t="shared" si="506"/>
        <v>78.726122448979609</v>
      </c>
      <c r="K742">
        <f t="shared" si="506"/>
        <v>82.873469387755094</v>
      </c>
      <c r="L742">
        <f t="shared" si="506"/>
        <v>73.2</v>
      </c>
      <c r="M742">
        <f t="shared" si="506"/>
        <v>117.61946938775513</v>
      </c>
      <c r="N742">
        <f t="shared" si="506"/>
        <v>105.15807142857142</v>
      </c>
      <c r="O742">
        <f t="shared" si="506"/>
        <v>109.60021428571427</v>
      </c>
      <c r="P742">
        <f t="shared" si="506"/>
        <v>79.116206632653032</v>
      </c>
      <c r="Q742">
        <f t="shared" si="506"/>
        <v>106.97256122448982</v>
      </c>
      <c r="R742">
        <f t="shared" si="506"/>
        <v>101.84136734693877</v>
      </c>
      <c r="S742">
        <f t="shared" si="506"/>
        <v>139.57232142857146</v>
      </c>
      <c r="T742">
        <f t="shared" si="506"/>
        <v>149.88734693877555</v>
      </c>
      <c r="U742">
        <f t="shared" si="506"/>
        <v>155.62029591836733</v>
      </c>
      <c r="V742">
        <f t="shared" si="506"/>
        <v>163.07176530612244</v>
      </c>
      <c r="W742">
        <f t="shared" si="506"/>
        <v>212.74051020408166</v>
      </c>
      <c r="Y742" s="17">
        <f t="shared" si="485"/>
        <v>2407.9419362244898</v>
      </c>
      <c r="Z742">
        <f t="shared" si="486"/>
        <v>277.91590243792598</v>
      </c>
    </row>
    <row r="743" spans="1:26" x14ac:dyDescent="0.25">
      <c r="A743" t="s">
        <v>64</v>
      </c>
      <c r="D743">
        <f t="shared" ref="D743:W743" si="507">D95*D203</f>
        <v>261.22248724489793</v>
      </c>
      <c r="E743">
        <f t="shared" si="507"/>
        <v>243.65061224489796</v>
      </c>
      <c r="F743">
        <f t="shared" si="507"/>
        <v>220.49999999999997</v>
      </c>
      <c r="G743">
        <f t="shared" si="507"/>
        <v>198.30648469387754</v>
      </c>
      <c r="H743">
        <f t="shared" si="507"/>
        <v>151.16826530612246</v>
      </c>
      <c r="I743">
        <f t="shared" si="507"/>
        <v>161.65341836734694</v>
      </c>
      <c r="J743">
        <f t="shared" si="507"/>
        <v>111.19242857142858</v>
      </c>
      <c r="K743">
        <f t="shared" si="507"/>
        <v>124.8385331632653</v>
      </c>
      <c r="L743">
        <f t="shared" si="507"/>
        <v>134.19020312499998</v>
      </c>
      <c r="M743">
        <f t="shared" si="507"/>
        <v>118.42448979591833</v>
      </c>
      <c r="N743">
        <f t="shared" si="507"/>
        <v>98.773877551020391</v>
      </c>
      <c r="O743">
        <f t="shared" si="507"/>
        <v>82.611632653061235</v>
      </c>
      <c r="P743">
        <f t="shared" si="507"/>
        <v>120.67346938775509</v>
      </c>
      <c r="Q743">
        <f t="shared" si="507"/>
        <v>150.42775510204083</v>
      </c>
      <c r="R743">
        <f t="shared" si="507"/>
        <v>201.3</v>
      </c>
      <c r="S743">
        <f t="shared" si="507"/>
        <v>153.66122448979596</v>
      </c>
      <c r="T743">
        <f t="shared" si="507"/>
        <v>183.18367346938774</v>
      </c>
      <c r="U743">
        <f t="shared" si="507"/>
        <v>171.44612244897962</v>
      </c>
      <c r="V743">
        <f t="shared" si="507"/>
        <v>156.29999999999998</v>
      </c>
      <c r="W743">
        <f t="shared" si="507"/>
        <v>204.05224489795918</v>
      </c>
      <c r="Y743" s="17">
        <f t="shared" si="485"/>
        <v>3247.5769225127556</v>
      </c>
      <c r="Z743">
        <f t="shared" si="486"/>
        <v>396.52640469528603</v>
      </c>
    </row>
    <row r="744" spans="1:26" x14ac:dyDescent="0.25">
      <c r="A744" t="s">
        <v>65</v>
      </c>
      <c r="D744">
        <f t="shared" ref="D744:W744" si="508">D96*D204</f>
        <v>324.61102040816326</v>
      </c>
      <c r="E744">
        <f t="shared" si="508"/>
        <v>339.45612244897956</v>
      </c>
      <c r="F744">
        <f t="shared" si="508"/>
        <v>201.05102040816325</v>
      </c>
      <c r="G744">
        <f t="shared" si="508"/>
        <v>122.80061224489795</v>
      </c>
      <c r="H744">
        <f t="shared" si="508"/>
        <v>168.24122448979591</v>
      </c>
      <c r="I744">
        <f t="shared" si="508"/>
        <v>173.4955102040816</v>
      </c>
      <c r="J744">
        <f t="shared" si="508"/>
        <v>127.57142857142858</v>
      </c>
      <c r="K744">
        <f t="shared" si="508"/>
        <v>134.41020408163263</v>
      </c>
      <c r="L744">
        <f t="shared" si="508"/>
        <v>130.51500000000001</v>
      </c>
      <c r="M744">
        <f t="shared" si="508"/>
        <v>116.25714285714287</v>
      </c>
      <c r="N744">
        <f t="shared" si="508"/>
        <v>128.82857142857145</v>
      </c>
      <c r="O744">
        <f t="shared" si="508"/>
        <v>97.434285714285721</v>
      </c>
      <c r="P744">
        <f t="shared" si="508"/>
        <v>53.985306122448989</v>
      </c>
      <c r="Q744">
        <f t="shared" si="508"/>
        <v>81.577142857142832</v>
      </c>
      <c r="R744">
        <f t="shared" si="508"/>
        <v>44.216326530612228</v>
      </c>
      <c r="S744">
        <f t="shared" si="508"/>
        <v>69.050612244897948</v>
      </c>
      <c r="T744">
        <f t="shared" si="508"/>
        <v>114.10346938775511</v>
      </c>
      <c r="U744">
        <f t="shared" si="508"/>
        <v>93.265714285714282</v>
      </c>
      <c r="V744">
        <f t="shared" si="508"/>
        <v>166.98285714285714</v>
      </c>
      <c r="W744">
        <f t="shared" si="508"/>
        <v>230.93877551020407</v>
      </c>
      <c r="Y744" s="17">
        <f t="shared" si="485"/>
        <v>2918.7923469387752</v>
      </c>
      <c r="Z744">
        <f t="shared" si="486"/>
        <v>415.76447110413443</v>
      </c>
    </row>
    <row r="745" spans="1:26" x14ac:dyDescent="0.25">
      <c r="A745" t="s">
        <v>66</v>
      </c>
      <c r="D745">
        <f t="shared" ref="D745:W745" si="509">D97*D205</f>
        <v>250.81632653061226</v>
      </c>
      <c r="E745">
        <f t="shared" si="509"/>
        <v>211.72714285714287</v>
      </c>
      <c r="F745">
        <f t="shared" si="509"/>
        <v>189.72</v>
      </c>
      <c r="G745">
        <f t="shared" si="509"/>
        <v>181.88326530612247</v>
      </c>
      <c r="H745">
        <f t="shared" si="509"/>
        <v>155.36857142857147</v>
      </c>
      <c r="I745">
        <f t="shared" si="509"/>
        <v>210.53387755102042</v>
      </c>
      <c r="J745">
        <f t="shared" si="509"/>
        <v>229.45469387755102</v>
      </c>
      <c r="K745">
        <f t="shared" si="509"/>
        <v>213.66428571428568</v>
      </c>
      <c r="L745">
        <f t="shared" si="509"/>
        <v>95.954375000000013</v>
      </c>
      <c r="M745">
        <f t="shared" si="509"/>
        <v>98.72040816326529</v>
      </c>
      <c r="N745">
        <f t="shared" si="509"/>
        <v>171.32142857142856</v>
      </c>
      <c r="O745">
        <f t="shared" si="509"/>
        <v>234.94367346938773</v>
      </c>
      <c r="P745">
        <f t="shared" si="509"/>
        <v>118.90714285714284</v>
      </c>
      <c r="Q745">
        <f t="shared" si="509"/>
        <v>96.513469387755094</v>
      </c>
      <c r="R745">
        <f t="shared" si="509"/>
        <v>118.44530612244898</v>
      </c>
      <c r="S745">
        <f t="shared" si="509"/>
        <v>135.80571428571432</v>
      </c>
      <c r="T745">
        <f t="shared" si="509"/>
        <v>164.0204081632653</v>
      </c>
      <c r="U745">
        <f t="shared" si="509"/>
        <v>220.50285714285712</v>
      </c>
      <c r="V745">
        <f t="shared" si="509"/>
        <v>178.73653061224491</v>
      </c>
      <c r="W745">
        <f t="shared" si="509"/>
        <v>210.10714285714283</v>
      </c>
      <c r="Y745" s="17">
        <f t="shared" si="485"/>
        <v>3487.1466198979592</v>
      </c>
      <c r="Z745">
        <f t="shared" si="486"/>
        <v>434.38700467067389</v>
      </c>
    </row>
    <row r="746" spans="1:26" x14ac:dyDescent="0.25">
      <c r="A746" t="s">
        <v>67</v>
      </c>
      <c r="D746">
        <f t="shared" ref="D746:W746" si="510">D98*D206</f>
        <v>215.15346938775508</v>
      </c>
      <c r="E746">
        <f t="shared" si="510"/>
        <v>263.29387755102039</v>
      </c>
      <c r="F746">
        <f t="shared" si="510"/>
        <v>311.81551020408159</v>
      </c>
      <c r="G746">
        <f t="shared" si="510"/>
        <v>166.76653061224491</v>
      </c>
      <c r="H746">
        <f t="shared" si="510"/>
        <v>159.20816326530613</v>
      </c>
      <c r="I746">
        <f t="shared" si="510"/>
        <v>168.02244897959187</v>
      </c>
      <c r="J746">
        <f t="shared" si="510"/>
        <v>200.57877551020408</v>
      </c>
      <c r="K746">
        <f t="shared" si="510"/>
        <v>239.39999999999995</v>
      </c>
      <c r="L746">
        <f t="shared" si="510"/>
        <v>162.85510204081629</v>
      </c>
      <c r="M746">
        <f t="shared" si="510"/>
        <v>107.17346938775511</v>
      </c>
      <c r="N746">
        <f t="shared" si="510"/>
        <v>111.27306122448978</v>
      </c>
      <c r="O746">
        <f t="shared" si="510"/>
        <v>98.853061224489807</v>
      </c>
      <c r="P746">
        <f t="shared" si="510"/>
        <v>90.53</v>
      </c>
      <c r="Q746">
        <f t="shared" si="510"/>
        <v>130.8604081632653</v>
      </c>
      <c r="R746">
        <f t="shared" si="510"/>
        <v>189.89877551020413</v>
      </c>
      <c r="S746">
        <f t="shared" si="510"/>
        <v>107.30938775510204</v>
      </c>
      <c r="T746">
        <f t="shared" si="510"/>
        <v>144.61999999999998</v>
      </c>
      <c r="U746">
        <f t="shared" si="510"/>
        <v>199.305306122449</v>
      </c>
      <c r="V746">
        <f t="shared" si="510"/>
        <v>220.16204081632651</v>
      </c>
      <c r="W746">
        <f t="shared" si="510"/>
        <v>216.74428571428572</v>
      </c>
      <c r="Y746" s="17">
        <f t="shared" si="485"/>
        <v>3503.8236734693874</v>
      </c>
      <c r="Z746">
        <f t="shared" si="486"/>
        <v>454.20051550444674</v>
      </c>
    </row>
    <row r="747" spans="1:26" x14ac:dyDescent="0.25">
      <c r="A747" t="s">
        <v>68</v>
      </c>
      <c r="D747">
        <f t="shared" ref="D747:W747" si="511">D99*D207</f>
        <v>263.58857142857147</v>
      </c>
      <c r="E747">
        <f t="shared" si="511"/>
        <v>320.91816326530613</v>
      </c>
      <c r="F747">
        <f t="shared" si="511"/>
        <v>502.69795918367345</v>
      </c>
      <c r="G747">
        <f t="shared" si="511"/>
        <v>316.91857142857145</v>
      </c>
      <c r="H747">
        <f t="shared" si="511"/>
        <v>306.75489795918367</v>
      </c>
      <c r="I747">
        <f t="shared" si="511"/>
        <v>177.21367346938774</v>
      </c>
      <c r="J747">
        <f t="shared" si="511"/>
        <v>87.919999999999987</v>
      </c>
      <c r="K747">
        <f t="shared" si="511"/>
        <v>77.453673469387752</v>
      </c>
      <c r="L747">
        <f t="shared" si="511"/>
        <v>147.92249999999999</v>
      </c>
      <c r="M747">
        <f t="shared" si="511"/>
        <v>54.275510204081655</v>
      </c>
      <c r="N747">
        <f t="shared" si="511"/>
        <v>63.344081632653044</v>
      </c>
      <c r="O747">
        <f t="shared" si="511"/>
        <v>73.6495918367347</v>
      </c>
      <c r="P747">
        <f t="shared" si="511"/>
        <v>106.56938775510207</v>
      </c>
      <c r="Q747">
        <f t="shared" si="511"/>
        <v>112.85142857142854</v>
      </c>
      <c r="R747">
        <f t="shared" si="511"/>
        <v>149.18693877551021</v>
      </c>
      <c r="S747">
        <f t="shared" si="511"/>
        <v>172.4914285714286</v>
      </c>
      <c r="T747">
        <f t="shared" si="511"/>
        <v>129.36163265306121</v>
      </c>
      <c r="U747">
        <f t="shared" si="511"/>
        <v>154.89857142857139</v>
      </c>
      <c r="V747">
        <f t="shared" si="511"/>
        <v>159.3281632653061</v>
      </c>
      <c r="W747">
        <f t="shared" si="511"/>
        <v>172.75224489795914</v>
      </c>
      <c r="Y747" s="17">
        <f t="shared" si="485"/>
        <v>3550.0969897959176</v>
      </c>
      <c r="Z747">
        <f t="shared" si="486"/>
        <v>488.86947985412206</v>
      </c>
    </row>
    <row r="748" spans="1:26" x14ac:dyDescent="0.25">
      <c r="A748" t="s">
        <v>69</v>
      </c>
      <c r="D748">
        <f t="shared" ref="D748:W748" si="512">D100*D208</f>
        <v>256.02612244897961</v>
      </c>
      <c r="E748">
        <f t="shared" si="512"/>
        <v>258.43979591836734</v>
      </c>
      <c r="F748">
        <f t="shared" si="512"/>
        <v>217.53551020408165</v>
      </c>
      <c r="G748">
        <f t="shared" si="512"/>
        <v>179.62285714285716</v>
      </c>
      <c r="H748">
        <f t="shared" si="512"/>
        <v>150.11020408163265</v>
      </c>
      <c r="I748">
        <f t="shared" si="512"/>
        <v>172.13959183673467</v>
      </c>
      <c r="J748">
        <f t="shared" si="512"/>
        <v>95.730816326530615</v>
      </c>
      <c r="K748">
        <f t="shared" si="512"/>
        <v>144.60734693877552</v>
      </c>
      <c r="L748">
        <f t="shared" si="512"/>
        <v>104.14265625000002</v>
      </c>
      <c r="M748">
        <f t="shared" si="512"/>
        <v>111.69214285714285</v>
      </c>
      <c r="N748">
        <f t="shared" si="512"/>
        <v>77.213142857142856</v>
      </c>
      <c r="O748">
        <f t="shared" si="512"/>
        <v>76.914428571428573</v>
      </c>
      <c r="P748">
        <f t="shared" si="512"/>
        <v>75.518857142857144</v>
      </c>
      <c r="Q748">
        <f t="shared" si="512"/>
        <v>84.540857142857135</v>
      </c>
      <c r="R748">
        <f t="shared" si="512"/>
        <v>50.515500000000003</v>
      </c>
      <c r="S748">
        <f t="shared" si="512"/>
        <v>102.72000000000001</v>
      </c>
      <c r="T748">
        <f t="shared" si="512"/>
        <v>123.39428571428572</v>
      </c>
      <c r="U748">
        <f t="shared" si="512"/>
        <v>129.35204081632654</v>
      </c>
      <c r="V748">
        <f t="shared" si="512"/>
        <v>130.65857142857146</v>
      </c>
      <c r="W748">
        <f t="shared" si="512"/>
        <v>126.95816326530614</v>
      </c>
      <c r="Y748" s="17">
        <f t="shared" si="485"/>
        <v>2667.8328909438778</v>
      </c>
      <c r="Z748">
        <f t="shared" si="486"/>
        <v>379.20745183417336</v>
      </c>
    </row>
    <row r="749" spans="1:26" x14ac:dyDescent="0.25">
      <c r="Y749" s="17"/>
    </row>
    <row r="750" spans="1:26" x14ac:dyDescent="0.25">
      <c r="A750" t="s">
        <v>70</v>
      </c>
      <c r="D750">
        <f t="shared" ref="D750:W750" si="513">D102*D210</f>
        <v>235.25224489795923</v>
      </c>
      <c r="E750">
        <f t="shared" si="513"/>
        <v>229.04816326530616</v>
      </c>
      <c r="F750">
        <f t="shared" si="513"/>
        <v>236.17632653061227</v>
      </c>
      <c r="G750">
        <f t="shared" si="513"/>
        <v>167.20734693877546</v>
      </c>
      <c r="H750">
        <f t="shared" si="513"/>
        <v>145.36734693877551</v>
      </c>
      <c r="I750">
        <f t="shared" si="513"/>
        <v>135.20571428571429</v>
      </c>
      <c r="J750">
        <f t="shared" si="513"/>
        <v>171.42285714285711</v>
      </c>
      <c r="K750">
        <f t="shared" si="513"/>
        <v>127.1995918367347</v>
      </c>
      <c r="L750">
        <f t="shared" si="513"/>
        <v>91.113749999999996</v>
      </c>
      <c r="M750">
        <f t="shared" si="513"/>
        <v>88.47342857142857</v>
      </c>
      <c r="N750">
        <f t="shared" si="513"/>
        <v>73.941428571428574</v>
      </c>
      <c r="O750">
        <f t="shared" si="513"/>
        <v>95.188775510204067</v>
      </c>
      <c r="P750">
        <f t="shared" si="513"/>
        <v>88.617551020408158</v>
      </c>
      <c r="Q750">
        <f t="shared" si="513"/>
        <v>145.53224489795917</v>
      </c>
      <c r="R750">
        <f t="shared" si="513"/>
        <v>130.99714285714288</v>
      </c>
      <c r="S750">
        <f t="shared" si="513"/>
        <v>124.02244897959184</v>
      </c>
      <c r="T750">
        <f t="shared" si="513"/>
        <v>151.73408163265307</v>
      </c>
      <c r="U750">
        <f t="shared" si="513"/>
        <v>129.89632653061221</v>
      </c>
      <c r="V750">
        <f t="shared" si="513"/>
        <v>167.04489795918371</v>
      </c>
      <c r="W750">
        <f t="shared" si="513"/>
        <v>272.61265306122448</v>
      </c>
      <c r="Y750" s="17">
        <f t="shared" si="485"/>
        <v>3006.0543214285717</v>
      </c>
      <c r="Z750">
        <f>SUMPRODUCT($D$754:$W$754,D750:W750)</f>
        <v>346.31028752876205</v>
      </c>
    </row>
    <row r="751" spans="1:26" x14ac:dyDescent="0.25">
      <c r="A751" t="s">
        <v>314</v>
      </c>
      <c r="D751">
        <f t="shared" ref="D751:W751" si="514">D103*D211</f>
        <v>310.92408163265293</v>
      </c>
      <c r="E751">
        <f t="shared" si="514"/>
        <v>318.84081632653056</v>
      </c>
      <c r="F751">
        <f t="shared" si="514"/>
        <v>198.11959183673468</v>
      </c>
      <c r="G751">
        <f t="shared" si="514"/>
        <v>181.00653061224489</v>
      </c>
      <c r="H751">
        <f t="shared" si="514"/>
        <v>213.46530612244896</v>
      </c>
      <c r="I751">
        <f t="shared" si="514"/>
        <v>173.35632653061228</v>
      </c>
      <c r="J751">
        <f t="shared" si="514"/>
        <v>119.72571428571429</v>
      </c>
      <c r="K751">
        <f t="shared" si="514"/>
        <v>104.88163265306125</v>
      </c>
      <c r="L751">
        <f t="shared" si="514"/>
        <v>125.83171875000001</v>
      </c>
      <c r="M751">
        <f t="shared" si="514"/>
        <v>161.34897959183675</v>
      </c>
      <c r="N751">
        <f t="shared" si="514"/>
        <v>111.83510204081634</v>
      </c>
      <c r="O751">
        <f t="shared" si="514"/>
        <v>121.27999999999997</v>
      </c>
      <c r="P751">
        <f t="shared" si="514"/>
        <v>220.1</v>
      </c>
      <c r="Q751">
        <f t="shared" si="514"/>
        <v>154.43999999999997</v>
      </c>
      <c r="R751">
        <f t="shared" si="514"/>
        <v>144.9</v>
      </c>
      <c r="S751">
        <f t="shared" si="514"/>
        <v>148.47999999999999</v>
      </c>
      <c r="T751">
        <f t="shared" si="514"/>
        <v>201.83265306122451</v>
      </c>
      <c r="U751">
        <f t="shared" si="514"/>
        <v>166.06693877551018</v>
      </c>
      <c r="V751">
        <f t="shared" si="514"/>
        <v>222.32571428571433</v>
      </c>
      <c r="W751">
        <f t="shared" si="514"/>
        <v>274.10612244897959</v>
      </c>
      <c r="Y751" s="17">
        <f t="shared" si="485"/>
        <v>3672.8672289540809</v>
      </c>
      <c r="Z751">
        <f>SUMPRODUCT($D$754:$W$754,D751:W751)</f>
        <v>417.68491250935182</v>
      </c>
    </row>
    <row r="752" spans="1:26" x14ac:dyDescent="0.25">
      <c r="A752" t="s">
        <v>315</v>
      </c>
      <c r="D752">
        <f t="shared" ref="D752:W752" si="515">D104*D212</f>
        <v>344.83367346938775</v>
      </c>
      <c r="E752">
        <f t="shared" si="515"/>
        <v>279.91285714285715</v>
      </c>
      <c r="F752">
        <f t="shared" si="515"/>
        <v>446.14755102040806</v>
      </c>
      <c r="G752">
        <f t="shared" si="515"/>
        <v>237.18857142857138</v>
      </c>
      <c r="H752">
        <f t="shared" si="515"/>
        <v>218.91122448979587</v>
      </c>
      <c r="I752">
        <f t="shared" si="515"/>
        <v>172.31979591836736</v>
      </c>
      <c r="J752">
        <f t="shared" si="515"/>
        <v>132.0685714285714</v>
      </c>
      <c r="K752">
        <f t="shared" si="515"/>
        <v>100.62122448979594</v>
      </c>
      <c r="L752">
        <f t="shared" si="515"/>
        <v>67.26453124999999</v>
      </c>
      <c r="M752">
        <f t="shared" si="515"/>
        <v>102.92000000000002</v>
      </c>
      <c r="N752">
        <f t="shared" si="515"/>
        <v>88.360000000000014</v>
      </c>
      <c r="O752">
        <f t="shared" si="515"/>
        <v>84.46</v>
      </c>
      <c r="P752">
        <f t="shared" si="515"/>
        <v>93.266016900510195</v>
      </c>
      <c r="Q752">
        <f t="shared" si="515"/>
        <v>102.96104699095545</v>
      </c>
      <c r="R752">
        <f t="shared" si="515"/>
        <v>100.63488126159555</v>
      </c>
      <c r="S752">
        <f t="shared" si="515"/>
        <v>102.69144929846942</v>
      </c>
      <c r="T752">
        <f t="shared" si="515"/>
        <v>217.84571428571431</v>
      </c>
      <c r="U752">
        <f t="shared" si="515"/>
        <v>159.96306122448979</v>
      </c>
      <c r="V752">
        <f t="shared" si="515"/>
        <v>193.19877551020409</v>
      </c>
      <c r="W752">
        <f t="shared" si="515"/>
        <v>230.11551020408169</v>
      </c>
      <c r="Y752" s="17">
        <f t="shared" si="485"/>
        <v>3475.6844563137747</v>
      </c>
      <c r="Z752">
        <f>SUMPRODUCT($D$754:$W$754,D752:W752)</f>
        <v>468.85029113902982</v>
      </c>
    </row>
    <row r="753" spans="1:26" x14ac:dyDescent="0.25">
      <c r="A753" t="s">
        <v>677</v>
      </c>
      <c r="D753">
        <f t="shared" ref="D753:W753" si="516">D105*D213</f>
        <v>254.69387755102045</v>
      </c>
      <c r="E753">
        <f t="shared" si="516"/>
        <v>277.39428571428573</v>
      </c>
      <c r="F753">
        <f t="shared" si="516"/>
        <v>232.68775510204082</v>
      </c>
      <c r="G753">
        <f t="shared" si="516"/>
        <v>251.10163265306124</v>
      </c>
      <c r="H753">
        <f t="shared" si="516"/>
        <v>177.12428571428572</v>
      </c>
      <c r="I753">
        <f t="shared" si="516"/>
        <v>127.84142857142857</v>
      </c>
      <c r="J753">
        <f t="shared" si="516"/>
        <v>100.62306122448979</v>
      </c>
      <c r="K753">
        <f t="shared" si="516"/>
        <v>64.226938775510206</v>
      </c>
      <c r="L753">
        <f t="shared" si="516"/>
        <v>63.112500000000004</v>
      </c>
      <c r="M753">
        <f t="shared" si="516"/>
        <v>114.94489795918369</v>
      </c>
      <c r="N753">
        <f t="shared" si="516"/>
        <v>109.79183673469387</v>
      </c>
      <c r="O753">
        <f t="shared" si="516"/>
        <v>42.548571428571428</v>
      </c>
      <c r="P753">
        <f t="shared" si="516"/>
        <v>55.182040816326534</v>
      </c>
      <c r="Q753">
        <f t="shared" si="516"/>
        <v>145.4195918367347</v>
      </c>
      <c r="R753">
        <f t="shared" si="516"/>
        <v>94.423469387755105</v>
      </c>
      <c r="S753">
        <f t="shared" si="516"/>
        <v>116.34985422740529</v>
      </c>
      <c r="T753">
        <f t="shared" si="516"/>
        <v>153.85552216037931</v>
      </c>
      <c r="U753">
        <f t="shared" si="516"/>
        <v>173.70899628942487</v>
      </c>
      <c r="V753">
        <f t="shared" si="516"/>
        <v>181.94398917748921</v>
      </c>
      <c r="W753">
        <f t="shared" si="516"/>
        <v>224.62464156874876</v>
      </c>
      <c r="Y753" s="17">
        <f t="shared" ref="Y753" si="517">SUM(D753:W753)</f>
        <v>2961.5991768928343</v>
      </c>
      <c r="Z753">
        <f>SUMPRODUCT($D$754:$W$754,D753:W753)</f>
        <v>361.99132266963016</v>
      </c>
    </row>
    <row r="754" spans="1:26" x14ac:dyDescent="0.25">
      <c r="A754" s="2" t="s">
        <v>71</v>
      </c>
      <c r="D754" s="3">
        <f>CORREL($B$2:$B$28,D722:D748)</f>
        <v>0.15676733562719355</v>
      </c>
      <c r="E754" s="3">
        <f t="shared" ref="E754:W754" si="518">CORREL($B$2:$B$28,E722:E748)</f>
        <v>0.28330583955068073</v>
      </c>
      <c r="F754" s="3">
        <f t="shared" si="518"/>
        <v>0.35066265228637478</v>
      </c>
      <c r="G754" s="3">
        <f t="shared" si="518"/>
        <v>1.4933142463193045E-2</v>
      </c>
      <c r="H754" s="3">
        <f t="shared" si="518"/>
        <v>-8.478552031068381E-4</v>
      </c>
      <c r="I754" s="3">
        <f t="shared" si="518"/>
        <v>0.27531768615824398</v>
      </c>
      <c r="J754" s="3">
        <f t="shared" si="518"/>
        <v>-0.28026040797108837</v>
      </c>
      <c r="K754" s="3">
        <f t="shared" si="518"/>
        <v>0.27239617828725765</v>
      </c>
      <c r="L754" s="3">
        <f t="shared" si="518"/>
        <v>0.29948734931666893</v>
      </c>
      <c r="M754" s="3">
        <f t="shared" si="518"/>
        <v>0.12505738987933102</v>
      </c>
      <c r="N754" s="3">
        <f t="shared" si="518"/>
        <v>0.1858592266633009</v>
      </c>
      <c r="O754" s="3">
        <f t="shared" si="518"/>
        <v>0.36986874041503504</v>
      </c>
      <c r="P754" s="3">
        <f t="shared" si="518"/>
        <v>-0.17577144600337399</v>
      </c>
      <c r="Q754" s="3">
        <f t="shared" si="518"/>
        <v>0.1748288126949456</v>
      </c>
      <c r="R754" s="3">
        <f t="shared" si="518"/>
        <v>-7.7929165804933847E-3</v>
      </c>
      <c r="S754" s="3">
        <f t="shared" si="518"/>
        <v>-3.8593911044207577E-2</v>
      </c>
      <c r="T754" s="3">
        <f t="shared" si="518"/>
        <v>0.14078584871250829</v>
      </c>
      <c r="U754" s="3">
        <f t="shared" si="518"/>
        <v>0.19197343200589442</v>
      </c>
      <c r="V754" s="3">
        <f t="shared" si="518"/>
        <v>1.4217808485033965E-2</v>
      </c>
      <c r="W754" s="3">
        <f t="shared" si="518"/>
        <v>-1.656984274126146E-2</v>
      </c>
    </row>
    <row r="757" spans="1:26" x14ac:dyDescent="0.25">
      <c r="D757" t="s">
        <v>240</v>
      </c>
      <c r="E757" t="s">
        <v>241</v>
      </c>
      <c r="F757" t="s">
        <v>242</v>
      </c>
      <c r="G757" t="s">
        <v>243</v>
      </c>
      <c r="H757" t="s">
        <v>244</v>
      </c>
      <c r="I757" t="s">
        <v>245</v>
      </c>
      <c r="J757" t="s">
        <v>246</v>
      </c>
      <c r="K757" t="s">
        <v>247</v>
      </c>
      <c r="L757" t="s">
        <v>361</v>
      </c>
      <c r="M757" t="s">
        <v>431</v>
      </c>
      <c r="N757" t="s">
        <v>432</v>
      </c>
      <c r="O757" t="s">
        <v>433</v>
      </c>
      <c r="P757" t="s">
        <v>537</v>
      </c>
      <c r="Q757" t="s">
        <v>538</v>
      </c>
      <c r="R757" t="s">
        <v>539</v>
      </c>
      <c r="S757" t="s">
        <v>540</v>
      </c>
      <c r="T757" t="s">
        <v>649</v>
      </c>
      <c r="U757" t="s">
        <v>650</v>
      </c>
      <c r="V757" t="s">
        <v>651</v>
      </c>
      <c r="W757" t="s">
        <v>652</v>
      </c>
      <c r="Y757" t="s">
        <v>248</v>
      </c>
      <c r="Z757" t="s">
        <v>249</v>
      </c>
    </row>
    <row r="758" spans="1:26" x14ac:dyDescent="0.25">
      <c r="A758" t="s">
        <v>43</v>
      </c>
      <c r="D758">
        <f t="shared" ref="D758:W758" si="519">D74*D218</f>
        <v>152.26897959183677</v>
      </c>
      <c r="E758">
        <f t="shared" si="519"/>
        <v>168.13204081632654</v>
      </c>
      <c r="F758">
        <f t="shared" si="519"/>
        <v>142.57653061224491</v>
      </c>
      <c r="G758">
        <f t="shared" si="519"/>
        <v>149.69387755102042</v>
      </c>
      <c r="H758">
        <f t="shared" si="519"/>
        <v>146.43755102040816</v>
      </c>
      <c r="I758">
        <f t="shared" si="519"/>
        <v>114.37877551020411</v>
      </c>
      <c r="J758">
        <f t="shared" si="519"/>
        <v>170.19428571428568</v>
      </c>
      <c r="K758">
        <f t="shared" si="519"/>
        <v>150.14653061224487</v>
      </c>
      <c r="L758">
        <f t="shared" si="519"/>
        <v>119.07484375</v>
      </c>
      <c r="M758">
        <f t="shared" si="519"/>
        <v>116.86285714285715</v>
      </c>
      <c r="N758">
        <f t="shared" si="519"/>
        <v>86.641224489795931</v>
      </c>
      <c r="O758">
        <f t="shared" si="519"/>
        <v>96.451224489795933</v>
      </c>
      <c r="P758">
        <f t="shared" si="519"/>
        <v>111.83632653061225</v>
      </c>
      <c r="Q758">
        <f t="shared" si="519"/>
        <v>102.69448979591839</v>
      </c>
      <c r="R758">
        <f t="shared" si="519"/>
        <v>131.55918367346936</v>
      </c>
      <c r="S758">
        <f t="shared" si="519"/>
        <v>94.652040816326519</v>
      </c>
      <c r="T758">
        <f t="shared" si="519"/>
        <v>125.95408163265306</v>
      </c>
      <c r="U758">
        <f t="shared" si="519"/>
        <v>122.76734693877552</v>
      </c>
      <c r="V758">
        <f t="shared" si="519"/>
        <v>164.81632653061223</v>
      </c>
      <c r="W758">
        <f t="shared" si="519"/>
        <v>112.57938775510205</v>
      </c>
      <c r="Y758" s="17">
        <f t="shared" ref="Y758:Y788" si="520">SUM(D758:W758)</f>
        <v>2579.7179049744896</v>
      </c>
      <c r="Z758">
        <f t="shared" ref="Z758:Z784" si="521">SUMPRODUCT($D$790:$W$790,D758:W758)</f>
        <v>461.91191868984691</v>
      </c>
    </row>
    <row r="759" spans="1:26" x14ac:dyDescent="0.25">
      <c r="A759" t="s">
        <v>44</v>
      </c>
      <c r="D759">
        <f t="shared" ref="D759:W759" si="522">D75*D219</f>
        <v>153.22</v>
      </c>
      <c r="E759">
        <f t="shared" si="522"/>
        <v>145.91999999999999</v>
      </c>
      <c r="F759">
        <f t="shared" si="522"/>
        <v>154.01999999999998</v>
      </c>
      <c r="G759">
        <f t="shared" si="522"/>
        <v>119.28</v>
      </c>
      <c r="H759">
        <f t="shared" si="522"/>
        <v>163.85000000000002</v>
      </c>
      <c r="I759">
        <f t="shared" si="522"/>
        <v>128.34</v>
      </c>
      <c r="J759">
        <f t="shared" si="522"/>
        <v>173.03</v>
      </c>
      <c r="K759">
        <f t="shared" si="522"/>
        <v>118.15</v>
      </c>
      <c r="L759">
        <f t="shared" si="522"/>
        <v>94.920000000000016</v>
      </c>
      <c r="M759">
        <f t="shared" si="522"/>
        <v>106.95</v>
      </c>
      <c r="N759">
        <f t="shared" si="522"/>
        <v>111.93</v>
      </c>
      <c r="O759">
        <f t="shared" si="522"/>
        <v>117.16</v>
      </c>
      <c r="P759">
        <f t="shared" si="522"/>
        <v>111.17471434850863</v>
      </c>
      <c r="Q759">
        <f t="shared" si="522"/>
        <v>97.156269733124006</v>
      </c>
      <c r="R759">
        <f t="shared" si="522"/>
        <v>110.41102096284666</v>
      </c>
      <c r="S759">
        <f t="shared" si="522"/>
        <v>116.81371428571433</v>
      </c>
      <c r="T759">
        <f t="shared" si="522"/>
        <v>103.60206261595546</v>
      </c>
      <c r="U759">
        <f t="shared" si="522"/>
        <v>120.60294805194803</v>
      </c>
      <c r="V759">
        <f t="shared" si="522"/>
        <v>124.30623840445267</v>
      </c>
      <c r="W759">
        <f t="shared" si="522"/>
        <v>169.2233787105751</v>
      </c>
      <c r="Y759" s="17">
        <f t="shared" si="520"/>
        <v>2540.0603471131258</v>
      </c>
      <c r="Z759">
        <f t="shared" si="521"/>
        <v>440.10360365171181</v>
      </c>
    </row>
    <row r="760" spans="1:26" x14ac:dyDescent="0.25">
      <c r="A760" t="s">
        <v>45</v>
      </c>
      <c r="D760">
        <f t="shared" ref="D760:W760" si="523">D76*D220</f>
        <v>164.90938775510202</v>
      </c>
      <c r="E760">
        <f t="shared" si="523"/>
        <v>126.05714285714288</v>
      </c>
      <c r="F760">
        <f t="shared" si="523"/>
        <v>138.96367346938774</v>
      </c>
      <c r="G760">
        <f t="shared" si="523"/>
        <v>140.81632653061229</v>
      </c>
      <c r="H760">
        <f t="shared" si="523"/>
        <v>156.02938775510208</v>
      </c>
      <c r="I760">
        <f t="shared" si="523"/>
        <v>135.55102040816328</v>
      </c>
      <c r="J760">
        <f t="shared" si="523"/>
        <v>200.43714285714285</v>
      </c>
      <c r="K760">
        <f t="shared" si="523"/>
        <v>93.830000000000013</v>
      </c>
      <c r="L760">
        <f t="shared" si="523"/>
        <v>132.82500000000002</v>
      </c>
      <c r="M760">
        <f t="shared" si="523"/>
        <v>124.85224489795918</v>
      </c>
      <c r="N760">
        <f t="shared" si="523"/>
        <v>153.82408163265305</v>
      </c>
      <c r="O760">
        <f t="shared" si="523"/>
        <v>116.21387755102043</v>
      </c>
      <c r="P760">
        <f t="shared" si="523"/>
        <v>78.05387755102042</v>
      </c>
      <c r="Q760">
        <f t="shared" si="523"/>
        <v>97.968979591836742</v>
      </c>
      <c r="R760">
        <f t="shared" si="523"/>
        <v>131.87918367346938</v>
      </c>
      <c r="S760">
        <f t="shared" si="523"/>
        <v>124.80489795918366</v>
      </c>
      <c r="T760">
        <f t="shared" si="523"/>
        <v>159.86448979591836</v>
      </c>
      <c r="U760">
        <f t="shared" si="523"/>
        <v>163.32244897959185</v>
      </c>
      <c r="V760">
        <f t="shared" si="523"/>
        <v>203.38530612244898</v>
      </c>
      <c r="W760">
        <f t="shared" si="523"/>
        <v>221.43</v>
      </c>
      <c r="Y760" s="17">
        <f t="shared" si="520"/>
        <v>2865.0184693877559</v>
      </c>
      <c r="Z760">
        <f t="shared" si="521"/>
        <v>456.54576738731515</v>
      </c>
    </row>
    <row r="761" spans="1:26" x14ac:dyDescent="0.25">
      <c r="A761" t="s">
        <v>46</v>
      </c>
      <c r="D761">
        <f t="shared" ref="D761:W761" si="524">D77*D221</f>
        <v>149.59469387755104</v>
      </c>
      <c r="E761">
        <f t="shared" si="524"/>
        <v>121.74489795918367</v>
      </c>
      <c r="F761">
        <f t="shared" si="524"/>
        <v>93.661632653061218</v>
      </c>
      <c r="G761">
        <f t="shared" si="524"/>
        <v>120.59999999999997</v>
      </c>
      <c r="H761">
        <f t="shared" si="524"/>
        <v>100.4938775510204</v>
      </c>
      <c r="I761">
        <f t="shared" si="524"/>
        <v>101.69999999999999</v>
      </c>
      <c r="J761">
        <f t="shared" si="524"/>
        <v>151.33979591836734</v>
      </c>
      <c r="K761">
        <f t="shared" si="524"/>
        <v>128.33918367346939</v>
      </c>
      <c r="L761">
        <f t="shared" si="524"/>
        <v>108.53718749999999</v>
      </c>
      <c r="M761">
        <f t="shared" si="524"/>
        <v>92.544489795918381</v>
      </c>
      <c r="N761">
        <f t="shared" si="524"/>
        <v>52.424081632653078</v>
      </c>
      <c r="O761">
        <f t="shared" si="524"/>
        <v>60.52448979591837</v>
      </c>
      <c r="P761">
        <f t="shared" si="524"/>
        <v>56.879999999999995</v>
      </c>
      <c r="Q761">
        <f t="shared" si="524"/>
        <v>89.834693877551047</v>
      </c>
      <c r="R761">
        <f t="shared" si="524"/>
        <v>91.833061224489796</v>
      </c>
      <c r="S761">
        <f t="shared" si="524"/>
        <v>139.84285714285713</v>
      </c>
      <c r="T761">
        <f t="shared" si="524"/>
        <v>71.666938775510189</v>
      </c>
      <c r="U761">
        <f t="shared" si="524"/>
        <v>91.440000000000012</v>
      </c>
      <c r="V761">
        <f t="shared" si="524"/>
        <v>127.79081632653062</v>
      </c>
      <c r="W761">
        <f t="shared" si="524"/>
        <v>228.80285714285716</v>
      </c>
      <c r="Y761" s="17">
        <f t="shared" si="520"/>
        <v>2179.5955548469387</v>
      </c>
      <c r="Z761">
        <f t="shared" si="521"/>
        <v>362.6097572042035</v>
      </c>
    </row>
    <row r="762" spans="1:26" x14ac:dyDescent="0.25">
      <c r="A762" t="s">
        <v>47</v>
      </c>
      <c r="D762">
        <f t="shared" ref="D762:W762" si="525">D78*D222</f>
        <v>192.25285714285715</v>
      </c>
      <c r="E762">
        <f t="shared" si="525"/>
        <v>169.06938775510204</v>
      </c>
      <c r="F762">
        <f t="shared" si="525"/>
        <v>170.77081632653062</v>
      </c>
      <c r="G762">
        <f t="shared" si="525"/>
        <v>156.6887755102041</v>
      </c>
      <c r="H762">
        <f t="shared" si="525"/>
        <v>171.71428571428572</v>
      </c>
      <c r="I762">
        <f t="shared" si="525"/>
        <v>110.33653061224487</v>
      </c>
      <c r="J762">
        <f t="shared" si="525"/>
        <v>116.73918367346937</v>
      </c>
      <c r="K762">
        <f t="shared" si="525"/>
        <v>115.98061224489797</v>
      </c>
      <c r="L762">
        <f t="shared" si="525"/>
        <v>96.578281250000003</v>
      </c>
      <c r="M762">
        <f t="shared" si="525"/>
        <v>127.50612244897957</v>
      </c>
      <c r="N762">
        <f t="shared" si="525"/>
        <v>117.60000000000001</v>
      </c>
      <c r="O762">
        <f t="shared" si="525"/>
        <v>85.982857142857156</v>
      </c>
      <c r="P762">
        <f t="shared" si="525"/>
        <v>104.22551020408164</v>
      </c>
      <c r="Q762">
        <f t="shared" si="525"/>
        <v>71.003265306122444</v>
      </c>
      <c r="R762">
        <f t="shared" si="525"/>
        <v>161.04897959183674</v>
      </c>
      <c r="S762">
        <f t="shared" si="525"/>
        <v>142.85714285714283</v>
      </c>
      <c r="T762">
        <f t="shared" si="525"/>
        <v>119.60816326530615</v>
      </c>
      <c r="U762">
        <f t="shared" si="525"/>
        <v>124.57469387755101</v>
      </c>
      <c r="V762">
        <f t="shared" si="525"/>
        <v>75.801020408163268</v>
      </c>
      <c r="W762">
        <f t="shared" si="525"/>
        <v>125.16734693877549</v>
      </c>
      <c r="Y762" s="17">
        <f t="shared" si="520"/>
        <v>2555.5058322704085</v>
      </c>
      <c r="Z762">
        <f t="shared" si="521"/>
        <v>452.36032758669234</v>
      </c>
    </row>
    <row r="763" spans="1:26" x14ac:dyDescent="0.25">
      <c r="A763" t="s">
        <v>48</v>
      </c>
      <c r="D763">
        <f t="shared" ref="D763:W763" si="526">D79*D223</f>
        <v>230.61612244897958</v>
      </c>
      <c r="E763">
        <f t="shared" si="526"/>
        <v>136.67632653061224</v>
      </c>
      <c r="F763">
        <f t="shared" si="526"/>
        <v>161.62591836734694</v>
      </c>
      <c r="G763">
        <f t="shared" si="526"/>
        <v>257.85918367346943</v>
      </c>
      <c r="H763">
        <f t="shared" si="526"/>
        <v>223.24081632653062</v>
      </c>
      <c r="I763">
        <f t="shared" si="526"/>
        <v>215.81469387755098</v>
      </c>
      <c r="J763">
        <f t="shared" si="526"/>
        <v>137.65714285714284</v>
      </c>
      <c r="K763">
        <f t="shared" si="526"/>
        <v>133.37020408163264</v>
      </c>
      <c r="L763">
        <f t="shared" si="526"/>
        <v>114.4609375</v>
      </c>
      <c r="M763">
        <f t="shared" si="526"/>
        <v>48.657142857142865</v>
      </c>
      <c r="N763">
        <f t="shared" si="526"/>
        <v>87.222857142857137</v>
      </c>
      <c r="O763">
        <f t="shared" si="526"/>
        <v>62.767959183673483</v>
      </c>
      <c r="P763">
        <f t="shared" si="526"/>
        <v>127.80816326530612</v>
      </c>
      <c r="Q763">
        <f t="shared" si="526"/>
        <v>101.46489795918367</v>
      </c>
      <c r="R763">
        <f t="shared" si="526"/>
        <v>136.45836734693876</v>
      </c>
      <c r="S763">
        <f t="shared" si="526"/>
        <v>65.24081632653062</v>
      </c>
      <c r="T763">
        <f t="shared" si="526"/>
        <v>148.65367346938774</v>
      </c>
      <c r="U763">
        <f t="shared" si="526"/>
        <v>131.93204081632655</v>
      </c>
      <c r="V763">
        <f t="shared" si="526"/>
        <v>112.65428571428571</v>
      </c>
      <c r="W763">
        <f t="shared" si="526"/>
        <v>132.61224489795916</v>
      </c>
      <c r="Y763" s="17">
        <f t="shared" si="520"/>
        <v>2766.7937946428569</v>
      </c>
      <c r="Z763">
        <f t="shared" si="521"/>
        <v>534.27862831854907</v>
      </c>
    </row>
    <row r="764" spans="1:26" x14ac:dyDescent="0.25">
      <c r="A764" t="s">
        <v>49</v>
      </c>
      <c r="D764">
        <f t="shared" ref="D764:W764" si="527">D80*D224</f>
        <v>129.6</v>
      </c>
      <c r="E764">
        <f t="shared" si="527"/>
        <v>162.40306122448982</v>
      </c>
      <c r="F764">
        <f t="shared" si="527"/>
        <v>273</v>
      </c>
      <c r="G764">
        <f t="shared" si="527"/>
        <v>210.27489795918368</v>
      </c>
      <c r="H764">
        <f t="shared" si="527"/>
        <v>112.97020408163264</v>
      </c>
      <c r="I764">
        <f t="shared" si="527"/>
        <v>110.27755102040815</v>
      </c>
      <c r="J764">
        <f t="shared" si="527"/>
        <v>119.02285714285713</v>
      </c>
      <c r="K764">
        <f t="shared" si="527"/>
        <v>141.32857142857142</v>
      </c>
      <c r="L764">
        <f t="shared" si="527"/>
        <v>55.530468750000011</v>
      </c>
      <c r="M764">
        <f t="shared" si="527"/>
        <v>51.906122448979595</v>
      </c>
      <c r="N764">
        <f t="shared" si="527"/>
        <v>74.260000000000019</v>
      </c>
      <c r="O764">
        <f t="shared" si="527"/>
        <v>67.742448979591828</v>
      </c>
      <c r="P764">
        <f t="shared" si="527"/>
        <v>127.42571428571426</v>
      </c>
      <c r="Q764">
        <f t="shared" si="527"/>
        <v>155.16244897959183</v>
      </c>
      <c r="R764">
        <f t="shared" si="527"/>
        <v>99.073469387755111</v>
      </c>
      <c r="S764">
        <f t="shared" si="527"/>
        <v>65.92877551020409</v>
      </c>
      <c r="T764">
        <f t="shared" si="527"/>
        <v>53.25673469387754</v>
      </c>
      <c r="U764">
        <f t="shared" si="527"/>
        <v>100.12775510204082</v>
      </c>
      <c r="V764">
        <f t="shared" si="527"/>
        <v>134.7091836734694</v>
      </c>
      <c r="W764">
        <f t="shared" si="527"/>
        <v>100.15428571428571</v>
      </c>
      <c r="Y764" s="17">
        <f t="shared" si="520"/>
        <v>2344.1545503826533</v>
      </c>
      <c r="Z764">
        <f t="shared" si="521"/>
        <v>449.07355385354629</v>
      </c>
    </row>
    <row r="765" spans="1:26" x14ac:dyDescent="0.25">
      <c r="A765" t="s">
        <v>50</v>
      </c>
      <c r="D765">
        <f t="shared" ref="D765:W765" si="528">D81*D225</f>
        <v>147.95326530612246</v>
      </c>
      <c r="E765">
        <f t="shared" si="528"/>
        <v>114.50204081632654</v>
      </c>
      <c r="F765">
        <f t="shared" si="528"/>
        <v>177.7391836734694</v>
      </c>
      <c r="G765">
        <f t="shared" si="528"/>
        <v>195.96000000000004</v>
      </c>
      <c r="H765">
        <f t="shared" si="528"/>
        <v>131.03020408163263</v>
      </c>
      <c r="I765">
        <f t="shared" si="528"/>
        <v>172.26734693877549</v>
      </c>
      <c r="J765">
        <f t="shared" si="528"/>
        <v>129.73551020408166</v>
      </c>
      <c r="K765">
        <f t="shared" si="528"/>
        <v>135.74204081632652</v>
      </c>
      <c r="L765">
        <f t="shared" si="528"/>
        <v>119.36624999999999</v>
      </c>
      <c r="M765">
        <f t="shared" si="528"/>
        <v>159.47755102040816</v>
      </c>
      <c r="N765">
        <f t="shared" si="528"/>
        <v>123.63714285714286</v>
      </c>
      <c r="O765">
        <f t="shared" si="528"/>
        <v>104.06571428571429</v>
      </c>
      <c r="P765">
        <f t="shared" si="528"/>
        <v>84.729183673469379</v>
      </c>
      <c r="Q765">
        <f t="shared" si="528"/>
        <v>75.545510204081637</v>
      </c>
      <c r="R765">
        <f t="shared" si="528"/>
        <v>96.007959183673478</v>
      </c>
      <c r="S765">
        <f t="shared" si="528"/>
        <v>98.440000000000026</v>
      </c>
      <c r="T765">
        <f t="shared" si="528"/>
        <v>99.308979591836732</v>
      </c>
      <c r="U765">
        <f t="shared" si="528"/>
        <v>114.73959183673469</v>
      </c>
      <c r="V765">
        <f t="shared" si="528"/>
        <v>111.43142857142855</v>
      </c>
      <c r="W765">
        <f t="shared" si="528"/>
        <v>168.11632653061224</v>
      </c>
      <c r="Y765" s="17">
        <f t="shared" si="520"/>
        <v>2559.7952295918367</v>
      </c>
      <c r="Z765">
        <f t="shared" si="521"/>
        <v>463.30767561301491</v>
      </c>
    </row>
    <row r="766" spans="1:26" x14ac:dyDescent="0.25">
      <c r="A766" t="s">
        <v>51</v>
      </c>
      <c r="D766">
        <f t="shared" ref="D766:W766" si="529">D82*D226</f>
        <v>234.7126530612245</v>
      </c>
      <c r="E766">
        <f t="shared" si="529"/>
        <v>201.01224489795919</v>
      </c>
      <c r="F766">
        <f t="shared" si="529"/>
        <v>160.01265306122446</v>
      </c>
      <c r="G766">
        <f t="shared" si="529"/>
        <v>260.44081632653058</v>
      </c>
      <c r="H766">
        <f t="shared" si="529"/>
        <v>107.80897959183673</v>
      </c>
      <c r="I766">
        <f t="shared" si="529"/>
        <v>189.28530612244899</v>
      </c>
      <c r="J766">
        <f t="shared" si="529"/>
        <v>126.77142857142857</v>
      </c>
      <c r="K766">
        <f t="shared" si="529"/>
        <v>104.58734693877551</v>
      </c>
      <c r="L766">
        <f t="shared" si="529"/>
        <v>104.013125</v>
      </c>
      <c r="M766">
        <f t="shared" si="529"/>
        <v>153.5204081632653</v>
      </c>
      <c r="N766">
        <f t="shared" si="529"/>
        <v>174</v>
      </c>
      <c r="O766">
        <f t="shared" si="529"/>
        <v>75.33673469387756</v>
      </c>
      <c r="P766">
        <f t="shared" si="529"/>
        <v>241.57551020408164</v>
      </c>
      <c r="Q766">
        <f t="shared" si="529"/>
        <v>57.427755102040813</v>
      </c>
      <c r="R766">
        <f t="shared" si="529"/>
        <v>87.518367346938774</v>
      </c>
      <c r="S766">
        <f t="shared" si="529"/>
        <v>85.988571428571433</v>
      </c>
      <c r="T766">
        <f t="shared" si="529"/>
        <v>101.76795918367347</v>
      </c>
      <c r="U766">
        <f t="shared" si="529"/>
        <v>103.67326530612243</v>
      </c>
      <c r="V766">
        <f t="shared" si="529"/>
        <v>97.742040816326536</v>
      </c>
      <c r="W766">
        <f t="shared" si="529"/>
        <v>152.19000000000003</v>
      </c>
      <c r="Y766" s="17">
        <f t="shared" si="520"/>
        <v>2819.3851658163267</v>
      </c>
      <c r="Z766">
        <f t="shared" si="521"/>
        <v>492.20189729042556</v>
      </c>
    </row>
    <row r="767" spans="1:26" x14ac:dyDescent="0.25">
      <c r="A767" t="s">
        <v>52</v>
      </c>
      <c r="D767">
        <f t="shared" ref="D767:W767" si="530">D83*D227</f>
        <v>231.52653061224493</v>
      </c>
      <c r="E767">
        <f t="shared" si="530"/>
        <v>188.75265306122452</v>
      </c>
      <c r="F767">
        <f t="shared" si="530"/>
        <v>201.16897959183675</v>
      </c>
      <c r="G767">
        <f t="shared" si="530"/>
        <v>126.29714285714283</v>
      </c>
      <c r="H767">
        <f t="shared" si="530"/>
        <v>115.26775510204084</v>
      </c>
      <c r="I767">
        <f t="shared" si="530"/>
        <v>124.37755102040816</v>
      </c>
      <c r="J767">
        <f t="shared" si="530"/>
        <v>100.68285714285712</v>
      </c>
      <c r="K767">
        <f t="shared" si="530"/>
        <v>83.728163265306122</v>
      </c>
      <c r="L767">
        <f t="shared" si="530"/>
        <v>97.496718749999985</v>
      </c>
      <c r="M767">
        <f t="shared" si="530"/>
        <v>93.152448979591867</v>
      </c>
      <c r="N767">
        <f t="shared" si="530"/>
        <v>66.767142857142844</v>
      </c>
      <c r="O767">
        <f t="shared" si="530"/>
        <v>96.316938775510181</v>
      </c>
      <c r="P767">
        <f t="shared" si="530"/>
        <v>83.475918367346949</v>
      </c>
      <c r="Q767">
        <f t="shared" si="530"/>
        <v>113.79836734693876</v>
      </c>
      <c r="R767">
        <f t="shared" si="530"/>
        <v>121.08979591836736</v>
      </c>
      <c r="S767">
        <f t="shared" si="530"/>
        <v>115.57836734693876</v>
      </c>
      <c r="T767">
        <f t="shared" si="530"/>
        <v>78.795918367346928</v>
      </c>
      <c r="U767">
        <f t="shared" si="530"/>
        <v>142.49551020408165</v>
      </c>
      <c r="V767">
        <f t="shared" si="530"/>
        <v>119.22367346938778</v>
      </c>
      <c r="W767">
        <f t="shared" si="530"/>
        <v>198.48122448979592</v>
      </c>
      <c r="Y767" s="17">
        <f t="shared" si="520"/>
        <v>2498.4736575255101</v>
      </c>
      <c r="Z767">
        <f t="shared" si="521"/>
        <v>440.87174876308603</v>
      </c>
    </row>
    <row r="768" spans="1:26" x14ac:dyDescent="0.25">
      <c r="A768" t="s">
        <v>53</v>
      </c>
      <c r="D768">
        <f t="shared" ref="D768:W768" si="531">D84*D228</f>
        <v>181.02612244897961</v>
      </c>
      <c r="E768">
        <f t="shared" si="531"/>
        <v>166.48897959183677</v>
      </c>
      <c r="F768">
        <f t="shared" si="531"/>
        <v>161.1995918367347</v>
      </c>
      <c r="G768">
        <f t="shared" si="531"/>
        <v>273.13061224489792</v>
      </c>
      <c r="H768">
        <f t="shared" si="531"/>
        <v>164.05714285714288</v>
      </c>
      <c r="I768">
        <f t="shared" si="531"/>
        <v>94.975714285714275</v>
      </c>
      <c r="J768">
        <f t="shared" si="531"/>
        <v>143.88000000000002</v>
      </c>
      <c r="K768">
        <f t="shared" si="531"/>
        <v>132.65632653061223</v>
      </c>
      <c r="L768">
        <f t="shared" si="531"/>
        <v>196.22249999999997</v>
      </c>
      <c r="M768">
        <f t="shared" si="531"/>
        <v>226.73469387755102</v>
      </c>
      <c r="N768">
        <f t="shared" si="531"/>
        <v>138.79285714285714</v>
      </c>
      <c r="O768">
        <f t="shared" si="531"/>
        <v>85.95204081632653</v>
      </c>
      <c r="P768">
        <f t="shared" si="531"/>
        <v>128.16142857142853</v>
      </c>
      <c r="Q768">
        <f t="shared" si="531"/>
        <v>80.746938775510202</v>
      </c>
      <c r="R768">
        <f t="shared" si="531"/>
        <v>99.138979591836744</v>
      </c>
      <c r="S768">
        <f t="shared" si="531"/>
        <v>121.91081632653061</v>
      </c>
      <c r="T768">
        <f t="shared" si="531"/>
        <v>171.95918367346937</v>
      </c>
      <c r="U768">
        <f t="shared" si="531"/>
        <v>127.66816326530612</v>
      </c>
      <c r="V768">
        <f t="shared" si="531"/>
        <v>140.30938775510202</v>
      </c>
      <c r="W768">
        <f t="shared" si="531"/>
        <v>191.96204081632661</v>
      </c>
      <c r="Y768" s="17">
        <f t="shared" si="520"/>
        <v>3026.973520408163</v>
      </c>
      <c r="Z768">
        <f t="shared" si="521"/>
        <v>510.58445374247657</v>
      </c>
    </row>
    <row r="769" spans="1:26" x14ac:dyDescent="0.25">
      <c r="A769" t="s">
        <v>54</v>
      </c>
      <c r="D769">
        <f t="shared" ref="D769:W769" si="532">D85*D229</f>
        <v>230.32653061224491</v>
      </c>
      <c r="E769">
        <f t="shared" si="532"/>
        <v>202.56734693877547</v>
      </c>
      <c r="F769">
        <f t="shared" si="532"/>
        <v>158.94367346938779</v>
      </c>
      <c r="G769">
        <f t="shared" si="532"/>
        <v>131.97142857142859</v>
      </c>
      <c r="H769">
        <f t="shared" si="532"/>
        <v>115.80408163265304</v>
      </c>
      <c r="I769">
        <f t="shared" si="532"/>
        <v>131.3138775510204</v>
      </c>
      <c r="J769">
        <f t="shared" si="532"/>
        <v>79.798571428571435</v>
      </c>
      <c r="K769">
        <f t="shared" si="532"/>
        <v>159.34693877551024</v>
      </c>
      <c r="L769">
        <f t="shared" si="532"/>
        <v>116.16468750000001</v>
      </c>
      <c r="M769">
        <f t="shared" si="532"/>
        <v>111.45450000000001</v>
      </c>
      <c r="N769">
        <f t="shared" si="532"/>
        <v>148.5736</v>
      </c>
      <c r="O769">
        <f t="shared" si="532"/>
        <v>96.474899999999991</v>
      </c>
      <c r="P769">
        <f t="shared" si="532"/>
        <v>66.830399999999997</v>
      </c>
      <c r="Q769">
        <f t="shared" si="532"/>
        <v>102.03569999999999</v>
      </c>
      <c r="R769">
        <f t="shared" si="532"/>
        <v>55.439700000000002</v>
      </c>
      <c r="S769">
        <f t="shared" si="532"/>
        <v>103.376</v>
      </c>
      <c r="T769">
        <f t="shared" si="532"/>
        <v>75.4452</v>
      </c>
      <c r="U769">
        <f t="shared" si="532"/>
        <v>132.4914</v>
      </c>
      <c r="V769">
        <f t="shared" si="532"/>
        <v>131.976</v>
      </c>
      <c r="W769">
        <f t="shared" si="532"/>
        <v>217.36479999999997</v>
      </c>
      <c r="Y769" s="17">
        <f t="shared" si="520"/>
        <v>2567.6993364795912</v>
      </c>
      <c r="Z769">
        <f t="shared" si="521"/>
        <v>473.85167513685042</v>
      </c>
    </row>
    <row r="770" spans="1:26" x14ac:dyDescent="0.25">
      <c r="A770" t="s">
        <v>55</v>
      </c>
      <c r="D770">
        <f t="shared" ref="D770:W770" si="533">D86*D230</f>
        <v>286.98109999999997</v>
      </c>
      <c r="E770">
        <f t="shared" si="533"/>
        <v>292.49290000000002</v>
      </c>
      <c r="F770">
        <f t="shared" si="533"/>
        <v>205.48080000000002</v>
      </c>
      <c r="G770">
        <f t="shared" si="533"/>
        <v>266.89149999999995</v>
      </c>
      <c r="H770">
        <f t="shared" si="533"/>
        <v>272.27200000000005</v>
      </c>
      <c r="I770">
        <f t="shared" si="533"/>
        <v>277.83359999999999</v>
      </c>
      <c r="J770">
        <f t="shared" si="533"/>
        <v>142.08479999999997</v>
      </c>
      <c r="K770">
        <f t="shared" si="533"/>
        <v>197.202</v>
      </c>
      <c r="L770">
        <f t="shared" si="533"/>
        <v>168.23799999999997</v>
      </c>
      <c r="M770">
        <f t="shared" si="533"/>
        <v>185.9</v>
      </c>
      <c r="N770">
        <f t="shared" si="533"/>
        <v>166.91020408163266</v>
      </c>
      <c r="O770">
        <f t="shared" si="533"/>
        <v>62.333061224489811</v>
      </c>
      <c r="P770">
        <f t="shared" si="533"/>
        <v>97.935918367346915</v>
      </c>
      <c r="Q770">
        <f t="shared" si="533"/>
        <v>176.14285714285717</v>
      </c>
      <c r="R770">
        <f t="shared" si="533"/>
        <v>101.61224489795917</v>
      </c>
      <c r="S770">
        <f t="shared" si="533"/>
        <v>169.89387755102041</v>
      </c>
      <c r="T770">
        <f t="shared" si="533"/>
        <v>126.13959183673471</v>
      </c>
      <c r="U770">
        <f t="shared" si="533"/>
        <v>101.47999999999999</v>
      </c>
      <c r="V770">
        <f t="shared" si="533"/>
        <v>161.60938775510203</v>
      </c>
      <c r="W770">
        <f t="shared" si="533"/>
        <v>162.03306122448978</v>
      </c>
      <c r="Y770" s="17">
        <f t="shared" si="520"/>
        <v>3621.4669040816334</v>
      </c>
      <c r="Z770">
        <f t="shared" si="521"/>
        <v>732.95208243450224</v>
      </c>
    </row>
    <row r="771" spans="1:26" x14ac:dyDescent="0.25">
      <c r="A771" t="s">
        <v>56</v>
      </c>
      <c r="D771">
        <f t="shared" ref="D771:W771" si="534">D87*D231</f>
        <v>369.30285714285714</v>
      </c>
      <c r="E771">
        <f t="shared" si="534"/>
        <v>225.61897959183671</v>
      </c>
      <c r="F771">
        <f t="shared" si="534"/>
        <v>228.04897959183674</v>
      </c>
      <c r="G771">
        <f t="shared" si="534"/>
        <v>180.80857142857144</v>
      </c>
      <c r="H771">
        <f t="shared" si="534"/>
        <v>111.14714285714284</v>
      </c>
      <c r="I771">
        <f t="shared" si="534"/>
        <v>114.33142857142856</v>
      </c>
      <c r="J771">
        <f t="shared" si="534"/>
        <v>129.91918367346938</v>
      </c>
      <c r="K771">
        <f t="shared" si="534"/>
        <v>141.55102040816328</v>
      </c>
      <c r="L771">
        <f t="shared" si="534"/>
        <v>108.79031250000001</v>
      </c>
      <c r="M771">
        <f t="shared" si="534"/>
        <v>110.1183673469388</v>
      </c>
      <c r="N771">
        <f t="shared" si="534"/>
        <v>73.247142857142848</v>
      </c>
      <c r="O771">
        <f t="shared" si="534"/>
        <v>149.85306122448981</v>
      </c>
      <c r="P771">
        <f t="shared" si="534"/>
        <v>130.75714285714284</v>
      </c>
      <c r="Q771">
        <f t="shared" si="534"/>
        <v>79.050204081632643</v>
      </c>
      <c r="R771">
        <f t="shared" si="534"/>
        <v>202.63673469387754</v>
      </c>
      <c r="S771">
        <f t="shared" si="534"/>
        <v>265.38163265306122</v>
      </c>
      <c r="T771">
        <f t="shared" si="534"/>
        <v>190.14326530612246</v>
      </c>
      <c r="U771">
        <f t="shared" si="534"/>
        <v>146.70857142857145</v>
      </c>
      <c r="V771">
        <f t="shared" si="534"/>
        <v>180.39326530612249</v>
      </c>
      <c r="W771">
        <f t="shared" si="534"/>
        <v>130.79591836734696</v>
      </c>
      <c r="Y771" s="17">
        <f t="shared" si="520"/>
        <v>3268.6037818877553</v>
      </c>
      <c r="Z771">
        <f t="shared" si="521"/>
        <v>556.91056801437776</v>
      </c>
    </row>
    <row r="772" spans="1:26" x14ac:dyDescent="0.25">
      <c r="A772" t="s">
        <v>57</v>
      </c>
      <c r="D772">
        <f t="shared" ref="D772:W772" si="535">D88*D232</f>
        <v>213.53469387755101</v>
      </c>
      <c r="E772">
        <f t="shared" si="535"/>
        <v>168.41755102040818</v>
      </c>
      <c r="F772">
        <f t="shared" si="535"/>
        <v>130.49306122448982</v>
      </c>
      <c r="G772">
        <f t="shared" si="535"/>
        <v>148.93040816326527</v>
      </c>
      <c r="H772">
        <f t="shared" si="535"/>
        <v>112.95673469387756</v>
      </c>
      <c r="I772">
        <f t="shared" si="535"/>
        <v>115.65714285714286</v>
      </c>
      <c r="J772">
        <f t="shared" si="535"/>
        <v>110.47142857142859</v>
      </c>
      <c r="K772">
        <f t="shared" si="535"/>
        <v>96.403673469387755</v>
      </c>
      <c r="L772">
        <f t="shared" si="535"/>
        <v>121.55312500000001</v>
      </c>
      <c r="M772">
        <f t="shared" si="535"/>
        <v>111.62653061224489</v>
      </c>
      <c r="N772">
        <f t="shared" si="535"/>
        <v>111.81183673469387</v>
      </c>
      <c r="O772">
        <f t="shared" si="535"/>
        <v>100.28163265306124</v>
      </c>
      <c r="P772">
        <f t="shared" si="535"/>
        <v>145.98571428571427</v>
      </c>
      <c r="Q772">
        <f t="shared" si="535"/>
        <v>115.66367346938777</v>
      </c>
      <c r="R772">
        <f t="shared" si="535"/>
        <v>84.619183673469394</v>
      </c>
      <c r="S772">
        <f t="shared" si="535"/>
        <v>45.751224489795916</v>
      </c>
      <c r="T772">
        <f t="shared" si="535"/>
        <v>131.13</v>
      </c>
      <c r="U772">
        <f t="shared" si="535"/>
        <v>97.570000000000007</v>
      </c>
      <c r="V772">
        <f t="shared" si="535"/>
        <v>95.151020408163276</v>
      </c>
      <c r="W772">
        <f t="shared" si="535"/>
        <v>156.15918367346936</v>
      </c>
      <c r="Y772" s="17">
        <f t="shared" si="520"/>
        <v>2414.1678188775509</v>
      </c>
      <c r="Z772">
        <f t="shared" si="521"/>
        <v>424.26211695672259</v>
      </c>
    </row>
    <row r="773" spans="1:26" x14ac:dyDescent="0.25">
      <c r="A773" t="s">
        <v>58</v>
      </c>
      <c r="D773">
        <f t="shared" ref="D773:W773" si="536">D89*D233</f>
        <v>217.03897959183672</v>
      </c>
      <c r="E773">
        <f t="shared" si="536"/>
        <v>203.94285714285715</v>
      </c>
      <c r="F773">
        <f t="shared" si="536"/>
        <v>210.69387755102042</v>
      </c>
      <c r="G773">
        <f t="shared" si="536"/>
        <v>139.10857142857142</v>
      </c>
      <c r="H773">
        <f t="shared" si="536"/>
        <v>150.02448979591838</v>
      </c>
      <c r="I773">
        <f t="shared" si="536"/>
        <v>87.849795918367334</v>
      </c>
      <c r="J773">
        <f t="shared" si="536"/>
        <v>115.08571428571427</v>
      </c>
      <c r="K773">
        <f t="shared" si="536"/>
        <v>137.55918367346939</v>
      </c>
      <c r="L773">
        <f t="shared" si="536"/>
        <v>108.18093749999998</v>
      </c>
      <c r="M773">
        <f t="shared" si="536"/>
        <v>0</v>
      </c>
      <c r="N773">
        <f t="shared" si="536"/>
        <v>89.439183673469387</v>
      </c>
      <c r="O773">
        <f t="shared" si="536"/>
        <v>76.285714285714306</v>
      </c>
      <c r="P773">
        <f t="shared" si="536"/>
        <v>129.72142857142856</v>
      </c>
      <c r="Q773">
        <f t="shared" si="536"/>
        <v>48.216734693877555</v>
      </c>
      <c r="R773">
        <f t="shared" si="536"/>
        <v>94.664081632653051</v>
      </c>
      <c r="S773">
        <f t="shared" si="536"/>
        <v>53.03142857142857</v>
      </c>
      <c r="T773">
        <f t="shared" si="536"/>
        <v>90.279183673469376</v>
      </c>
      <c r="U773">
        <f t="shared" si="536"/>
        <v>146.86040816326533</v>
      </c>
      <c r="V773">
        <f t="shared" si="536"/>
        <v>141.27142857142857</v>
      </c>
      <c r="W773">
        <f t="shared" si="536"/>
        <v>104.00448979591835</v>
      </c>
      <c r="Y773" s="17">
        <f t="shared" si="520"/>
        <v>2343.2584885204078</v>
      </c>
      <c r="Z773">
        <f t="shared" si="521"/>
        <v>460.8024191255011</v>
      </c>
    </row>
    <row r="774" spans="1:26" x14ac:dyDescent="0.25">
      <c r="A774" t="s">
        <v>59</v>
      </c>
      <c r="D774">
        <f t="shared" ref="D774:W774" si="537">D90*D234</f>
        <v>180.06632653061226</v>
      </c>
      <c r="E774">
        <f t="shared" si="537"/>
        <v>223.25510204081627</v>
      </c>
      <c r="F774">
        <f t="shared" si="537"/>
        <v>157.27857142857147</v>
      </c>
      <c r="G774">
        <f t="shared" si="537"/>
        <v>140.75816326530614</v>
      </c>
      <c r="H774">
        <f t="shared" si="537"/>
        <v>159.58285714285716</v>
      </c>
      <c r="I774">
        <f t="shared" si="537"/>
        <v>167.0204081632653</v>
      </c>
      <c r="J774">
        <f t="shared" si="537"/>
        <v>119.22775510204085</v>
      </c>
      <c r="K774">
        <f t="shared" si="537"/>
        <v>137.98571428571429</v>
      </c>
      <c r="L774">
        <f t="shared" si="537"/>
        <v>124.42857142857143</v>
      </c>
      <c r="M774">
        <f t="shared" si="537"/>
        <v>104.84571428571429</v>
      </c>
      <c r="N774">
        <f t="shared" si="537"/>
        <v>123.00734693877548</v>
      </c>
      <c r="O774">
        <f t="shared" si="537"/>
        <v>103.65469387755104</v>
      </c>
      <c r="P774">
        <f t="shared" si="537"/>
        <v>104.11591836734692</v>
      </c>
      <c r="Q774">
        <f t="shared" si="537"/>
        <v>81.531428571428563</v>
      </c>
      <c r="R774">
        <f t="shared" si="537"/>
        <v>96.597959183673439</v>
      </c>
      <c r="S774">
        <f t="shared" si="537"/>
        <v>210.21428571428572</v>
      </c>
      <c r="T774">
        <f t="shared" si="537"/>
        <v>223.56122448979593</v>
      </c>
      <c r="U774">
        <f t="shared" si="537"/>
        <v>149.84183673469386</v>
      </c>
      <c r="V774">
        <f t="shared" si="537"/>
        <v>147.74</v>
      </c>
      <c r="W774">
        <f t="shared" si="537"/>
        <v>179.61224489795916</v>
      </c>
      <c r="Y774" s="17">
        <f t="shared" si="520"/>
        <v>2934.3261224489802</v>
      </c>
      <c r="Z774">
        <f t="shared" si="521"/>
        <v>508.58438703774658</v>
      </c>
    </row>
    <row r="775" spans="1:26" x14ac:dyDescent="0.25">
      <c r="A775" t="s">
        <v>60</v>
      </c>
      <c r="D775">
        <f t="shared" ref="D775:W775" si="538">D91*D235</f>
        <v>142.87530612244896</v>
      </c>
      <c r="E775">
        <f t="shared" si="538"/>
        <v>193.78938775510204</v>
      </c>
      <c r="F775">
        <f t="shared" si="538"/>
        <v>143.77346938775511</v>
      </c>
      <c r="G775">
        <f t="shared" si="538"/>
        <v>120.23081632653061</v>
      </c>
      <c r="H775">
        <f t="shared" si="538"/>
        <v>82.613877551020408</v>
      </c>
      <c r="I775">
        <f t="shared" si="538"/>
        <v>131.50204081632654</v>
      </c>
      <c r="J775">
        <f t="shared" si="538"/>
        <v>127.75142857142856</v>
      </c>
      <c r="K775">
        <f t="shared" si="538"/>
        <v>155.04</v>
      </c>
      <c r="L775">
        <f t="shared" si="538"/>
        <v>101.77874999999999</v>
      </c>
      <c r="M775">
        <f t="shared" si="538"/>
        <v>129.06</v>
      </c>
      <c r="N775">
        <f t="shared" si="538"/>
        <v>130.96428571428572</v>
      </c>
      <c r="O775">
        <f t="shared" si="538"/>
        <v>94.285714285714278</v>
      </c>
      <c r="P775">
        <f t="shared" si="538"/>
        <v>108.5969387755102</v>
      </c>
      <c r="Q775">
        <f t="shared" si="538"/>
        <v>157.96122448979591</v>
      </c>
      <c r="R775">
        <f t="shared" si="538"/>
        <v>133.14122448979592</v>
      </c>
      <c r="S775">
        <f t="shared" si="538"/>
        <v>128.47530612244893</v>
      </c>
      <c r="T775">
        <f t="shared" si="538"/>
        <v>175.92326530612246</v>
      </c>
      <c r="U775">
        <f t="shared" si="538"/>
        <v>168.48061224489797</v>
      </c>
      <c r="V775">
        <f t="shared" si="538"/>
        <v>64.469387755102048</v>
      </c>
      <c r="W775">
        <f t="shared" si="538"/>
        <v>133.30938775510202</v>
      </c>
      <c r="Y775" s="17">
        <f t="shared" si="520"/>
        <v>2624.0224234693878</v>
      </c>
      <c r="Z775">
        <f t="shared" si="521"/>
        <v>455.95507136036144</v>
      </c>
    </row>
    <row r="776" spans="1:26" x14ac:dyDescent="0.25">
      <c r="A776" t="s">
        <v>61</v>
      </c>
      <c r="D776">
        <f t="shared" ref="D776:W776" si="539">D92*D236</f>
        <v>309.02857142857141</v>
      </c>
      <c r="E776">
        <f t="shared" si="539"/>
        <v>253.28571428571428</v>
      </c>
      <c r="F776">
        <f t="shared" si="539"/>
        <v>176.75632653061223</v>
      </c>
      <c r="G776">
        <f t="shared" si="539"/>
        <v>259.92040816326528</v>
      </c>
      <c r="H776">
        <f t="shared" si="539"/>
        <v>187.19428571428571</v>
      </c>
      <c r="I776">
        <f t="shared" si="539"/>
        <v>147.01714285714286</v>
      </c>
      <c r="J776">
        <f t="shared" si="539"/>
        <v>168.52897959183673</v>
      </c>
      <c r="K776">
        <f t="shared" si="539"/>
        <v>130.4061224489796</v>
      </c>
      <c r="L776">
        <f t="shared" si="539"/>
        <v>98.961562499999985</v>
      </c>
      <c r="M776">
        <f t="shared" si="539"/>
        <v>336.51428571428568</v>
      </c>
      <c r="N776">
        <f t="shared" si="539"/>
        <v>361.58571428571429</v>
      </c>
      <c r="O776">
        <f t="shared" si="539"/>
        <v>389.37918367346936</v>
      </c>
      <c r="P776">
        <f t="shared" si="539"/>
        <v>295.75306122448984</v>
      </c>
      <c r="Q776">
        <f t="shared" si="539"/>
        <v>336.74938775510196</v>
      </c>
      <c r="R776">
        <f t="shared" si="539"/>
        <v>290.35897959183683</v>
      </c>
      <c r="S776">
        <f t="shared" si="539"/>
        <v>480.52163265306115</v>
      </c>
      <c r="T776">
        <f t="shared" si="539"/>
        <v>490.42632653061224</v>
      </c>
      <c r="U776">
        <f t="shared" si="539"/>
        <v>532.83244897959185</v>
      </c>
      <c r="V776">
        <f t="shared" si="539"/>
        <v>567.52122448979594</v>
      </c>
      <c r="W776">
        <f t="shared" si="539"/>
        <v>727.02122448979583</v>
      </c>
      <c r="Y776" s="17">
        <f t="shared" si="520"/>
        <v>6539.7625829081626</v>
      </c>
      <c r="Z776">
        <f t="shared" si="521"/>
        <v>696.15187734345079</v>
      </c>
    </row>
    <row r="777" spans="1:26" x14ac:dyDescent="0.25">
      <c r="A777" t="s">
        <v>62</v>
      </c>
      <c r="D777">
        <f t="shared" ref="D777:W777" si="540">D93*D237</f>
        <v>742.2171428571429</v>
      </c>
      <c r="E777">
        <f t="shared" si="540"/>
        <v>733.86000000000013</v>
      </c>
      <c r="F777">
        <f t="shared" si="540"/>
        <v>790.29795918367347</v>
      </c>
      <c r="G777">
        <f t="shared" si="540"/>
        <v>626.32653061224494</v>
      </c>
      <c r="H777">
        <f t="shared" si="540"/>
        <v>567.21755102040811</v>
      </c>
      <c r="I777">
        <f t="shared" si="540"/>
        <v>502.59999999999997</v>
      </c>
      <c r="J777">
        <f t="shared" si="540"/>
        <v>435.37408163265309</v>
      </c>
      <c r="K777">
        <f t="shared" si="540"/>
        <v>385.49816326530618</v>
      </c>
      <c r="L777">
        <f t="shared" si="540"/>
        <v>524.57906250000008</v>
      </c>
      <c r="M777">
        <f t="shared" si="540"/>
        <v>112.34314285714285</v>
      </c>
      <c r="N777">
        <f t="shared" si="540"/>
        <v>95.467983673469405</v>
      </c>
      <c r="O777">
        <f t="shared" si="540"/>
        <v>84.901208163265295</v>
      </c>
      <c r="P777">
        <f t="shared" si="540"/>
        <v>107.68726938775508</v>
      </c>
      <c r="Q777">
        <f t="shared" si="540"/>
        <v>96.658359183673468</v>
      </c>
      <c r="R777">
        <f t="shared" si="540"/>
        <v>126.98258571428572</v>
      </c>
      <c r="S777">
        <f t="shared" si="540"/>
        <v>132.59471836734696</v>
      </c>
      <c r="T777">
        <f t="shared" si="540"/>
        <v>74.089983673469376</v>
      </c>
      <c r="U777">
        <f t="shared" si="540"/>
        <v>147.99934285714284</v>
      </c>
      <c r="V777">
        <f t="shared" si="540"/>
        <v>153.91758367346941</v>
      </c>
      <c r="W777">
        <f t="shared" si="540"/>
        <v>158.69194285714286</v>
      </c>
      <c r="Y777" s="17">
        <f t="shared" si="520"/>
        <v>6599.3046114795916</v>
      </c>
      <c r="Z777">
        <f t="shared" si="521"/>
        <v>1714.6951414799676</v>
      </c>
    </row>
    <row r="778" spans="1:26" x14ac:dyDescent="0.25">
      <c r="A778" t="s">
        <v>63</v>
      </c>
      <c r="D778">
        <f t="shared" ref="D778:W778" si="541">D94*D238</f>
        <v>206.3474081632653</v>
      </c>
      <c r="E778">
        <f t="shared" si="541"/>
        <v>171.72821632653063</v>
      </c>
      <c r="F778">
        <f t="shared" si="541"/>
        <v>173.91039183673468</v>
      </c>
      <c r="G778">
        <f t="shared" si="541"/>
        <v>174.8917857142857</v>
      </c>
      <c r="H778">
        <f t="shared" si="541"/>
        <v>148.05088163265305</v>
      </c>
      <c r="I778">
        <f t="shared" si="541"/>
        <v>151.11334285714287</v>
      </c>
      <c r="J778">
        <f t="shared" si="541"/>
        <v>102.20520816326531</v>
      </c>
      <c r="K778">
        <f t="shared" si="541"/>
        <v>107.77867346938774</v>
      </c>
      <c r="L778">
        <f t="shared" si="541"/>
        <v>92.483625000000004</v>
      </c>
      <c r="M778">
        <f t="shared" si="541"/>
        <v>112.32489795918367</v>
      </c>
      <c r="N778">
        <f t="shared" si="541"/>
        <v>93.548571428571435</v>
      </c>
      <c r="O778">
        <f t="shared" si="541"/>
        <v>142.79</v>
      </c>
      <c r="P778">
        <f t="shared" si="541"/>
        <v>61.162040816326517</v>
      </c>
      <c r="Q778">
        <f t="shared" si="541"/>
        <v>116.56163265306125</v>
      </c>
      <c r="R778">
        <f t="shared" si="541"/>
        <v>111.80040816326532</v>
      </c>
      <c r="S778">
        <f t="shared" si="541"/>
        <v>155.57142857142856</v>
      </c>
      <c r="T778">
        <f t="shared" si="541"/>
        <v>185.61224489795919</v>
      </c>
      <c r="U778">
        <f t="shared" si="541"/>
        <v>163.03428571428572</v>
      </c>
      <c r="V778">
        <f t="shared" si="541"/>
        <v>178.63591836734699</v>
      </c>
      <c r="W778">
        <f t="shared" si="541"/>
        <v>211.27673469387756</v>
      </c>
      <c r="Y778" s="17">
        <f t="shared" si="520"/>
        <v>2860.8276964285715</v>
      </c>
      <c r="Z778">
        <f t="shared" si="521"/>
        <v>479.51462528863783</v>
      </c>
    </row>
    <row r="779" spans="1:26" x14ac:dyDescent="0.25">
      <c r="A779" t="s">
        <v>64</v>
      </c>
      <c r="D779">
        <f t="shared" ref="D779:W779" si="542">D95*D239</f>
        <v>251.25612244897957</v>
      </c>
      <c r="E779">
        <f t="shared" si="542"/>
        <v>276.1142857142857</v>
      </c>
      <c r="F779">
        <f t="shared" si="542"/>
        <v>231.36</v>
      </c>
      <c r="G779">
        <f t="shared" si="542"/>
        <v>237.8020408163265</v>
      </c>
      <c r="H779">
        <f t="shared" si="542"/>
        <v>163.95918367346937</v>
      </c>
      <c r="I779">
        <f t="shared" si="542"/>
        <v>219.54285714285709</v>
      </c>
      <c r="J779">
        <f t="shared" si="542"/>
        <v>143.52612244897961</v>
      </c>
      <c r="K779">
        <f t="shared" si="542"/>
        <v>151.3281632653061</v>
      </c>
      <c r="L779">
        <f t="shared" si="542"/>
        <v>176.90406249999998</v>
      </c>
      <c r="M779">
        <f t="shared" si="542"/>
        <v>131.73061224489794</v>
      </c>
      <c r="N779">
        <f t="shared" si="542"/>
        <v>105.36979591836734</v>
      </c>
      <c r="O779">
        <f t="shared" si="542"/>
        <v>87.307142857142864</v>
      </c>
      <c r="P779">
        <f t="shared" si="542"/>
        <v>147.48979591836735</v>
      </c>
      <c r="Q779">
        <f t="shared" si="542"/>
        <v>155.15224489795918</v>
      </c>
      <c r="R779">
        <f t="shared" si="542"/>
        <v>201.96</v>
      </c>
      <c r="S779">
        <f t="shared" si="542"/>
        <v>125.07755102040815</v>
      </c>
      <c r="T779">
        <f t="shared" si="542"/>
        <v>162.53061224489795</v>
      </c>
      <c r="U779">
        <f t="shared" si="542"/>
        <v>164.52959183673471</v>
      </c>
      <c r="V779">
        <f t="shared" si="542"/>
        <v>148.64448979591836</v>
      </c>
      <c r="W779">
        <f t="shared" si="542"/>
        <v>155.25714285714287</v>
      </c>
      <c r="Y779" s="17">
        <f t="shared" si="520"/>
        <v>3436.8418176020396</v>
      </c>
      <c r="Z779">
        <f t="shared" si="521"/>
        <v>646.48648455965849</v>
      </c>
    </row>
    <row r="780" spans="1:26" x14ac:dyDescent="0.25">
      <c r="A780" t="s">
        <v>65</v>
      </c>
      <c r="D780">
        <f t="shared" ref="D780:W780" si="543">D96*D240</f>
        <v>310.70775510204078</v>
      </c>
      <c r="E780">
        <f t="shared" si="543"/>
        <v>267.09469387755098</v>
      </c>
      <c r="F780">
        <f t="shared" si="543"/>
        <v>157.52938775510205</v>
      </c>
      <c r="G780">
        <f t="shared" si="543"/>
        <v>90.976734693877532</v>
      </c>
      <c r="H780">
        <f t="shared" si="543"/>
        <v>146.9265306122449</v>
      </c>
      <c r="I780">
        <f t="shared" si="543"/>
        <v>185.26530612244895</v>
      </c>
      <c r="J780">
        <f t="shared" si="543"/>
        <v>136.87755102040813</v>
      </c>
      <c r="K780">
        <f t="shared" si="543"/>
        <v>154.07020408163262</v>
      </c>
      <c r="L780">
        <f t="shared" si="543"/>
        <v>136.125</v>
      </c>
      <c r="M780">
        <f t="shared" si="543"/>
        <v>159.71428571428567</v>
      </c>
      <c r="N780">
        <f t="shared" si="543"/>
        <v>136.92857142857144</v>
      </c>
      <c r="O780">
        <f t="shared" si="543"/>
        <v>123.05714285714285</v>
      </c>
      <c r="P780">
        <f t="shared" si="543"/>
        <v>49.351836734693883</v>
      </c>
      <c r="Q780">
        <f t="shared" si="543"/>
        <v>115.04816326530613</v>
      </c>
      <c r="R780">
        <f t="shared" si="543"/>
        <v>69.304285714285697</v>
      </c>
      <c r="S780">
        <f t="shared" si="543"/>
        <v>85.144081632653069</v>
      </c>
      <c r="T780">
        <f t="shared" si="543"/>
        <v>82.668571428571425</v>
      </c>
      <c r="U780">
        <f t="shared" si="543"/>
        <v>63.986530612244898</v>
      </c>
      <c r="V780">
        <f t="shared" si="543"/>
        <v>144.4</v>
      </c>
      <c r="W780">
        <f t="shared" si="543"/>
        <v>198.269387755102</v>
      </c>
      <c r="Y780" s="17">
        <f t="shared" si="520"/>
        <v>2813.4460204081629</v>
      </c>
      <c r="Z780">
        <f t="shared" si="521"/>
        <v>568.81512404654234</v>
      </c>
    </row>
    <row r="781" spans="1:26" x14ac:dyDescent="0.25">
      <c r="A781" t="s">
        <v>66</v>
      </c>
      <c r="D781">
        <f t="shared" ref="D781:W781" si="544">D97*D241</f>
        <v>200.1514285714286</v>
      </c>
      <c r="E781">
        <f t="shared" si="544"/>
        <v>166.47612244897957</v>
      </c>
      <c r="F781">
        <f t="shared" si="544"/>
        <v>156.9232653061224</v>
      </c>
      <c r="G781">
        <f t="shared" si="544"/>
        <v>189.269387755102</v>
      </c>
      <c r="H781">
        <f t="shared" si="544"/>
        <v>170.24428571428572</v>
      </c>
      <c r="I781">
        <f t="shared" si="544"/>
        <v>197.86285714285711</v>
      </c>
      <c r="J781">
        <f t="shared" si="544"/>
        <v>238.65224489795918</v>
      </c>
      <c r="K781">
        <f t="shared" si="544"/>
        <v>217.28571428571428</v>
      </c>
      <c r="L781">
        <f t="shared" si="544"/>
        <v>101.21390624999999</v>
      </c>
      <c r="M781">
        <f t="shared" si="544"/>
        <v>129.95489795918365</v>
      </c>
      <c r="N781">
        <f t="shared" si="544"/>
        <v>211.69387755102036</v>
      </c>
      <c r="O781">
        <f t="shared" si="544"/>
        <v>242.83265306122448</v>
      </c>
      <c r="P781">
        <f t="shared" si="544"/>
        <v>148.31428571428572</v>
      </c>
      <c r="Q781">
        <f t="shared" si="544"/>
        <v>99.475918367346907</v>
      </c>
      <c r="R781">
        <f t="shared" si="544"/>
        <v>109.58795918367346</v>
      </c>
      <c r="S781">
        <f t="shared" si="544"/>
        <v>140.75102040816327</v>
      </c>
      <c r="T781">
        <f t="shared" si="544"/>
        <v>172.16326530612244</v>
      </c>
      <c r="U781">
        <f t="shared" si="544"/>
        <v>187.81714285714284</v>
      </c>
      <c r="V781">
        <f t="shared" si="544"/>
        <v>161.39469387755102</v>
      </c>
      <c r="W781">
        <f t="shared" si="544"/>
        <v>164.40816326530609</v>
      </c>
      <c r="Y781" s="17">
        <f t="shared" si="520"/>
        <v>3406.4730899234687</v>
      </c>
      <c r="Z781">
        <f t="shared" si="521"/>
        <v>604.43494176251158</v>
      </c>
    </row>
    <row r="782" spans="1:26" x14ac:dyDescent="0.25">
      <c r="A782" t="s">
        <v>67</v>
      </c>
      <c r="D782">
        <f t="shared" ref="D782:W782" si="545">D98*D242</f>
        <v>165.79755102040818</v>
      </c>
      <c r="E782">
        <f t="shared" si="545"/>
        <v>245.7234693877551</v>
      </c>
      <c r="F782">
        <f t="shared" si="545"/>
        <v>306.14122448979595</v>
      </c>
      <c r="G782">
        <f t="shared" si="545"/>
        <v>168.88285714285709</v>
      </c>
      <c r="H782">
        <f t="shared" si="545"/>
        <v>147.89387755102041</v>
      </c>
      <c r="I782">
        <f t="shared" si="545"/>
        <v>151.92448979591839</v>
      </c>
      <c r="J782">
        <f t="shared" si="545"/>
        <v>230.3748979591837</v>
      </c>
      <c r="K782">
        <f t="shared" si="545"/>
        <v>258.45428571428567</v>
      </c>
      <c r="L782">
        <f t="shared" si="545"/>
        <v>170.16530612244898</v>
      </c>
      <c r="M782">
        <f t="shared" si="545"/>
        <v>144.64448979591836</v>
      </c>
      <c r="N782">
        <f t="shared" si="545"/>
        <v>134.02938775510202</v>
      </c>
      <c r="O782">
        <f t="shared" si="545"/>
        <v>124.64081632653064</v>
      </c>
      <c r="P782">
        <f t="shared" si="545"/>
        <v>124.62571428571427</v>
      </c>
      <c r="Q782">
        <f t="shared" si="545"/>
        <v>157.29877551020411</v>
      </c>
      <c r="R782">
        <f t="shared" si="545"/>
        <v>195.6742857142857</v>
      </c>
      <c r="S782">
        <f t="shared" si="545"/>
        <v>114.24979591836734</v>
      </c>
      <c r="T782">
        <f t="shared" si="545"/>
        <v>146.93897959183673</v>
      </c>
      <c r="U782">
        <f t="shared" si="545"/>
        <v>164.1477551020408</v>
      </c>
      <c r="V782">
        <f t="shared" si="545"/>
        <v>197.09999999999997</v>
      </c>
      <c r="W782">
        <f t="shared" si="545"/>
        <v>148.28571428571428</v>
      </c>
      <c r="Y782" s="17">
        <f t="shared" si="520"/>
        <v>3496.9936734693879</v>
      </c>
      <c r="Z782">
        <f t="shared" si="521"/>
        <v>666.2381422075623</v>
      </c>
    </row>
    <row r="783" spans="1:26" x14ac:dyDescent="0.25">
      <c r="A783" t="s">
        <v>68</v>
      </c>
      <c r="D783">
        <f t="shared" ref="D783:W783" si="546">D99*D243</f>
        <v>296.27142857142854</v>
      </c>
      <c r="E783">
        <f t="shared" si="546"/>
        <v>322.71938775510205</v>
      </c>
      <c r="F783">
        <f t="shared" si="546"/>
        <v>466.90612244897966</v>
      </c>
      <c r="G783">
        <f t="shared" si="546"/>
        <v>348.86040816326533</v>
      </c>
      <c r="H783">
        <f t="shared" si="546"/>
        <v>354.49040816326533</v>
      </c>
      <c r="I783">
        <f t="shared" si="546"/>
        <v>227.91081632653061</v>
      </c>
      <c r="J783">
        <f t="shared" si="546"/>
        <v>77.699999999999989</v>
      </c>
      <c r="K783">
        <f t="shared" si="546"/>
        <v>88.071224489795924</v>
      </c>
      <c r="L783">
        <f t="shared" si="546"/>
        <v>152.625</v>
      </c>
      <c r="M783">
        <f t="shared" si="546"/>
        <v>70.558163265306149</v>
      </c>
      <c r="N783">
        <f t="shared" si="546"/>
        <v>79.976326530612226</v>
      </c>
      <c r="O783">
        <f t="shared" si="546"/>
        <v>72.864693877551019</v>
      </c>
      <c r="P783">
        <f t="shared" si="546"/>
        <v>125.27142857142857</v>
      </c>
      <c r="Q783">
        <f t="shared" si="546"/>
        <v>133.39999999999998</v>
      </c>
      <c r="R783">
        <f t="shared" si="546"/>
        <v>161.05408163265304</v>
      </c>
      <c r="S783">
        <f t="shared" si="546"/>
        <v>177.75673469387758</v>
      </c>
      <c r="T783">
        <f t="shared" si="546"/>
        <v>123.7534693877551</v>
      </c>
      <c r="U783">
        <f t="shared" si="546"/>
        <v>158.72571428571428</v>
      </c>
      <c r="V783">
        <f t="shared" si="546"/>
        <v>124.01877551020409</v>
      </c>
      <c r="W783">
        <f t="shared" si="546"/>
        <v>130.38346938775507</v>
      </c>
      <c r="Y783" s="17">
        <f t="shared" si="520"/>
        <v>3693.317653061225</v>
      </c>
      <c r="Z783">
        <f t="shared" si="521"/>
        <v>772.06502376154424</v>
      </c>
    </row>
    <row r="784" spans="1:26" x14ac:dyDescent="0.25">
      <c r="A784" t="s">
        <v>69</v>
      </c>
      <c r="D784">
        <f t="shared" ref="D784:W784" si="547">D100*D244</f>
        <v>197.83836734693875</v>
      </c>
      <c r="E784">
        <f t="shared" si="547"/>
        <v>208.51122448979592</v>
      </c>
      <c r="F784">
        <f t="shared" si="547"/>
        <v>193.45959183673469</v>
      </c>
      <c r="G784">
        <f t="shared" si="547"/>
        <v>139.7657142857143</v>
      </c>
      <c r="H784">
        <f t="shared" si="547"/>
        <v>175.71428571428569</v>
      </c>
      <c r="I784">
        <f t="shared" si="547"/>
        <v>174.43714285714282</v>
      </c>
      <c r="J784">
        <f t="shared" si="547"/>
        <v>99.576530612244895</v>
      </c>
      <c r="K784">
        <f t="shared" si="547"/>
        <v>169.10693877551023</v>
      </c>
      <c r="L784">
        <f t="shared" si="547"/>
        <v>125.00015625</v>
      </c>
      <c r="M784">
        <f t="shared" si="547"/>
        <v>120.00964285714285</v>
      </c>
      <c r="N784">
        <f t="shared" si="547"/>
        <v>87.702142857142846</v>
      </c>
      <c r="O784">
        <f t="shared" si="547"/>
        <v>74.636928571428584</v>
      </c>
      <c r="P784">
        <f t="shared" si="547"/>
        <v>80.06514285714286</v>
      </c>
      <c r="Q784">
        <f t="shared" si="547"/>
        <v>96.725571428571428</v>
      </c>
      <c r="R784">
        <f t="shared" si="547"/>
        <v>54.707437500000005</v>
      </c>
      <c r="S784">
        <f t="shared" si="547"/>
        <v>100.56</v>
      </c>
      <c r="T784">
        <f t="shared" si="547"/>
        <v>114.85428571428571</v>
      </c>
      <c r="U784">
        <f t="shared" si="547"/>
        <v>125.9026530612245</v>
      </c>
      <c r="V784">
        <f t="shared" si="547"/>
        <v>92.511428571428567</v>
      </c>
      <c r="W784">
        <f t="shared" si="547"/>
        <v>123.06122448979592</v>
      </c>
      <c r="Y784" s="17">
        <f t="shared" si="520"/>
        <v>2554.1464100765306</v>
      </c>
      <c r="Z784">
        <f t="shared" si="521"/>
        <v>525.11886723519763</v>
      </c>
    </row>
    <row r="785" spans="1:26" x14ac:dyDescent="0.25">
      <c r="Y785" s="17"/>
    </row>
    <row r="786" spans="1:26" x14ac:dyDescent="0.25">
      <c r="A786" t="s">
        <v>70</v>
      </c>
      <c r="D786">
        <f t="shared" ref="D786:W786" si="548">D102*D246</f>
        <v>226.86938775510205</v>
      </c>
      <c r="E786">
        <f t="shared" si="548"/>
        <v>212.34673469387758</v>
      </c>
      <c r="F786">
        <f t="shared" si="548"/>
        <v>216.0840816326531</v>
      </c>
      <c r="G786">
        <f t="shared" si="548"/>
        <v>158.08122448979589</v>
      </c>
      <c r="H786">
        <f t="shared" si="548"/>
        <v>145.96591836734692</v>
      </c>
      <c r="I786">
        <f t="shared" si="548"/>
        <v>140.54663265306127</v>
      </c>
      <c r="J786">
        <f t="shared" si="548"/>
        <v>167.96071428571426</v>
      </c>
      <c r="K786">
        <f t="shared" si="548"/>
        <v>132.5695918367347</v>
      </c>
      <c r="L786">
        <f t="shared" si="548"/>
        <v>95.681953124999978</v>
      </c>
      <c r="M786">
        <f t="shared" si="548"/>
        <v>101.71163265306122</v>
      </c>
      <c r="N786">
        <f t="shared" si="548"/>
        <v>85.744285714285709</v>
      </c>
      <c r="O786">
        <f t="shared" si="548"/>
        <v>102.94489795918366</v>
      </c>
      <c r="P786">
        <f t="shared" si="548"/>
        <v>99.505714285714305</v>
      </c>
      <c r="Q786">
        <f t="shared" si="548"/>
        <v>174.02448979591833</v>
      </c>
      <c r="R786">
        <f t="shared" si="548"/>
        <v>166.77367346938775</v>
      </c>
      <c r="S786">
        <f t="shared" si="548"/>
        <v>158.26431948051948</v>
      </c>
      <c r="T786">
        <f t="shared" si="548"/>
        <v>184.83244897959185</v>
      </c>
      <c r="U786">
        <f t="shared" si="548"/>
        <v>124.75918367346937</v>
      </c>
      <c r="V786">
        <f t="shared" si="548"/>
        <v>152.53836734693877</v>
      </c>
      <c r="W786">
        <f t="shared" si="548"/>
        <v>190.75306122448981</v>
      </c>
      <c r="Y786" s="17">
        <f t="shared" si="520"/>
        <v>3037.9583134218465</v>
      </c>
      <c r="Z786">
        <f>SUMPRODUCT($D$790:$W$790,D786:W786)</f>
        <v>529.92364146830062</v>
      </c>
    </row>
    <row r="787" spans="1:26" x14ac:dyDescent="0.25">
      <c r="A787" t="s">
        <v>314</v>
      </c>
      <c r="D787">
        <f t="shared" ref="D787:W787" si="549">D103*D247</f>
        <v>302.72163265306114</v>
      </c>
      <c r="E787">
        <f t="shared" si="549"/>
        <v>292.63102040816324</v>
      </c>
      <c r="F787">
        <f t="shared" si="549"/>
        <v>209.55836734693875</v>
      </c>
      <c r="G787">
        <f t="shared" si="549"/>
        <v>188.22979591836736</v>
      </c>
      <c r="H787">
        <f t="shared" si="549"/>
        <v>235.4326530612245</v>
      </c>
      <c r="I787">
        <f t="shared" si="549"/>
        <v>172.57102040816324</v>
      </c>
      <c r="J787">
        <f t="shared" si="549"/>
        <v>123.05142857142859</v>
      </c>
      <c r="K787">
        <f t="shared" si="549"/>
        <v>107.32408163265309</v>
      </c>
      <c r="L787">
        <f t="shared" si="549"/>
        <v>155.62171874999999</v>
      </c>
      <c r="M787">
        <f t="shared" si="549"/>
        <v>173.66000000000003</v>
      </c>
      <c r="N787">
        <f t="shared" si="549"/>
        <v>136.31877551020409</v>
      </c>
      <c r="O787">
        <f t="shared" si="549"/>
        <v>105.12</v>
      </c>
      <c r="P787">
        <f t="shared" si="549"/>
        <v>248</v>
      </c>
      <c r="Q787">
        <f t="shared" si="549"/>
        <v>176.88</v>
      </c>
      <c r="R787">
        <f t="shared" si="549"/>
        <v>149.94</v>
      </c>
      <c r="S787">
        <f t="shared" si="549"/>
        <v>148.47999999999999</v>
      </c>
      <c r="T787">
        <f t="shared" si="549"/>
        <v>200.75102040816327</v>
      </c>
      <c r="U787">
        <f t="shared" si="549"/>
        <v>141.79265306122448</v>
      </c>
      <c r="V787">
        <f t="shared" si="549"/>
        <v>127.04326530612246</v>
      </c>
      <c r="W787">
        <f t="shared" si="549"/>
        <v>199.05959183673468</v>
      </c>
      <c r="Y787" s="17">
        <f t="shared" si="520"/>
        <v>3594.187024872449</v>
      </c>
      <c r="Z787">
        <f>SUMPRODUCT($D$790:$W$790,D787:W787)</f>
        <v>619.06287485613814</v>
      </c>
    </row>
    <row r="788" spans="1:26" x14ac:dyDescent="0.25">
      <c r="A788" t="s">
        <v>315</v>
      </c>
      <c r="D788">
        <f t="shared" ref="D788:W788" si="550">D104*D248</f>
        <v>301.97142857142859</v>
      </c>
      <c r="E788">
        <f t="shared" si="550"/>
        <v>263.98285714285709</v>
      </c>
      <c r="F788">
        <f t="shared" si="550"/>
        <v>454.224081632653</v>
      </c>
      <c r="G788">
        <f t="shared" si="550"/>
        <v>218.83469387755099</v>
      </c>
      <c r="H788">
        <f t="shared" si="550"/>
        <v>217.79999999999998</v>
      </c>
      <c r="I788">
        <f t="shared" si="550"/>
        <v>156.27551020408163</v>
      </c>
      <c r="J788">
        <f t="shared" si="550"/>
        <v>227.63755102040815</v>
      </c>
      <c r="K788">
        <f t="shared" si="550"/>
        <v>104.90612244897959</v>
      </c>
      <c r="L788">
        <f t="shared" si="550"/>
        <v>65.968906249999989</v>
      </c>
      <c r="M788">
        <f t="shared" si="550"/>
        <v>138.88</v>
      </c>
      <c r="N788">
        <f t="shared" si="550"/>
        <v>125.96000000000001</v>
      </c>
      <c r="O788">
        <f t="shared" si="550"/>
        <v>111.24000000000001</v>
      </c>
      <c r="P788">
        <f t="shared" si="550"/>
        <v>134.48990430839001</v>
      </c>
      <c r="Q788">
        <f t="shared" si="550"/>
        <v>144.22355454545453</v>
      </c>
      <c r="R788">
        <f t="shared" si="550"/>
        <v>155.8322915687487</v>
      </c>
      <c r="S788">
        <f t="shared" si="550"/>
        <v>163.01791719233151</v>
      </c>
      <c r="T788">
        <f t="shared" si="550"/>
        <v>220.86489795918362</v>
      </c>
      <c r="U788">
        <f t="shared" si="550"/>
        <v>167.37061224489793</v>
      </c>
      <c r="V788">
        <f t="shared" si="550"/>
        <v>188.85979591836735</v>
      </c>
      <c r="W788">
        <f t="shared" si="550"/>
        <v>211.86</v>
      </c>
      <c r="Y788" s="17">
        <f t="shared" si="520"/>
        <v>3774.2001248853326</v>
      </c>
      <c r="Z788">
        <f>SUMPRODUCT($D$790:$W$790,D788:W788)</f>
        <v>686.22555618142519</v>
      </c>
    </row>
    <row r="789" spans="1:26" ht="18.75" customHeight="1" x14ac:dyDescent="0.25">
      <c r="A789" t="s">
        <v>677</v>
      </c>
      <c r="D789">
        <f t="shared" ref="D789:W789" si="551">D105*D249</f>
        <v>248.81632653061226</v>
      </c>
      <c r="E789">
        <f t="shared" si="551"/>
        <v>209.49551020408165</v>
      </c>
      <c r="F789">
        <f t="shared" si="551"/>
        <v>220.00408163265305</v>
      </c>
      <c r="G789">
        <f t="shared" si="551"/>
        <v>255.27795918367349</v>
      </c>
      <c r="H789">
        <f t="shared" si="551"/>
        <v>183.73510204081632</v>
      </c>
      <c r="I789">
        <f t="shared" si="551"/>
        <v>134.71102040816325</v>
      </c>
      <c r="J789">
        <f t="shared" si="551"/>
        <v>92.952244897959162</v>
      </c>
      <c r="K789">
        <f t="shared" si="551"/>
        <v>61.924897959183681</v>
      </c>
      <c r="L789">
        <f t="shared" si="551"/>
        <v>71.774999999999991</v>
      </c>
      <c r="M789">
        <f t="shared" si="551"/>
        <v>126.9722448979592</v>
      </c>
      <c r="N789">
        <f t="shared" si="551"/>
        <v>118.39714285714288</v>
      </c>
      <c r="O789">
        <f t="shared" si="551"/>
        <v>36.914285714285718</v>
      </c>
      <c r="P789">
        <f t="shared" si="551"/>
        <v>61.134897959183661</v>
      </c>
      <c r="Q789">
        <f t="shared" si="551"/>
        <v>162.56102040816322</v>
      </c>
      <c r="R789">
        <f t="shared" si="551"/>
        <v>82.877551020408177</v>
      </c>
      <c r="S789">
        <f t="shared" si="551"/>
        <v>126.69387755102041</v>
      </c>
      <c r="T789">
        <f t="shared" si="551"/>
        <v>176.64923162234592</v>
      </c>
      <c r="U789">
        <f t="shared" si="551"/>
        <v>183.35321228612659</v>
      </c>
      <c r="V789">
        <f t="shared" si="551"/>
        <v>184.52831820243253</v>
      </c>
      <c r="W789">
        <f t="shared" si="551"/>
        <v>214.90541278086991</v>
      </c>
      <c r="Y789" s="17">
        <f t="shared" ref="Y789" si="552">SUM(D789:W789)</f>
        <v>2953.679338157081</v>
      </c>
      <c r="Z789">
        <f>SUMPRODUCT($D$790:$W$790,D789:W789)</f>
        <v>503.42700299274054</v>
      </c>
    </row>
    <row r="790" spans="1:26" x14ac:dyDescent="0.25">
      <c r="A790" s="2" t="s">
        <v>71</v>
      </c>
      <c r="D790" s="3">
        <f>CORREL($B$2:$B$28,D758:D784)</f>
        <v>0.25847511338334955</v>
      </c>
      <c r="E790" s="3">
        <f t="shared" ref="E790:W790" si="553">CORREL($B$2:$B$28,E758:E784)</f>
        <v>0.39881620834207054</v>
      </c>
      <c r="F790" s="3">
        <f t="shared" si="553"/>
        <v>0.32974732351442454</v>
      </c>
      <c r="G790" s="3">
        <f t="shared" si="553"/>
        <v>0.19992122345590185</v>
      </c>
      <c r="H790" s="3">
        <f t="shared" si="553"/>
        <v>0.28641653390869126</v>
      </c>
      <c r="I790" s="3">
        <f t="shared" si="553"/>
        <v>0.4116163478313169</v>
      </c>
      <c r="J790" s="3">
        <f t="shared" si="553"/>
        <v>0.25174116840482264</v>
      </c>
      <c r="K790" s="3">
        <f t="shared" si="553"/>
        <v>0.41141725410210539</v>
      </c>
      <c r="L790" s="3">
        <f t="shared" si="553"/>
        <v>0.31866251864396106</v>
      </c>
      <c r="M790" s="3">
        <f t="shared" si="553"/>
        <v>6.1709796356275985E-2</v>
      </c>
      <c r="N790" s="3">
        <f t="shared" si="553"/>
        <v>0.10183856860893122</v>
      </c>
      <c r="O790" s="3">
        <f t="shared" si="553"/>
        <v>0.17014595196911986</v>
      </c>
      <c r="P790" s="3">
        <f t="shared" si="553"/>
        <v>-9.5567449337142923E-2</v>
      </c>
      <c r="Q790" s="3">
        <f t="shared" si="553"/>
        <v>0.12421449914693412</v>
      </c>
      <c r="R790" s="3">
        <f t="shared" si="553"/>
        <v>2.6131463823318005E-2</v>
      </c>
      <c r="S790" s="3">
        <f t="shared" si="553"/>
        <v>-4.4717215789696696E-3</v>
      </c>
      <c r="T790" s="3">
        <f t="shared" si="553"/>
        <v>7.3089229272482278E-2</v>
      </c>
      <c r="U790" s="3">
        <f t="shared" si="553"/>
        <v>6.5070928072408066E-2</v>
      </c>
      <c r="V790" s="3">
        <f t="shared" si="553"/>
        <v>1.0325679645614057E-4</v>
      </c>
      <c r="W790" s="3">
        <f t="shared" si="553"/>
        <v>-6.8979637258616708E-2</v>
      </c>
    </row>
    <row r="793" spans="1:26" x14ac:dyDescent="0.25">
      <c r="D793" t="s">
        <v>250</v>
      </c>
      <c r="E793" t="s">
        <v>251</v>
      </c>
      <c r="F793" t="s">
        <v>252</v>
      </c>
      <c r="G793" t="s">
        <v>253</v>
      </c>
      <c r="H793" t="s">
        <v>254</v>
      </c>
      <c r="I793" t="s">
        <v>255</v>
      </c>
      <c r="J793" t="s">
        <v>256</v>
      </c>
      <c r="K793" t="s">
        <v>257</v>
      </c>
      <c r="L793" t="s">
        <v>362</v>
      </c>
      <c r="M793" t="s">
        <v>434</v>
      </c>
      <c r="N793" t="s">
        <v>435</v>
      </c>
      <c r="O793" t="s">
        <v>436</v>
      </c>
      <c r="P793" t="s">
        <v>541</v>
      </c>
      <c r="Q793" t="s">
        <v>542</v>
      </c>
      <c r="R793" t="s">
        <v>543</v>
      </c>
      <c r="S793" t="s">
        <v>544</v>
      </c>
      <c r="T793" t="s">
        <v>653</v>
      </c>
      <c r="U793" t="s">
        <v>654</v>
      </c>
      <c r="V793" t="s">
        <v>655</v>
      </c>
      <c r="W793" t="s">
        <v>656</v>
      </c>
      <c r="Y793" t="s">
        <v>258</v>
      </c>
      <c r="Z793" t="s">
        <v>259</v>
      </c>
    </row>
    <row r="794" spans="1:26" x14ac:dyDescent="0.25">
      <c r="A794" t="s">
        <v>43</v>
      </c>
      <c r="D794">
        <f t="shared" ref="D794:W794" si="554">D110*D146</f>
        <v>2188.028571428571</v>
      </c>
      <c r="E794">
        <f t="shared" si="554"/>
        <v>2150.5714285714289</v>
      </c>
      <c r="F794">
        <f t="shared" si="554"/>
        <v>2021.1428571428573</v>
      </c>
      <c r="G794">
        <f t="shared" si="554"/>
        <v>2758.1224489795918</v>
      </c>
      <c r="H794">
        <f t="shared" si="554"/>
        <v>2429.0816326530612</v>
      </c>
      <c r="I794">
        <f t="shared" si="554"/>
        <v>2235.6122448979595</v>
      </c>
      <c r="J794">
        <f t="shared" si="554"/>
        <v>3197.4285714285711</v>
      </c>
      <c r="K794">
        <f t="shared" si="554"/>
        <v>2601.3061224489793</v>
      </c>
      <c r="L794">
        <f t="shared" si="554"/>
        <v>3192.71875</v>
      </c>
      <c r="M794">
        <f t="shared" si="554"/>
        <v>2281.4693877551017</v>
      </c>
      <c r="N794">
        <f t="shared" si="554"/>
        <v>1704.8163265306123</v>
      </c>
      <c r="O794">
        <f t="shared" si="554"/>
        <v>2619.0612244897957</v>
      </c>
      <c r="P794">
        <f t="shared" si="554"/>
        <v>2284.2857142857142</v>
      </c>
      <c r="Q794">
        <f t="shared" si="554"/>
        <v>2520.7346938775509</v>
      </c>
      <c r="R794">
        <f t="shared" si="554"/>
        <v>2703.9183673469383</v>
      </c>
      <c r="S794">
        <f t="shared" si="554"/>
        <v>1936.1224489795918</v>
      </c>
      <c r="T794">
        <f t="shared" si="554"/>
        <v>1631.6326530612246</v>
      </c>
      <c r="U794">
        <f t="shared" si="554"/>
        <v>1130.408163265306</v>
      </c>
      <c r="V794">
        <f t="shared" si="554"/>
        <v>1739.7755102040815</v>
      </c>
      <c r="W794">
        <f t="shared" si="554"/>
        <v>1340.8571428571429</v>
      </c>
      <c r="Y794" s="17">
        <f t="shared" ref="Y794:Y824" si="555">SUM(D794:W794)</f>
        <v>44667.094260204089</v>
      </c>
      <c r="Z794">
        <f t="shared" ref="Z794:Z820" si="556">SUMPRODUCT($D$826:$W$826,D794:W794)</f>
        <v>7143.5113734416418</v>
      </c>
    </row>
    <row r="795" spans="1:26" x14ac:dyDescent="0.25">
      <c r="A795" t="s">
        <v>44</v>
      </c>
      <c r="D795">
        <f t="shared" ref="D795:W795" si="557">D111*D147</f>
        <v>1656.89</v>
      </c>
      <c r="E795">
        <f t="shared" si="557"/>
        <v>1620.9899999999998</v>
      </c>
      <c r="F795">
        <f t="shared" si="557"/>
        <v>1703.9099999999999</v>
      </c>
      <c r="G795">
        <f t="shared" si="557"/>
        <v>2042.0400000000002</v>
      </c>
      <c r="H795">
        <f t="shared" si="557"/>
        <v>2014.88</v>
      </c>
      <c r="I795">
        <f t="shared" si="557"/>
        <v>1832.96</v>
      </c>
      <c r="J795">
        <f t="shared" si="557"/>
        <v>4571.04</v>
      </c>
      <c r="K795">
        <f t="shared" si="557"/>
        <v>2382.3199999999997</v>
      </c>
      <c r="L795">
        <f t="shared" si="557"/>
        <v>2646.96</v>
      </c>
      <c r="M795">
        <f t="shared" si="557"/>
        <v>2273.9199999999996</v>
      </c>
      <c r="N795">
        <f t="shared" si="557"/>
        <v>2258.52</v>
      </c>
      <c r="O795">
        <f t="shared" si="557"/>
        <v>2756.61</v>
      </c>
      <c r="P795">
        <f t="shared" si="557"/>
        <v>2622.028888862973</v>
      </c>
      <c r="Q795">
        <f t="shared" si="557"/>
        <v>2374.2428221574346</v>
      </c>
      <c r="R795">
        <f t="shared" si="557"/>
        <v>2425.4468959766759</v>
      </c>
      <c r="S795">
        <f t="shared" si="557"/>
        <v>2388.5286647230319</v>
      </c>
      <c r="T795">
        <f t="shared" si="557"/>
        <v>2076.2468567305709</v>
      </c>
      <c r="U795">
        <f t="shared" si="557"/>
        <v>2049.2175551432688</v>
      </c>
      <c r="V795">
        <f t="shared" si="557"/>
        <v>1541.0069099154812</v>
      </c>
      <c r="W795">
        <f t="shared" si="557"/>
        <v>1696.8736940836939</v>
      </c>
      <c r="Y795" s="17">
        <f t="shared" si="555"/>
        <v>44934.632287593122</v>
      </c>
      <c r="Z795">
        <f t="shared" si="556"/>
        <v>7268.3007486250808</v>
      </c>
    </row>
    <row r="796" spans="1:26" x14ac:dyDescent="0.25">
      <c r="A796" t="s">
        <v>45</v>
      </c>
      <c r="D796">
        <f t="shared" ref="D796:W796" si="558">D112*D148</f>
        <v>1379.5510204081631</v>
      </c>
      <c r="E796">
        <f t="shared" si="558"/>
        <v>1204.4632653061226</v>
      </c>
      <c r="F796">
        <f t="shared" si="558"/>
        <v>1305.3265306122451</v>
      </c>
      <c r="G796">
        <f t="shared" si="558"/>
        <v>2129.5102040816328</v>
      </c>
      <c r="H796">
        <f t="shared" si="558"/>
        <v>2178.8571428571431</v>
      </c>
      <c r="I796">
        <f t="shared" si="558"/>
        <v>1898.4489795918366</v>
      </c>
      <c r="J796">
        <f t="shared" si="558"/>
        <v>5089.9591836734699</v>
      </c>
      <c r="K796">
        <f t="shared" si="558"/>
        <v>1931.0612244897961</v>
      </c>
      <c r="L796">
        <f t="shared" si="558"/>
        <v>2396.875</v>
      </c>
      <c r="M796">
        <f t="shared" si="558"/>
        <v>2846.9387755102039</v>
      </c>
      <c r="N796">
        <f t="shared" si="558"/>
        <v>3130.7755102040815</v>
      </c>
      <c r="O796">
        <f t="shared" si="558"/>
        <v>2957.8775510204082</v>
      </c>
      <c r="P796">
        <f t="shared" si="558"/>
        <v>1635.7142857142858</v>
      </c>
      <c r="Q796">
        <f t="shared" si="558"/>
        <v>1769.3265306122448</v>
      </c>
      <c r="R796">
        <f t="shared" si="558"/>
        <v>2904.2448979591836</v>
      </c>
      <c r="S796">
        <f t="shared" si="558"/>
        <v>2040.612244897959</v>
      </c>
      <c r="T796">
        <f t="shared" si="558"/>
        <v>1951.7755102040815</v>
      </c>
      <c r="U796">
        <f t="shared" si="558"/>
        <v>2401.3265306122448</v>
      </c>
      <c r="V796">
        <f t="shared" si="558"/>
        <v>2523.2653061224491</v>
      </c>
      <c r="W796">
        <f t="shared" si="558"/>
        <v>2320.6530612244896</v>
      </c>
      <c r="Y796" s="17">
        <f t="shared" si="555"/>
        <v>45996.562755102044</v>
      </c>
      <c r="Z796">
        <f t="shared" si="556"/>
        <v>7340.1874952957996</v>
      </c>
    </row>
    <row r="797" spans="1:26" x14ac:dyDescent="0.25">
      <c r="A797" t="s">
        <v>46</v>
      </c>
      <c r="D797">
        <f t="shared" ref="D797:W797" si="559">D113*D149</f>
        <v>1670.204081632653</v>
      </c>
      <c r="E797">
        <f t="shared" si="559"/>
        <v>1627.1020408163267</v>
      </c>
      <c r="F797">
        <f t="shared" si="559"/>
        <v>1388.5714285714287</v>
      </c>
      <c r="G797">
        <f t="shared" si="559"/>
        <v>2164.612244897959</v>
      </c>
      <c r="H797">
        <f t="shared" si="559"/>
        <v>1744.8979591836735</v>
      </c>
      <c r="I797">
        <f t="shared" si="559"/>
        <v>1844.8163265306125</v>
      </c>
      <c r="J797">
        <f t="shared" si="559"/>
        <v>2182.5102040816323</v>
      </c>
      <c r="K797">
        <f t="shared" si="559"/>
        <v>2722.8979591836737</v>
      </c>
      <c r="L797">
        <f t="shared" si="559"/>
        <v>2952.0625</v>
      </c>
      <c r="M797">
        <f t="shared" si="559"/>
        <v>3252.6530612244901</v>
      </c>
      <c r="N797">
        <f t="shared" si="559"/>
        <v>2040.4285714285713</v>
      </c>
      <c r="O797">
        <f t="shared" si="559"/>
        <v>2212.4489795918366</v>
      </c>
      <c r="P797">
        <f t="shared" si="559"/>
        <v>1644.8979591836735</v>
      </c>
      <c r="Q797">
        <f t="shared" si="559"/>
        <v>2229.6122448979595</v>
      </c>
      <c r="R797">
        <f t="shared" si="559"/>
        <v>2817.5510204081638</v>
      </c>
      <c r="S797">
        <f t="shared" si="559"/>
        <v>3121.3469387755099</v>
      </c>
      <c r="T797">
        <f t="shared" si="559"/>
        <v>1587.0408163265306</v>
      </c>
      <c r="U797">
        <f t="shared" si="559"/>
        <v>1520.4693877551019</v>
      </c>
      <c r="V797">
        <f t="shared" si="559"/>
        <v>1185.7551020408164</v>
      </c>
      <c r="W797">
        <f t="shared" si="559"/>
        <v>2764.1224489795923</v>
      </c>
      <c r="Y797" s="17">
        <f t="shared" si="555"/>
        <v>42674.001275510207</v>
      </c>
      <c r="Z797">
        <f t="shared" si="556"/>
        <v>6836.144671237681</v>
      </c>
    </row>
    <row r="798" spans="1:26" x14ac:dyDescent="0.25">
      <c r="A798" t="s">
        <v>47</v>
      </c>
      <c r="D798">
        <f t="shared" ref="D798:W798" si="560">D114*D150</f>
        <v>2077.3469387755104</v>
      </c>
      <c r="E798">
        <f t="shared" si="560"/>
        <v>1597.0408163265306</v>
      </c>
      <c r="F798">
        <f t="shared" si="560"/>
        <v>1765.4693877551019</v>
      </c>
      <c r="G798">
        <f t="shared" si="560"/>
        <v>2328</v>
      </c>
      <c r="H798">
        <f t="shared" si="560"/>
        <v>2015.3877551020405</v>
      </c>
      <c r="I798">
        <f t="shared" si="560"/>
        <v>1764.4285714285716</v>
      </c>
      <c r="J798">
        <f t="shared" si="560"/>
        <v>2603.5714285714289</v>
      </c>
      <c r="K798">
        <f t="shared" si="560"/>
        <v>2689.2244897959181</v>
      </c>
      <c r="L798">
        <f t="shared" si="560"/>
        <v>2060</v>
      </c>
      <c r="M798">
        <f t="shared" si="560"/>
        <v>2510.2040816326535</v>
      </c>
      <c r="N798">
        <f t="shared" si="560"/>
        <v>2581.8571428571431</v>
      </c>
      <c r="O798">
        <f t="shared" si="560"/>
        <v>2121.795918367347</v>
      </c>
      <c r="P798">
        <f t="shared" si="560"/>
        <v>2011.3469387755104</v>
      </c>
      <c r="Q798">
        <f t="shared" si="560"/>
        <v>1674.3673469387754</v>
      </c>
      <c r="R798">
        <f t="shared" si="560"/>
        <v>2258.5714285714289</v>
      </c>
      <c r="S798">
        <f t="shared" si="560"/>
        <v>2824.1632653061224</v>
      </c>
      <c r="T798">
        <f t="shared" si="560"/>
        <v>2689.591836734694</v>
      </c>
      <c r="U798">
        <f t="shared" si="560"/>
        <v>2564.5714285714284</v>
      </c>
      <c r="V798">
        <f t="shared" si="560"/>
        <v>946.93877551020421</v>
      </c>
      <c r="W798">
        <f t="shared" si="560"/>
        <v>1364.6122448979593</v>
      </c>
      <c r="Y798" s="17">
        <f t="shared" si="555"/>
        <v>42448.48979591838</v>
      </c>
      <c r="Z798">
        <f t="shared" si="556"/>
        <v>6612.9544970056068</v>
      </c>
    </row>
    <row r="799" spans="1:26" x14ac:dyDescent="0.25">
      <c r="A799" t="s">
        <v>48</v>
      </c>
      <c r="D799">
        <f t="shared" ref="D799:W799" si="561">D115*D151</f>
        <v>2381.7142857142858</v>
      </c>
      <c r="E799">
        <f t="shared" si="561"/>
        <v>1914</v>
      </c>
      <c r="F799">
        <f t="shared" si="561"/>
        <v>2028</v>
      </c>
      <c r="G799">
        <f t="shared" si="561"/>
        <v>4147.5306122448983</v>
      </c>
      <c r="H799">
        <f t="shared" si="561"/>
        <v>3282</v>
      </c>
      <c r="I799">
        <f t="shared" si="561"/>
        <v>3707.2653061224491</v>
      </c>
      <c r="J799">
        <f t="shared" si="561"/>
        <v>3497.1428571428569</v>
      </c>
      <c r="K799">
        <f t="shared" si="561"/>
        <v>3018.2857142857142</v>
      </c>
      <c r="L799">
        <f t="shared" si="561"/>
        <v>3157.421875</v>
      </c>
      <c r="M799">
        <f t="shared" si="561"/>
        <v>2283.7551020408164</v>
      </c>
      <c r="N799">
        <f t="shared" si="561"/>
        <v>3211.5306122448978</v>
      </c>
      <c r="O799">
        <f t="shared" si="561"/>
        <v>1789.1632653061224</v>
      </c>
      <c r="P799">
        <f t="shared" si="561"/>
        <v>2501.7142857142858</v>
      </c>
      <c r="Q799">
        <f t="shared" si="561"/>
        <v>2948.9591836734694</v>
      </c>
      <c r="R799">
        <f t="shared" si="561"/>
        <v>2608.5714285714284</v>
      </c>
      <c r="S799">
        <f t="shared" si="561"/>
        <v>1796.5714285714287</v>
      </c>
      <c r="T799">
        <f t="shared" si="561"/>
        <v>2240.8571428571431</v>
      </c>
      <c r="U799">
        <f t="shared" si="561"/>
        <v>2252.8571428571427</v>
      </c>
      <c r="V799">
        <f t="shared" si="561"/>
        <v>1528.5306122448981</v>
      </c>
      <c r="W799">
        <f t="shared" si="561"/>
        <v>1344.8367346938776</v>
      </c>
      <c r="Y799" s="17">
        <f t="shared" si="555"/>
        <v>51640.70758928571</v>
      </c>
      <c r="Z799">
        <f t="shared" si="556"/>
        <v>7468.2269567479889</v>
      </c>
    </row>
    <row r="800" spans="1:26" x14ac:dyDescent="0.25">
      <c r="A800" t="s">
        <v>49</v>
      </c>
      <c r="D800">
        <f t="shared" ref="D800:W800" si="562">D116*D152</f>
        <v>1307.7551020408164</v>
      </c>
      <c r="E800">
        <f t="shared" si="562"/>
        <v>2355.1020408163267</v>
      </c>
      <c r="F800">
        <f t="shared" si="562"/>
        <v>2953.1428571428573</v>
      </c>
      <c r="G800">
        <f t="shared" si="562"/>
        <v>2467.4285714285716</v>
      </c>
      <c r="H800">
        <f t="shared" si="562"/>
        <v>2115.1224489795918</v>
      </c>
      <c r="I800">
        <f t="shared" si="562"/>
        <v>2140.9591836734694</v>
      </c>
      <c r="J800">
        <f t="shared" si="562"/>
        <v>2143.6734693877552</v>
      </c>
      <c r="K800">
        <f t="shared" si="562"/>
        <v>3122.6122448979595</v>
      </c>
      <c r="L800">
        <f t="shared" si="562"/>
        <v>2747.421875</v>
      </c>
      <c r="M800">
        <f t="shared" si="562"/>
        <v>1927.2448979591836</v>
      </c>
      <c r="N800">
        <f t="shared" si="562"/>
        <v>2458.8163265306125</v>
      </c>
      <c r="O800">
        <f t="shared" si="562"/>
        <v>1758.8571428571431</v>
      </c>
      <c r="P800">
        <f t="shared" si="562"/>
        <v>2593.1632653061224</v>
      </c>
      <c r="Q800">
        <f t="shared" si="562"/>
        <v>3850.8571428571427</v>
      </c>
      <c r="R800">
        <f t="shared" si="562"/>
        <v>2371.4285714285716</v>
      </c>
      <c r="S800">
        <f t="shared" si="562"/>
        <v>2288.4285714285716</v>
      </c>
      <c r="T800">
        <f t="shared" si="562"/>
        <v>1461.8755102040818</v>
      </c>
      <c r="U800">
        <f t="shared" si="562"/>
        <v>1842.612244897959</v>
      </c>
      <c r="V800">
        <f t="shared" si="562"/>
        <v>2255</v>
      </c>
      <c r="W800">
        <f t="shared" si="562"/>
        <v>988.69795918367345</v>
      </c>
      <c r="Y800" s="17">
        <f t="shared" si="555"/>
        <v>45150.199426020416</v>
      </c>
      <c r="Z800">
        <f t="shared" si="556"/>
        <v>7945.5562263774082</v>
      </c>
    </row>
    <row r="801" spans="1:26" x14ac:dyDescent="0.25">
      <c r="A801" t="s">
        <v>50</v>
      </c>
      <c r="D801">
        <f t="shared" ref="D801:W801" si="563">D117*D153</f>
        <v>1610.6734693877549</v>
      </c>
      <c r="E801">
        <f t="shared" si="563"/>
        <v>1359.1836734693879</v>
      </c>
      <c r="F801">
        <f t="shared" si="563"/>
        <v>2146.8571428571431</v>
      </c>
      <c r="G801">
        <f t="shared" si="563"/>
        <v>3151.1428571428573</v>
      </c>
      <c r="H801">
        <f t="shared" si="563"/>
        <v>2484.8571428571431</v>
      </c>
      <c r="I801">
        <f t="shared" si="563"/>
        <v>3039.4285714285716</v>
      </c>
      <c r="J801">
        <f t="shared" si="563"/>
        <v>2626.5306122448978</v>
      </c>
      <c r="K801">
        <f t="shared" si="563"/>
        <v>2754.2448979591836</v>
      </c>
      <c r="L801">
        <f t="shared" si="563"/>
        <v>3087.90625</v>
      </c>
      <c r="M801">
        <f t="shared" si="563"/>
        <v>3792.2448979591836</v>
      </c>
      <c r="N801">
        <f t="shared" si="563"/>
        <v>3751.5306122448978</v>
      </c>
      <c r="O801">
        <f t="shared" si="563"/>
        <v>3096.9387755102039</v>
      </c>
      <c r="P801">
        <f t="shared" si="563"/>
        <v>2327.5102040816328</v>
      </c>
      <c r="Q801">
        <f t="shared" si="563"/>
        <v>1743.6734693877552</v>
      </c>
      <c r="R801">
        <f t="shared" si="563"/>
        <v>1484.9387755102041</v>
      </c>
      <c r="S801">
        <f t="shared" si="563"/>
        <v>2083.2653061224491</v>
      </c>
      <c r="T801">
        <f t="shared" si="563"/>
        <v>1650.6938775510203</v>
      </c>
      <c r="U801">
        <f t="shared" si="563"/>
        <v>2096.1428571428573</v>
      </c>
      <c r="V801">
        <f t="shared" si="563"/>
        <v>1398</v>
      </c>
      <c r="W801">
        <f t="shared" si="563"/>
        <v>1919.6326530612246</v>
      </c>
      <c r="Y801" s="17">
        <f t="shared" si="555"/>
        <v>47605.396045918365</v>
      </c>
      <c r="Z801">
        <f t="shared" si="556"/>
        <v>7391.4843485814308</v>
      </c>
    </row>
    <row r="802" spans="1:26" x14ac:dyDescent="0.25">
      <c r="A802" t="s">
        <v>51</v>
      </c>
      <c r="D802">
        <f t="shared" ref="D802:W802" si="564">D118*D154</f>
        <v>2532.2448979591836</v>
      </c>
      <c r="E802">
        <f t="shared" si="564"/>
        <v>2483.4285714285716</v>
      </c>
      <c r="F802">
        <f t="shared" si="564"/>
        <v>3152.408163265306</v>
      </c>
      <c r="G802">
        <f t="shared" si="564"/>
        <v>4517.0612244897966</v>
      </c>
      <c r="H802">
        <f t="shared" si="564"/>
        <v>1672</v>
      </c>
      <c r="I802">
        <f t="shared" si="564"/>
        <v>2742.8571428571427</v>
      </c>
      <c r="J802">
        <f t="shared" si="564"/>
        <v>2319.9387755102043</v>
      </c>
      <c r="K802">
        <f t="shared" si="564"/>
        <v>2483.4693877551022</v>
      </c>
      <c r="L802">
        <f t="shared" si="564"/>
        <v>2228.671875</v>
      </c>
      <c r="M802">
        <f t="shared" si="564"/>
        <v>3361.2244897959181</v>
      </c>
      <c r="N802">
        <f t="shared" si="564"/>
        <v>4756.4081632653069</v>
      </c>
      <c r="O802">
        <f t="shared" si="564"/>
        <v>2909.387755102041</v>
      </c>
      <c r="P802">
        <f t="shared" si="564"/>
        <v>3777.8571428571431</v>
      </c>
      <c r="Q802">
        <f t="shared" si="564"/>
        <v>1567.3469387755099</v>
      </c>
      <c r="R802">
        <f t="shared" si="564"/>
        <v>2602.9387755102039</v>
      </c>
      <c r="S802">
        <f t="shared" si="564"/>
        <v>1986.7755102040819</v>
      </c>
      <c r="T802">
        <f t="shared" si="564"/>
        <v>2314.2857142857142</v>
      </c>
      <c r="U802">
        <f t="shared" si="564"/>
        <v>1427.0816326530612</v>
      </c>
      <c r="V802">
        <f t="shared" si="564"/>
        <v>967.59183673469386</v>
      </c>
      <c r="W802">
        <f t="shared" si="564"/>
        <v>1264.3265306122448</v>
      </c>
      <c r="Y802" s="17">
        <f t="shared" si="555"/>
        <v>51067.304528061242</v>
      </c>
      <c r="Z802">
        <f t="shared" si="556"/>
        <v>7693.8637101276945</v>
      </c>
    </row>
    <row r="803" spans="1:26" x14ac:dyDescent="0.25">
      <c r="A803" t="s">
        <v>52</v>
      </c>
      <c r="D803">
        <f t="shared" ref="D803:W803" si="565">D119*D155</f>
        <v>2408.9795918367349</v>
      </c>
      <c r="E803">
        <f t="shared" si="565"/>
        <v>1555.5102040816325</v>
      </c>
      <c r="F803">
        <f t="shared" si="565"/>
        <v>2602.6530612244901</v>
      </c>
      <c r="G803">
        <f t="shared" si="565"/>
        <v>1859.1020408163267</v>
      </c>
      <c r="H803">
        <f t="shared" si="565"/>
        <v>2730.0816326530612</v>
      </c>
      <c r="I803">
        <f t="shared" si="565"/>
        <v>3213.0612244897957</v>
      </c>
      <c r="J803">
        <f t="shared" si="565"/>
        <v>2311.795918367347</v>
      </c>
      <c r="K803">
        <f t="shared" si="565"/>
        <v>2024.4897959183675</v>
      </c>
      <c r="L803">
        <f t="shared" si="565"/>
        <v>3055.65625</v>
      </c>
      <c r="M803">
        <f t="shared" si="565"/>
        <v>3111.7959183673465</v>
      </c>
      <c r="N803">
        <f t="shared" si="565"/>
        <v>3545.1224489795918</v>
      </c>
      <c r="O803">
        <f t="shared" si="565"/>
        <v>3545.4489795918366</v>
      </c>
      <c r="P803">
        <f t="shared" si="565"/>
        <v>2284.4489795918371</v>
      </c>
      <c r="Q803">
        <f t="shared" si="565"/>
        <v>2407.4897959183672</v>
      </c>
      <c r="R803">
        <f t="shared" si="565"/>
        <v>2165.8775510204082</v>
      </c>
      <c r="S803">
        <f t="shared" si="565"/>
        <v>2819.7551020408159</v>
      </c>
      <c r="T803">
        <f t="shared" si="565"/>
        <v>1779.0612244897959</v>
      </c>
      <c r="U803">
        <f t="shared" si="565"/>
        <v>2421.9795918367345</v>
      </c>
      <c r="V803">
        <f t="shared" si="565"/>
        <v>1730.3673469387757</v>
      </c>
      <c r="W803">
        <f t="shared" si="565"/>
        <v>1727.8571428571429</v>
      </c>
      <c r="Y803" s="17">
        <f t="shared" si="555"/>
        <v>49300.5338010204</v>
      </c>
      <c r="Z803">
        <f t="shared" si="556"/>
        <v>8472.9490603920203</v>
      </c>
    </row>
    <row r="804" spans="1:26" x14ac:dyDescent="0.25">
      <c r="A804" t="s">
        <v>53</v>
      </c>
      <c r="D804">
        <f t="shared" ref="D804:W804" si="566">D120*D156</f>
        <v>2038.9795918367347</v>
      </c>
      <c r="E804">
        <f t="shared" si="566"/>
        <v>2438.0408163265306</v>
      </c>
      <c r="F804">
        <f t="shared" si="566"/>
        <v>2640.8571428571431</v>
      </c>
      <c r="G804">
        <f t="shared" si="566"/>
        <v>3890.4489795918371</v>
      </c>
      <c r="H804">
        <f t="shared" si="566"/>
        <v>2984.3469387755104</v>
      </c>
      <c r="I804">
        <f t="shared" si="566"/>
        <v>1693.2857142857142</v>
      </c>
      <c r="J804">
        <f t="shared" si="566"/>
        <v>3107.632653061225</v>
      </c>
      <c r="K804">
        <f t="shared" si="566"/>
        <v>3111.4285714285711</v>
      </c>
      <c r="L804">
        <f t="shared" si="566"/>
        <v>4129.25</v>
      </c>
      <c r="M804">
        <f t="shared" si="566"/>
        <v>4917.3061224489793</v>
      </c>
      <c r="N804">
        <f t="shared" si="566"/>
        <v>3344.6938775510198</v>
      </c>
      <c r="O804">
        <f t="shared" si="566"/>
        <v>3887</v>
      </c>
      <c r="P804">
        <f t="shared" si="566"/>
        <v>3011.4285714285716</v>
      </c>
      <c r="Q804">
        <f t="shared" si="566"/>
        <v>1883.9795918367347</v>
      </c>
      <c r="R804">
        <f t="shared" si="566"/>
        <v>1964.8571428571429</v>
      </c>
      <c r="S804">
        <f t="shared" si="566"/>
        <v>2085.0612244897957</v>
      </c>
      <c r="T804">
        <f t="shared" si="566"/>
        <v>2879.0816326530612</v>
      </c>
      <c r="U804">
        <f t="shared" si="566"/>
        <v>1949.0612244897959</v>
      </c>
      <c r="V804">
        <f t="shared" si="566"/>
        <v>1476.6938775510205</v>
      </c>
      <c r="W804">
        <f t="shared" si="566"/>
        <v>1304.4285714285716</v>
      </c>
      <c r="Y804" s="17">
        <f t="shared" si="555"/>
        <v>54737.862244897959</v>
      </c>
      <c r="Z804">
        <f t="shared" si="556"/>
        <v>8757.8974973771801</v>
      </c>
    </row>
    <row r="805" spans="1:26" x14ac:dyDescent="0.25">
      <c r="A805" t="s">
        <v>54</v>
      </c>
      <c r="D805">
        <f t="shared" ref="D805:W805" si="567">D121*D157</f>
        <v>3547.7551020408159</v>
      </c>
      <c r="E805">
        <f t="shared" si="567"/>
        <v>2712.6734693877552</v>
      </c>
      <c r="F805">
        <f t="shared" si="567"/>
        <v>2702.9387755102043</v>
      </c>
      <c r="G805">
        <f t="shared" si="567"/>
        <v>2836.8163265306121</v>
      </c>
      <c r="H805">
        <f t="shared" si="567"/>
        <v>2671.3469387755104</v>
      </c>
      <c r="I805">
        <f t="shared" si="567"/>
        <v>3201.3061224489793</v>
      </c>
      <c r="J805">
        <f t="shared" si="567"/>
        <v>2001.4285714285713</v>
      </c>
      <c r="K805">
        <f t="shared" si="567"/>
        <v>2767.9591836734694</v>
      </c>
      <c r="L805">
        <f t="shared" si="567"/>
        <v>2830.78125</v>
      </c>
      <c r="M805">
        <f t="shared" si="567"/>
        <v>2901.3047999999999</v>
      </c>
      <c r="N805">
        <f t="shared" si="567"/>
        <v>4820.3765999999996</v>
      </c>
      <c r="O805">
        <f t="shared" si="567"/>
        <v>4083.3504000000003</v>
      </c>
      <c r="P805">
        <f t="shared" si="567"/>
        <v>2433.6936000000001</v>
      </c>
      <c r="Q805">
        <f t="shared" si="567"/>
        <v>3024.36</v>
      </c>
      <c r="R805">
        <f t="shared" si="567"/>
        <v>1989.6803999999997</v>
      </c>
      <c r="S805">
        <f t="shared" si="567"/>
        <v>2531.3999999999996</v>
      </c>
      <c r="T805">
        <f t="shared" si="567"/>
        <v>1478.6388000000002</v>
      </c>
      <c r="U805">
        <f t="shared" si="567"/>
        <v>1765.3235999999999</v>
      </c>
      <c r="V805">
        <f t="shared" si="567"/>
        <v>1563.5723</v>
      </c>
      <c r="W805">
        <f t="shared" si="567"/>
        <v>2147.0819999999999</v>
      </c>
      <c r="Y805" s="17">
        <f t="shared" si="555"/>
        <v>54011.788239795926</v>
      </c>
      <c r="Z805">
        <f t="shared" si="556"/>
        <v>8763.563014458834</v>
      </c>
    </row>
    <row r="806" spans="1:26" x14ac:dyDescent="0.25">
      <c r="A806" t="s">
        <v>55</v>
      </c>
      <c r="D806">
        <f t="shared" ref="D806:W806" si="568">D122*D158</f>
        <v>3347.8269999999998</v>
      </c>
      <c r="E806">
        <f t="shared" si="568"/>
        <v>3228.4575</v>
      </c>
      <c r="F806">
        <f t="shared" si="568"/>
        <v>2973.3487</v>
      </c>
      <c r="G806">
        <f t="shared" si="568"/>
        <v>4452.4008000000003</v>
      </c>
      <c r="H806">
        <f t="shared" si="568"/>
        <v>4588.1448</v>
      </c>
      <c r="I806">
        <f t="shared" si="568"/>
        <v>5385.1419999999998</v>
      </c>
      <c r="J806">
        <f t="shared" si="568"/>
        <v>3682.8791999999999</v>
      </c>
      <c r="K806">
        <f t="shared" si="568"/>
        <v>5198.5659000000005</v>
      </c>
      <c r="L806">
        <f t="shared" si="568"/>
        <v>4282.5198</v>
      </c>
      <c r="M806">
        <f t="shared" si="568"/>
        <v>3753.7346938775509</v>
      </c>
      <c r="N806">
        <f t="shared" si="568"/>
        <v>3595.6530612244901</v>
      </c>
      <c r="O806">
        <f t="shared" si="568"/>
        <v>2644.8979591836737</v>
      </c>
      <c r="P806">
        <f t="shared" si="568"/>
        <v>2855.0204081632651</v>
      </c>
      <c r="Q806">
        <f t="shared" si="568"/>
        <v>3367.8571428571427</v>
      </c>
      <c r="R806">
        <f t="shared" si="568"/>
        <v>2431.8571428571431</v>
      </c>
      <c r="S806">
        <f t="shared" si="568"/>
        <v>3410.6326530612241</v>
      </c>
      <c r="T806">
        <f t="shared" si="568"/>
        <v>3070.4081632653065</v>
      </c>
      <c r="U806">
        <f t="shared" si="568"/>
        <v>1860.7142857142858</v>
      </c>
      <c r="V806">
        <f t="shared" si="568"/>
        <v>1956</v>
      </c>
      <c r="W806">
        <f t="shared" si="568"/>
        <v>2509.3469387755104</v>
      </c>
      <c r="Y806" s="17">
        <f t="shared" si="555"/>
        <v>68595.408148979594</v>
      </c>
      <c r="Z806">
        <f t="shared" si="556"/>
        <v>10082.674228413707</v>
      </c>
    </row>
    <row r="807" spans="1:26" x14ac:dyDescent="0.25">
      <c r="A807" t="s">
        <v>56</v>
      </c>
      <c r="D807">
        <f t="shared" ref="D807:W807" si="569">D123*D159</f>
        <v>3606.4285714285711</v>
      </c>
      <c r="E807">
        <f t="shared" si="569"/>
        <v>2821.2244897959185</v>
      </c>
      <c r="F807">
        <f t="shared" si="569"/>
        <v>3515.9999999999995</v>
      </c>
      <c r="G807">
        <f t="shared" si="569"/>
        <v>3184.8979591836737</v>
      </c>
      <c r="H807">
        <f t="shared" si="569"/>
        <v>2465.163265306122</v>
      </c>
      <c r="I807">
        <f t="shared" si="569"/>
        <v>2283.5918367346935</v>
      </c>
      <c r="J807">
        <f t="shared" si="569"/>
        <v>2475.591836734694</v>
      </c>
      <c r="K807">
        <f t="shared" si="569"/>
        <v>3883.2857142857142</v>
      </c>
      <c r="L807">
        <f t="shared" si="569"/>
        <v>3159</v>
      </c>
      <c r="M807">
        <f t="shared" si="569"/>
        <v>3146.5306122448978</v>
      </c>
      <c r="N807">
        <f t="shared" si="569"/>
        <v>2743.6938775510203</v>
      </c>
      <c r="O807">
        <f t="shared" si="569"/>
        <v>3473.0816326530617</v>
      </c>
      <c r="P807">
        <f t="shared" si="569"/>
        <v>4271.4285714285716</v>
      </c>
      <c r="Q807">
        <f t="shared" si="569"/>
        <v>2741.1836734693884</v>
      </c>
      <c r="R807">
        <f t="shared" si="569"/>
        <v>4855.0816326530612</v>
      </c>
      <c r="S807">
        <f t="shared" si="569"/>
        <v>3618.5714285714284</v>
      </c>
      <c r="T807">
        <f t="shared" si="569"/>
        <v>2651.5918367346935</v>
      </c>
      <c r="U807">
        <f t="shared" si="569"/>
        <v>1448.0816326530612</v>
      </c>
      <c r="V807">
        <f t="shared" si="569"/>
        <v>2171.387755102041</v>
      </c>
      <c r="W807">
        <f t="shared" si="569"/>
        <v>1333.2653061224489</v>
      </c>
      <c r="Y807" s="17">
        <f t="shared" si="555"/>
        <v>59849.081632653062</v>
      </c>
      <c r="Z807">
        <f t="shared" si="556"/>
        <v>10192.113727852786</v>
      </c>
    </row>
    <row r="808" spans="1:26" x14ac:dyDescent="0.25">
      <c r="A808" t="s">
        <v>57</v>
      </c>
      <c r="D808">
        <f t="shared" ref="D808:W808" si="570">D124*D160</f>
        <v>2614.2857142857142</v>
      </c>
      <c r="E808">
        <f t="shared" si="570"/>
        <v>2200.4897959183672</v>
      </c>
      <c r="F808">
        <f t="shared" si="570"/>
        <v>1876.1632653061224</v>
      </c>
      <c r="G808">
        <f t="shared" si="570"/>
        <v>2333.9183673469388</v>
      </c>
      <c r="H808">
        <f t="shared" si="570"/>
        <v>1761.3061224489797</v>
      </c>
      <c r="I808">
        <f t="shared" si="570"/>
        <v>2727.1428571428569</v>
      </c>
      <c r="J808">
        <f t="shared" si="570"/>
        <v>3137.2448979591836</v>
      </c>
      <c r="K808">
        <f t="shared" si="570"/>
        <v>2007.9999999999998</v>
      </c>
      <c r="L808">
        <f t="shared" si="570"/>
        <v>2700.75</v>
      </c>
      <c r="M808">
        <f t="shared" si="570"/>
        <v>2493.2448979591836</v>
      </c>
      <c r="N808">
        <f t="shared" si="570"/>
        <v>3281.2653061224491</v>
      </c>
      <c r="O808">
        <f t="shared" si="570"/>
        <v>2271.8367346938771</v>
      </c>
      <c r="P808">
        <f t="shared" si="570"/>
        <v>3155.8367346938776</v>
      </c>
      <c r="Q808">
        <f t="shared" si="570"/>
        <v>3207.8367346938771</v>
      </c>
      <c r="R808">
        <f t="shared" si="570"/>
        <v>2102.3265306122453</v>
      </c>
      <c r="S808">
        <f t="shared" si="570"/>
        <v>1269.5510204081631</v>
      </c>
      <c r="T808">
        <f t="shared" si="570"/>
        <v>1964.8775510204082</v>
      </c>
      <c r="U808">
        <f t="shared" si="570"/>
        <v>1448.9795918367347</v>
      </c>
      <c r="V808">
        <f t="shared" si="570"/>
        <v>1378.9795918367347</v>
      </c>
      <c r="W808">
        <f t="shared" si="570"/>
        <v>2504.7142857142858</v>
      </c>
      <c r="Y808" s="17">
        <f t="shared" si="555"/>
        <v>46438.75</v>
      </c>
      <c r="Z808">
        <f t="shared" si="556"/>
        <v>7251.8155006550323</v>
      </c>
    </row>
    <row r="809" spans="1:26" x14ac:dyDescent="0.25">
      <c r="A809" t="s">
        <v>58</v>
      </c>
      <c r="D809">
        <f t="shared" ref="D809:W809" si="571">D125*D161</f>
        <v>1931.7551020408164</v>
      </c>
      <c r="E809">
        <f t="shared" si="571"/>
        <v>2186.0204081632655</v>
      </c>
      <c r="F809">
        <f t="shared" si="571"/>
        <v>2601.9387755102039</v>
      </c>
      <c r="G809">
        <f t="shared" si="571"/>
        <v>2260</v>
      </c>
      <c r="H809">
        <f t="shared" si="571"/>
        <v>2329.4693877551026</v>
      </c>
      <c r="I809">
        <f t="shared" si="571"/>
        <v>1726.5306122448978</v>
      </c>
      <c r="J809">
        <f t="shared" si="571"/>
        <v>2656.4897959183672</v>
      </c>
      <c r="K809">
        <f t="shared" si="571"/>
        <v>3152.1836734693879</v>
      </c>
      <c r="L809">
        <f t="shared" si="571"/>
        <v>2641.53125</v>
      </c>
      <c r="M809">
        <f t="shared" si="571"/>
        <v>0</v>
      </c>
      <c r="N809">
        <f t="shared" si="571"/>
        <v>2896.5306122448978</v>
      </c>
      <c r="O809">
        <f t="shared" si="571"/>
        <v>1929.7959183673468</v>
      </c>
      <c r="P809">
        <f t="shared" si="571"/>
        <v>2461.8979591836733</v>
      </c>
      <c r="Q809">
        <f t="shared" si="571"/>
        <v>1774.5918367346942</v>
      </c>
      <c r="R809">
        <f t="shared" si="571"/>
        <v>1984.4285714285716</v>
      </c>
      <c r="S809">
        <f t="shared" si="571"/>
        <v>1836.6530612244899</v>
      </c>
      <c r="T809">
        <f t="shared" si="571"/>
        <v>2042.7142857142858</v>
      </c>
      <c r="U809">
        <f t="shared" si="571"/>
        <v>2586.2857142857142</v>
      </c>
      <c r="V809">
        <f t="shared" si="571"/>
        <v>1556.4489795918366</v>
      </c>
      <c r="W809">
        <f t="shared" si="571"/>
        <v>1375.8163265306125</v>
      </c>
      <c r="Y809" s="17">
        <f t="shared" si="555"/>
        <v>41931.082270408166</v>
      </c>
      <c r="Z809">
        <f t="shared" si="556"/>
        <v>6118.1423835172618</v>
      </c>
    </row>
    <row r="810" spans="1:26" x14ac:dyDescent="0.25">
      <c r="A810" t="s">
        <v>59</v>
      </c>
      <c r="D810">
        <f t="shared" ref="D810:W810" si="572">D126*D162</f>
        <v>1754.2040816326528</v>
      </c>
      <c r="E810">
        <f t="shared" si="572"/>
        <v>2206.0408163265306</v>
      </c>
      <c r="F810">
        <f t="shared" si="572"/>
        <v>1802.5102040816328</v>
      </c>
      <c r="G810">
        <f t="shared" si="572"/>
        <v>1535.8163265306123</v>
      </c>
      <c r="H810">
        <f t="shared" si="572"/>
        <v>1904.3673469387754</v>
      </c>
      <c r="I810">
        <f t="shared" si="572"/>
        <v>2607.1224489795918</v>
      </c>
      <c r="J810">
        <f t="shared" si="572"/>
        <v>2412.2448979591836</v>
      </c>
      <c r="K810">
        <f t="shared" si="572"/>
        <v>2691.387755102041</v>
      </c>
      <c r="L810">
        <f t="shared" si="572"/>
        <v>2261.5102040816328</v>
      </c>
      <c r="M810">
        <f t="shared" si="572"/>
        <v>2110.7755102040819</v>
      </c>
      <c r="N810">
        <f t="shared" si="572"/>
        <v>2489.3877551020405</v>
      </c>
      <c r="O810">
        <f t="shared" si="572"/>
        <v>3062.7551020408159</v>
      </c>
      <c r="P810">
        <f t="shared" si="572"/>
        <v>3390.9183673469392</v>
      </c>
      <c r="Q810">
        <f t="shared" si="572"/>
        <v>1881</v>
      </c>
      <c r="R810">
        <f t="shared" si="572"/>
        <v>2706.3673469387754</v>
      </c>
      <c r="S810">
        <f t="shared" si="572"/>
        <v>3583.5306122448978</v>
      </c>
      <c r="T810">
        <f t="shared" si="572"/>
        <v>3722.4489795918366</v>
      </c>
      <c r="U810">
        <f t="shared" si="572"/>
        <v>1689.1836734693877</v>
      </c>
      <c r="V810">
        <f t="shared" si="572"/>
        <v>1643.3061224489795</v>
      </c>
      <c r="W810">
        <f t="shared" si="572"/>
        <v>1614.6734693877549</v>
      </c>
      <c r="Y810" s="17">
        <f t="shared" si="555"/>
        <v>47069.551020408158</v>
      </c>
      <c r="Z810">
        <f t="shared" si="556"/>
        <v>7898.6665597132642</v>
      </c>
    </row>
    <row r="811" spans="1:26" x14ac:dyDescent="0.25">
      <c r="A811" t="s">
        <v>60</v>
      </c>
      <c r="D811">
        <f t="shared" ref="D811:W811" si="573">D127*D163</f>
        <v>1804.408163265306</v>
      </c>
      <c r="E811">
        <f t="shared" si="573"/>
        <v>2280.0612244897957</v>
      </c>
      <c r="F811">
        <f t="shared" si="573"/>
        <v>2175.4285714285716</v>
      </c>
      <c r="G811">
        <f t="shared" si="573"/>
        <v>1910.8571428571429</v>
      </c>
      <c r="H811">
        <f t="shared" si="573"/>
        <v>1626</v>
      </c>
      <c r="I811">
        <f t="shared" si="573"/>
        <v>2098.2857142857142</v>
      </c>
      <c r="J811">
        <f t="shared" si="573"/>
        <v>2482.1020408163263</v>
      </c>
      <c r="K811">
        <f t="shared" si="573"/>
        <v>3361.2857142857147</v>
      </c>
      <c r="L811">
        <f t="shared" si="573"/>
        <v>3088.5</v>
      </c>
      <c r="M811">
        <f t="shared" si="573"/>
        <v>2755.1020408163263</v>
      </c>
      <c r="N811">
        <f t="shared" si="573"/>
        <v>1923.4693877551019</v>
      </c>
      <c r="O811">
        <f t="shared" si="573"/>
        <v>1595.3877551020407</v>
      </c>
      <c r="P811">
        <f t="shared" si="573"/>
        <v>2444.2857142857147</v>
      </c>
      <c r="Q811">
        <f t="shared" si="573"/>
        <v>3332.7551020408164</v>
      </c>
      <c r="R811">
        <f t="shared" si="573"/>
        <v>2488.0408163265311</v>
      </c>
      <c r="S811">
        <f t="shared" si="573"/>
        <v>2175.3061224489797</v>
      </c>
      <c r="T811">
        <f t="shared" si="573"/>
        <v>2829.2244897959185</v>
      </c>
      <c r="U811">
        <f t="shared" si="573"/>
        <v>2002.2857142857142</v>
      </c>
      <c r="V811">
        <f t="shared" si="573"/>
        <v>591.65714285714296</v>
      </c>
      <c r="W811">
        <f t="shared" si="573"/>
        <v>1221.6326530612246</v>
      </c>
      <c r="Y811" s="17">
        <f t="shared" si="555"/>
        <v>44186.075510204086</v>
      </c>
      <c r="Z811">
        <f t="shared" si="556"/>
        <v>7583.8379412940803</v>
      </c>
    </row>
    <row r="812" spans="1:26" x14ac:dyDescent="0.25">
      <c r="A812" t="s">
        <v>61</v>
      </c>
      <c r="D812">
        <f t="shared" ref="D812:W812" si="574">D128*D164</f>
        <v>2935.4693877551022</v>
      </c>
      <c r="E812">
        <f t="shared" si="574"/>
        <v>2742.8571428571427</v>
      </c>
      <c r="F812">
        <f t="shared" si="574"/>
        <v>2670</v>
      </c>
      <c r="G812">
        <f t="shared" si="574"/>
        <v>3129.7959183673465</v>
      </c>
      <c r="H812">
        <f t="shared" si="574"/>
        <v>2853.0612244897957</v>
      </c>
      <c r="I812">
        <f t="shared" si="574"/>
        <v>2882.9387755102043</v>
      </c>
      <c r="J812">
        <f t="shared" si="574"/>
        <v>3003.2653061224496</v>
      </c>
      <c r="K812">
        <f t="shared" si="574"/>
        <v>3376.1020408163267</v>
      </c>
      <c r="L812">
        <f t="shared" si="574"/>
        <v>3016.40625</v>
      </c>
      <c r="M812">
        <f t="shared" si="574"/>
        <v>308.61</v>
      </c>
      <c r="N812">
        <f t="shared" si="574"/>
        <v>314.52836734693881</v>
      </c>
      <c r="O812">
        <f t="shared" si="574"/>
        <v>358.73</v>
      </c>
      <c r="P812">
        <f t="shared" si="574"/>
        <v>293.00081632653064</v>
      </c>
      <c r="Q812">
        <f t="shared" si="574"/>
        <v>313.29836734693879</v>
      </c>
      <c r="R812">
        <f t="shared" si="574"/>
        <v>284.74285714285713</v>
      </c>
      <c r="S812">
        <f t="shared" si="574"/>
        <v>409.81999999999994</v>
      </c>
      <c r="T812">
        <f t="shared" si="574"/>
        <v>445.7148979591837</v>
      </c>
      <c r="U812">
        <f t="shared" si="574"/>
        <v>486.24795918367346</v>
      </c>
      <c r="V812">
        <f t="shared" si="574"/>
        <v>542.26224489795914</v>
      </c>
      <c r="W812">
        <f t="shared" si="574"/>
        <v>634.23081632653077</v>
      </c>
      <c r="Y812" s="17">
        <f t="shared" si="555"/>
        <v>31001.082372448978</v>
      </c>
      <c r="Z812">
        <f t="shared" si="556"/>
        <v>3143.0024833559628</v>
      </c>
    </row>
    <row r="813" spans="1:26" x14ac:dyDescent="0.25">
      <c r="A813" t="s">
        <v>62</v>
      </c>
      <c r="D813">
        <f t="shared" ref="D813:W813" si="575">D129*D165</f>
        <v>660.10000000000014</v>
      </c>
      <c r="E813">
        <f t="shared" si="575"/>
        <v>636.68571428571431</v>
      </c>
      <c r="F813">
        <f t="shared" si="575"/>
        <v>699.49489795918373</v>
      </c>
      <c r="G813">
        <f t="shared" si="575"/>
        <v>560.31775510204079</v>
      </c>
      <c r="H813">
        <f t="shared" si="575"/>
        <v>498.82040816326531</v>
      </c>
      <c r="I813">
        <f t="shared" si="575"/>
        <v>449.49836734693878</v>
      </c>
      <c r="J813">
        <f t="shared" si="575"/>
        <v>377.1765306122449</v>
      </c>
      <c r="K813">
        <f t="shared" si="575"/>
        <v>459.30612244897952</v>
      </c>
      <c r="L813">
        <f t="shared" si="575"/>
        <v>458.56640625</v>
      </c>
      <c r="M813">
        <f t="shared" si="575"/>
        <v>3947.632653061225</v>
      </c>
      <c r="N813">
        <f t="shared" si="575"/>
        <v>3145.5306122448978</v>
      </c>
      <c r="O813">
        <f t="shared" si="575"/>
        <v>2698.9387755102039</v>
      </c>
      <c r="P813">
        <f t="shared" si="575"/>
        <v>2947.2857142857142</v>
      </c>
      <c r="Q813">
        <f t="shared" si="575"/>
        <v>3569.8163265306121</v>
      </c>
      <c r="R813">
        <f t="shared" si="575"/>
        <v>4449.7755102040819</v>
      </c>
      <c r="S813">
        <f t="shared" si="575"/>
        <v>3821.8367346938771</v>
      </c>
      <c r="T813">
        <f t="shared" si="575"/>
        <v>1607.4489795918366</v>
      </c>
      <c r="U813">
        <f t="shared" si="575"/>
        <v>2836.8163265306121</v>
      </c>
      <c r="V813">
        <f t="shared" si="575"/>
        <v>3465.9591836734694</v>
      </c>
      <c r="W813">
        <f t="shared" si="575"/>
        <v>1619.9183673469386</v>
      </c>
      <c r="Y813" s="17">
        <f t="shared" si="555"/>
        <v>38910.925385841838</v>
      </c>
      <c r="Z813">
        <f t="shared" si="556"/>
        <v>8713.4036269566095</v>
      </c>
    </row>
    <row r="814" spans="1:26" x14ac:dyDescent="0.25">
      <c r="A814" t="s">
        <v>63</v>
      </c>
      <c r="D814">
        <f t="shared" ref="D814:W814" si="576">D130*D166</f>
        <v>3128.9387755102043</v>
      </c>
      <c r="E814">
        <f t="shared" si="576"/>
        <v>3060.4285714285711</v>
      </c>
      <c r="F814">
        <f t="shared" si="576"/>
        <v>3556.9387755102043</v>
      </c>
      <c r="G814">
        <f t="shared" si="576"/>
        <v>2595.1428571428569</v>
      </c>
      <c r="H814">
        <f t="shared" si="576"/>
        <v>3064.7551020408159</v>
      </c>
      <c r="I814">
        <f t="shared" si="576"/>
        <v>3480.8163265306121</v>
      </c>
      <c r="J814">
        <f t="shared" si="576"/>
        <v>3960.2448979591836</v>
      </c>
      <c r="K814">
        <f t="shared" si="576"/>
        <v>3039.1836734693879</v>
      </c>
      <c r="L814">
        <f t="shared" si="576"/>
        <v>2702.71875</v>
      </c>
      <c r="M814">
        <f t="shared" si="576"/>
        <v>4649.5714285714284</v>
      </c>
      <c r="N814">
        <f t="shared" si="576"/>
        <v>3030</v>
      </c>
      <c r="O814">
        <f t="shared" si="576"/>
        <v>3456.6530612244901</v>
      </c>
      <c r="P814">
        <f t="shared" si="576"/>
        <v>2489.4489795918366</v>
      </c>
      <c r="Q814">
        <f t="shared" si="576"/>
        <v>2557.6734693877552</v>
      </c>
      <c r="R814">
        <f t="shared" si="576"/>
        <v>2148.7142857142858</v>
      </c>
      <c r="S814">
        <f t="shared" si="576"/>
        <v>2675.7551020408164</v>
      </c>
      <c r="T814">
        <f t="shared" si="576"/>
        <v>2530.9591836734694</v>
      </c>
      <c r="U814">
        <f t="shared" si="576"/>
        <v>1743.6734693877549</v>
      </c>
      <c r="V814">
        <f t="shared" si="576"/>
        <v>2384.8571428571427</v>
      </c>
      <c r="W814">
        <f t="shared" si="576"/>
        <v>1945.7551020408164</v>
      </c>
      <c r="Y814" s="17">
        <f t="shared" si="555"/>
        <v>58202.228954081613</v>
      </c>
      <c r="Z814">
        <f t="shared" si="556"/>
        <v>9793.7743033977858</v>
      </c>
    </row>
    <row r="815" spans="1:26" x14ac:dyDescent="0.25">
      <c r="A815" t="s">
        <v>64</v>
      </c>
      <c r="D815">
        <f t="shared" ref="D815:W815" si="577">D131*D167</f>
        <v>2525</v>
      </c>
      <c r="E815">
        <f t="shared" si="577"/>
        <v>3112.7142857142858</v>
      </c>
      <c r="F815">
        <f t="shared" si="577"/>
        <v>4869.3265306122448</v>
      </c>
      <c r="G815">
        <f t="shared" si="577"/>
        <v>2997.0612244897961</v>
      </c>
      <c r="H815">
        <f t="shared" si="577"/>
        <v>3433.8571428571431</v>
      </c>
      <c r="I815">
        <f t="shared" si="577"/>
        <v>4350.2857142857138</v>
      </c>
      <c r="J815">
        <f t="shared" si="577"/>
        <v>4558.7755102040819</v>
      </c>
      <c r="K815">
        <f t="shared" si="577"/>
        <v>3678.8571428571427</v>
      </c>
      <c r="L815">
        <f t="shared" si="577"/>
        <v>4161.75</v>
      </c>
      <c r="M815">
        <f t="shared" si="577"/>
        <v>4291.1428571428578</v>
      </c>
      <c r="N815">
        <f t="shared" si="577"/>
        <v>2938.0408163265301</v>
      </c>
      <c r="O815">
        <f t="shared" si="577"/>
        <v>2897.9591836734694</v>
      </c>
      <c r="P815">
        <f t="shared" si="577"/>
        <v>2918.9387755102043</v>
      </c>
      <c r="Q815">
        <f t="shared" si="577"/>
        <v>3449.3877551020405</v>
      </c>
      <c r="R815">
        <f t="shared" si="577"/>
        <v>3864.3673469387759</v>
      </c>
      <c r="S815">
        <f t="shared" si="577"/>
        <v>3033.7551020408159</v>
      </c>
      <c r="T815">
        <f t="shared" si="577"/>
        <v>2189.9591836734694</v>
      </c>
      <c r="U815">
        <f t="shared" si="577"/>
        <v>2788.7346938775513</v>
      </c>
      <c r="V815">
        <f t="shared" si="577"/>
        <v>1906.8571428571429</v>
      </c>
      <c r="W815">
        <f t="shared" si="577"/>
        <v>1877.9591836734696</v>
      </c>
      <c r="Y815" s="17">
        <f t="shared" si="555"/>
        <v>65844.729591836745</v>
      </c>
      <c r="Z815">
        <f t="shared" si="556"/>
        <v>11401.279725980339</v>
      </c>
    </row>
    <row r="816" spans="1:26" x14ac:dyDescent="0.25">
      <c r="A816" t="s">
        <v>65</v>
      </c>
      <c r="D816">
        <f t="shared" ref="D816:W816" si="578">D132*D168</f>
        <v>2590.9795918367345</v>
      </c>
      <c r="E816">
        <f t="shared" si="578"/>
        <v>2735.2653061224491</v>
      </c>
      <c r="F816">
        <f t="shared" si="578"/>
        <v>1941.8367346938776</v>
      </c>
      <c r="G816">
        <f t="shared" si="578"/>
        <v>1560.4897959183675</v>
      </c>
      <c r="H816">
        <f t="shared" si="578"/>
        <v>2551.6530612244896</v>
      </c>
      <c r="I816">
        <f t="shared" si="578"/>
        <v>3303.1836734693884</v>
      </c>
      <c r="J816">
        <f t="shared" si="578"/>
        <v>2941.7142857142858</v>
      </c>
      <c r="K816">
        <f t="shared" si="578"/>
        <v>2853.2244897959181</v>
      </c>
      <c r="L816">
        <f t="shared" si="578"/>
        <v>3005.484375</v>
      </c>
      <c r="M816">
        <f t="shared" si="578"/>
        <v>3530.9387755102043</v>
      </c>
      <c r="N816">
        <f t="shared" si="578"/>
        <v>2794</v>
      </c>
      <c r="O816">
        <f t="shared" si="578"/>
        <v>2758.5306122448978</v>
      </c>
      <c r="P816">
        <f t="shared" si="578"/>
        <v>2305.204081632653</v>
      </c>
      <c r="Q816">
        <f t="shared" si="578"/>
        <v>4561.2244897959181</v>
      </c>
      <c r="R816">
        <f t="shared" si="578"/>
        <v>4293</v>
      </c>
      <c r="S816">
        <f t="shared" si="578"/>
        <v>1949.8979591836735</v>
      </c>
      <c r="T816">
        <f t="shared" si="578"/>
        <v>1869.5102040816328</v>
      </c>
      <c r="U816">
        <f t="shared" si="578"/>
        <v>985.95918367346928</v>
      </c>
      <c r="V816">
        <f t="shared" si="578"/>
        <v>1637.4285714285716</v>
      </c>
      <c r="W816">
        <f t="shared" si="578"/>
        <v>1595.9183673469386</v>
      </c>
      <c r="Y816" s="17">
        <f t="shared" si="555"/>
        <v>51765.443558673469</v>
      </c>
      <c r="Z816">
        <f t="shared" si="556"/>
        <v>9800.4319122795532</v>
      </c>
    </row>
    <row r="817" spans="1:26" x14ac:dyDescent="0.25">
      <c r="A817" t="s">
        <v>66</v>
      </c>
      <c r="D817">
        <f t="shared" ref="D817:W817" si="579">D133*D169</f>
        <v>2248</v>
      </c>
      <c r="E817">
        <f t="shared" si="579"/>
        <v>1943.3877551020407</v>
      </c>
      <c r="F817">
        <f t="shared" si="579"/>
        <v>2153.7551020408159</v>
      </c>
      <c r="G817">
        <f t="shared" si="579"/>
        <v>2519.6734693877552</v>
      </c>
      <c r="H817">
        <f t="shared" si="579"/>
        <v>2144.0816326530612</v>
      </c>
      <c r="I817">
        <f t="shared" si="579"/>
        <v>2207.1428571428569</v>
      </c>
      <c r="J817">
        <f t="shared" si="579"/>
        <v>3827.204081632653</v>
      </c>
      <c r="K817">
        <f t="shared" si="579"/>
        <v>3383.632653061225</v>
      </c>
      <c r="L817">
        <f t="shared" si="579"/>
        <v>3085.5</v>
      </c>
      <c r="M817">
        <f t="shared" si="579"/>
        <v>3439.6530612244896</v>
      </c>
      <c r="N817">
        <f t="shared" si="579"/>
        <v>4424</v>
      </c>
      <c r="O817">
        <f t="shared" si="579"/>
        <v>4347.4285714285716</v>
      </c>
      <c r="P817">
        <f t="shared" si="579"/>
        <v>3146.9183673469392</v>
      </c>
      <c r="Q817">
        <f t="shared" si="579"/>
        <v>2510.5714285714284</v>
      </c>
      <c r="R817">
        <f t="shared" si="579"/>
        <v>2929.5918367346935</v>
      </c>
      <c r="S817">
        <f t="shared" si="579"/>
        <v>2607.795918367347</v>
      </c>
      <c r="T817">
        <f t="shared" si="579"/>
        <v>1857.3061224489793</v>
      </c>
      <c r="U817">
        <f t="shared" si="579"/>
        <v>1913.591836734694</v>
      </c>
      <c r="V817">
        <f t="shared" si="579"/>
        <v>1606.5306122448978</v>
      </c>
      <c r="W817">
        <f t="shared" si="579"/>
        <v>1127.5510204081634</v>
      </c>
      <c r="Y817" s="17">
        <f t="shared" si="555"/>
        <v>53423.316326530614</v>
      </c>
      <c r="Z817">
        <f t="shared" si="556"/>
        <v>9294.6819942061447</v>
      </c>
    </row>
    <row r="818" spans="1:26" x14ac:dyDescent="0.25">
      <c r="A818" t="s">
        <v>67</v>
      </c>
      <c r="D818">
        <f t="shared" ref="D818:W818" si="580">D134*D170</f>
        <v>1815.387755102041</v>
      </c>
      <c r="E818">
        <f t="shared" si="580"/>
        <v>3236.6938775510207</v>
      </c>
      <c r="F818">
        <f t="shared" si="580"/>
        <v>5052.1428571428578</v>
      </c>
      <c r="G818">
        <f t="shared" si="580"/>
        <v>2794.8979591836733</v>
      </c>
      <c r="H818">
        <f t="shared" si="580"/>
        <v>2756.5714285714284</v>
      </c>
      <c r="I818">
        <f t="shared" si="580"/>
        <v>3093.6530612244901</v>
      </c>
      <c r="J818">
        <f t="shared" si="580"/>
        <v>3483.3469387755104</v>
      </c>
      <c r="K818">
        <f t="shared" si="580"/>
        <v>4703.591836734694</v>
      </c>
      <c r="L818">
        <f t="shared" si="580"/>
        <v>4365.1836734693879</v>
      </c>
      <c r="M818">
        <f t="shared" si="580"/>
        <v>4071.4285714285716</v>
      </c>
      <c r="N818">
        <f t="shared" si="580"/>
        <v>3072.5714285714289</v>
      </c>
      <c r="O818">
        <f t="shared" si="580"/>
        <v>3003.2653061224496</v>
      </c>
      <c r="P818">
        <f t="shared" si="580"/>
        <v>2704.8979591836733</v>
      </c>
      <c r="Q818">
        <f t="shared" si="580"/>
        <v>3084.0612244897957</v>
      </c>
      <c r="R818">
        <f t="shared" si="580"/>
        <v>3005.7142857142853</v>
      </c>
      <c r="S818">
        <f t="shared" si="580"/>
        <v>2056.6530612244896</v>
      </c>
      <c r="T818">
        <f t="shared" si="580"/>
        <v>1837.9591836734692</v>
      </c>
      <c r="U818">
        <f t="shared" si="580"/>
        <v>1842.9795918367347</v>
      </c>
      <c r="V818">
        <f t="shared" si="580"/>
        <v>1667.7346938775511</v>
      </c>
      <c r="W818">
        <f t="shared" si="580"/>
        <v>1171.8367346938776</v>
      </c>
      <c r="Y818" s="17">
        <f t="shared" si="555"/>
        <v>58820.571428571428</v>
      </c>
      <c r="Z818">
        <f t="shared" si="556"/>
        <v>10502.122307058855</v>
      </c>
    </row>
    <row r="819" spans="1:26" x14ac:dyDescent="0.25">
      <c r="A819" t="s">
        <v>68</v>
      </c>
      <c r="D819">
        <f t="shared" ref="D819:W819" si="581">D135*D171</f>
        <v>2414.8163265306111</v>
      </c>
      <c r="E819">
        <f t="shared" si="581"/>
        <v>2438.2040816326553</v>
      </c>
      <c r="F819">
        <f t="shared" si="581"/>
        <v>3483.2857142857142</v>
      </c>
      <c r="G819">
        <f t="shared" si="581"/>
        <v>3460.1020408163226</v>
      </c>
      <c r="H819">
        <f t="shared" si="581"/>
        <v>5507.3673469387759</v>
      </c>
      <c r="I819">
        <f t="shared" si="581"/>
        <v>3161.3061224489807</v>
      </c>
      <c r="J819">
        <f t="shared" si="581"/>
        <v>3650.1224489795895</v>
      </c>
      <c r="K819">
        <f t="shared" si="581"/>
        <v>3011.8367346938771</v>
      </c>
      <c r="L819">
        <f t="shared" si="581"/>
        <v>4020.046875</v>
      </c>
      <c r="M819">
        <f t="shared" si="581"/>
        <v>3319.4489795918344</v>
      </c>
      <c r="N819">
        <f t="shared" si="581"/>
        <v>3090.2040816326526</v>
      </c>
      <c r="O819">
        <f t="shared" si="581"/>
        <v>3325.2244897959217</v>
      </c>
      <c r="P819">
        <f t="shared" si="581"/>
        <v>3373.9591836734694</v>
      </c>
      <c r="Q819">
        <f t="shared" si="581"/>
        <v>3225.7755102040815</v>
      </c>
      <c r="R819">
        <f t="shared" si="581"/>
        <v>4300.3061224489829</v>
      </c>
      <c r="S819">
        <f t="shared" si="581"/>
        <v>3232.6530612244901</v>
      </c>
      <c r="T819">
        <f t="shared" si="581"/>
        <v>2109.1836734693875</v>
      </c>
      <c r="U819">
        <f t="shared" si="581"/>
        <v>2356.0408163265306</v>
      </c>
      <c r="V819">
        <f t="shared" si="581"/>
        <v>1400.8163265306121</v>
      </c>
      <c r="W819">
        <f t="shared" si="581"/>
        <v>1056.1224489795918</v>
      </c>
      <c r="Y819" s="17">
        <f t="shared" si="555"/>
        <v>61936.82238520409</v>
      </c>
      <c r="Z819">
        <f t="shared" si="556"/>
        <v>10481.811218053597</v>
      </c>
    </row>
    <row r="820" spans="1:26" x14ac:dyDescent="0.25">
      <c r="A820" t="s">
        <v>69</v>
      </c>
      <c r="D820">
        <f t="shared" ref="D820:W820" si="582">D136*D172</f>
        <v>2871.7346938775509</v>
      </c>
      <c r="E820">
        <f t="shared" si="582"/>
        <v>2707.7142857142858</v>
      </c>
      <c r="F820">
        <f t="shared" si="582"/>
        <v>2903.5102040816328</v>
      </c>
      <c r="G820">
        <f t="shared" si="582"/>
        <v>2687.5102040816323</v>
      </c>
      <c r="H820">
        <f t="shared" si="582"/>
        <v>2199.6734693877552</v>
      </c>
      <c r="I820">
        <f t="shared" si="582"/>
        <v>3290.8163265306121</v>
      </c>
      <c r="J820">
        <f t="shared" si="582"/>
        <v>2438.5714285714289</v>
      </c>
      <c r="K820">
        <f t="shared" si="582"/>
        <v>3388.6530612244901</v>
      </c>
      <c r="L820">
        <f t="shared" si="582"/>
        <v>2919.375</v>
      </c>
      <c r="M820">
        <f t="shared" si="582"/>
        <v>3494.3657142857137</v>
      </c>
      <c r="N820">
        <f t="shared" si="582"/>
        <v>4414.2642857142855</v>
      </c>
      <c r="O820">
        <f t="shared" si="582"/>
        <v>3919.9542857142856</v>
      </c>
      <c r="P820">
        <f t="shared" si="582"/>
        <v>2331.8357142857139</v>
      </c>
      <c r="Q820">
        <f t="shared" si="582"/>
        <v>2571.4285714285716</v>
      </c>
      <c r="R820">
        <f t="shared" si="582"/>
        <v>1809.7649999999999</v>
      </c>
      <c r="S820">
        <f t="shared" si="582"/>
        <v>2361.4285714285711</v>
      </c>
      <c r="T820">
        <f t="shared" si="582"/>
        <v>2242.6530612244896</v>
      </c>
      <c r="U820">
        <f t="shared" si="582"/>
        <v>2108.4489795918371</v>
      </c>
      <c r="V820">
        <f t="shared" si="582"/>
        <v>1679.8775510204082</v>
      </c>
      <c r="W820">
        <f t="shared" si="582"/>
        <v>1145.8367346938774</v>
      </c>
      <c r="Y820" s="17">
        <f t="shared" si="555"/>
        <v>53487.417142857135</v>
      </c>
      <c r="Z820">
        <f t="shared" si="556"/>
        <v>9068.8375555023958</v>
      </c>
    </row>
    <row r="821" spans="1:26" x14ac:dyDescent="0.25">
      <c r="Y821" s="17"/>
    </row>
    <row r="822" spans="1:26" x14ac:dyDescent="0.25">
      <c r="A822" t="s">
        <v>70</v>
      </c>
      <c r="D822">
        <f t="shared" ref="D822:W822" si="583">D138*D174</f>
        <v>2390.4489795918366</v>
      </c>
      <c r="E822">
        <f t="shared" si="583"/>
        <v>2287.9591836734694</v>
      </c>
      <c r="F822">
        <f t="shared" si="583"/>
        <v>3075.4285714285716</v>
      </c>
      <c r="G822">
        <f t="shared" si="583"/>
        <v>2438.1020408163267</v>
      </c>
      <c r="H822">
        <f t="shared" si="583"/>
        <v>2803.2857142857142</v>
      </c>
      <c r="I822">
        <f t="shared" si="583"/>
        <v>3061.5510204081629</v>
      </c>
      <c r="J822">
        <f t="shared" si="583"/>
        <v>2934.5306122448983</v>
      </c>
      <c r="K822">
        <f t="shared" si="583"/>
        <v>2546.9387755102043</v>
      </c>
      <c r="L822">
        <f t="shared" si="583"/>
        <v>2995.0625</v>
      </c>
      <c r="M822">
        <f t="shared" si="583"/>
        <v>3422.4489795918366</v>
      </c>
      <c r="N822">
        <f t="shared" si="583"/>
        <v>3401.3265306122453</v>
      </c>
      <c r="O822">
        <f t="shared" si="583"/>
        <v>3913.6530612244896</v>
      </c>
      <c r="P822">
        <f t="shared" si="583"/>
        <v>2050.8571428571431</v>
      </c>
      <c r="Q822">
        <f t="shared" si="583"/>
        <v>2912.6530612244901</v>
      </c>
      <c r="R822">
        <f t="shared" si="583"/>
        <v>2347.7142857142858</v>
      </c>
      <c r="S822">
        <f t="shared" si="583"/>
        <v>2459.7181447124299</v>
      </c>
      <c r="T822">
        <f t="shared" si="583"/>
        <v>3061.632653061225</v>
      </c>
      <c r="U822">
        <f t="shared" si="583"/>
        <v>2037.5510204081634</v>
      </c>
      <c r="V822">
        <f t="shared" si="583"/>
        <v>1570</v>
      </c>
      <c r="W822">
        <f t="shared" si="583"/>
        <v>2232.9795918367345</v>
      </c>
      <c r="Y822" s="17">
        <f t="shared" si="555"/>
        <v>53943.841869202224</v>
      </c>
      <c r="Z822">
        <f>SUMPRODUCT($D$826:$W$826,D822:W822)</f>
        <v>9001.4008709394093</v>
      </c>
    </row>
    <row r="823" spans="1:26" x14ac:dyDescent="0.25">
      <c r="A823" t="s">
        <v>314</v>
      </c>
      <c r="D823">
        <f t="shared" ref="D823:W823" si="584">D139*D175</f>
        <v>4250.3877551020405</v>
      </c>
      <c r="E823">
        <f t="shared" si="584"/>
        <v>3790.1428571428569</v>
      </c>
      <c r="F823">
        <f t="shared" si="584"/>
        <v>3173.1020408163267</v>
      </c>
      <c r="G823">
        <f t="shared" si="584"/>
        <v>2942.2653061224487</v>
      </c>
      <c r="H823">
        <f t="shared" si="584"/>
        <v>3294.7551020408159</v>
      </c>
      <c r="I823">
        <f t="shared" si="584"/>
        <v>3646.2244897959181</v>
      </c>
      <c r="J823">
        <f t="shared" si="584"/>
        <v>3566.6938775510203</v>
      </c>
      <c r="K823">
        <f t="shared" si="584"/>
        <v>3764.9387755102039</v>
      </c>
      <c r="L823">
        <f t="shared" si="584"/>
        <v>3847.421875</v>
      </c>
      <c r="M823">
        <f t="shared" si="584"/>
        <v>4958.2448979591836</v>
      </c>
      <c r="N823">
        <f t="shared" si="584"/>
        <v>4493.0612244897966</v>
      </c>
      <c r="O823">
        <f t="shared" si="584"/>
        <v>3912</v>
      </c>
      <c r="P823">
        <f t="shared" si="584"/>
        <v>6499</v>
      </c>
      <c r="Q823">
        <f t="shared" si="584"/>
        <v>3906</v>
      </c>
      <c r="R823">
        <f t="shared" si="584"/>
        <v>3688.7999999999997</v>
      </c>
      <c r="S823">
        <f t="shared" si="584"/>
        <v>3663.6</v>
      </c>
      <c r="T823">
        <f t="shared" si="584"/>
        <v>3908.0816326530612</v>
      </c>
      <c r="U823">
        <f t="shared" si="584"/>
        <v>2864.4897959183677</v>
      </c>
      <c r="V823">
        <f t="shared" si="584"/>
        <v>2537.1428571428573</v>
      </c>
      <c r="W823">
        <f t="shared" si="584"/>
        <v>2048.9387755102043</v>
      </c>
      <c r="Y823" s="17">
        <f t="shared" si="555"/>
        <v>74755.291262755098</v>
      </c>
      <c r="Z823">
        <f>SUMPRODUCT($D$826:$W$826,D823:W823)</f>
        <v>12770.66735152824</v>
      </c>
    </row>
    <row r="824" spans="1:26" x14ac:dyDescent="0.25">
      <c r="A824" t="s">
        <v>315</v>
      </c>
      <c r="D824">
        <f t="shared" ref="D824:W824" si="585">D140*D176</f>
        <v>3227.6326530612241</v>
      </c>
      <c r="E824">
        <f t="shared" si="585"/>
        <v>3296.632653061225</v>
      </c>
      <c r="F824">
        <f t="shared" si="585"/>
        <v>4571.2653061224491</v>
      </c>
      <c r="G824">
        <f t="shared" si="585"/>
        <v>3353.1428571428569</v>
      </c>
      <c r="H824">
        <f t="shared" si="585"/>
        <v>3938.8979591836737</v>
      </c>
      <c r="I824">
        <f t="shared" si="585"/>
        <v>3515.9183673469392</v>
      </c>
      <c r="J824">
        <f t="shared" si="585"/>
        <v>6136.7346938775518</v>
      </c>
      <c r="K824">
        <f t="shared" si="585"/>
        <v>4579.1428571428569</v>
      </c>
      <c r="L824">
        <f t="shared" si="585"/>
        <v>2336.625</v>
      </c>
      <c r="M824">
        <f t="shared" si="585"/>
        <v>4165.6400000000003</v>
      </c>
      <c r="N824">
        <f t="shared" si="585"/>
        <v>3967.56</v>
      </c>
      <c r="O824">
        <f t="shared" si="585"/>
        <v>3937.37</v>
      </c>
      <c r="P824">
        <f t="shared" si="585"/>
        <v>2390.9805759637184</v>
      </c>
      <c r="Q824">
        <f t="shared" si="585"/>
        <v>2546.0430884353741</v>
      </c>
      <c r="R824">
        <f t="shared" si="585"/>
        <v>2658.4320408163262</v>
      </c>
      <c r="S824">
        <f t="shared" si="585"/>
        <v>2356.6289070294783</v>
      </c>
      <c r="T824">
        <f t="shared" si="585"/>
        <v>3089.6326530612246</v>
      </c>
      <c r="U824">
        <f t="shared" si="585"/>
        <v>4417.4693877551026</v>
      </c>
      <c r="V824">
        <f t="shared" si="585"/>
        <v>2771.4489795918366</v>
      </c>
      <c r="W824">
        <f t="shared" si="585"/>
        <v>3035.1020408163267</v>
      </c>
      <c r="Y824" s="17">
        <f t="shared" si="555"/>
        <v>70292.300020408176</v>
      </c>
      <c r="Z824">
        <f>SUMPRODUCT($D$826:$W$826,D824:W824)</f>
        <v>11021.503642027144</v>
      </c>
    </row>
    <row r="825" spans="1:26" x14ac:dyDescent="0.25">
      <c r="A825" t="s">
        <v>677</v>
      </c>
      <c r="D825">
        <f t="shared" ref="D825:W825" si="586">D141*D177</f>
        <v>3091.7755102040815</v>
      </c>
      <c r="E825">
        <f t="shared" si="586"/>
        <v>2821.3265306122453</v>
      </c>
      <c r="F825">
        <f t="shared" si="586"/>
        <v>2995.2857142857147</v>
      </c>
      <c r="G825">
        <f t="shared" si="586"/>
        <v>2466.7346938775509</v>
      </c>
      <c r="H825">
        <f t="shared" si="586"/>
        <v>2291.9591836734694</v>
      </c>
      <c r="I825">
        <f t="shared" si="586"/>
        <v>2728.6734693877552</v>
      </c>
      <c r="J825">
        <f t="shared" si="586"/>
        <v>2765.6938775510207</v>
      </c>
      <c r="K825">
        <f t="shared" si="586"/>
        <v>2377.7755102040815</v>
      </c>
      <c r="L825">
        <f t="shared" si="586"/>
        <v>1938.65625</v>
      </c>
      <c r="M825">
        <f t="shared" si="586"/>
        <v>3429.4897959183672</v>
      </c>
      <c r="N825">
        <f t="shared" si="586"/>
        <v>3638.6938775510207</v>
      </c>
      <c r="O825">
        <f t="shared" si="586"/>
        <v>1051.795918367347</v>
      </c>
      <c r="P825">
        <f t="shared" si="586"/>
        <v>3137.5102040816328</v>
      </c>
      <c r="Q825">
        <f t="shared" si="586"/>
        <v>3557.7142857142858</v>
      </c>
      <c r="R825">
        <f t="shared" si="586"/>
        <v>1928.8163265306121</v>
      </c>
      <c r="S825">
        <f t="shared" si="586"/>
        <v>2598.9772594752189</v>
      </c>
      <c r="T825">
        <f t="shared" si="586"/>
        <v>2168.6021538461541</v>
      </c>
      <c r="U825">
        <f t="shared" si="586"/>
        <v>1849.6364566046198</v>
      </c>
      <c r="V825">
        <f t="shared" si="586"/>
        <v>1730.1171336622558</v>
      </c>
      <c r="W825">
        <f t="shared" si="586"/>
        <v>1666.0579098452563</v>
      </c>
      <c r="Y825" s="17">
        <f t="shared" ref="Y825" si="587">SUM(D825:W825)</f>
        <v>50235.292061392698</v>
      </c>
      <c r="Z825">
        <f>SUMPRODUCT($D$826:$W$826,D825:W825)</f>
        <v>8308.5664425400519</v>
      </c>
    </row>
    <row r="826" spans="1:26" x14ac:dyDescent="0.25">
      <c r="A826" s="2" t="s">
        <v>71</v>
      </c>
      <c r="D826" s="3">
        <f>CORREL($B$2:$B$28,D794:D820)</f>
        <v>-1.9222233177193529E-2</v>
      </c>
      <c r="E826" s="3">
        <f t="shared" ref="E826:W826" si="588">CORREL($B$2:$B$28,E794:E820)</f>
        <v>0.24503846592456391</v>
      </c>
      <c r="F826" s="3">
        <f t="shared" si="588"/>
        <v>0.27699872436952394</v>
      </c>
      <c r="G826" s="3">
        <f t="shared" si="588"/>
        <v>-0.27564070343975267</v>
      </c>
      <c r="H826" s="3">
        <f t="shared" si="588"/>
        <v>0.1138717183336628</v>
      </c>
      <c r="I826" s="3">
        <f t="shared" si="588"/>
        <v>0.1641276162866574</v>
      </c>
      <c r="J826" s="3">
        <f t="shared" si="588"/>
        <v>9.3459638283147961E-2</v>
      </c>
      <c r="K826" s="3">
        <f t="shared" si="588"/>
        <v>0.12732037835753771</v>
      </c>
      <c r="L826" s="3">
        <f t="shared" si="588"/>
        <v>0.1224377240239968</v>
      </c>
      <c r="M826" s="3">
        <f t="shared" si="588"/>
        <v>0.39019902946973634</v>
      </c>
      <c r="N826" s="3">
        <f t="shared" si="588"/>
        <v>0.18464646136224278</v>
      </c>
      <c r="O826" s="3">
        <f t="shared" si="588"/>
        <v>0.3121119740978841</v>
      </c>
      <c r="P826" s="3">
        <f t="shared" si="588"/>
        <v>0.16848025214062989</v>
      </c>
      <c r="Q826" s="3">
        <f t="shared" si="588"/>
        <v>0.39590271310867892</v>
      </c>
      <c r="R826" s="3">
        <f t="shared" si="588"/>
        <v>0.35420955592638553</v>
      </c>
      <c r="S826" s="3">
        <f t="shared" si="588"/>
        <v>0.18628098687602279</v>
      </c>
      <c r="T826" s="3">
        <f t="shared" si="588"/>
        <v>6.8249612449038821E-2</v>
      </c>
      <c r="U826" s="3">
        <f t="shared" si="588"/>
        <v>0.16957898927091231</v>
      </c>
      <c r="V826" s="3">
        <f t="shared" si="588"/>
        <v>0.21651834228233474</v>
      </c>
      <c r="W826" s="3">
        <f t="shared" si="588"/>
        <v>-0.15580654019974852</v>
      </c>
    </row>
    <row r="829" spans="1:26" x14ac:dyDescent="0.25">
      <c r="D829" t="s">
        <v>260</v>
      </c>
      <c r="E829" t="s">
        <v>261</v>
      </c>
      <c r="F829" t="s">
        <v>262</v>
      </c>
      <c r="G829" t="s">
        <v>263</v>
      </c>
      <c r="H829" t="s">
        <v>264</v>
      </c>
      <c r="I829" t="s">
        <v>265</v>
      </c>
      <c r="J829" t="s">
        <v>266</v>
      </c>
      <c r="K829" t="s">
        <v>267</v>
      </c>
      <c r="L829" t="s">
        <v>363</v>
      </c>
      <c r="M829" t="s">
        <v>437</v>
      </c>
      <c r="N829" t="s">
        <v>438</v>
      </c>
      <c r="O829" t="s">
        <v>439</v>
      </c>
      <c r="P829" t="s">
        <v>545</v>
      </c>
      <c r="Q829" t="s">
        <v>546</v>
      </c>
      <c r="R829" t="s">
        <v>547</v>
      </c>
      <c r="S829" t="s">
        <v>548</v>
      </c>
      <c r="T829" t="s">
        <v>657</v>
      </c>
      <c r="U829" t="s">
        <v>658</v>
      </c>
      <c r="V829" t="s">
        <v>659</v>
      </c>
      <c r="W829" t="s">
        <v>660</v>
      </c>
      <c r="Y829" t="s">
        <v>268</v>
      </c>
      <c r="Z829" t="s">
        <v>269</v>
      </c>
    </row>
    <row r="830" spans="1:26" x14ac:dyDescent="0.25">
      <c r="A830" t="s">
        <v>43</v>
      </c>
      <c r="D830">
        <f t="shared" ref="D830:W830" si="589">D110*D182</f>
        <v>1095.2448979591836</v>
      </c>
      <c r="E830">
        <f t="shared" si="589"/>
        <v>913.71428571428567</v>
      </c>
      <c r="F830">
        <f t="shared" si="589"/>
        <v>809.52653061224498</v>
      </c>
      <c r="G830">
        <f t="shared" si="589"/>
        <v>988.53061224489795</v>
      </c>
      <c r="H830">
        <f t="shared" si="589"/>
        <v>902.39795918367338</v>
      </c>
      <c r="I830">
        <f t="shared" si="589"/>
        <v>716.28571428571422</v>
      </c>
      <c r="J830">
        <f t="shared" si="589"/>
        <v>946.00612244897957</v>
      </c>
      <c r="K830">
        <f t="shared" si="589"/>
        <v>866.71836734693863</v>
      </c>
      <c r="L830">
        <f t="shared" si="589"/>
        <v>1035.5718750000001</v>
      </c>
      <c r="M830">
        <f t="shared" si="589"/>
        <v>355.64081632653063</v>
      </c>
      <c r="N830">
        <f t="shared" si="589"/>
        <v>462.33877551020413</v>
      </c>
      <c r="O830">
        <f t="shared" si="589"/>
        <v>740.27346938775509</v>
      </c>
      <c r="P830">
        <f t="shared" si="589"/>
        <v>659.17959183673463</v>
      </c>
      <c r="Q830">
        <f t="shared" si="589"/>
        <v>730.89795918367338</v>
      </c>
      <c r="R830">
        <f t="shared" si="589"/>
        <v>762.41632653061208</v>
      </c>
      <c r="S830">
        <f t="shared" si="589"/>
        <v>661.9591836734694</v>
      </c>
      <c r="T830">
        <f t="shared" si="589"/>
        <v>433.42857142857144</v>
      </c>
      <c r="U830">
        <f t="shared" si="589"/>
        <v>429.55510204081639</v>
      </c>
      <c r="V830">
        <f t="shared" si="589"/>
        <v>857.07959183673461</v>
      </c>
      <c r="W830">
        <f t="shared" si="589"/>
        <v>723.86122448979586</v>
      </c>
      <c r="Y830" s="17">
        <f t="shared" ref="Y830:Y860" si="590">SUM(D830:W830)</f>
        <v>15090.62697704082</v>
      </c>
      <c r="Z830">
        <f t="shared" ref="Z830:Z856" si="591">SUMPRODUCT($D$862:$W$862,D830:W830)</f>
        <v>638.25029093098453</v>
      </c>
    </row>
    <row r="831" spans="1:26" x14ac:dyDescent="0.25">
      <c r="A831" t="s">
        <v>44</v>
      </c>
      <c r="D831">
        <f t="shared" ref="D831:W831" si="592">D111*D183</f>
        <v>928.75</v>
      </c>
      <c r="E831">
        <f t="shared" si="592"/>
        <v>572.88</v>
      </c>
      <c r="F831">
        <f t="shared" si="592"/>
        <v>636.4799999999999</v>
      </c>
      <c r="G831">
        <f t="shared" si="592"/>
        <v>771.12000000000012</v>
      </c>
      <c r="H831">
        <f t="shared" si="592"/>
        <v>925.12000000000012</v>
      </c>
      <c r="I831">
        <f t="shared" si="592"/>
        <v>558.4799999999999</v>
      </c>
      <c r="J831">
        <f t="shared" si="592"/>
        <v>6017.6799999999994</v>
      </c>
      <c r="K831">
        <f t="shared" si="592"/>
        <v>752.71999999999991</v>
      </c>
      <c r="L831">
        <f t="shared" si="592"/>
        <v>694.02</v>
      </c>
      <c r="M831">
        <f t="shared" si="592"/>
        <v>504.64000000000004</v>
      </c>
      <c r="N831">
        <f t="shared" si="592"/>
        <v>587.64</v>
      </c>
      <c r="O831">
        <f t="shared" si="592"/>
        <v>851.43</v>
      </c>
      <c r="P831">
        <f t="shared" si="592"/>
        <v>721.62744881632648</v>
      </c>
      <c r="Q831">
        <f t="shared" si="592"/>
        <v>662.37835893877559</v>
      </c>
      <c r="R831">
        <f t="shared" si="592"/>
        <v>717.68780375510187</v>
      </c>
      <c r="S831">
        <f t="shared" si="592"/>
        <v>761.18940000000009</v>
      </c>
      <c r="T831">
        <f t="shared" si="592"/>
        <v>679.61389332096473</v>
      </c>
      <c r="U831">
        <f t="shared" si="592"/>
        <v>747.16038265306111</v>
      </c>
      <c r="V831">
        <f t="shared" si="592"/>
        <v>681.05247843228187</v>
      </c>
      <c r="W831">
        <f t="shared" si="592"/>
        <v>819.36290584415576</v>
      </c>
      <c r="Y831" s="17">
        <f t="shared" si="590"/>
        <v>19591.032671760666</v>
      </c>
      <c r="Z831">
        <f t="shared" si="591"/>
        <v>-787.6102784541032</v>
      </c>
    </row>
    <row r="832" spans="1:26" x14ac:dyDescent="0.25">
      <c r="A832" t="s">
        <v>45</v>
      </c>
      <c r="D832">
        <f t="shared" ref="D832:W832" si="593">D112*D184</f>
        <v>837.17959183673463</v>
      </c>
      <c r="E832">
        <f t="shared" si="593"/>
        <v>545.05510204081645</v>
      </c>
      <c r="F832">
        <f t="shared" si="593"/>
        <v>476.79591836734693</v>
      </c>
      <c r="G832">
        <f t="shared" si="593"/>
        <v>896.21632653061215</v>
      </c>
      <c r="H832">
        <f t="shared" si="593"/>
        <v>995.71428571428567</v>
      </c>
      <c r="I832">
        <f t="shared" si="593"/>
        <v>569.53469387755092</v>
      </c>
      <c r="J832">
        <f t="shared" si="593"/>
        <v>929.82857142857154</v>
      </c>
      <c r="K832">
        <f t="shared" si="593"/>
        <v>598.93877551020421</v>
      </c>
      <c r="L832">
        <f t="shared" si="593"/>
        <v>662.82812499999989</v>
      </c>
      <c r="M832">
        <f t="shared" si="593"/>
        <v>732.23265306122437</v>
      </c>
      <c r="N832">
        <f t="shared" si="593"/>
        <v>806.86530612244894</v>
      </c>
      <c r="O832">
        <f t="shared" si="593"/>
        <v>802.50612244897945</v>
      </c>
      <c r="P832">
        <f t="shared" si="593"/>
        <v>460.80408163265315</v>
      </c>
      <c r="Q832">
        <f t="shared" si="593"/>
        <v>581.49795918367352</v>
      </c>
      <c r="R832">
        <f t="shared" si="593"/>
        <v>893.42448979591825</v>
      </c>
      <c r="S832">
        <f t="shared" si="593"/>
        <v>674.0204081632653</v>
      </c>
      <c r="T832">
        <f t="shared" si="593"/>
        <v>604.77551020408146</v>
      </c>
      <c r="U832">
        <f t="shared" si="593"/>
        <v>723.48979591836712</v>
      </c>
      <c r="V832">
        <f t="shared" si="593"/>
        <v>1043.7142857142858</v>
      </c>
      <c r="W832">
        <f t="shared" si="593"/>
        <v>1182.8571428571429</v>
      </c>
      <c r="Y832" s="17">
        <f t="shared" si="590"/>
        <v>15018.279145408162</v>
      </c>
      <c r="Z832">
        <f t="shared" si="591"/>
        <v>627.8813736649455</v>
      </c>
    </row>
    <row r="833" spans="1:26" x14ac:dyDescent="0.25">
      <c r="A833" t="s">
        <v>46</v>
      </c>
      <c r="D833">
        <f t="shared" ref="D833:W833" si="594">D113*D185</f>
        <v>926.69387755102048</v>
      </c>
      <c r="E833">
        <f t="shared" si="594"/>
        <v>851.26530612244903</v>
      </c>
      <c r="F833">
        <f t="shared" si="594"/>
        <v>659.57142857142856</v>
      </c>
      <c r="G833">
        <f t="shared" si="594"/>
        <v>905.31020408163261</v>
      </c>
      <c r="H833">
        <f t="shared" si="594"/>
        <v>515.20408163265313</v>
      </c>
      <c r="I833">
        <f t="shared" si="594"/>
        <v>598.07755102040812</v>
      </c>
      <c r="J833">
        <f t="shared" si="594"/>
        <v>592.80408163265304</v>
      </c>
      <c r="K833">
        <f t="shared" si="594"/>
        <v>835.26734693877552</v>
      </c>
      <c r="L833">
        <f t="shared" si="594"/>
        <v>656.78437499999995</v>
      </c>
      <c r="M833">
        <f t="shared" si="594"/>
        <v>751.86326530612246</v>
      </c>
      <c r="N833">
        <f t="shared" si="594"/>
        <v>514.96530612244896</v>
      </c>
      <c r="O833">
        <f t="shared" si="594"/>
        <v>625.46530612244885</v>
      </c>
      <c r="P833">
        <f t="shared" si="594"/>
        <v>495.59183673469391</v>
      </c>
      <c r="Q833">
        <f t="shared" si="594"/>
        <v>716.40000000000009</v>
      </c>
      <c r="R833">
        <f t="shared" si="594"/>
        <v>715.22448979591843</v>
      </c>
      <c r="S833">
        <f t="shared" si="594"/>
        <v>874.21632653061204</v>
      </c>
      <c r="T833">
        <f t="shared" si="594"/>
        <v>555.98979591836735</v>
      </c>
      <c r="U833">
        <f t="shared" si="594"/>
        <v>650.71836734693886</v>
      </c>
      <c r="V833">
        <f t="shared" si="594"/>
        <v>522.92653061224485</v>
      </c>
      <c r="W833">
        <f t="shared" si="594"/>
        <v>963.42857142857156</v>
      </c>
      <c r="Y833" s="17">
        <f t="shared" si="590"/>
        <v>13927.768048469385</v>
      </c>
      <c r="Z833">
        <f t="shared" si="591"/>
        <v>800.03079669720171</v>
      </c>
    </row>
    <row r="834" spans="1:26" x14ac:dyDescent="0.25">
      <c r="A834" t="s">
        <v>47</v>
      </c>
      <c r="D834">
        <f t="shared" ref="D834:W834" si="595">D114*D186</f>
        <v>937.46938775510205</v>
      </c>
      <c r="E834">
        <f t="shared" si="595"/>
        <v>620.68775510204091</v>
      </c>
      <c r="F834">
        <f t="shared" si="595"/>
        <v>781.56734693877547</v>
      </c>
      <c r="G834">
        <f t="shared" si="595"/>
        <v>1008</v>
      </c>
      <c r="H834">
        <f t="shared" si="595"/>
        <v>645.29387755102039</v>
      </c>
      <c r="I834">
        <f t="shared" si="595"/>
        <v>597.34285714285716</v>
      </c>
      <c r="J834">
        <f t="shared" si="595"/>
        <v>760.24285714285713</v>
      </c>
      <c r="K834">
        <f t="shared" si="595"/>
        <v>728.47346938775524</v>
      </c>
      <c r="L834">
        <f t="shared" si="595"/>
        <v>443.38281249999994</v>
      </c>
      <c r="M834">
        <f t="shared" si="595"/>
        <v>594.89795918367338</v>
      </c>
      <c r="N834">
        <f t="shared" si="595"/>
        <v>760.27959183673477</v>
      </c>
      <c r="O834">
        <f t="shared" si="595"/>
        <v>751.93469387755113</v>
      </c>
      <c r="P834">
        <f t="shared" si="595"/>
        <v>757.76326530612243</v>
      </c>
      <c r="Q834">
        <f t="shared" si="595"/>
        <v>558.12244897959181</v>
      </c>
      <c r="R834">
        <f t="shared" si="595"/>
        <v>803.40612244897977</v>
      </c>
      <c r="S834">
        <f t="shared" si="595"/>
        <v>848.38775510204061</v>
      </c>
      <c r="T834">
        <f t="shared" si="595"/>
        <v>794.01428571428585</v>
      </c>
      <c r="U834">
        <f t="shared" si="595"/>
        <v>844.93469387755101</v>
      </c>
      <c r="V834">
        <f t="shared" si="595"/>
        <v>423.67346938775518</v>
      </c>
      <c r="W834">
        <f t="shared" si="595"/>
        <v>751.55510204081634</v>
      </c>
      <c r="Y834" s="17">
        <f t="shared" si="590"/>
        <v>14411.429751275511</v>
      </c>
      <c r="Z834">
        <f t="shared" si="591"/>
        <v>758.41565426617933</v>
      </c>
    </row>
    <row r="835" spans="1:26" x14ac:dyDescent="0.25">
      <c r="A835" t="s">
        <v>48</v>
      </c>
      <c r="D835">
        <f t="shared" ref="D835:W835" si="596">D115*D187</f>
        <v>1084.5306122448981</v>
      </c>
      <c r="E835">
        <f t="shared" si="596"/>
        <v>901.99999999999989</v>
      </c>
      <c r="F835">
        <f t="shared" si="596"/>
        <v>825.68571428571431</v>
      </c>
      <c r="G835">
        <f t="shared" si="596"/>
        <v>1146.1836734693877</v>
      </c>
      <c r="H835">
        <f t="shared" si="596"/>
        <v>971.20408163265301</v>
      </c>
      <c r="I835">
        <f t="shared" si="596"/>
        <v>820.28571428571422</v>
      </c>
      <c r="J835">
        <f t="shared" si="596"/>
        <v>937.28571428571433</v>
      </c>
      <c r="K835">
        <f t="shared" si="596"/>
        <v>739.82040816326537</v>
      </c>
      <c r="L835">
        <f t="shared" si="596"/>
        <v>820.9296875</v>
      </c>
      <c r="M835">
        <f t="shared" si="596"/>
        <v>472.12244897959187</v>
      </c>
      <c r="N835">
        <f t="shared" si="596"/>
        <v>673.34693877551013</v>
      </c>
      <c r="O835">
        <f t="shared" si="596"/>
        <v>410.28979591836736</v>
      </c>
      <c r="P835">
        <f t="shared" si="596"/>
        <v>836</v>
      </c>
      <c r="Q835">
        <f t="shared" si="596"/>
        <v>864.0836734693878</v>
      </c>
      <c r="R835">
        <f t="shared" si="596"/>
        <v>834.74285714285725</v>
      </c>
      <c r="S835">
        <f t="shared" si="596"/>
        <v>563.56734693877547</v>
      </c>
      <c r="T835">
        <f t="shared" si="596"/>
        <v>732.15102040816339</v>
      </c>
      <c r="U835">
        <f t="shared" si="596"/>
        <v>897.58571428571429</v>
      </c>
      <c r="V835">
        <f t="shared" si="596"/>
        <v>753.7959183673471</v>
      </c>
      <c r="W835">
        <f t="shared" si="596"/>
        <v>747.02244897959167</v>
      </c>
      <c r="Y835" s="17">
        <f t="shared" si="590"/>
        <v>16032.633769132652</v>
      </c>
      <c r="Z835">
        <f t="shared" si="591"/>
        <v>772.45463608748366</v>
      </c>
    </row>
    <row r="836" spans="1:26" x14ac:dyDescent="0.25">
      <c r="A836" t="s">
        <v>49</v>
      </c>
      <c r="D836">
        <f t="shared" ref="D836:W836" si="597">D116*D188</f>
        <v>633.89795918367349</v>
      </c>
      <c r="E836">
        <f t="shared" si="597"/>
        <v>1022.1142857142858</v>
      </c>
      <c r="F836">
        <f t="shared" si="597"/>
        <v>854.85714285714289</v>
      </c>
      <c r="G836">
        <f t="shared" si="597"/>
        <v>781.02857142857147</v>
      </c>
      <c r="H836">
        <f t="shared" si="597"/>
        <v>743.03265306122444</v>
      </c>
      <c r="I836">
        <f t="shared" si="597"/>
        <v>731.58979591836726</v>
      </c>
      <c r="J836">
        <f t="shared" si="597"/>
        <v>638.9795918367347</v>
      </c>
      <c r="K836">
        <f t="shared" si="597"/>
        <v>823.55918367346931</v>
      </c>
      <c r="L836">
        <f t="shared" si="597"/>
        <v>650.4765625</v>
      </c>
      <c r="M836">
        <f t="shared" si="597"/>
        <v>441.10204081632645</v>
      </c>
      <c r="N836">
        <f t="shared" si="597"/>
        <v>617.0020408163266</v>
      </c>
      <c r="O836">
        <f t="shared" si="597"/>
        <v>525.5632653061225</v>
      </c>
      <c r="P836">
        <f t="shared" si="597"/>
        <v>832.22448979591843</v>
      </c>
      <c r="Q836">
        <f t="shared" si="597"/>
        <v>1048.8</v>
      </c>
      <c r="R836">
        <f t="shared" si="597"/>
        <v>783.75714285714298</v>
      </c>
      <c r="S836">
        <f t="shared" si="597"/>
        <v>629.61428571428576</v>
      </c>
      <c r="T836">
        <f t="shared" si="597"/>
        <v>597.10408163265311</v>
      </c>
      <c r="U836">
        <f t="shared" si="597"/>
        <v>713.33877551020407</v>
      </c>
      <c r="V836">
        <f t="shared" si="597"/>
        <v>824.99999999999989</v>
      </c>
      <c r="W836">
        <f t="shared" si="597"/>
        <v>549.37142857142862</v>
      </c>
      <c r="Y836" s="17">
        <f t="shared" si="590"/>
        <v>14442.413297193878</v>
      </c>
      <c r="Z836">
        <f t="shared" si="591"/>
        <v>925.22035548857184</v>
      </c>
    </row>
    <row r="837" spans="1:26" x14ac:dyDescent="0.25">
      <c r="A837" t="s">
        <v>50</v>
      </c>
      <c r="D837">
        <f t="shared" ref="D837:W837" si="598">D117*D189</f>
        <v>781.51020408163254</v>
      </c>
      <c r="E837">
        <f t="shared" si="598"/>
        <v>643.77551020408168</v>
      </c>
      <c r="F837">
        <f t="shared" si="598"/>
        <v>755.77142857142849</v>
      </c>
      <c r="G837">
        <f t="shared" si="598"/>
        <v>1053.1142857142859</v>
      </c>
      <c r="H837">
        <f t="shared" si="598"/>
        <v>762.17142857142858</v>
      </c>
      <c r="I837">
        <f t="shared" si="598"/>
        <v>976.9591836734694</v>
      </c>
      <c r="J837">
        <f t="shared" si="598"/>
        <v>780.10204081632651</v>
      </c>
      <c r="K837">
        <f t="shared" si="598"/>
        <v>688.00816326530617</v>
      </c>
      <c r="L837">
        <f t="shared" si="598"/>
        <v>794.65</v>
      </c>
      <c r="M837">
        <f t="shared" si="598"/>
        <v>1037.877551020408</v>
      </c>
      <c r="N837">
        <f t="shared" si="598"/>
        <v>896.41836734693868</v>
      </c>
      <c r="O837">
        <f t="shared" si="598"/>
        <v>813.87551020408159</v>
      </c>
      <c r="P837">
        <f t="shared" si="598"/>
        <v>677.09387755102034</v>
      </c>
      <c r="Q837">
        <f t="shared" si="598"/>
        <v>610.28571428571433</v>
      </c>
      <c r="R837">
        <f t="shared" si="598"/>
        <v>626.11224489795916</v>
      </c>
      <c r="S837">
        <f t="shared" si="598"/>
        <v>862.89795918367349</v>
      </c>
      <c r="T837">
        <f t="shared" si="598"/>
        <v>691.93469387755101</v>
      </c>
      <c r="U837">
        <f t="shared" si="598"/>
        <v>752.94285714285718</v>
      </c>
      <c r="V837">
        <f t="shared" si="598"/>
        <v>695.19591836734685</v>
      </c>
      <c r="W837">
        <f t="shared" si="598"/>
        <v>930.44489795918355</v>
      </c>
      <c r="Y837" s="17">
        <f t="shared" si="590"/>
        <v>15831.141836734692</v>
      </c>
      <c r="Z837">
        <f t="shared" si="591"/>
        <v>910.7087521295598</v>
      </c>
    </row>
    <row r="838" spans="1:26" x14ac:dyDescent="0.25">
      <c r="A838" t="s">
        <v>51</v>
      </c>
      <c r="D838">
        <f t="shared" ref="D838:W838" si="599">D118*D190</f>
        <v>1162.5306122448978</v>
      </c>
      <c r="E838">
        <f t="shared" si="599"/>
        <v>1136.2857142857142</v>
      </c>
      <c r="F838">
        <f t="shared" si="599"/>
        <v>1104.4224489795918</v>
      </c>
      <c r="G838">
        <f t="shared" si="599"/>
        <v>1207.330612244898</v>
      </c>
      <c r="H838">
        <f t="shared" si="599"/>
        <v>676.4</v>
      </c>
      <c r="I838">
        <f t="shared" si="599"/>
        <v>874.28571428571433</v>
      </c>
      <c r="J838">
        <f t="shared" si="599"/>
        <v>780.12448979591841</v>
      </c>
      <c r="K838">
        <f t="shared" si="599"/>
        <v>697.68163265306123</v>
      </c>
      <c r="L838">
        <f t="shared" si="599"/>
        <v>548.9296875</v>
      </c>
      <c r="M838">
        <f t="shared" si="599"/>
        <v>891.34693877551024</v>
      </c>
      <c r="N838">
        <f t="shared" si="599"/>
        <v>1138.2857142857142</v>
      </c>
      <c r="O838">
        <f t="shared" si="599"/>
        <v>658.24897959183681</v>
      </c>
      <c r="P838">
        <f t="shared" si="599"/>
        <v>1142.1428571428571</v>
      </c>
      <c r="Q838">
        <f t="shared" si="599"/>
        <v>524.53877551020412</v>
      </c>
      <c r="R838">
        <f t="shared" si="599"/>
        <v>735.87755102040808</v>
      </c>
      <c r="S838">
        <f t="shared" si="599"/>
        <v>723.09387755102046</v>
      </c>
      <c r="T838">
        <f t="shared" si="599"/>
        <v>633.21428571428578</v>
      </c>
      <c r="U838">
        <f t="shared" si="599"/>
        <v>619.73265306122448</v>
      </c>
      <c r="V838">
        <f t="shared" si="599"/>
        <v>566.22040816326535</v>
      </c>
      <c r="W838">
        <f t="shared" si="599"/>
        <v>829.71428571428567</v>
      </c>
      <c r="Y838" s="17">
        <f t="shared" si="590"/>
        <v>16650.407238520409</v>
      </c>
      <c r="Z838">
        <f t="shared" si="591"/>
        <v>857.49702778535971</v>
      </c>
    </row>
    <row r="839" spans="1:26" x14ac:dyDescent="0.25">
      <c r="A839" t="s">
        <v>52</v>
      </c>
      <c r="D839">
        <f t="shared" ref="D839:W839" si="600">D119*D191</f>
        <v>1071.8367346938776</v>
      </c>
      <c r="E839">
        <f t="shared" si="600"/>
        <v>622.20408163265301</v>
      </c>
      <c r="F839">
        <f t="shared" si="600"/>
        <v>1012.1428571428572</v>
      </c>
      <c r="G839">
        <f t="shared" si="600"/>
        <v>625.15918367346944</v>
      </c>
      <c r="H839">
        <f t="shared" si="600"/>
        <v>943.23673469387757</v>
      </c>
      <c r="I839">
        <f t="shared" si="600"/>
        <v>978.9795918367347</v>
      </c>
      <c r="J839">
        <f t="shared" si="600"/>
        <v>582.92653061224485</v>
      </c>
      <c r="K839">
        <f t="shared" si="600"/>
        <v>541.55102040816337</v>
      </c>
      <c r="L839">
        <f t="shared" si="600"/>
        <v>768.87812500000007</v>
      </c>
      <c r="M839">
        <f t="shared" si="600"/>
        <v>689.90204081632669</v>
      </c>
      <c r="N839">
        <f t="shared" si="600"/>
        <v>740.42040816326528</v>
      </c>
      <c r="O839">
        <f t="shared" si="600"/>
        <v>707.87142857142851</v>
      </c>
      <c r="P839">
        <f t="shared" si="600"/>
        <v>690.04489795918357</v>
      </c>
      <c r="Q839">
        <f t="shared" si="600"/>
        <v>655.3122448979592</v>
      </c>
      <c r="R839">
        <f t="shared" si="600"/>
        <v>697.89387755102041</v>
      </c>
      <c r="S839">
        <f t="shared" si="600"/>
        <v>890.44897959183675</v>
      </c>
      <c r="T839">
        <f t="shared" si="600"/>
        <v>655.16326530612253</v>
      </c>
      <c r="U839">
        <f t="shared" si="600"/>
        <v>812.07551020408152</v>
      </c>
      <c r="V839">
        <f t="shared" si="600"/>
        <v>618.51428571428573</v>
      </c>
      <c r="W839">
        <f t="shared" si="600"/>
        <v>611.07142857142856</v>
      </c>
      <c r="Y839" s="17">
        <f t="shared" si="590"/>
        <v>14915.633227040818</v>
      </c>
      <c r="Z839">
        <f t="shared" si="591"/>
        <v>967.21027455643411</v>
      </c>
    </row>
    <row r="840" spans="1:26" x14ac:dyDescent="0.25">
      <c r="A840" t="s">
        <v>53</v>
      </c>
      <c r="D840">
        <f t="shared" ref="D840:W840" si="601">D120*D192</f>
        <v>861.12244897959192</v>
      </c>
      <c r="E840">
        <f t="shared" si="601"/>
        <v>894.69387755102048</v>
      </c>
      <c r="F840">
        <f t="shared" si="601"/>
        <v>869</v>
      </c>
      <c r="G840">
        <f t="shared" si="601"/>
        <v>847.41428571428582</v>
      </c>
      <c r="H840">
        <f t="shared" si="601"/>
        <v>881.36938775510214</v>
      </c>
      <c r="I840">
        <f t="shared" si="601"/>
        <v>503.50612244897957</v>
      </c>
      <c r="J840">
        <f t="shared" si="601"/>
        <v>960.08163265306132</v>
      </c>
      <c r="K840">
        <f t="shared" si="601"/>
        <v>959.14285714285711</v>
      </c>
      <c r="L840">
        <f t="shared" si="601"/>
        <v>953.46250000000009</v>
      </c>
      <c r="M840">
        <f t="shared" si="601"/>
        <v>970.39591836734701</v>
      </c>
      <c r="N840">
        <f t="shared" si="601"/>
        <v>886.96326530612237</v>
      </c>
      <c r="O840">
        <f t="shared" si="601"/>
        <v>786.50000000000011</v>
      </c>
      <c r="P840">
        <f t="shared" si="601"/>
        <v>817.21428571428567</v>
      </c>
      <c r="Q840">
        <f t="shared" si="601"/>
        <v>513.25714285714287</v>
      </c>
      <c r="R840">
        <f t="shared" si="601"/>
        <v>642.35714285714289</v>
      </c>
      <c r="S840">
        <f t="shared" si="601"/>
        <v>653.95102040816323</v>
      </c>
      <c r="T840">
        <f t="shared" si="601"/>
        <v>1186.1816326530613</v>
      </c>
      <c r="U840">
        <f t="shared" si="601"/>
        <v>691.50204081632648</v>
      </c>
      <c r="V840">
        <f t="shared" si="601"/>
        <v>814.76326530612255</v>
      </c>
      <c r="W840">
        <f t="shared" si="601"/>
        <v>689.48367346938778</v>
      </c>
      <c r="Y840" s="17">
        <f t="shared" si="590"/>
        <v>16382.362500000001</v>
      </c>
      <c r="Z840">
        <f t="shared" si="591"/>
        <v>989.83907452349592</v>
      </c>
    </row>
    <row r="841" spans="1:26" x14ac:dyDescent="0.25">
      <c r="A841" t="s">
        <v>54</v>
      </c>
      <c r="D841">
        <f t="shared" ref="D841:W841" si="602">D121*D193</f>
        <v>1419.1020408163263</v>
      </c>
      <c r="E841">
        <f t="shared" si="602"/>
        <v>1025.9040816326531</v>
      </c>
      <c r="F841">
        <f t="shared" si="602"/>
        <v>1081.1755102040815</v>
      </c>
      <c r="G841">
        <f t="shared" si="602"/>
        <v>872.68163265306111</v>
      </c>
      <c r="H841">
        <f t="shared" si="602"/>
        <v>931.26122448979584</v>
      </c>
      <c r="I841">
        <f t="shared" si="602"/>
        <v>863.6081632653063</v>
      </c>
      <c r="J841">
        <f t="shared" si="602"/>
        <v>459.37551020408159</v>
      </c>
      <c r="K841">
        <f t="shared" si="602"/>
        <v>623.29591836734699</v>
      </c>
      <c r="L841">
        <f t="shared" si="602"/>
        <v>763.26249999999993</v>
      </c>
      <c r="M841">
        <f t="shared" si="602"/>
        <v>599.1164</v>
      </c>
      <c r="N841">
        <f t="shared" si="602"/>
        <v>870.82320000000004</v>
      </c>
      <c r="O841">
        <f t="shared" si="602"/>
        <v>753.90480000000002</v>
      </c>
      <c r="P841">
        <f t="shared" si="602"/>
        <v>646.12079999999992</v>
      </c>
      <c r="Q841">
        <f t="shared" si="602"/>
        <v>745.16869999999994</v>
      </c>
      <c r="R841">
        <f t="shared" si="602"/>
        <v>617.66160000000002</v>
      </c>
      <c r="S841">
        <f t="shared" si="602"/>
        <v>797.39099999999985</v>
      </c>
      <c r="T841">
        <f t="shared" si="602"/>
        <v>636.53039999999999</v>
      </c>
      <c r="U841">
        <f t="shared" si="602"/>
        <v>830.42419999999993</v>
      </c>
      <c r="V841">
        <f t="shared" si="602"/>
        <v>829.62079999999992</v>
      </c>
      <c r="W841">
        <f t="shared" si="602"/>
        <v>1079.645</v>
      </c>
      <c r="Y841" s="17">
        <f t="shared" si="590"/>
        <v>16446.073481632651</v>
      </c>
      <c r="Z841">
        <f t="shared" si="591"/>
        <v>1035.6986656691311</v>
      </c>
    </row>
    <row r="842" spans="1:26" x14ac:dyDescent="0.25">
      <c r="A842" t="s">
        <v>55</v>
      </c>
      <c r="D842">
        <f t="shared" ref="D842:W842" si="603">D122*D194</f>
        <v>1373.6169999999997</v>
      </c>
      <c r="E842">
        <f t="shared" si="603"/>
        <v>1476.8568</v>
      </c>
      <c r="F842">
        <f t="shared" si="603"/>
        <v>1237.0930000000001</v>
      </c>
      <c r="G842">
        <f t="shared" si="603"/>
        <v>1300.1976</v>
      </c>
      <c r="H842">
        <f t="shared" si="603"/>
        <v>1128.0427999999999</v>
      </c>
      <c r="I842">
        <f t="shared" si="603"/>
        <v>1334.4360000000001</v>
      </c>
      <c r="J842">
        <f t="shared" si="603"/>
        <v>889.97219999999993</v>
      </c>
      <c r="K842">
        <f t="shared" si="603"/>
        <v>1015.0305000000001</v>
      </c>
      <c r="L842">
        <f t="shared" si="603"/>
        <v>863.29109999999991</v>
      </c>
      <c r="M842">
        <f t="shared" si="603"/>
        <v>841.95918367346951</v>
      </c>
      <c r="N842">
        <f t="shared" si="603"/>
        <v>1021.1142857142858</v>
      </c>
      <c r="O842">
        <f t="shared" si="603"/>
        <v>625.37142857142862</v>
      </c>
      <c r="P842">
        <f t="shared" si="603"/>
        <v>558.22040816326535</v>
      </c>
      <c r="Q842">
        <f t="shared" si="603"/>
        <v>897.70408163265301</v>
      </c>
      <c r="R842">
        <f t="shared" si="603"/>
        <v>716.37959183673468</v>
      </c>
      <c r="S842">
        <f t="shared" si="603"/>
        <v>968.17959183673474</v>
      </c>
      <c r="T842">
        <f t="shared" si="603"/>
        <v>848.87755102040819</v>
      </c>
      <c r="U842">
        <f t="shared" si="603"/>
        <v>637.9591836734694</v>
      </c>
      <c r="V842">
        <f t="shared" si="603"/>
        <v>769.42653061224496</v>
      </c>
      <c r="W842">
        <f t="shared" si="603"/>
        <v>1150.4204081632654</v>
      </c>
      <c r="Y842" s="17">
        <f t="shared" si="590"/>
        <v>19654.149244897959</v>
      </c>
      <c r="Z842">
        <f t="shared" si="591"/>
        <v>1043.4065662715702</v>
      </c>
    </row>
    <row r="843" spans="1:26" x14ac:dyDescent="0.25">
      <c r="A843" t="s">
        <v>56</v>
      </c>
      <c r="D843">
        <f t="shared" ref="D843:W843" si="604">D123*D195</f>
        <v>1385.3265306122448</v>
      </c>
      <c r="E843">
        <f t="shared" si="604"/>
        <v>1199.0204081632653</v>
      </c>
      <c r="F843">
        <f t="shared" si="604"/>
        <v>1148.081632653061</v>
      </c>
      <c r="G843">
        <f t="shared" si="604"/>
        <v>1049.1428571428571</v>
      </c>
      <c r="H843">
        <f t="shared" si="604"/>
        <v>874.57551020408175</v>
      </c>
      <c r="I843">
        <f t="shared" si="604"/>
        <v>769.69795918367345</v>
      </c>
      <c r="J843">
        <f t="shared" si="604"/>
        <v>667.15102040816328</v>
      </c>
      <c r="K843">
        <f t="shared" si="604"/>
        <v>953.90816326530603</v>
      </c>
      <c r="L843">
        <f t="shared" si="604"/>
        <v>789.75000000000011</v>
      </c>
      <c r="M843">
        <f t="shared" si="604"/>
        <v>774.53061224489784</v>
      </c>
      <c r="N843">
        <f t="shared" si="604"/>
        <v>641.76530612244892</v>
      </c>
      <c r="O843">
        <f t="shared" si="604"/>
        <v>782.32040816326548</v>
      </c>
      <c r="P843">
        <f t="shared" si="604"/>
        <v>917.37142857142874</v>
      </c>
      <c r="Q843">
        <f t="shared" si="604"/>
        <v>609.0244897959185</v>
      </c>
      <c r="R843">
        <f t="shared" si="604"/>
        <v>1096.0918367346937</v>
      </c>
      <c r="S843">
        <f t="shared" si="604"/>
        <v>1129.2857142857144</v>
      </c>
      <c r="T843">
        <f t="shared" si="604"/>
        <v>1046.0408163265306</v>
      </c>
      <c r="U843">
        <f t="shared" si="604"/>
        <v>767.68163265306134</v>
      </c>
      <c r="V843">
        <f t="shared" si="604"/>
        <v>912.61224489795927</v>
      </c>
      <c r="W843">
        <f t="shared" si="604"/>
        <v>701.1632653061223</v>
      </c>
      <c r="Y843" s="17">
        <f t="shared" si="590"/>
        <v>18214.54183673469</v>
      </c>
      <c r="Z843">
        <f t="shared" si="591"/>
        <v>1097.7448604108142</v>
      </c>
    </row>
    <row r="844" spans="1:26" x14ac:dyDescent="0.25">
      <c r="A844" t="s">
        <v>57</v>
      </c>
      <c r="D844">
        <f t="shared" ref="D844:W844" si="605">D124*D196</f>
        <v>1244.8979591836735</v>
      </c>
      <c r="E844">
        <f t="shared" si="605"/>
        <v>1112.204081632653</v>
      </c>
      <c r="F844">
        <f t="shared" si="605"/>
        <v>943.83673469387747</v>
      </c>
      <c r="G844">
        <f t="shared" si="605"/>
        <v>848.39591836734678</v>
      </c>
      <c r="H844">
        <f t="shared" si="605"/>
        <v>535.96734693877556</v>
      </c>
      <c r="I844">
        <f t="shared" si="605"/>
        <v>761.22857142857151</v>
      </c>
      <c r="J844">
        <f t="shared" si="605"/>
        <v>621.74489795918373</v>
      </c>
      <c r="K844">
        <f t="shared" si="605"/>
        <v>553.22448979591832</v>
      </c>
      <c r="L844">
        <f t="shared" si="605"/>
        <v>671.77500000000009</v>
      </c>
      <c r="M844">
        <f t="shared" si="605"/>
        <v>726.70408163265301</v>
      </c>
      <c r="N844">
        <f t="shared" si="605"/>
        <v>860.36326530612246</v>
      </c>
      <c r="O844">
        <f t="shared" si="605"/>
        <v>506.71836734693875</v>
      </c>
      <c r="P844">
        <f t="shared" si="605"/>
        <v>813.68775510204068</v>
      </c>
      <c r="Q844">
        <f t="shared" si="605"/>
        <v>873.38367346938776</v>
      </c>
      <c r="R844">
        <f t="shared" si="605"/>
        <v>624.19591836734708</v>
      </c>
      <c r="S844">
        <f t="shared" si="605"/>
        <v>443.35102040816327</v>
      </c>
      <c r="T844">
        <f t="shared" si="605"/>
        <v>582.62040816326532</v>
      </c>
      <c r="U844">
        <f t="shared" si="605"/>
        <v>636.73469387755108</v>
      </c>
      <c r="V844">
        <f t="shared" si="605"/>
        <v>595.33877551020407</v>
      </c>
      <c r="W844">
        <f t="shared" si="605"/>
        <v>1182.4285714285716</v>
      </c>
      <c r="Y844" s="17">
        <f t="shared" si="590"/>
        <v>15138.801530612247</v>
      </c>
      <c r="Z844">
        <f t="shared" si="591"/>
        <v>896.06450783717037</v>
      </c>
    </row>
    <row r="845" spans="1:26" x14ac:dyDescent="0.25">
      <c r="A845" t="s">
        <v>58</v>
      </c>
      <c r="D845">
        <f t="shared" ref="D845:W845" si="606">D125*D197</f>
        <v>850.17346938775506</v>
      </c>
      <c r="E845">
        <f t="shared" si="606"/>
        <v>1008.0612244897959</v>
      </c>
      <c r="F845">
        <f t="shared" si="606"/>
        <v>1125.4897959183672</v>
      </c>
      <c r="G845">
        <f t="shared" si="606"/>
        <v>847.49999999999989</v>
      </c>
      <c r="H845">
        <f t="shared" si="606"/>
        <v>663.69795918367367</v>
      </c>
      <c r="I845">
        <f t="shared" si="606"/>
        <v>454.65306122448982</v>
      </c>
      <c r="J845">
        <f t="shared" si="606"/>
        <v>796.94693877551015</v>
      </c>
      <c r="K845">
        <f t="shared" si="606"/>
        <v>808.28367346938785</v>
      </c>
      <c r="L845">
        <f t="shared" si="606"/>
        <v>647.85</v>
      </c>
      <c r="M845">
        <f t="shared" si="606"/>
        <v>851.78938775510198</v>
      </c>
      <c r="N845">
        <f t="shared" si="606"/>
        <v>668.8775510204083</v>
      </c>
      <c r="O845">
        <f t="shared" si="606"/>
        <v>461.38775510204073</v>
      </c>
      <c r="P845">
        <f t="shared" si="606"/>
        <v>604.56734693877547</v>
      </c>
      <c r="Q845">
        <f t="shared" si="606"/>
        <v>485.05510204081639</v>
      </c>
      <c r="R845">
        <f t="shared" si="606"/>
        <v>481.93265306122453</v>
      </c>
      <c r="S845">
        <f t="shared" si="606"/>
        <v>638.51428571428573</v>
      </c>
      <c r="T845">
        <f t="shared" si="606"/>
        <v>663.6</v>
      </c>
      <c r="U845">
        <f t="shared" si="606"/>
        <v>865.27346938775497</v>
      </c>
      <c r="V845">
        <f t="shared" si="606"/>
        <v>598.00408163265297</v>
      </c>
      <c r="W845">
        <f t="shared" si="606"/>
        <v>661.18367346938783</v>
      </c>
      <c r="Y845" s="17">
        <f t="shared" si="590"/>
        <v>14182.84142857143</v>
      </c>
      <c r="Z845">
        <f t="shared" si="591"/>
        <v>945.39117105059518</v>
      </c>
    </row>
    <row r="846" spans="1:26" x14ac:dyDescent="0.25">
      <c r="A846" t="s">
        <v>59</v>
      </c>
      <c r="D846">
        <f t="shared" ref="D846:W846" si="607">D126*D198</f>
        <v>1079.5102040816325</v>
      </c>
      <c r="E846">
        <f t="shared" si="607"/>
        <v>1160.4693877551022</v>
      </c>
      <c r="F846">
        <f t="shared" si="607"/>
        <v>802.47346938775513</v>
      </c>
      <c r="G846">
        <f t="shared" si="607"/>
        <v>576.15306122448976</v>
      </c>
      <c r="H846">
        <f t="shared" si="607"/>
        <v>713.64693877551019</v>
      </c>
      <c r="I846">
        <f t="shared" si="607"/>
        <v>480.21224489795924</v>
      </c>
      <c r="J846">
        <f t="shared" si="607"/>
        <v>816.73469387755097</v>
      </c>
      <c r="K846">
        <f t="shared" si="607"/>
        <v>795.86530612244906</v>
      </c>
      <c r="L846">
        <f t="shared" si="607"/>
        <v>639.21224489795929</v>
      </c>
      <c r="M846">
        <f t="shared" si="607"/>
        <v>504.29387755102044</v>
      </c>
      <c r="N846">
        <f t="shared" si="607"/>
        <v>662.7448979591835</v>
      </c>
      <c r="O846">
        <f t="shared" si="607"/>
        <v>721.68367346938783</v>
      </c>
      <c r="P846">
        <f t="shared" si="607"/>
        <v>678.18367346938771</v>
      </c>
      <c r="Q846">
        <f t="shared" si="607"/>
        <v>393.3</v>
      </c>
      <c r="R846">
        <f t="shared" si="607"/>
        <v>564.44081632653058</v>
      </c>
      <c r="S846">
        <f t="shared" si="607"/>
        <v>789.9795918367347</v>
      </c>
      <c r="T846">
        <f t="shared" si="607"/>
        <v>1042.2857142857142</v>
      </c>
      <c r="U846">
        <f t="shared" si="607"/>
        <v>647.20408163265313</v>
      </c>
      <c r="V846">
        <f t="shared" si="607"/>
        <v>790.40000000000009</v>
      </c>
      <c r="W846">
        <f t="shared" si="607"/>
        <v>736.18163265306123</v>
      </c>
      <c r="Y846" s="17">
        <f t="shared" si="590"/>
        <v>14594.97551020408</v>
      </c>
      <c r="Z846">
        <f t="shared" si="591"/>
        <v>837.66237665206063</v>
      </c>
    </row>
    <row r="847" spans="1:26" x14ac:dyDescent="0.25">
      <c r="A847" t="s">
        <v>60</v>
      </c>
      <c r="D847">
        <f t="shared" ref="D847:W847" si="608">D127*D199</f>
        <v>1215.4693877551019</v>
      </c>
      <c r="E847">
        <f t="shared" si="608"/>
        <v>869.08163265306121</v>
      </c>
      <c r="F847">
        <f t="shared" si="608"/>
        <v>930.34285714285716</v>
      </c>
      <c r="G847">
        <f t="shared" si="608"/>
        <v>1018.2857142857142</v>
      </c>
      <c r="H847">
        <f t="shared" si="608"/>
        <v>710.13061224489809</v>
      </c>
      <c r="I847">
        <f t="shared" si="608"/>
        <v>659.31428571428569</v>
      </c>
      <c r="J847">
        <f t="shared" si="608"/>
        <v>795.90408163265295</v>
      </c>
      <c r="K847">
        <f t="shared" si="608"/>
        <v>1036.2857142857142</v>
      </c>
      <c r="L847">
        <f t="shared" si="608"/>
        <v>813.44999999999993</v>
      </c>
      <c r="M847">
        <f t="shared" si="608"/>
        <v>617.34693877551024</v>
      </c>
      <c r="N847">
        <f t="shared" si="608"/>
        <v>381.61632653061218</v>
      </c>
      <c r="O847">
        <f t="shared" si="608"/>
        <v>338.03265306122444</v>
      </c>
      <c r="P847">
        <f t="shared" si="608"/>
        <v>806.73469387755108</v>
      </c>
      <c r="Q847">
        <f t="shared" si="608"/>
        <v>886.39591836734689</v>
      </c>
      <c r="R847">
        <f t="shared" si="608"/>
        <v>704.94489795918366</v>
      </c>
      <c r="S847">
        <f t="shared" si="608"/>
        <v>710.87755102040819</v>
      </c>
      <c r="T847">
        <f t="shared" si="608"/>
        <v>954.86326530612246</v>
      </c>
      <c r="U847">
        <f t="shared" si="608"/>
        <v>891.64285714285711</v>
      </c>
      <c r="V847">
        <f t="shared" si="608"/>
        <v>310.14285714285717</v>
      </c>
      <c r="W847">
        <f t="shared" si="608"/>
        <v>527.9795918367347</v>
      </c>
      <c r="Y847" s="17">
        <f t="shared" si="590"/>
        <v>15178.841836734691</v>
      </c>
      <c r="Z847">
        <f t="shared" si="591"/>
        <v>910.95614582148562</v>
      </c>
    </row>
    <row r="848" spans="1:26" x14ac:dyDescent="0.25">
      <c r="A848" t="s">
        <v>61</v>
      </c>
      <c r="D848">
        <f t="shared" ref="D848:W848" si="609">D128*D200</f>
        <v>1154.0204081632653</v>
      </c>
      <c r="E848">
        <f t="shared" si="609"/>
        <v>1346.9387755102039</v>
      </c>
      <c r="F848">
        <f t="shared" si="609"/>
        <v>1182.4285714285716</v>
      </c>
      <c r="G848">
        <f t="shared" si="609"/>
        <v>1046.9387755102041</v>
      </c>
      <c r="H848">
        <f t="shared" si="609"/>
        <v>1102.0408163265306</v>
      </c>
      <c r="I848">
        <f t="shared" si="609"/>
        <v>1067.7551020408164</v>
      </c>
      <c r="J848">
        <f t="shared" si="609"/>
        <v>890.5836734693878</v>
      </c>
      <c r="K848">
        <f t="shared" si="609"/>
        <v>724.09999999999991</v>
      </c>
      <c r="L848">
        <f t="shared" si="609"/>
        <v>693.671875</v>
      </c>
      <c r="M848">
        <f t="shared" si="609"/>
        <v>128.66914285714287</v>
      </c>
      <c r="N848">
        <f t="shared" si="609"/>
        <v>162.4554285714286</v>
      </c>
      <c r="O848">
        <f t="shared" si="609"/>
        <v>147.73314285714284</v>
      </c>
      <c r="P848">
        <f t="shared" si="609"/>
        <v>120.63814285714285</v>
      </c>
      <c r="Q848">
        <f t="shared" si="609"/>
        <v>144.20085714285713</v>
      </c>
      <c r="R848">
        <f t="shared" si="609"/>
        <v>110.532</v>
      </c>
      <c r="S848">
        <f t="shared" si="609"/>
        <v>178.46999999999997</v>
      </c>
      <c r="T848">
        <f t="shared" si="609"/>
        <v>496.91755102040821</v>
      </c>
      <c r="U848">
        <f t="shared" si="609"/>
        <v>551.37306122448979</v>
      </c>
      <c r="V848">
        <f t="shared" si="609"/>
        <v>614.31326530612239</v>
      </c>
      <c r="W848">
        <f t="shared" si="609"/>
        <v>703.38265306122457</v>
      </c>
      <c r="Y848" s="17">
        <f t="shared" si="590"/>
        <v>12567.163242346936</v>
      </c>
      <c r="Z848">
        <f t="shared" si="591"/>
        <v>529.94450152701893</v>
      </c>
    </row>
    <row r="849" spans="1:26" x14ac:dyDescent="0.25">
      <c r="A849" t="s">
        <v>62</v>
      </c>
      <c r="D849">
        <f t="shared" ref="D849:W849" si="610">D129*D201</f>
        <v>350</v>
      </c>
      <c r="E849">
        <f t="shared" si="610"/>
        <v>318.85714285714289</v>
      </c>
      <c r="F849">
        <f t="shared" si="610"/>
        <v>297.0408163265306</v>
      </c>
      <c r="G849">
        <f t="shared" si="610"/>
        <v>246.84877551020404</v>
      </c>
      <c r="H849">
        <f t="shared" si="610"/>
        <v>169.56897959183672</v>
      </c>
      <c r="I849">
        <f t="shared" si="610"/>
        <v>183.69061224489798</v>
      </c>
      <c r="J849">
        <f t="shared" si="610"/>
        <v>140.69897959183675</v>
      </c>
      <c r="K849">
        <f t="shared" si="610"/>
        <v>160.01632653061222</v>
      </c>
      <c r="L849">
        <f t="shared" si="610"/>
        <v>176.01796875000002</v>
      </c>
      <c r="M849">
        <f t="shared" si="610"/>
        <v>652.05306122448985</v>
      </c>
      <c r="N849">
        <f t="shared" si="610"/>
        <v>722.58775510204089</v>
      </c>
      <c r="O849">
        <f t="shared" si="610"/>
        <v>566.33469387755099</v>
      </c>
      <c r="P849">
        <f t="shared" si="610"/>
        <v>593.77551020408157</v>
      </c>
      <c r="Q849">
        <f t="shared" si="610"/>
        <v>601.87346938775522</v>
      </c>
      <c r="R849">
        <f t="shared" si="610"/>
        <v>130.72040816326532</v>
      </c>
      <c r="S849">
        <f t="shared" si="610"/>
        <v>92.726530612244886</v>
      </c>
      <c r="T849">
        <f t="shared" si="610"/>
        <v>374.16326530612247</v>
      </c>
      <c r="U849">
        <f t="shared" si="610"/>
        <v>832.96920918367346</v>
      </c>
      <c r="V849">
        <f t="shared" si="610"/>
        <v>916.86214285714289</v>
      </c>
      <c r="W849">
        <f t="shared" si="610"/>
        <v>817.05867346938771</v>
      </c>
      <c r="Y849" s="17">
        <f t="shared" si="590"/>
        <v>8343.8643207908153</v>
      </c>
      <c r="Z849">
        <f t="shared" si="591"/>
        <v>822.91297319068622</v>
      </c>
    </row>
    <row r="850" spans="1:26" x14ac:dyDescent="0.25">
      <c r="A850" t="s">
        <v>63</v>
      </c>
      <c r="D850">
        <f t="shared" ref="D850:W850" si="611">D130*D202</f>
        <v>1257.4963775510205</v>
      </c>
      <c r="E850">
        <f t="shared" si="611"/>
        <v>116.98163265306123</v>
      </c>
      <c r="F850">
        <f t="shared" si="611"/>
        <v>1103.5709183673468</v>
      </c>
      <c r="G850">
        <f t="shared" si="611"/>
        <v>1011.8366326530611</v>
      </c>
      <c r="H850">
        <f t="shared" si="611"/>
        <v>215.58163265306121</v>
      </c>
      <c r="I850">
        <f t="shared" si="611"/>
        <v>412.25918367346947</v>
      </c>
      <c r="J850">
        <f t="shared" si="611"/>
        <v>658.35918367346949</v>
      </c>
      <c r="K850">
        <f t="shared" si="611"/>
        <v>686.4979591836734</v>
      </c>
      <c r="L850">
        <f t="shared" si="611"/>
        <v>681</v>
      </c>
      <c r="M850">
        <f t="shared" si="611"/>
        <v>788.27132653061233</v>
      </c>
      <c r="N850">
        <f t="shared" si="611"/>
        <v>850.81163265306122</v>
      </c>
      <c r="O850">
        <f t="shared" si="611"/>
        <v>755.36897959183671</v>
      </c>
      <c r="P850">
        <f t="shared" si="611"/>
        <v>738.15288265306106</v>
      </c>
      <c r="Q850">
        <f t="shared" si="611"/>
        <v>686.28515306122461</v>
      </c>
      <c r="R850">
        <f t="shared" si="611"/>
        <v>779.44928571428568</v>
      </c>
      <c r="S850">
        <f t="shared" si="611"/>
        <v>855.76160714285732</v>
      </c>
      <c r="T850">
        <f t="shared" si="611"/>
        <v>864.30367346938795</v>
      </c>
      <c r="U850">
        <f t="shared" si="611"/>
        <v>674.16734693877549</v>
      </c>
      <c r="V850">
        <f t="shared" si="611"/>
        <v>737.27658163265289</v>
      </c>
      <c r="W850">
        <f t="shared" si="611"/>
        <v>869.98188775510198</v>
      </c>
      <c r="Y850" s="17">
        <f t="shared" si="590"/>
        <v>14743.41387755102</v>
      </c>
      <c r="Z850">
        <f t="shared" si="591"/>
        <v>948.69794137364681</v>
      </c>
    </row>
    <row r="851" spans="1:26" x14ac:dyDescent="0.25">
      <c r="A851" t="s">
        <v>64</v>
      </c>
      <c r="D851">
        <f t="shared" ref="D851:W851" si="612">D131*D203</f>
        <v>1051.1343112244897</v>
      </c>
      <c r="E851">
        <f t="shared" si="612"/>
        <v>1079.2960714285714</v>
      </c>
      <c r="F851">
        <f t="shared" si="612"/>
        <v>1126.875</v>
      </c>
      <c r="G851">
        <f t="shared" si="612"/>
        <v>1066.508112244898</v>
      </c>
      <c r="H851">
        <f t="shared" si="612"/>
        <v>820.41806122448986</v>
      </c>
      <c r="I851">
        <f t="shared" si="612"/>
        <v>921.28142857142859</v>
      </c>
      <c r="J851">
        <f t="shared" si="612"/>
        <v>775.0542857142857</v>
      </c>
      <c r="K851">
        <f t="shared" si="612"/>
        <v>807.93482142857147</v>
      </c>
      <c r="L851">
        <f t="shared" si="612"/>
        <v>824.01531250000005</v>
      </c>
      <c r="M851">
        <f t="shared" si="612"/>
        <v>948.84897959183661</v>
      </c>
      <c r="N851">
        <f t="shared" si="612"/>
        <v>682.12653061224466</v>
      </c>
      <c r="O851">
        <f t="shared" si="612"/>
        <v>652.62040816326521</v>
      </c>
      <c r="P851">
        <f t="shared" si="612"/>
        <v>734.7673469387754</v>
      </c>
      <c r="Q851">
        <f t="shared" si="612"/>
        <v>1016.930612244898</v>
      </c>
      <c r="R851">
        <f t="shared" si="612"/>
        <v>1170.8265306122448</v>
      </c>
      <c r="S851">
        <f t="shared" si="612"/>
        <v>1042.9346938775511</v>
      </c>
      <c r="T851">
        <f t="shared" si="612"/>
        <v>925.91020408163263</v>
      </c>
      <c r="U851">
        <f t="shared" si="612"/>
        <v>983.26938775510212</v>
      </c>
      <c r="V851">
        <f t="shared" si="612"/>
        <v>745.5</v>
      </c>
      <c r="W851">
        <f t="shared" si="612"/>
        <v>954.26530612244892</v>
      </c>
      <c r="Y851" s="17">
        <f t="shared" si="590"/>
        <v>18330.517404336733</v>
      </c>
      <c r="Z851">
        <f t="shared" si="591"/>
        <v>1180.0235413042283</v>
      </c>
    </row>
    <row r="852" spans="1:26" x14ac:dyDescent="0.25">
      <c r="A852" t="s">
        <v>65</v>
      </c>
      <c r="D852">
        <f t="shared" ref="D852:W852" si="613">D132*D204</f>
        <v>1126.6040816326531</v>
      </c>
      <c r="E852">
        <f t="shared" si="613"/>
        <v>1517.5102040816323</v>
      </c>
      <c r="F852">
        <f t="shared" si="613"/>
        <v>954.08163265306121</v>
      </c>
      <c r="G852">
        <f t="shared" si="613"/>
        <v>740.14897959183668</v>
      </c>
      <c r="H852">
        <f t="shared" si="613"/>
        <v>973.94081632653058</v>
      </c>
      <c r="I852">
        <f t="shared" si="613"/>
        <v>912.96326530612237</v>
      </c>
      <c r="J852">
        <f t="shared" si="613"/>
        <v>709.02857142857158</v>
      </c>
      <c r="K852">
        <f t="shared" si="613"/>
        <v>743.83673469387747</v>
      </c>
      <c r="L852">
        <f t="shared" si="613"/>
        <v>816.95468750000009</v>
      </c>
      <c r="M852">
        <f t="shared" si="613"/>
        <v>682.21224489795929</v>
      </c>
      <c r="N852">
        <f t="shared" si="613"/>
        <v>734.80000000000018</v>
      </c>
      <c r="O852">
        <f t="shared" si="613"/>
        <v>603.95102040816334</v>
      </c>
      <c r="P852">
        <f t="shared" si="613"/>
        <v>563.36938775510203</v>
      </c>
      <c r="Q852">
        <f t="shared" si="613"/>
        <v>732.22857142857117</v>
      </c>
      <c r="R852">
        <f t="shared" si="613"/>
        <v>532.28571428571422</v>
      </c>
      <c r="S852">
        <f t="shared" si="613"/>
        <v>496.87755102040819</v>
      </c>
      <c r="T852">
        <f t="shared" si="613"/>
        <v>753.53877551020412</v>
      </c>
      <c r="U852">
        <f t="shared" si="613"/>
        <v>564.6857142857142</v>
      </c>
      <c r="V852">
        <f t="shared" si="613"/>
        <v>817.65102040816328</v>
      </c>
      <c r="W852">
        <f t="shared" si="613"/>
        <v>769.79591836734687</v>
      </c>
      <c r="Y852" s="17">
        <f t="shared" si="590"/>
        <v>15746.464891581631</v>
      </c>
      <c r="Z852">
        <f t="shared" si="591"/>
        <v>981.8990564280673</v>
      </c>
    </row>
    <row r="853" spans="1:26" x14ac:dyDescent="0.25">
      <c r="A853" t="s">
        <v>66</v>
      </c>
      <c r="D853">
        <f t="shared" ref="D853:W853" si="614">D133*D205</f>
        <v>1146.9387755102043</v>
      </c>
      <c r="E853">
        <f t="shared" si="614"/>
        <v>976.0857142857144</v>
      </c>
      <c r="F853">
        <f t="shared" si="614"/>
        <v>906.1</v>
      </c>
      <c r="G853">
        <f t="shared" si="614"/>
        <v>784.78367346938774</v>
      </c>
      <c r="H853">
        <f t="shared" si="614"/>
        <v>553.25714285714287</v>
      </c>
      <c r="I853">
        <f t="shared" si="614"/>
        <v>908.08163265306121</v>
      </c>
      <c r="J853">
        <f t="shared" si="614"/>
        <v>1166.6204081632652</v>
      </c>
      <c r="K853">
        <f t="shared" si="614"/>
        <v>991.5612244897959</v>
      </c>
      <c r="L853">
        <f t="shared" si="614"/>
        <v>848.51249999999993</v>
      </c>
      <c r="M853">
        <f t="shared" si="614"/>
        <v>683.44897959183675</v>
      </c>
      <c r="N853">
        <f t="shared" si="614"/>
        <v>924.3</v>
      </c>
      <c r="O853">
        <f t="shared" si="614"/>
        <v>1233.0653061224489</v>
      </c>
      <c r="P853">
        <f t="shared" si="614"/>
        <v>755.9571428571428</v>
      </c>
      <c r="Q853">
        <f t="shared" si="614"/>
        <v>765.53877551020412</v>
      </c>
      <c r="R853">
        <f t="shared" si="614"/>
        <v>765.51020408163265</v>
      </c>
      <c r="S853">
        <f t="shared" si="614"/>
        <v>813.08571428571429</v>
      </c>
      <c r="T853">
        <f t="shared" si="614"/>
        <v>681.97959183673458</v>
      </c>
      <c r="U853">
        <f t="shared" si="614"/>
        <v>970.06938775510207</v>
      </c>
      <c r="V853">
        <f t="shared" si="614"/>
        <v>757.22448979591832</v>
      </c>
      <c r="W853">
        <f t="shared" si="614"/>
        <v>700.88571428571424</v>
      </c>
      <c r="Y853" s="17">
        <f t="shared" si="590"/>
        <v>17333.006377551021</v>
      </c>
      <c r="Z853">
        <f t="shared" si="591"/>
        <v>1093.2520734096606</v>
      </c>
    </row>
    <row r="854" spans="1:26" x14ac:dyDescent="0.25">
      <c r="A854" t="s">
        <v>67</v>
      </c>
      <c r="D854">
        <f t="shared" ref="D854:W854" si="615">D134*D206</f>
        <v>1031.7836734693876</v>
      </c>
      <c r="E854">
        <f t="shared" si="615"/>
        <v>1094.1551020408162</v>
      </c>
      <c r="F854">
        <f t="shared" si="615"/>
        <v>1514.3306122448978</v>
      </c>
      <c r="G854">
        <f t="shared" si="615"/>
        <v>884.48979591836735</v>
      </c>
      <c r="H854">
        <f t="shared" si="615"/>
        <v>969.72244897959183</v>
      </c>
      <c r="I854">
        <f t="shared" si="615"/>
        <v>1071.8673469387757</v>
      </c>
      <c r="J854">
        <f t="shared" si="615"/>
        <v>1015.5673469387755</v>
      </c>
      <c r="K854">
        <f t="shared" si="615"/>
        <v>1255.9999999999998</v>
      </c>
      <c r="L854">
        <f t="shared" si="615"/>
        <v>1144.077551020408</v>
      </c>
      <c r="M854">
        <f t="shared" si="615"/>
        <v>785.20408163265313</v>
      </c>
      <c r="N854">
        <f t="shared" si="615"/>
        <v>674.22857142857151</v>
      </c>
      <c r="O854">
        <f t="shared" si="615"/>
        <v>690.7510204081633</v>
      </c>
      <c r="P854">
        <f t="shared" si="615"/>
        <v>620.40000000000009</v>
      </c>
      <c r="Q854">
        <f t="shared" si="615"/>
        <v>812.96326530612225</v>
      </c>
      <c r="R854">
        <f t="shared" si="615"/>
        <v>939.42857142857167</v>
      </c>
      <c r="S854">
        <f t="shared" si="615"/>
        <v>607.92244897959188</v>
      </c>
      <c r="T854">
        <f t="shared" si="615"/>
        <v>663.59999999999991</v>
      </c>
      <c r="U854">
        <f t="shared" si="615"/>
        <v>888.65510204081625</v>
      </c>
      <c r="V854">
        <f t="shared" si="615"/>
        <v>732.19795918367356</v>
      </c>
      <c r="W854">
        <f t="shared" si="615"/>
        <v>885.94897959183663</v>
      </c>
      <c r="Y854" s="17">
        <f t="shared" si="590"/>
        <v>18283.293877551023</v>
      </c>
      <c r="Z854">
        <f t="shared" si="591"/>
        <v>1195.1021915244187</v>
      </c>
    </row>
    <row r="855" spans="1:26" x14ac:dyDescent="0.25">
      <c r="A855" t="s">
        <v>68</v>
      </c>
      <c r="D855">
        <f t="shared" ref="D855:W855" si="616">D135*D207</f>
        <v>1079.0530612244897</v>
      </c>
      <c r="E855">
        <f t="shared" si="616"/>
        <v>1143.175510204082</v>
      </c>
      <c r="F855">
        <f t="shared" si="616"/>
        <v>2096.6959183673466</v>
      </c>
      <c r="G855">
        <f t="shared" si="616"/>
        <v>1478.6428571428571</v>
      </c>
      <c r="H855">
        <f t="shared" si="616"/>
        <v>1479.5326530612242</v>
      </c>
      <c r="I855">
        <f t="shared" si="616"/>
        <v>856.50612244897957</v>
      </c>
      <c r="J855">
        <f t="shared" si="616"/>
        <v>809.99183673469395</v>
      </c>
      <c r="K855">
        <f t="shared" si="616"/>
        <v>729.2489795918367</v>
      </c>
      <c r="L855">
        <f t="shared" si="616"/>
        <v>1026.77265625</v>
      </c>
      <c r="M855">
        <f t="shared" si="616"/>
        <v>480.30612244897964</v>
      </c>
      <c r="N855">
        <f t="shared" si="616"/>
        <v>619.19387755102025</v>
      </c>
      <c r="O855">
        <f t="shared" si="616"/>
        <v>671.00408163265308</v>
      </c>
      <c r="P855">
        <f t="shared" si="616"/>
        <v>808.03877551020423</v>
      </c>
      <c r="Q855">
        <f t="shared" si="616"/>
        <v>835.26734693877552</v>
      </c>
      <c r="R855">
        <f t="shared" si="616"/>
        <v>1016.6693877551021</v>
      </c>
      <c r="S855">
        <f t="shared" si="616"/>
        <v>962.74285714285725</v>
      </c>
      <c r="T855">
        <f t="shared" si="616"/>
        <v>748.48979591836724</v>
      </c>
      <c r="U855">
        <f t="shared" si="616"/>
        <v>850.60816326530596</v>
      </c>
      <c r="V855">
        <f t="shared" si="616"/>
        <v>716.08163265306109</v>
      </c>
      <c r="W855">
        <f t="shared" si="616"/>
        <v>677.75510204081638</v>
      </c>
      <c r="Y855" s="17">
        <f t="shared" si="590"/>
        <v>19085.776737882657</v>
      </c>
      <c r="Z855">
        <f t="shared" si="591"/>
        <v>1111.5302306642905</v>
      </c>
    </row>
    <row r="856" spans="1:26" x14ac:dyDescent="0.25">
      <c r="A856" t="s">
        <v>69</v>
      </c>
      <c r="D856">
        <f t="shared" ref="D856:W856" si="617">D136*D208</f>
        <v>1144.3591836734695</v>
      </c>
      <c r="E856">
        <f t="shared" si="617"/>
        <v>1211.2285714285715</v>
      </c>
      <c r="F856">
        <f t="shared" si="617"/>
        <v>1266.8734693877552</v>
      </c>
      <c r="G856">
        <f t="shared" si="617"/>
        <v>1154.7183673469385</v>
      </c>
      <c r="H856">
        <f t="shared" si="617"/>
        <v>913.47551020408173</v>
      </c>
      <c r="I856">
        <f t="shared" si="617"/>
        <v>1242.3469387755104</v>
      </c>
      <c r="J856">
        <f t="shared" si="617"/>
        <v>809.37346938775522</v>
      </c>
      <c r="K856">
        <f t="shared" si="617"/>
        <v>897.86938775510191</v>
      </c>
      <c r="L856">
        <f t="shared" si="617"/>
        <v>777.41875000000005</v>
      </c>
      <c r="M856">
        <f t="shared" si="617"/>
        <v>922.25510204081627</v>
      </c>
      <c r="N856">
        <f t="shared" si="617"/>
        <v>505.04081632653055</v>
      </c>
      <c r="O856">
        <f t="shared" si="617"/>
        <v>730.91020408163263</v>
      </c>
      <c r="P856">
        <f t="shared" si="617"/>
        <v>689.53061224489784</v>
      </c>
      <c r="Q856">
        <f t="shared" si="617"/>
        <v>573.46938775510205</v>
      </c>
      <c r="R856">
        <f t="shared" si="617"/>
        <v>456.66250000000002</v>
      </c>
      <c r="S856">
        <f t="shared" si="617"/>
        <v>721.92244897959188</v>
      </c>
      <c r="T856">
        <f t="shared" si="617"/>
        <v>858.269387755102</v>
      </c>
      <c r="U856">
        <f t="shared" si="617"/>
        <v>708.0612244897959</v>
      </c>
      <c r="V856">
        <f t="shared" si="617"/>
        <v>778.45306122448994</v>
      </c>
      <c r="W856">
        <f t="shared" si="617"/>
        <v>529.30816326530612</v>
      </c>
      <c r="Y856" s="17">
        <f t="shared" si="590"/>
        <v>16891.546556122452</v>
      </c>
      <c r="Z856">
        <f t="shared" si="591"/>
        <v>1109.6926775546319</v>
      </c>
    </row>
    <row r="857" spans="1:26" x14ac:dyDescent="0.25">
      <c r="Y857" s="17"/>
    </row>
    <row r="858" spans="1:26" x14ac:dyDescent="0.25">
      <c r="A858" t="s">
        <v>70</v>
      </c>
      <c r="D858">
        <f t="shared" ref="D858:W858" si="618">D138*D210</f>
        <v>930.90612244897966</v>
      </c>
      <c r="E858">
        <f t="shared" si="618"/>
        <v>1068.5387755102042</v>
      </c>
      <c r="F858">
        <f t="shared" si="618"/>
        <v>1259.0857142857142</v>
      </c>
      <c r="G858">
        <f t="shared" si="618"/>
        <v>1006.8224489795917</v>
      </c>
      <c r="H858">
        <f t="shared" si="618"/>
        <v>1129.2857142857142</v>
      </c>
      <c r="I858">
        <f t="shared" si="618"/>
        <v>1105.0285714285712</v>
      </c>
      <c r="J858">
        <f t="shared" si="618"/>
        <v>1286.1387755102041</v>
      </c>
      <c r="K858">
        <f t="shared" si="618"/>
        <v>1108.5551020408163</v>
      </c>
      <c r="L858">
        <f t="shared" si="618"/>
        <v>787.15</v>
      </c>
      <c r="M858">
        <f t="shared" si="618"/>
        <v>822.71428571428567</v>
      </c>
      <c r="N858">
        <f t="shared" si="618"/>
        <v>802.01020408163276</v>
      </c>
      <c r="O858">
        <f t="shared" si="618"/>
        <v>907.80612244897952</v>
      </c>
      <c r="P858">
        <f t="shared" si="618"/>
        <v>619.48571428571415</v>
      </c>
      <c r="Q858">
        <f t="shared" si="618"/>
        <v>1114.122448979592</v>
      </c>
      <c r="R858">
        <f t="shared" si="618"/>
        <v>846.60000000000014</v>
      </c>
      <c r="S858">
        <f t="shared" si="618"/>
        <v>760.57074211502777</v>
      </c>
      <c r="T858">
        <f t="shared" si="618"/>
        <v>896.11632653061235</v>
      </c>
      <c r="U858">
        <f t="shared" si="618"/>
        <v>751.34693877551024</v>
      </c>
      <c r="V858">
        <f t="shared" si="618"/>
        <v>760.00000000000011</v>
      </c>
      <c r="W858">
        <f t="shared" si="618"/>
        <v>1281.5877551020405</v>
      </c>
      <c r="Y858" s="17">
        <f t="shared" si="590"/>
        <v>19243.871762523191</v>
      </c>
      <c r="Z858">
        <f>SUMPRODUCT($D$862:$W$862,D858:W858)</f>
        <v>1019.0286747119414</v>
      </c>
    </row>
    <row r="859" spans="1:26" x14ac:dyDescent="0.25">
      <c r="A859" t="s">
        <v>314</v>
      </c>
      <c r="D859">
        <f t="shared" ref="D859:W859" si="619">D139*D211</f>
        <v>1626.4102040816324</v>
      </c>
      <c r="E859">
        <f t="shared" si="619"/>
        <v>1485.8367346938776</v>
      </c>
      <c r="F859">
        <f t="shared" si="619"/>
        <v>950.83265306122462</v>
      </c>
      <c r="G859">
        <f t="shared" si="619"/>
        <v>1006.7510204081633</v>
      </c>
      <c r="H859">
        <f t="shared" si="619"/>
        <v>1005.2938775510203</v>
      </c>
      <c r="I859">
        <f t="shared" si="619"/>
        <v>1162.3163265306123</v>
      </c>
      <c r="J859">
        <f t="shared" si="619"/>
        <v>1021.3714285714284</v>
      </c>
      <c r="K859">
        <f t="shared" si="619"/>
        <v>992.20408163265301</v>
      </c>
      <c r="L859">
        <f t="shared" si="619"/>
        <v>766.64843750000011</v>
      </c>
      <c r="M859">
        <f t="shared" si="619"/>
        <v>1168.6326530612246</v>
      </c>
      <c r="N859">
        <f t="shared" si="619"/>
        <v>924.73469387755097</v>
      </c>
      <c r="O859">
        <f t="shared" si="619"/>
        <v>1008.6040816326529</v>
      </c>
      <c r="P859">
        <f t="shared" si="619"/>
        <v>1377.3999999999999</v>
      </c>
      <c r="Q859">
        <f t="shared" si="619"/>
        <v>1088.0999999999999</v>
      </c>
      <c r="R859">
        <f t="shared" si="619"/>
        <v>1000.5</v>
      </c>
      <c r="S859">
        <f t="shared" si="619"/>
        <v>997.6</v>
      </c>
      <c r="T859">
        <f t="shared" si="619"/>
        <v>1203.379591836735</v>
      </c>
      <c r="U859">
        <f t="shared" si="619"/>
        <v>1064.3061224489795</v>
      </c>
      <c r="V859">
        <f t="shared" si="619"/>
        <v>1046.5714285714287</v>
      </c>
      <c r="W859">
        <f t="shared" si="619"/>
        <v>1212.8775510204082</v>
      </c>
      <c r="Y859" s="17">
        <f t="shared" si="590"/>
        <v>22110.370886479588</v>
      </c>
      <c r="Z859">
        <f>SUMPRODUCT($D$862:$W$862,D859:W859)</f>
        <v>1306.0191683018591</v>
      </c>
    </row>
    <row r="860" spans="1:26" x14ac:dyDescent="0.25">
      <c r="A860" t="s">
        <v>315</v>
      </c>
      <c r="D860">
        <f t="shared" ref="D860:W860" si="620">D140*D212</f>
        <v>1560.0224489795917</v>
      </c>
      <c r="E860">
        <f t="shared" si="620"/>
        <v>1366.8061224489797</v>
      </c>
      <c r="F860">
        <f t="shared" si="620"/>
        <v>1724.8408163265306</v>
      </c>
      <c r="G860">
        <f t="shared" si="620"/>
        <v>1341.2571428571428</v>
      </c>
      <c r="H860">
        <f t="shared" si="620"/>
        <v>1370.9591836734694</v>
      </c>
      <c r="I860">
        <f t="shared" si="620"/>
        <v>995.7755102040818</v>
      </c>
      <c r="J860">
        <f t="shared" si="620"/>
        <v>947.71428571428567</v>
      </c>
      <c r="K860">
        <f t="shared" si="620"/>
        <v>914.48571428571438</v>
      </c>
      <c r="L860">
        <f t="shared" si="620"/>
        <v>586.98281250000002</v>
      </c>
      <c r="M860">
        <f t="shared" si="620"/>
        <v>775.22000000000014</v>
      </c>
      <c r="N860">
        <f t="shared" si="620"/>
        <v>871.38000000000011</v>
      </c>
      <c r="O860">
        <f t="shared" si="620"/>
        <v>738.81999999999994</v>
      </c>
      <c r="P860">
        <f t="shared" si="620"/>
        <v>612.62337730300442</v>
      </c>
      <c r="Q860">
        <f t="shared" si="620"/>
        <v>681.04238300736961</v>
      </c>
      <c r="R860">
        <f t="shared" si="620"/>
        <v>626.29910048185934</v>
      </c>
      <c r="S860">
        <f t="shared" si="620"/>
        <v>631.27206420068035</v>
      </c>
      <c r="T860">
        <f t="shared" si="620"/>
        <v>1163.8857142857146</v>
      </c>
      <c r="U860">
        <f t="shared" si="620"/>
        <v>1014.2408163265306</v>
      </c>
      <c r="V860">
        <f t="shared" si="620"/>
        <v>989.30204081632655</v>
      </c>
      <c r="W860">
        <f t="shared" si="620"/>
        <v>1118.3183673469389</v>
      </c>
      <c r="Y860" s="17">
        <f t="shared" si="590"/>
        <v>20031.247900758222</v>
      </c>
      <c r="Z860">
        <f>SUMPRODUCT($D$862:$W$862,D860:W860)</f>
        <v>1207.4612049084003</v>
      </c>
    </row>
    <row r="861" spans="1:26" x14ac:dyDescent="0.25">
      <c r="A861" t="s">
        <v>677</v>
      </c>
      <c r="D861">
        <f t="shared" ref="D861:W861" si="621">D141*D213</f>
        <v>1152.4897959183675</v>
      </c>
      <c r="E861">
        <f t="shared" si="621"/>
        <v>1506.457142857143</v>
      </c>
      <c r="F861">
        <f t="shared" si="621"/>
        <v>1254.0428571428572</v>
      </c>
      <c r="G861">
        <f t="shared" si="621"/>
        <v>930.58775510204077</v>
      </c>
      <c r="H861">
        <f t="shared" si="621"/>
        <v>764.31428571428569</v>
      </c>
      <c r="I861">
        <f t="shared" si="621"/>
        <v>942.07142857142867</v>
      </c>
      <c r="J861">
        <f t="shared" si="621"/>
        <v>815.087755102041</v>
      </c>
      <c r="K861">
        <f t="shared" si="621"/>
        <v>622.91020408163251</v>
      </c>
      <c r="L861">
        <f t="shared" si="621"/>
        <v>524.98125000000005</v>
      </c>
      <c r="M861">
        <f t="shared" si="621"/>
        <v>1015.3979591836735</v>
      </c>
      <c r="N861">
        <f t="shared" si="621"/>
        <v>975.59183673469397</v>
      </c>
      <c r="O861">
        <f t="shared" si="621"/>
        <v>315.53877551020412</v>
      </c>
      <c r="P861">
        <f t="shared" si="621"/>
        <v>783.03673469387763</v>
      </c>
      <c r="Q861">
        <f t="shared" si="621"/>
        <v>970.51428571428573</v>
      </c>
      <c r="R861">
        <f t="shared" si="621"/>
        <v>654.26326530612243</v>
      </c>
      <c r="S861">
        <f t="shared" si="621"/>
        <v>722.09628279883407</v>
      </c>
      <c r="T861">
        <f t="shared" si="621"/>
        <v>840.03771188811186</v>
      </c>
      <c r="U861">
        <f t="shared" si="621"/>
        <v>818.84743644926505</v>
      </c>
      <c r="V861">
        <f t="shared" si="621"/>
        <v>779.82134130869122</v>
      </c>
      <c r="W861">
        <f t="shared" si="621"/>
        <v>892.22210682174966</v>
      </c>
      <c r="Y861" s="17">
        <f t="shared" ref="Y861" si="622">SUM(D861:W861)</f>
        <v>17280.310210899308</v>
      </c>
      <c r="Z861">
        <f>SUMPRODUCT($D$862:$W$862,D861:W861)</f>
        <v>1133.7298275604878</v>
      </c>
    </row>
    <row r="862" spans="1:26" x14ac:dyDescent="0.25">
      <c r="A862" s="2" t="s">
        <v>71</v>
      </c>
      <c r="D862" s="3">
        <f>CORREL($B$2:$B$28,D830:D856)</f>
        <v>-9.5499287196295045E-3</v>
      </c>
      <c r="E862" s="3">
        <f t="shared" ref="E862:W862" si="623">CORREL($B$2:$B$28,E830:E856)</f>
        <v>0.11620481032194148</v>
      </c>
      <c r="F862" s="3">
        <f t="shared" si="623"/>
        <v>0.26985858057399653</v>
      </c>
      <c r="G862" s="3">
        <f t="shared" si="623"/>
        <v>-0.10995323957053341</v>
      </c>
      <c r="H862" s="3">
        <f t="shared" si="623"/>
        <v>-0.15340907433397882</v>
      </c>
      <c r="I862" s="3">
        <f t="shared" si="623"/>
        <v>8.8956431261190516E-2</v>
      </c>
      <c r="J862" s="3">
        <f t="shared" si="623"/>
        <v>-0.28632421486961013</v>
      </c>
      <c r="K862" s="3">
        <f t="shared" si="623"/>
        <v>8.5181573827113943E-2</v>
      </c>
      <c r="L862" s="3">
        <f t="shared" si="623"/>
        <v>0.13463762198839102</v>
      </c>
      <c r="M862" s="3">
        <f t="shared" si="623"/>
        <v>0.23469535458059287</v>
      </c>
      <c r="N862" s="3">
        <f t="shared" si="623"/>
        <v>5.266200594385282E-2</v>
      </c>
      <c r="O862" s="3">
        <f t="shared" si="623"/>
        <v>0.1951995578540511</v>
      </c>
      <c r="P862" s="3">
        <f t="shared" si="623"/>
        <v>-6.7321634789892976E-2</v>
      </c>
      <c r="Q862" s="3">
        <f t="shared" si="623"/>
        <v>0.19578435863134563</v>
      </c>
      <c r="R862" s="3">
        <f t="shared" si="623"/>
        <v>-1.0350953991737794E-2</v>
      </c>
      <c r="S862" s="3">
        <f t="shared" si="623"/>
        <v>-4.4690665024564959E-2</v>
      </c>
      <c r="T862" s="3">
        <f t="shared" si="623"/>
        <v>0.17566943972728508</v>
      </c>
      <c r="U862" s="3">
        <f t="shared" si="623"/>
        <v>0.33713504242763154</v>
      </c>
      <c r="V862" s="3">
        <f t="shared" si="623"/>
        <v>0.1235522791119022</v>
      </c>
      <c r="W862" s="3">
        <f t="shared" si="623"/>
        <v>-0.10405501515187064</v>
      </c>
    </row>
    <row r="865" spans="1:26" x14ac:dyDescent="0.25">
      <c r="D865" t="s">
        <v>270</v>
      </c>
      <c r="E865" t="s">
        <v>271</v>
      </c>
      <c r="F865" t="s">
        <v>272</v>
      </c>
      <c r="G865" t="s">
        <v>273</v>
      </c>
      <c r="H865" t="s">
        <v>274</v>
      </c>
      <c r="I865" t="s">
        <v>275</v>
      </c>
      <c r="J865" t="s">
        <v>276</v>
      </c>
      <c r="K865" t="s">
        <v>277</v>
      </c>
      <c r="L865" t="s">
        <v>364</v>
      </c>
      <c r="M865" t="s">
        <v>440</v>
      </c>
      <c r="N865" t="s">
        <v>441</v>
      </c>
      <c r="O865" t="s">
        <v>442</v>
      </c>
      <c r="P865" t="s">
        <v>549</v>
      </c>
      <c r="Q865" t="s">
        <v>550</v>
      </c>
      <c r="R865" t="s">
        <v>551</v>
      </c>
      <c r="S865" t="s">
        <v>552</v>
      </c>
      <c r="T865" t="s">
        <v>661</v>
      </c>
      <c r="U865" t="s">
        <v>662</v>
      </c>
      <c r="V865" t="s">
        <v>663</v>
      </c>
      <c r="W865" t="s">
        <v>664</v>
      </c>
      <c r="Y865" t="s">
        <v>278</v>
      </c>
      <c r="Z865" t="s">
        <v>279</v>
      </c>
    </row>
    <row r="866" spans="1:26" x14ac:dyDescent="0.25">
      <c r="A866" t="s">
        <v>43</v>
      </c>
      <c r="D866">
        <f t="shared" ref="D866:W866" si="624">D110*D218</f>
        <v>829.43265306122453</v>
      </c>
      <c r="E866">
        <f t="shared" si="624"/>
        <v>836.82857142857142</v>
      </c>
      <c r="F866">
        <f t="shared" si="624"/>
        <v>721.83673469387759</v>
      </c>
      <c r="G866">
        <f t="shared" si="624"/>
        <v>915.30612244897952</v>
      </c>
      <c r="H866">
        <f t="shared" si="624"/>
        <v>819.08163265306121</v>
      </c>
      <c r="I866">
        <f t="shared" si="624"/>
        <v>705.16326530612264</v>
      </c>
      <c r="J866">
        <f t="shared" si="624"/>
        <v>980.86530612244894</v>
      </c>
      <c r="K866">
        <f t="shared" si="624"/>
        <v>831.03673469387763</v>
      </c>
      <c r="L866">
        <f t="shared" si="624"/>
        <v>905.97812500000009</v>
      </c>
      <c r="M866">
        <f t="shared" si="624"/>
        <v>598.88571428571436</v>
      </c>
      <c r="N866">
        <f t="shared" si="624"/>
        <v>480.86938775510214</v>
      </c>
      <c r="O866">
        <f t="shared" si="624"/>
        <v>716.3551020408164</v>
      </c>
      <c r="P866">
        <f t="shared" si="624"/>
        <v>682.02244897959179</v>
      </c>
      <c r="Q866">
        <f t="shared" si="624"/>
        <v>698.66938775510209</v>
      </c>
      <c r="R866">
        <f t="shared" si="624"/>
        <v>753.55102040816314</v>
      </c>
      <c r="S866">
        <f t="shared" si="624"/>
        <v>589.48979591836724</v>
      </c>
      <c r="T866">
        <f t="shared" si="624"/>
        <v>529.65306122448976</v>
      </c>
      <c r="U866">
        <f t="shared" si="624"/>
        <v>434.23265306122448</v>
      </c>
      <c r="V866">
        <f t="shared" si="624"/>
        <v>718.32448979591823</v>
      </c>
      <c r="W866">
        <f t="shared" si="624"/>
        <v>521.22040816326535</v>
      </c>
      <c r="Y866" s="17">
        <f t="shared" ref="Y866:Y896" si="625">SUM(D866:W866)</f>
        <v>14268.802614795917</v>
      </c>
      <c r="Z866">
        <f t="shared" ref="Z866:Z892" si="626">SUMPRODUCT($D$898:$W$898,D866:W866)</f>
        <v>3204.5028820875868</v>
      </c>
    </row>
    <row r="867" spans="1:26" x14ac:dyDescent="0.25">
      <c r="A867" t="s">
        <v>44</v>
      </c>
      <c r="D867">
        <f t="shared" ref="D867:W867" si="627">D111*D219</f>
        <v>698.42</v>
      </c>
      <c r="E867">
        <f t="shared" si="627"/>
        <v>624.95999999999992</v>
      </c>
      <c r="F867">
        <f t="shared" si="627"/>
        <v>676.25999999999988</v>
      </c>
      <c r="G867">
        <f t="shared" si="627"/>
        <v>599.7600000000001</v>
      </c>
      <c r="H867">
        <f t="shared" si="627"/>
        <v>885.92000000000007</v>
      </c>
      <c r="I867">
        <f t="shared" si="627"/>
        <v>665.88</v>
      </c>
      <c r="J867">
        <f t="shared" si="627"/>
        <v>1035.76</v>
      </c>
      <c r="K867">
        <f t="shared" si="627"/>
        <v>659.59999999999991</v>
      </c>
      <c r="L867">
        <f t="shared" si="627"/>
        <v>677.88000000000011</v>
      </c>
      <c r="M867">
        <f t="shared" si="627"/>
        <v>565.44000000000005</v>
      </c>
      <c r="N867">
        <f t="shared" si="627"/>
        <v>644.28</v>
      </c>
      <c r="O867">
        <f t="shared" si="627"/>
        <v>851.43</v>
      </c>
      <c r="P867">
        <f t="shared" si="627"/>
        <v>776.06401175510189</v>
      </c>
      <c r="Q867">
        <f t="shared" si="627"/>
        <v>688.45642440816323</v>
      </c>
      <c r="R867">
        <f t="shared" si="627"/>
        <v>741.2674199183673</v>
      </c>
      <c r="S867">
        <f t="shared" si="627"/>
        <v>775.580846857143</v>
      </c>
      <c r="T867">
        <f t="shared" si="627"/>
        <v>633.99484508348792</v>
      </c>
      <c r="U867">
        <f t="shared" si="627"/>
        <v>678.96770686456387</v>
      </c>
      <c r="V867">
        <f t="shared" si="627"/>
        <v>572.76181934137287</v>
      </c>
      <c r="W867">
        <f t="shared" si="627"/>
        <v>700.84904220779208</v>
      </c>
      <c r="Y867" s="17">
        <f t="shared" si="625"/>
        <v>14153.532116435988</v>
      </c>
      <c r="Z867">
        <f t="shared" si="626"/>
        <v>3027.2167512907504</v>
      </c>
    </row>
    <row r="868" spans="1:26" x14ac:dyDescent="0.25">
      <c r="A868" t="s">
        <v>45</v>
      </c>
      <c r="D868">
        <f t="shared" ref="D868:W868" si="628">D112*D220</f>
        <v>612.29387755102027</v>
      </c>
      <c r="E868">
        <f t="shared" si="628"/>
        <v>467.42857142857156</v>
      </c>
      <c r="F868">
        <f t="shared" si="628"/>
        <v>490.08367346938775</v>
      </c>
      <c r="G868">
        <f t="shared" si="628"/>
        <v>785.75510204081627</v>
      </c>
      <c r="H868">
        <f t="shared" si="628"/>
        <v>824.68571428571443</v>
      </c>
      <c r="I868">
        <f t="shared" si="628"/>
        <v>628.16326530612241</v>
      </c>
      <c r="J868">
        <f t="shared" si="628"/>
        <v>1129.665306122449</v>
      </c>
      <c r="K868">
        <f t="shared" si="628"/>
        <v>556.6</v>
      </c>
      <c r="L868">
        <f t="shared" si="628"/>
        <v>742.109375</v>
      </c>
      <c r="M868">
        <f t="shared" si="628"/>
        <v>801.69795918367356</v>
      </c>
      <c r="N868">
        <f t="shared" si="628"/>
        <v>928.87346938775488</v>
      </c>
      <c r="O868">
        <f t="shared" si="628"/>
        <v>871.60408163265322</v>
      </c>
      <c r="P868">
        <f t="shared" si="628"/>
        <v>478.56326530612245</v>
      </c>
      <c r="Q868">
        <f t="shared" si="628"/>
        <v>604.26122448979595</v>
      </c>
      <c r="R868">
        <f t="shared" si="628"/>
        <v>905.73061224489788</v>
      </c>
      <c r="S868">
        <f t="shared" si="628"/>
        <v>684.32653061224482</v>
      </c>
      <c r="T868">
        <f t="shared" si="628"/>
        <v>698.24081632653065</v>
      </c>
      <c r="U868">
        <f t="shared" si="628"/>
        <v>834.79591836734687</v>
      </c>
      <c r="V868">
        <f t="shared" si="628"/>
        <v>970.31020408163272</v>
      </c>
      <c r="W868">
        <f t="shared" si="628"/>
        <v>954.17142857142858</v>
      </c>
      <c r="Y868" s="17">
        <f t="shared" si="625"/>
        <v>14969.360395408159</v>
      </c>
      <c r="Z868">
        <f t="shared" si="626"/>
        <v>3042.5075200413849</v>
      </c>
    </row>
    <row r="869" spans="1:26" x14ac:dyDescent="0.25">
      <c r="A869" t="s">
        <v>46</v>
      </c>
      <c r="D869">
        <f t="shared" ref="D869:W869" si="629">D113*D221</f>
        <v>682.08979591836737</v>
      </c>
      <c r="E869">
        <f t="shared" si="629"/>
        <v>627.13469387755106</v>
      </c>
      <c r="F869">
        <f t="shared" si="629"/>
        <v>501.86938775510203</v>
      </c>
      <c r="G869">
        <f t="shared" si="629"/>
        <v>753.42857142857133</v>
      </c>
      <c r="H869">
        <f t="shared" si="629"/>
        <v>519.79591836734699</v>
      </c>
      <c r="I869">
        <f t="shared" si="629"/>
        <v>560.38775510204084</v>
      </c>
      <c r="J869">
        <f t="shared" si="629"/>
        <v>662.37755102040808</v>
      </c>
      <c r="K869">
        <f t="shared" si="629"/>
        <v>885.55510204081645</v>
      </c>
      <c r="L869">
        <f t="shared" si="629"/>
        <v>769.71562500000005</v>
      </c>
      <c r="M869">
        <f t="shared" si="629"/>
        <v>795.64897959183679</v>
      </c>
      <c r="N869">
        <f t="shared" si="629"/>
        <v>459.9061224489796</v>
      </c>
      <c r="O869">
        <f t="shared" si="629"/>
        <v>562.08163265306121</v>
      </c>
      <c r="P869">
        <f t="shared" si="629"/>
        <v>468</v>
      </c>
      <c r="Q869">
        <f t="shared" si="629"/>
        <v>734.67551020408177</v>
      </c>
      <c r="R869">
        <f t="shared" si="629"/>
        <v>771.81632653061229</v>
      </c>
      <c r="S869">
        <f t="shared" si="629"/>
        <v>900.52653061224476</v>
      </c>
      <c r="T869">
        <f t="shared" si="629"/>
        <v>521.30612244897952</v>
      </c>
      <c r="U869">
        <f t="shared" si="629"/>
        <v>535.88571428571436</v>
      </c>
      <c r="V869">
        <f t="shared" si="629"/>
        <v>490.51020408163259</v>
      </c>
      <c r="W869">
        <f t="shared" si="629"/>
        <v>1172.1714285714286</v>
      </c>
      <c r="Y869" s="17">
        <f t="shared" si="625"/>
        <v>13374.882971938776</v>
      </c>
      <c r="Z869">
        <f t="shared" si="626"/>
        <v>2741.4610231474026</v>
      </c>
    </row>
    <row r="870" spans="1:26" x14ac:dyDescent="0.25">
      <c r="A870" t="s">
        <v>47</v>
      </c>
      <c r="D870">
        <f t="shared" ref="D870:W870" si="630">D114*D222</f>
        <v>838.39591836734689</v>
      </c>
      <c r="E870">
        <f t="shared" si="630"/>
        <v>599.96938775510205</v>
      </c>
      <c r="F870">
        <f t="shared" si="630"/>
        <v>721.06530612244899</v>
      </c>
      <c r="G870">
        <f t="shared" si="630"/>
        <v>870</v>
      </c>
      <c r="H870">
        <f t="shared" si="630"/>
        <v>647.14285714285711</v>
      </c>
      <c r="I870">
        <f t="shared" si="630"/>
        <v>568.75714285714275</v>
      </c>
      <c r="J870">
        <f t="shared" si="630"/>
        <v>742.88571428571413</v>
      </c>
      <c r="K870">
        <f t="shared" si="630"/>
        <v>745.49387755102043</v>
      </c>
      <c r="L870">
        <f t="shared" si="630"/>
        <v>544.7734375</v>
      </c>
      <c r="M870">
        <f t="shared" si="630"/>
        <v>716.32653061224494</v>
      </c>
      <c r="N870">
        <f t="shared" si="630"/>
        <v>816.19999999999993</v>
      </c>
      <c r="O870">
        <f t="shared" si="630"/>
        <v>712.22857142857151</v>
      </c>
      <c r="P870">
        <f t="shared" si="630"/>
        <v>684.09183673469397</v>
      </c>
      <c r="Q870">
        <f t="shared" si="630"/>
        <v>499.15102040816316</v>
      </c>
      <c r="R870">
        <f t="shared" si="630"/>
        <v>804.48163265306118</v>
      </c>
      <c r="S870">
        <f t="shared" si="630"/>
        <v>797.14285714285711</v>
      </c>
      <c r="T870">
        <f t="shared" si="630"/>
        <v>778.81224489795932</v>
      </c>
      <c r="U870">
        <f t="shared" si="630"/>
        <v>718.99591836734692</v>
      </c>
      <c r="V870">
        <f t="shared" si="630"/>
        <v>338.77551020408168</v>
      </c>
      <c r="W870">
        <f t="shared" si="630"/>
        <v>580.46938775510205</v>
      </c>
      <c r="Y870" s="17">
        <f t="shared" si="625"/>
        <v>13725.159151785712</v>
      </c>
      <c r="Z870">
        <f t="shared" si="626"/>
        <v>2898.2211921937278</v>
      </c>
    </row>
    <row r="871" spans="1:26" x14ac:dyDescent="0.25">
      <c r="A871" t="s">
        <v>48</v>
      </c>
      <c r="D871">
        <f t="shared" ref="D871:W871" si="631">D115*D223</f>
        <v>902.71224489795929</v>
      </c>
      <c r="E871">
        <f t="shared" si="631"/>
        <v>696.3</v>
      </c>
      <c r="F871">
        <f t="shared" si="631"/>
        <v>723.2510204081633</v>
      </c>
      <c r="G871">
        <f t="shared" si="631"/>
        <v>1193.4489795918366</v>
      </c>
      <c r="H871">
        <f t="shared" si="631"/>
        <v>1027.0204081632653</v>
      </c>
      <c r="I871">
        <f t="shared" si="631"/>
        <v>986.47346938775502</v>
      </c>
      <c r="J871">
        <f t="shared" si="631"/>
        <v>990</v>
      </c>
      <c r="K871">
        <f t="shared" si="631"/>
        <v>829.46122448979577</v>
      </c>
      <c r="L871">
        <f t="shared" si="631"/>
        <v>861.6015625</v>
      </c>
      <c r="M871">
        <f t="shared" si="631"/>
        <v>499.57142857142861</v>
      </c>
      <c r="N871">
        <f t="shared" si="631"/>
        <v>759.30612244897952</v>
      </c>
      <c r="O871">
        <f t="shared" si="631"/>
        <v>441.20204081632653</v>
      </c>
      <c r="P871">
        <f t="shared" si="631"/>
        <v>910.17142857142858</v>
      </c>
      <c r="Q871">
        <f t="shared" si="631"/>
        <v>878.24897959183659</v>
      </c>
      <c r="R871">
        <f t="shared" si="631"/>
        <v>860.82857142857131</v>
      </c>
      <c r="S871">
        <f t="shared" si="631"/>
        <v>474.80816326530612</v>
      </c>
      <c r="T871">
        <f t="shared" si="631"/>
        <v>765.19591836734696</v>
      </c>
      <c r="U871">
        <f t="shared" si="631"/>
        <v>814.58571428571429</v>
      </c>
      <c r="V871">
        <f t="shared" si="631"/>
        <v>571.62857142857149</v>
      </c>
      <c r="W871">
        <f t="shared" si="631"/>
        <v>559.53061224489784</v>
      </c>
      <c r="Y871" s="17">
        <f t="shared" si="625"/>
        <v>15745.346460459185</v>
      </c>
      <c r="Z871">
        <f t="shared" si="626"/>
        <v>3398.7208915248912</v>
      </c>
    </row>
    <row r="872" spans="1:26" x14ac:dyDescent="0.25">
      <c r="A872" t="s">
        <v>49</v>
      </c>
      <c r="D872">
        <f t="shared" ref="D872:W872" si="632">D116*D224</f>
        <v>534</v>
      </c>
      <c r="E872">
        <f t="shared" si="632"/>
        <v>818.39795918367349</v>
      </c>
      <c r="F872">
        <f t="shared" si="632"/>
        <v>952</v>
      </c>
      <c r="G872">
        <f t="shared" si="632"/>
        <v>813.08571428571429</v>
      </c>
      <c r="H872">
        <f t="shared" si="632"/>
        <v>660.83877551020396</v>
      </c>
      <c r="I872">
        <f t="shared" si="632"/>
        <v>723.57551020408164</v>
      </c>
      <c r="J872">
        <f t="shared" si="632"/>
        <v>655.46938775510193</v>
      </c>
      <c r="K872">
        <f t="shared" si="632"/>
        <v>906.98775510204075</v>
      </c>
      <c r="L872">
        <f t="shared" si="632"/>
        <v>598.35156250000011</v>
      </c>
      <c r="M872">
        <f t="shared" si="632"/>
        <v>485.41836734693874</v>
      </c>
      <c r="N872">
        <f t="shared" si="632"/>
        <v>635.38571428571436</v>
      </c>
      <c r="O872">
        <f t="shared" si="632"/>
        <v>508.8122448979592</v>
      </c>
      <c r="P872">
        <f t="shared" si="632"/>
        <v>869.61428571428564</v>
      </c>
      <c r="Q872">
        <f t="shared" si="632"/>
        <v>1054.0571428571429</v>
      </c>
      <c r="R872">
        <f t="shared" si="632"/>
        <v>687.71428571428578</v>
      </c>
      <c r="S872">
        <f t="shared" si="632"/>
        <v>624.87142857142862</v>
      </c>
      <c r="T872">
        <f t="shared" si="632"/>
        <v>396.62448979591835</v>
      </c>
      <c r="U872">
        <f t="shared" si="632"/>
        <v>605.5836734693878</v>
      </c>
      <c r="V872">
        <f t="shared" si="632"/>
        <v>744.7</v>
      </c>
      <c r="W872">
        <f t="shared" si="632"/>
        <v>406.05714285714288</v>
      </c>
      <c r="Y872" s="17">
        <f t="shared" si="625"/>
        <v>13681.545440051019</v>
      </c>
      <c r="Z872">
        <f t="shared" si="626"/>
        <v>3140.0302532295023</v>
      </c>
    </row>
    <row r="873" spans="1:26" x14ac:dyDescent="0.25">
      <c r="A873" t="s">
        <v>50</v>
      </c>
      <c r="D873">
        <f t="shared" ref="D873:W873" si="633">D117*D225</f>
        <v>610.91224489795911</v>
      </c>
      <c r="E873">
        <f t="shared" si="633"/>
        <v>495.91836734693891</v>
      </c>
      <c r="F873">
        <f t="shared" si="633"/>
        <v>756.74285714285725</v>
      </c>
      <c r="G873">
        <f t="shared" si="633"/>
        <v>998.05714285714294</v>
      </c>
      <c r="H873">
        <f t="shared" si="633"/>
        <v>784.45714285714268</v>
      </c>
      <c r="I873">
        <f t="shared" si="633"/>
        <v>1001.0816326530613</v>
      </c>
      <c r="J873">
        <f t="shared" si="633"/>
        <v>778.9795918367347</v>
      </c>
      <c r="K873">
        <f t="shared" si="633"/>
        <v>822.95510204081631</v>
      </c>
      <c r="L873">
        <f t="shared" si="633"/>
        <v>900.45937500000002</v>
      </c>
      <c r="M873">
        <f t="shared" si="633"/>
        <v>1170.9387755102041</v>
      </c>
      <c r="N873">
        <f t="shared" si="633"/>
        <v>1004.3571428571429</v>
      </c>
      <c r="O873">
        <f t="shared" si="633"/>
        <v>791.57755102040812</v>
      </c>
      <c r="P873">
        <f t="shared" si="633"/>
        <v>643.0040816326532</v>
      </c>
      <c r="Q873">
        <f t="shared" si="633"/>
        <v>532.91020408163274</v>
      </c>
      <c r="R873">
        <f t="shared" si="633"/>
        <v>555.18979591836739</v>
      </c>
      <c r="S873">
        <f t="shared" si="633"/>
        <v>762.28571428571445</v>
      </c>
      <c r="T873">
        <f t="shared" si="633"/>
        <v>527.99591836734692</v>
      </c>
      <c r="U873">
        <f t="shared" si="633"/>
        <v>650.74285714285713</v>
      </c>
      <c r="V873">
        <f t="shared" si="633"/>
        <v>572.51428571428562</v>
      </c>
      <c r="W873">
        <f t="shared" si="633"/>
        <v>711.2081632653061</v>
      </c>
      <c r="Y873" s="17">
        <f t="shared" si="625"/>
        <v>15072.287946428571</v>
      </c>
      <c r="Z873">
        <f t="shared" si="626"/>
        <v>3289.695510456992</v>
      </c>
    </row>
    <row r="874" spans="1:26" x14ac:dyDescent="0.25">
      <c r="A874" t="s">
        <v>51</v>
      </c>
      <c r="D874">
        <f t="shared" ref="D874:W874" si="634">D118*D226</f>
        <v>953.04489795918357</v>
      </c>
      <c r="E874">
        <f t="shared" si="634"/>
        <v>948.85714285714289</v>
      </c>
      <c r="F874">
        <f t="shared" si="634"/>
        <v>1093.6265306122448</v>
      </c>
      <c r="G874">
        <f t="shared" si="634"/>
        <v>1525.5510204081631</v>
      </c>
      <c r="H874">
        <f t="shared" si="634"/>
        <v>566.74285714285713</v>
      </c>
      <c r="I874">
        <f t="shared" si="634"/>
        <v>867.42857142857133</v>
      </c>
      <c r="J874">
        <f t="shared" si="634"/>
        <v>735.64897959183679</v>
      </c>
      <c r="K874">
        <f t="shared" si="634"/>
        <v>738.11020408163267</v>
      </c>
      <c r="L874">
        <f t="shared" si="634"/>
        <v>626.109375</v>
      </c>
      <c r="M874">
        <f t="shared" si="634"/>
        <v>1058.1632653061224</v>
      </c>
      <c r="N874">
        <f t="shared" si="634"/>
        <v>1178.9387755102041</v>
      </c>
      <c r="O874">
        <f t="shared" si="634"/>
        <v>697.0408163265306</v>
      </c>
      <c r="P874">
        <f t="shared" si="634"/>
        <v>1267.6530612244899</v>
      </c>
      <c r="Q874">
        <f t="shared" si="634"/>
        <v>430.49795918367346</v>
      </c>
      <c r="R874">
        <f t="shared" si="634"/>
        <v>734.66122448979604</v>
      </c>
      <c r="S874">
        <f t="shared" si="634"/>
        <v>609.89387755102052</v>
      </c>
      <c r="T874">
        <f t="shared" si="634"/>
        <v>665.35714285714289</v>
      </c>
      <c r="U874">
        <f t="shared" si="634"/>
        <v>539.89591836734689</v>
      </c>
      <c r="V874">
        <f t="shared" si="634"/>
        <v>409.43469387755107</v>
      </c>
      <c r="W874">
        <f t="shared" si="634"/>
        <v>615.37142857142851</v>
      </c>
      <c r="Y874" s="17">
        <f t="shared" si="625"/>
        <v>16262.02774234694</v>
      </c>
      <c r="Z874">
        <f t="shared" si="626"/>
        <v>3414.8182757363056</v>
      </c>
    </row>
    <row r="875" spans="1:26" x14ac:dyDescent="0.25">
      <c r="A875" t="s">
        <v>52</v>
      </c>
      <c r="D875">
        <f t="shared" ref="D875:W875" si="635">D119*D227</f>
        <v>923.26530612244903</v>
      </c>
      <c r="E875">
        <f t="shared" si="635"/>
        <v>598.66122448979593</v>
      </c>
      <c r="F875">
        <f t="shared" si="635"/>
        <v>907.59183673469386</v>
      </c>
      <c r="G875">
        <f t="shared" si="635"/>
        <v>579.88571428571424</v>
      </c>
      <c r="H875">
        <f t="shared" si="635"/>
        <v>872.07346938775515</v>
      </c>
      <c r="I875">
        <f t="shared" si="635"/>
        <v>1066.8367346938776</v>
      </c>
      <c r="J875">
        <f t="shared" si="635"/>
        <v>595.09387755102034</v>
      </c>
      <c r="K875">
        <f t="shared" si="635"/>
        <v>580.01632653061233</v>
      </c>
      <c r="L875">
        <f t="shared" si="635"/>
        <v>859.33437499999991</v>
      </c>
      <c r="M875">
        <f t="shared" si="635"/>
        <v>787.59795918367365</v>
      </c>
      <c r="N875">
        <f t="shared" si="635"/>
        <v>754.81020408163261</v>
      </c>
      <c r="O875">
        <f t="shared" si="635"/>
        <v>832.14489795918371</v>
      </c>
      <c r="P875">
        <f t="shared" si="635"/>
        <v>650.00816326530605</v>
      </c>
      <c r="Q875">
        <f t="shared" si="635"/>
        <v>720.08775510204077</v>
      </c>
      <c r="R875">
        <f t="shared" si="635"/>
        <v>721.9591836734694</v>
      </c>
      <c r="S875">
        <f t="shared" si="635"/>
        <v>812.53469387755092</v>
      </c>
      <c r="T875">
        <f t="shared" si="635"/>
        <v>527.32653061224482</v>
      </c>
      <c r="U875">
        <f t="shared" si="635"/>
        <v>758.37551020408159</v>
      </c>
      <c r="V875">
        <f t="shared" si="635"/>
        <v>503.46326530612248</v>
      </c>
      <c r="W875">
        <f t="shared" si="635"/>
        <v>641.41428571428571</v>
      </c>
      <c r="Y875" s="17">
        <f t="shared" si="625"/>
        <v>14692.481313775508</v>
      </c>
      <c r="Z875">
        <f t="shared" si="626"/>
        <v>3318.9910145964104</v>
      </c>
    </row>
    <row r="876" spans="1:26" x14ac:dyDescent="0.25">
      <c r="A876" t="s">
        <v>53</v>
      </c>
      <c r="D876">
        <f t="shared" ref="D876:W876" si="636">D120*D228</f>
        <v>764.12244897959192</v>
      </c>
      <c r="E876">
        <f t="shared" si="636"/>
        <v>865.61632653061247</v>
      </c>
      <c r="F876">
        <f t="shared" si="636"/>
        <v>962.67142857142846</v>
      </c>
      <c r="G876">
        <f t="shared" si="636"/>
        <v>1262.3265306122448</v>
      </c>
      <c r="H876">
        <f t="shared" si="636"/>
        <v>919.68979591836751</v>
      </c>
      <c r="I876">
        <f t="shared" si="636"/>
        <v>520.52857142857147</v>
      </c>
      <c r="J876">
        <f t="shared" si="636"/>
        <v>963.87142857142862</v>
      </c>
      <c r="K876">
        <f t="shared" si="636"/>
        <v>941.14285714285711</v>
      </c>
      <c r="L876">
        <f t="shared" si="636"/>
        <v>1064.4749999999999</v>
      </c>
      <c r="M876">
        <f t="shared" si="636"/>
        <v>1199.6326530612243</v>
      </c>
      <c r="N876">
        <f t="shared" si="636"/>
        <v>947.66326530612241</v>
      </c>
      <c r="O876">
        <f t="shared" si="636"/>
        <v>851.5</v>
      </c>
      <c r="P876">
        <f t="shared" si="636"/>
        <v>875.49999999999989</v>
      </c>
      <c r="Q876">
        <f t="shared" si="636"/>
        <v>551.95510204081631</v>
      </c>
      <c r="R876">
        <f t="shared" si="636"/>
        <v>625.0836734693878</v>
      </c>
      <c r="S876">
        <f t="shared" si="636"/>
        <v>698.17959183673463</v>
      </c>
      <c r="T876">
        <f t="shared" si="636"/>
        <v>980.16734693877538</v>
      </c>
      <c r="U876">
        <f t="shared" si="636"/>
        <v>676.98775510204075</v>
      </c>
      <c r="V876">
        <f t="shared" si="636"/>
        <v>656.76734693877552</v>
      </c>
      <c r="W876">
        <f t="shared" si="636"/>
        <v>542.02653061224498</v>
      </c>
      <c r="Y876" s="17">
        <f t="shared" si="625"/>
        <v>16869.907653061222</v>
      </c>
      <c r="Z876">
        <f t="shared" si="626"/>
        <v>3738.9622067058663</v>
      </c>
    </row>
    <row r="877" spans="1:26" x14ac:dyDescent="0.25">
      <c r="A877" t="s">
        <v>54</v>
      </c>
      <c r="D877">
        <f t="shared" ref="D877:W877" si="637">D121*D229</f>
        <v>1271.8367346938774</v>
      </c>
      <c r="E877">
        <f t="shared" si="637"/>
        <v>951.11020408163245</v>
      </c>
      <c r="F877">
        <f t="shared" si="637"/>
        <v>861.70612244897973</v>
      </c>
      <c r="G877">
        <f t="shared" si="637"/>
        <v>895.52040816326519</v>
      </c>
      <c r="H877">
        <f t="shared" si="637"/>
        <v>855.82040816326514</v>
      </c>
      <c r="I877">
        <f t="shared" si="637"/>
        <v>921.92653061224496</v>
      </c>
      <c r="J877">
        <f t="shared" si="637"/>
        <v>553.7285714285714</v>
      </c>
      <c r="K877">
        <f t="shared" si="637"/>
        <v>808.16326530612241</v>
      </c>
      <c r="L877">
        <f t="shared" si="637"/>
        <v>840.84687500000007</v>
      </c>
      <c r="M877">
        <f t="shared" si="637"/>
        <v>764.1015000000001</v>
      </c>
      <c r="N877">
        <f t="shared" si="637"/>
        <v>1061.2056</v>
      </c>
      <c r="O877">
        <f t="shared" si="637"/>
        <v>955.00620000000004</v>
      </c>
      <c r="P877">
        <f t="shared" si="637"/>
        <v>636.85439999999994</v>
      </c>
      <c r="Q877">
        <f t="shared" si="637"/>
        <v>814.05690000000004</v>
      </c>
      <c r="R877">
        <f t="shared" si="637"/>
        <v>551.00139999999999</v>
      </c>
      <c r="S877">
        <f t="shared" si="637"/>
        <v>778.82740000000001</v>
      </c>
      <c r="T877">
        <f t="shared" si="637"/>
        <v>520.79759999999999</v>
      </c>
      <c r="U877">
        <f t="shared" si="637"/>
        <v>708.28039999999999</v>
      </c>
      <c r="V877">
        <f t="shared" si="637"/>
        <v>617.83380000000011</v>
      </c>
      <c r="W877">
        <f t="shared" si="637"/>
        <v>891.18399999999997</v>
      </c>
      <c r="Y877" s="17">
        <f t="shared" si="625"/>
        <v>16259.808319897957</v>
      </c>
      <c r="Z877">
        <f t="shared" si="626"/>
        <v>3562.8859614962739</v>
      </c>
    </row>
    <row r="878" spans="1:26" x14ac:dyDescent="0.25">
      <c r="A878" t="s">
        <v>55</v>
      </c>
      <c r="D878">
        <f t="shared" ref="D878:W878" si="638">D122*D230</f>
        <v>1230.3409999999999</v>
      </c>
      <c r="E878">
        <f t="shared" si="638"/>
        <v>1288.7828999999999</v>
      </c>
      <c r="F878">
        <f t="shared" si="638"/>
        <v>1045.0408</v>
      </c>
      <c r="G878">
        <f t="shared" si="638"/>
        <v>1245.8789999999999</v>
      </c>
      <c r="H878">
        <f t="shared" si="638"/>
        <v>1277.5126</v>
      </c>
      <c r="I878">
        <f t="shared" si="638"/>
        <v>1443.816</v>
      </c>
      <c r="J878">
        <f t="shared" si="638"/>
        <v>942.92639999999994</v>
      </c>
      <c r="K878">
        <f t="shared" si="638"/>
        <v>1234.1340000000002</v>
      </c>
      <c r="L878">
        <f t="shared" si="638"/>
        <v>1009.7939999999999</v>
      </c>
      <c r="M878">
        <f t="shared" si="638"/>
        <v>1064.1428571428571</v>
      </c>
      <c r="N878">
        <f t="shared" si="638"/>
        <v>1100.4489795918369</v>
      </c>
      <c r="O878">
        <f t="shared" si="638"/>
        <v>614.79183673469402</v>
      </c>
      <c r="P878">
        <f t="shared" si="638"/>
        <v>704.16734693877538</v>
      </c>
      <c r="Q878">
        <f t="shared" si="638"/>
        <v>1056.1224489795918</v>
      </c>
      <c r="R878">
        <f t="shared" si="638"/>
        <v>778.67346938775518</v>
      </c>
      <c r="S878">
        <f t="shared" si="638"/>
        <v>1051.3061224489795</v>
      </c>
      <c r="T878">
        <f t="shared" si="638"/>
        <v>852.48979591836758</v>
      </c>
      <c r="U878">
        <f t="shared" si="638"/>
        <v>640.08571428571429</v>
      </c>
      <c r="V878">
        <f t="shared" si="638"/>
        <v>689.58979591836726</v>
      </c>
      <c r="W878">
        <f t="shared" si="638"/>
        <v>850.9959183673468</v>
      </c>
      <c r="Y878" s="17">
        <f t="shared" si="625"/>
        <v>20121.040985714284</v>
      </c>
      <c r="Z878">
        <f t="shared" si="626"/>
        <v>4553.5978879687918</v>
      </c>
    </row>
    <row r="879" spans="1:26" x14ac:dyDescent="0.25">
      <c r="A879" t="s">
        <v>56</v>
      </c>
      <c r="D879">
        <f t="shared" ref="D879:W879" si="639">D123*D231</f>
        <v>1383.0367346938774</v>
      </c>
      <c r="E879">
        <f t="shared" si="639"/>
        <v>1009.7632653061225</v>
      </c>
      <c r="F879">
        <f t="shared" si="639"/>
        <v>1148.081632653061</v>
      </c>
      <c r="G879">
        <f t="shared" si="639"/>
        <v>1057.8857142857144</v>
      </c>
      <c r="H879">
        <f t="shared" si="639"/>
        <v>796.53265306122432</v>
      </c>
      <c r="I879">
        <f t="shared" si="639"/>
        <v>760.42448979591825</v>
      </c>
      <c r="J879">
        <f t="shared" si="639"/>
        <v>700.71836734693886</v>
      </c>
      <c r="K879">
        <f t="shared" si="639"/>
        <v>1173.1040816326531</v>
      </c>
      <c r="L879">
        <f t="shared" si="639"/>
        <v>902.72812500000009</v>
      </c>
      <c r="M879">
        <f t="shared" si="639"/>
        <v>835.0408163265306</v>
      </c>
      <c r="N879">
        <f t="shared" si="639"/>
        <v>667.67142857142858</v>
      </c>
      <c r="O879">
        <f t="shared" si="639"/>
        <v>1017.3673469387755</v>
      </c>
      <c r="P879">
        <f t="shared" si="639"/>
        <v>1039.5999999999999</v>
      </c>
      <c r="Q879">
        <f t="shared" si="639"/>
        <v>672.1061224489797</v>
      </c>
      <c r="R879">
        <f t="shared" si="639"/>
        <v>1385.2448979591836</v>
      </c>
      <c r="S879">
        <f t="shared" si="639"/>
        <v>1323.5714285714284</v>
      </c>
      <c r="T879">
        <f t="shared" si="639"/>
        <v>994.9551020408162</v>
      </c>
      <c r="U879">
        <f t="shared" si="639"/>
        <v>610.97142857142865</v>
      </c>
      <c r="V879">
        <f t="shared" si="639"/>
        <v>787.78367346938785</v>
      </c>
      <c r="W879">
        <f t="shared" si="639"/>
        <v>556.32653061224494</v>
      </c>
      <c r="Y879" s="17">
        <f t="shared" si="625"/>
        <v>18822.913839285713</v>
      </c>
      <c r="Z879">
        <f t="shared" si="626"/>
        <v>4115.120653019002</v>
      </c>
    </row>
    <row r="880" spans="1:26" x14ac:dyDescent="0.25">
      <c r="A880" t="s">
        <v>57</v>
      </c>
      <c r="D880">
        <f t="shared" ref="D880:W880" si="640">D124*D232</f>
        <v>1095.5102040816325</v>
      </c>
      <c r="E880">
        <f t="shared" si="640"/>
        <v>863.45306122448983</v>
      </c>
      <c r="F880">
        <f t="shared" si="640"/>
        <v>715.93469387755113</v>
      </c>
      <c r="G880">
        <f t="shared" si="640"/>
        <v>770.96734693877545</v>
      </c>
      <c r="H880">
        <f t="shared" si="640"/>
        <v>590.88979591836744</v>
      </c>
      <c r="I880">
        <f t="shared" si="640"/>
        <v>834.74285714285725</v>
      </c>
      <c r="J880">
        <f t="shared" si="640"/>
        <v>878.42857142857144</v>
      </c>
      <c r="K880">
        <f t="shared" si="640"/>
        <v>603.42448979591836</v>
      </c>
      <c r="L880">
        <f t="shared" si="640"/>
        <v>781.95</v>
      </c>
      <c r="M880">
        <f t="shared" si="640"/>
        <v>778.69591836734674</v>
      </c>
      <c r="N880">
        <f t="shared" si="640"/>
        <v>928.83061224489791</v>
      </c>
      <c r="O880">
        <f t="shared" si="640"/>
        <v>614.38367346938776</v>
      </c>
      <c r="P880">
        <f t="shared" si="640"/>
        <v>906.71428571428578</v>
      </c>
      <c r="Q880">
        <f t="shared" si="640"/>
        <v>892.17959183673474</v>
      </c>
      <c r="R880">
        <f t="shared" si="640"/>
        <v>560.25918367346947</v>
      </c>
      <c r="S880">
        <f t="shared" si="640"/>
        <v>358.05306122448985</v>
      </c>
      <c r="T880">
        <f t="shared" si="640"/>
        <v>636.38571428571424</v>
      </c>
      <c r="U880">
        <f t="shared" si="640"/>
        <v>550</v>
      </c>
      <c r="V880">
        <f t="shared" si="640"/>
        <v>471.70612244897961</v>
      </c>
      <c r="W880">
        <f t="shared" si="640"/>
        <v>892.54285714285697</v>
      </c>
      <c r="Y880" s="17">
        <f t="shared" si="625"/>
        <v>14725.052040816325</v>
      </c>
      <c r="Z880">
        <f t="shared" si="626"/>
        <v>3203.634860343434</v>
      </c>
    </row>
    <row r="881" spans="1:26" x14ac:dyDescent="0.25">
      <c r="A881" t="s">
        <v>58</v>
      </c>
      <c r="D881">
        <f t="shared" ref="D881:W881" si="641">D125*D233</f>
        <v>876.33265306122439</v>
      </c>
      <c r="E881">
        <f t="shared" si="641"/>
        <v>940.10204081632662</v>
      </c>
      <c r="F881">
        <f t="shared" si="641"/>
        <v>1077.081632653061</v>
      </c>
      <c r="G881">
        <f t="shared" si="641"/>
        <v>825.59183673469374</v>
      </c>
      <c r="H881">
        <f t="shared" si="641"/>
        <v>722.93877551020421</v>
      </c>
      <c r="I881">
        <f t="shared" si="641"/>
        <v>583.18367346938771</v>
      </c>
      <c r="J881">
        <f t="shared" si="641"/>
        <v>929.77142857142837</v>
      </c>
      <c r="K881">
        <f t="shared" si="641"/>
        <v>1005.7551020408163</v>
      </c>
      <c r="L881">
        <f t="shared" si="641"/>
        <v>743.29218749999995</v>
      </c>
      <c r="M881">
        <f t="shared" si="641"/>
        <v>827.891963265306</v>
      </c>
      <c r="N881">
        <f t="shared" si="641"/>
        <v>720.06122448979602</v>
      </c>
      <c r="O881">
        <f t="shared" si="641"/>
        <v>514.28571428571433</v>
      </c>
      <c r="P881">
        <f t="shared" si="641"/>
        <v>742.7244897959182</v>
      </c>
      <c r="Q881">
        <f t="shared" si="641"/>
        <v>501.18775510204091</v>
      </c>
      <c r="R881">
        <f t="shared" si="641"/>
        <v>568.93469387755101</v>
      </c>
      <c r="S881">
        <f t="shared" si="641"/>
        <v>595.37142857142862</v>
      </c>
      <c r="T881">
        <f t="shared" si="641"/>
        <v>650.05714285714282</v>
      </c>
      <c r="U881">
        <f t="shared" si="641"/>
        <v>915.33061224489813</v>
      </c>
      <c r="V881">
        <f t="shared" si="641"/>
        <v>580.71020408163258</v>
      </c>
      <c r="W881">
        <f t="shared" si="641"/>
        <v>535.4795918367347</v>
      </c>
      <c r="Y881" s="17">
        <f t="shared" si="625"/>
        <v>14856.084150765306</v>
      </c>
      <c r="Z881">
        <f t="shared" si="626"/>
        <v>3381.2140304730265</v>
      </c>
    </row>
    <row r="882" spans="1:26" x14ac:dyDescent="0.25">
      <c r="A882" t="s">
        <v>59</v>
      </c>
      <c r="D882">
        <f t="shared" ref="D882:W882" si="642">D126*D234</f>
        <v>815.25510204081627</v>
      </c>
      <c r="E882">
        <f t="shared" si="642"/>
        <v>976.63265306122446</v>
      </c>
      <c r="F882">
        <f t="shared" si="642"/>
        <v>691.47142857142876</v>
      </c>
      <c r="G882">
        <f t="shared" si="642"/>
        <v>581.4795918367347</v>
      </c>
      <c r="H882">
        <f t="shared" si="642"/>
        <v>735.24285714285713</v>
      </c>
      <c r="I882">
        <f t="shared" si="642"/>
        <v>833.20408163265313</v>
      </c>
      <c r="J882">
        <f t="shared" si="642"/>
        <v>868.16326530612253</v>
      </c>
      <c r="K882">
        <f t="shared" si="642"/>
        <v>858.24081632653076</v>
      </c>
      <c r="L882">
        <f t="shared" si="642"/>
        <v>691.87755102040819</v>
      </c>
      <c r="M882">
        <f t="shared" si="642"/>
        <v>588.34285714285727</v>
      </c>
      <c r="N882">
        <f t="shared" si="642"/>
        <v>759.91836734693868</v>
      </c>
      <c r="O882">
        <f t="shared" si="642"/>
        <v>765.10204081632651</v>
      </c>
      <c r="P882">
        <f t="shared" si="642"/>
        <v>872.12040816326532</v>
      </c>
      <c r="Q882">
        <f t="shared" si="642"/>
        <v>516.6</v>
      </c>
      <c r="R882">
        <f t="shared" si="642"/>
        <v>697.12653061224466</v>
      </c>
      <c r="S882">
        <f t="shared" si="642"/>
        <v>1247.9387755102041</v>
      </c>
      <c r="T882">
        <f t="shared" si="642"/>
        <v>1352.4897959183675</v>
      </c>
      <c r="U882">
        <f t="shared" si="642"/>
        <v>648.15306122448976</v>
      </c>
      <c r="V882">
        <f t="shared" si="642"/>
        <v>628.08571428571429</v>
      </c>
      <c r="W882">
        <f t="shared" si="642"/>
        <v>617.58979591836714</v>
      </c>
      <c r="Y882" s="17">
        <f t="shared" si="625"/>
        <v>15745.034693877551</v>
      </c>
      <c r="Z882">
        <f t="shared" si="626"/>
        <v>3421.5887827718634</v>
      </c>
    </row>
    <row r="883" spans="1:26" x14ac:dyDescent="0.25">
      <c r="A883" t="s">
        <v>60</v>
      </c>
      <c r="D883">
        <f t="shared" ref="D883:W883" si="643">D127*D235</f>
        <v>775.64489795918371</v>
      </c>
      <c r="E883">
        <f t="shared" si="643"/>
        <v>820.00408163265308</v>
      </c>
      <c r="F883">
        <f t="shared" si="643"/>
        <v>798.42857142857144</v>
      </c>
      <c r="G883">
        <f t="shared" si="643"/>
        <v>758.05714285714294</v>
      </c>
      <c r="H883">
        <f t="shared" si="643"/>
        <v>554.16734693877549</v>
      </c>
      <c r="I883">
        <f t="shared" si="643"/>
        <v>744.68571428571431</v>
      </c>
      <c r="J883">
        <f t="shared" si="643"/>
        <v>854.16938775510198</v>
      </c>
      <c r="K883">
        <f t="shared" si="643"/>
        <v>1106.7</v>
      </c>
      <c r="L883">
        <f t="shared" si="643"/>
        <v>812.36250000000007</v>
      </c>
      <c r="M883">
        <f t="shared" si="643"/>
        <v>731.63265306122457</v>
      </c>
      <c r="N883">
        <f t="shared" si="643"/>
        <v>511.64285714285711</v>
      </c>
      <c r="O883">
        <f t="shared" si="643"/>
        <v>473.87755102040813</v>
      </c>
      <c r="P883">
        <f t="shared" si="643"/>
        <v>776.63265306122446</v>
      </c>
      <c r="Q883">
        <f t="shared" si="643"/>
        <v>917.96938775510205</v>
      </c>
      <c r="R883">
        <f t="shared" si="643"/>
        <v>784.68979591836739</v>
      </c>
      <c r="S883">
        <f t="shared" si="643"/>
        <v>696.30612244897952</v>
      </c>
      <c r="T883">
        <f t="shared" si="643"/>
        <v>887.55510204081634</v>
      </c>
      <c r="U883">
        <f t="shared" si="643"/>
        <v>735.21428571428567</v>
      </c>
      <c r="V883">
        <f t="shared" si="643"/>
        <v>239.25306122448981</v>
      </c>
      <c r="W883">
        <f t="shared" si="643"/>
        <v>498.69387755102036</v>
      </c>
      <c r="Y883" s="17">
        <f t="shared" si="625"/>
        <v>14477.68698979592</v>
      </c>
      <c r="Z883">
        <f t="shared" si="626"/>
        <v>3373.4436393254846</v>
      </c>
    </row>
    <row r="884" spans="1:26" x14ac:dyDescent="0.25">
      <c r="A884" t="s">
        <v>61</v>
      </c>
      <c r="D884">
        <f t="shared" ref="D884:W884" si="644">D128*D236</f>
        <v>1254.8571428571429</v>
      </c>
      <c r="E884">
        <f t="shared" si="644"/>
        <v>1102.0408163265306</v>
      </c>
      <c r="F884">
        <f t="shared" si="644"/>
        <v>948.48571428571427</v>
      </c>
      <c r="G884">
        <f t="shared" si="644"/>
        <v>1113.0612244897959</v>
      </c>
      <c r="H884">
        <f t="shared" si="644"/>
        <v>978.36734693877543</v>
      </c>
      <c r="I884">
        <f t="shared" si="644"/>
        <v>1025.0448979591838</v>
      </c>
      <c r="J884">
        <f t="shared" si="644"/>
        <v>942.5632653061225</v>
      </c>
      <c r="K884">
        <f t="shared" si="644"/>
        <v>892.33673469387747</v>
      </c>
      <c r="L884">
        <f t="shared" si="644"/>
        <v>757.65624999999989</v>
      </c>
      <c r="M884">
        <f t="shared" si="644"/>
        <v>509.45142857142849</v>
      </c>
      <c r="N884">
        <f t="shared" si="644"/>
        <v>542.61428571428576</v>
      </c>
      <c r="O884">
        <f t="shared" si="644"/>
        <v>600.5761224489795</v>
      </c>
      <c r="P884">
        <f t="shared" si="644"/>
        <v>520.1663265306122</v>
      </c>
      <c r="Q884">
        <f t="shared" si="644"/>
        <v>549.02693877551008</v>
      </c>
      <c r="R884">
        <f t="shared" si="644"/>
        <v>535.6185714285715</v>
      </c>
      <c r="S884">
        <f t="shared" si="644"/>
        <v>707.40489795918347</v>
      </c>
      <c r="T884">
        <f t="shared" si="644"/>
        <v>771.95693877551025</v>
      </c>
      <c r="U884">
        <f t="shared" si="644"/>
        <v>829.68795918367357</v>
      </c>
      <c r="V884">
        <f t="shared" si="644"/>
        <v>914.10816326530619</v>
      </c>
      <c r="W884">
        <f t="shared" si="644"/>
        <v>1066.7687755102043</v>
      </c>
      <c r="Y884" s="17">
        <f t="shared" si="625"/>
        <v>16561.793801020409</v>
      </c>
      <c r="Z884">
        <f t="shared" si="626"/>
        <v>3508.5784462066126</v>
      </c>
    </row>
    <row r="885" spans="1:26" x14ac:dyDescent="0.25">
      <c r="A885" t="s">
        <v>62</v>
      </c>
      <c r="D885">
        <f t="shared" ref="D885:W885" si="645">D129*D237</f>
        <v>970.2</v>
      </c>
      <c r="E885">
        <f t="shared" si="645"/>
        <v>931.88571428571436</v>
      </c>
      <c r="F885">
        <f t="shared" si="645"/>
        <v>1012.8367346938776</v>
      </c>
      <c r="G885">
        <f t="shared" si="645"/>
        <v>885.05102040816325</v>
      </c>
      <c r="H885">
        <f t="shared" si="645"/>
        <v>787.02775510204071</v>
      </c>
      <c r="I885">
        <f t="shared" si="645"/>
        <v>719.02571428571423</v>
      </c>
      <c r="J885">
        <f t="shared" si="645"/>
        <v>626.5622448979592</v>
      </c>
      <c r="K885">
        <f t="shared" si="645"/>
        <v>651.62204081632649</v>
      </c>
      <c r="L885">
        <f t="shared" si="645"/>
        <v>671.11640624999995</v>
      </c>
      <c r="M885">
        <f t="shared" si="645"/>
        <v>918.36061224489811</v>
      </c>
      <c r="N885">
        <f t="shared" si="645"/>
        <v>903.5884081632654</v>
      </c>
      <c r="O885">
        <f t="shared" si="645"/>
        <v>693.01889795918373</v>
      </c>
      <c r="P885">
        <f t="shared" si="645"/>
        <v>758.54281632653056</v>
      </c>
      <c r="Q885">
        <f t="shared" si="645"/>
        <v>788.32022448979592</v>
      </c>
      <c r="R885">
        <f t="shared" si="645"/>
        <v>832.39851020408173</v>
      </c>
      <c r="S885">
        <f t="shared" si="645"/>
        <v>804.47783673469382</v>
      </c>
      <c r="T885">
        <f t="shared" si="645"/>
        <v>555.0512244897958</v>
      </c>
      <c r="U885">
        <f t="shared" si="645"/>
        <v>740.62542857142853</v>
      </c>
      <c r="V885">
        <f t="shared" si="645"/>
        <v>731.65910204081649</v>
      </c>
      <c r="W885">
        <f t="shared" si="645"/>
        <v>649.80457142857142</v>
      </c>
      <c r="Y885" s="17">
        <f t="shared" si="625"/>
        <v>15631.175263392861</v>
      </c>
      <c r="Z885">
        <f t="shared" si="626"/>
        <v>3454.2689210823892</v>
      </c>
    </row>
    <row r="886" spans="1:26" x14ac:dyDescent="0.25">
      <c r="A886" t="s">
        <v>63</v>
      </c>
      <c r="D886">
        <f t="shared" ref="D886:W886" si="646">D130*D238</f>
        <v>1068.7737551020407</v>
      </c>
      <c r="E886">
        <f t="shared" si="646"/>
        <v>925.79736734693881</v>
      </c>
      <c r="F886">
        <f t="shared" si="646"/>
        <v>1043.1152244897958</v>
      </c>
      <c r="G886">
        <f t="shared" si="646"/>
        <v>1053.3051020408161</v>
      </c>
      <c r="H886">
        <f t="shared" si="646"/>
        <v>822.34487755102043</v>
      </c>
      <c r="I886">
        <f t="shared" si="646"/>
        <v>812.7488571428571</v>
      </c>
      <c r="J886">
        <f t="shared" si="646"/>
        <v>854.70661224489788</v>
      </c>
      <c r="K886">
        <f t="shared" si="646"/>
        <v>892.80489795918356</v>
      </c>
      <c r="L886">
        <f t="shared" si="646"/>
        <v>860.40093749999994</v>
      </c>
      <c r="M886">
        <f t="shared" si="646"/>
        <v>752.78775510204071</v>
      </c>
      <c r="N886">
        <f t="shared" si="646"/>
        <v>756.88163265306127</v>
      </c>
      <c r="O886">
        <f t="shared" si="646"/>
        <v>984.11428571428576</v>
      </c>
      <c r="P886">
        <f t="shared" si="646"/>
        <v>570.64081632653063</v>
      </c>
      <c r="Q886">
        <f t="shared" si="646"/>
        <v>747.80408163265315</v>
      </c>
      <c r="R886">
        <f t="shared" si="646"/>
        <v>855.67142857142869</v>
      </c>
      <c r="S886">
        <f t="shared" si="646"/>
        <v>953.85714285714278</v>
      </c>
      <c r="T886">
        <f t="shared" si="646"/>
        <v>1070.3061224489795</v>
      </c>
      <c r="U886">
        <f t="shared" si="646"/>
        <v>706.28571428571433</v>
      </c>
      <c r="V886">
        <f t="shared" si="646"/>
        <v>807.64489795918371</v>
      </c>
      <c r="W886">
        <f t="shared" si="646"/>
        <v>863.9959183673468</v>
      </c>
      <c r="Y886" s="17">
        <f t="shared" si="625"/>
        <v>17403.987427295917</v>
      </c>
      <c r="Z886">
        <f t="shared" si="626"/>
        <v>3786.2521374806402</v>
      </c>
    </row>
    <row r="887" spans="1:26" x14ac:dyDescent="0.25">
      <c r="A887" t="s">
        <v>64</v>
      </c>
      <c r="D887">
        <f t="shared" ref="D887:W887" si="647">D131*D239</f>
        <v>1011.030612244898</v>
      </c>
      <c r="E887">
        <f t="shared" si="647"/>
        <v>1223.0999999999999</v>
      </c>
      <c r="F887">
        <f t="shared" si="647"/>
        <v>1182.3755102040818</v>
      </c>
      <c r="G887">
        <f t="shared" si="647"/>
        <v>1278.9183673469388</v>
      </c>
      <c r="H887">
        <f t="shared" si="647"/>
        <v>889.83673469387759</v>
      </c>
      <c r="I887">
        <f t="shared" si="647"/>
        <v>1251.1999999999998</v>
      </c>
      <c r="J887">
        <f t="shared" si="647"/>
        <v>1000.4326530612246</v>
      </c>
      <c r="K887">
        <f t="shared" si="647"/>
        <v>979.37142857142851</v>
      </c>
      <c r="L887">
        <f t="shared" si="647"/>
        <v>1086.3062499999999</v>
      </c>
      <c r="M887">
        <f t="shared" si="647"/>
        <v>1055.461224489796</v>
      </c>
      <c r="N887">
        <f t="shared" si="647"/>
        <v>727.67755102040803</v>
      </c>
      <c r="O887">
        <f t="shared" si="647"/>
        <v>689.71428571428567</v>
      </c>
      <c r="P887">
        <f t="shared" si="647"/>
        <v>898.04897959183677</v>
      </c>
      <c r="Q887">
        <f t="shared" si="647"/>
        <v>1048.869387755102</v>
      </c>
      <c r="R887">
        <f t="shared" si="647"/>
        <v>1174.665306122449</v>
      </c>
      <c r="S887">
        <f t="shared" si="647"/>
        <v>848.93061224489782</v>
      </c>
      <c r="T887">
        <f t="shared" si="647"/>
        <v>821.51836734693882</v>
      </c>
      <c r="U887">
        <f t="shared" si="647"/>
        <v>943.60204081632639</v>
      </c>
      <c r="V887">
        <f t="shared" si="647"/>
        <v>708.98571428571427</v>
      </c>
      <c r="W887">
        <f t="shared" si="647"/>
        <v>726.07142857142856</v>
      </c>
      <c r="Y887" s="17">
        <f t="shared" si="625"/>
        <v>19546.116454081632</v>
      </c>
      <c r="Z887">
        <f t="shared" si="626"/>
        <v>4493.8367239714698</v>
      </c>
    </row>
    <row r="888" spans="1:26" x14ac:dyDescent="0.25">
      <c r="A888" t="s">
        <v>65</v>
      </c>
      <c r="D888">
        <f t="shared" ref="D888:W888" si="648">D132*D240</f>
        <v>1078.3510204081633</v>
      </c>
      <c r="E888">
        <f t="shared" si="648"/>
        <v>1194.0244897959183</v>
      </c>
      <c r="F888">
        <f t="shared" si="648"/>
        <v>747.55102040816325</v>
      </c>
      <c r="G888">
        <f t="shared" si="648"/>
        <v>548.33877551020407</v>
      </c>
      <c r="H888">
        <f t="shared" si="648"/>
        <v>850.55102040816325</v>
      </c>
      <c r="I888">
        <f t="shared" si="648"/>
        <v>974.89795918367338</v>
      </c>
      <c r="J888">
        <f t="shared" si="648"/>
        <v>760.7510204081633</v>
      </c>
      <c r="K888">
        <f t="shared" si="648"/>
        <v>852.63673469387754</v>
      </c>
      <c r="L888">
        <f t="shared" si="648"/>
        <v>852.0703125</v>
      </c>
      <c r="M888">
        <f t="shared" si="648"/>
        <v>937.2244897959182</v>
      </c>
      <c r="N888">
        <f t="shared" si="648"/>
        <v>781.00000000000011</v>
      </c>
      <c r="O888">
        <f t="shared" si="648"/>
        <v>762.77551020408157</v>
      </c>
      <c r="P888">
        <f t="shared" si="648"/>
        <v>515.01632653061222</v>
      </c>
      <c r="Q888">
        <f t="shared" si="648"/>
        <v>1032.661224489796</v>
      </c>
      <c r="R888">
        <f t="shared" si="648"/>
        <v>834.3</v>
      </c>
      <c r="S888">
        <f t="shared" si="648"/>
        <v>612.68367346938783</v>
      </c>
      <c r="T888">
        <f t="shared" si="648"/>
        <v>545.94285714285706</v>
      </c>
      <c r="U888">
        <f t="shared" si="648"/>
        <v>387.41224489795911</v>
      </c>
      <c r="V888">
        <f t="shared" si="648"/>
        <v>707.07142857142856</v>
      </c>
      <c r="W888">
        <f t="shared" si="648"/>
        <v>660.89795918367327</v>
      </c>
      <c r="Y888" s="17">
        <f t="shared" si="625"/>
        <v>15636.158067602038</v>
      </c>
      <c r="Z888">
        <f t="shared" si="626"/>
        <v>3724.1056009449039</v>
      </c>
    </row>
    <row r="889" spans="1:26" x14ac:dyDescent="0.25">
      <c r="A889" t="s">
        <v>66</v>
      </c>
      <c r="D889">
        <f t="shared" ref="D889:W889" si="649">D133*D241</f>
        <v>915.25714285714309</v>
      </c>
      <c r="E889">
        <f t="shared" si="649"/>
        <v>767.47346938775502</v>
      </c>
      <c r="F889">
        <f t="shared" si="649"/>
        <v>749.46326530612237</v>
      </c>
      <c r="G889">
        <f t="shared" si="649"/>
        <v>816.65306122448953</v>
      </c>
      <c r="H889">
        <f t="shared" si="649"/>
        <v>606.22857142857129</v>
      </c>
      <c r="I889">
        <f t="shared" si="649"/>
        <v>853.42857142857122</v>
      </c>
      <c r="J889">
        <f t="shared" si="649"/>
        <v>1213.3836734693878</v>
      </c>
      <c r="K889">
        <f t="shared" si="649"/>
        <v>1008.3673469387755</v>
      </c>
      <c r="L889">
        <f t="shared" si="649"/>
        <v>895.02187499999991</v>
      </c>
      <c r="M889">
        <f t="shared" si="649"/>
        <v>899.6877551020408</v>
      </c>
      <c r="N889">
        <f t="shared" si="649"/>
        <v>1142.1142857142856</v>
      </c>
      <c r="O889">
        <f t="shared" si="649"/>
        <v>1274.4693877551019</v>
      </c>
      <c r="P889">
        <f t="shared" si="649"/>
        <v>942.91428571428571</v>
      </c>
      <c r="Q889">
        <f t="shared" si="649"/>
        <v>789.03673469387729</v>
      </c>
      <c r="R889">
        <f t="shared" si="649"/>
        <v>708.26530612244892</v>
      </c>
      <c r="S889">
        <f t="shared" si="649"/>
        <v>842.69387755102036</v>
      </c>
      <c r="T889">
        <f t="shared" si="649"/>
        <v>715.83673469387747</v>
      </c>
      <c r="U889">
        <f t="shared" si="649"/>
        <v>826.2734693877552</v>
      </c>
      <c r="V889">
        <f t="shared" si="649"/>
        <v>683.75510204081627</v>
      </c>
      <c r="W889">
        <f t="shared" si="649"/>
        <v>548.44081632653058</v>
      </c>
      <c r="Y889" s="17">
        <f t="shared" si="625"/>
        <v>17198.764732142852</v>
      </c>
      <c r="Z889">
        <f t="shared" si="626"/>
        <v>3870.8557649547802</v>
      </c>
    </row>
    <row r="890" spans="1:26" x14ac:dyDescent="0.25">
      <c r="A890" t="s">
        <v>67</v>
      </c>
      <c r="D890">
        <f t="shared" ref="D890:W890" si="650">D134*D242</f>
        <v>795.09387755102046</v>
      </c>
      <c r="E890">
        <f t="shared" si="650"/>
        <v>1021.1387755102041</v>
      </c>
      <c r="F890">
        <f t="shared" si="650"/>
        <v>1486.7734693877553</v>
      </c>
      <c r="G890">
        <f t="shared" si="650"/>
        <v>895.71428571428544</v>
      </c>
      <c r="H890">
        <f t="shared" si="650"/>
        <v>900.80816326530612</v>
      </c>
      <c r="I890">
        <f t="shared" si="650"/>
        <v>969.17346938775518</v>
      </c>
      <c r="J890">
        <f t="shared" si="650"/>
        <v>1166.4306122448979</v>
      </c>
      <c r="K890">
        <f t="shared" si="650"/>
        <v>1355.9673469387753</v>
      </c>
      <c r="L890">
        <f t="shared" si="650"/>
        <v>1195.4326530612245</v>
      </c>
      <c r="M890">
        <f t="shared" si="650"/>
        <v>1059.7346938775511</v>
      </c>
      <c r="N890">
        <f t="shared" si="650"/>
        <v>812.11428571428564</v>
      </c>
      <c r="O890">
        <f t="shared" si="650"/>
        <v>870.94693877551026</v>
      </c>
      <c r="P890">
        <f t="shared" si="650"/>
        <v>854.05714285714282</v>
      </c>
      <c r="Q890">
        <f t="shared" si="650"/>
        <v>977.21020408163258</v>
      </c>
      <c r="R890">
        <f t="shared" si="650"/>
        <v>968</v>
      </c>
      <c r="S890">
        <f t="shared" si="650"/>
        <v>647.24081632653065</v>
      </c>
      <c r="T890">
        <f t="shared" si="650"/>
        <v>674.24081632653053</v>
      </c>
      <c r="U890">
        <f t="shared" si="650"/>
        <v>731.89591836734678</v>
      </c>
      <c r="V890">
        <f t="shared" si="650"/>
        <v>655.5</v>
      </c>
      <c r="W890">
        <f t="shared" si="650"/>
        <v>606.12244897959181</v>
      </c>
      <c r="Y890" s="17">
        <f t="shared" si="625"/>
        <v>18643.595918367348</v>
      </c>
      <c r="Z890">
        <f t="shared" si="626"/>
        <v>4463.2490409959073</v>
      </c>
    </row>
    <row r="891" spans="1:26" x14ac:dyDescent="0.25">
      <c r="A891" t="s">
        <v>68</v>
      </c>
      <c r="D891">
        <f t="shared" ref="D891:W891" si="651">D135*D243</f>
        <v>1212.8469387755101</v>
      </c>
      <c r="E891">
        <f t="shared" si="651"/>
        <v>1149.591836734694</v>
      </c>
      <c r="F891">
        <f t="shared" si="651"/>
        <v>1947.4122448979592</v>
      </c>
      <c r="G891">
        <f t="shared" si="651"/>
        <v>1627.6734693877549</v>
      </c>
      <c r="H891">
        <f t="shared" si="651"/>
        <v>1709.7693877551019</v>
      </c>
      <c r="I891">
        <f t="shared" si="651"/>
        <v>1101.534693877551</v>
      </c>
      <c r="J891">
        <f t="shared" si="651"/>
        <v>715.83673469387759</v>
      </c>
      <c r="K891">
        <f t="shared" si="651"/>
        <v>829.21632653061226</v>
      </c>
      <c r="L891">
        <f t="shared" si="651"/>
        <v>1059.4140625</v>
      </c>
      <c r="M891">
        <f t="shared" si="651"/>
        <v>624.39795918367349</v>
      </c>
      <c r="N891">
        <f t="shared" si="651"/>
        <v>781.77551020408157</v>
      </c>
      <c r="O891">
        <f t="shared" si="651"/>
        <v>663.85306122448981</v>
      </c>
      <c r="P891">
        <f t="shared" si="651"/>
        <v>949.84285714285704</v>
      </c>
      <c r="Q891">
        <f t="shared" si="651"/>
        <v>987.35714285714289</v>
      </c>
      <c r="R891">
        <f t="shared" si="651"/>
        <v>1097.5408163265306</v>
      </c>
      <c r="S891">
        <f t="shared" si="651"/>
        <v>992.1306122448982</v>
      </c>
      <c r="T891">
        <f t="shared" si="651"/>
        <v>716.0408163265306</v>
      </c>
      <c r="U891">
        <f t="shared" si="651"/>
        <v>871.62448979591829</v>
      </c>
      <c r="V891">
        <f t="shared" si="651"/>
        <v>557.38775510204084</v>
      </c>
      <c r="W891">
        <f t="shared" si="651"/>
        <v>511.53061224489801</v>
      </c>
      <c r="Y891" s="17">
        <f t="shared" si="625"/>
        <v>20106.777327806121</v>
      </c>
      <c r="Z891">
        <f t="shared" si="626"/>
        <v>4525.1054902184205</v>
      </c>
    </row>
    <row r="892" spans="1:26" x14ac:dyDescent="0.25">
      <c r="A892" t="s">
        <v>69</v>
      </c>
      <c r="D892">
        <f t="shared" ref="D892:W892" si="652">D136*D244</f>
        <v>884.27755102040817</v>
      </c>
      <c r="E892">
        <f t="shared" si="652"/>
        <v>977.2285714285714</v>
      </c>
      <c r="F892">
        <f t="shared" si="652"/>
        <v>1126.661224489796</v>
      </c>
      <c r="G892">
        <f t="shared" si="652"/>
        <v>898.49387755102032</v>
      </c>
      <c r="H892">
        <f t="shared" si="652"/>
        <v>1069.2857142857144</v>
      </c>
      <c r="I892">
        <f t="shared" si="652"/>
        <v>1258.9285714285713</v>
      </c>
      <c r="J892">
        <f t="shared" si="652"/>
        <v>841.88775510204096</v>
      </c>
      <c r="K892">
        <f t="shared" si="652"/>
        <v>1049.9877551020409</v>
      </c>
      <c r="L892">
        <f t="shared" si="652"/>
        <v>933.11874999999998</v>
      </c>
      <c r="M892">
        <f t="shared" si="652"/>
        <v>990.93367346938771</v>
      </c>
      <c r="N892">
        <f t="shared" si="652"/>
        <v>573.64795918367338</v>
      </c>
      <c r="O892">
        <f t="shared" si="652"/>
        <v>709.26734693877563</v>
      </c>
      <c r="P892">
        <f t="shared" si="652"/>
        <v>731.04081632653049</v>
      </c>
      <c r="Q892">
        <f t="shared" si="652"/>
        <v>656.12244897959192</v>
      </c>
      <c r="R892">
        <f t="shared" si="652"/>
        <v>494.55781250000007</v>
      </c>
      <c r="S892">
        <f t="shared" si="652"/>
        <v>706.74183673469395</v>
      </c>
      <c r="T892">
        <f t="shared" si="652"/>
        <v>798.86938775510191</v>
      </c>
      <c r="U892">
        <f t="shared" si="652"/>
        <v>689.17959183673474</v>
      </c>
      <c r="V892">
        <f t="shared" si="652"/>
        <v>551.17551020408166</v>
      </c>
      <c r="W892">
        <f t="shared" si="652"/>
        <v>513.0612244897959</v>
      </c>
      <c r="Y892" s="17">
        <f t="shared" si="625"/>
        <v>16454.467378826532</v>
      </c>
      <c r="Z892">
        <f t="shared" si="626"/>
        <v>3891.6110342712773</v>
      </c>
    </row>
    <row r="893" spans="1:26" x14ac:dyDescent="0.25">
      <c r="Y893" s="17"/>
    </row>
    <row r="894" spans="1:26" x14ac:dyDescent="0.25">
      <c r="A894" t="s">
        <v>70</v>
      </c>
      <c r="D894">
        <f t="shared" ref="D894:W894" si="653">D138*D246</f>
        <v>897.73469387755097</v>
      </c>
      <c r="E894">
        <f t="shared" si="653"/>
        <v>990.62448979591852</v>
      </c>
      <c r="F894">
        <f t="shared" si="653"/>
        <v>1151.9714285714285</v>
      </c>
      <c r="G894">
        <f t="shared" si="653"/>
        <v>951.87040816326532</v>
      </c>
      <c r="H894">
        <f t="shared" si="653"/>
        <v>1133.9357142857141</v>
      </c>
      <c r="I894">
        <f t="shared" si="653"/>
        <v>1148.6795918367347</v>
      </c>
      <c r="J894">
        <f t="shared" si="653"/>
        <v>1260.1632653061224</v>
      </c>
      <c r="K894">
        <f t="shared" si="653"/>
        <v>1155.3551020408165</v>
      </c>
      <c r="L894">
        <f t="shared" si="653"/>
        <v>826.61562499999991</v>
      </c>
      <c r="M894">
        <f t="shared" si="653"/>
        <v>945.81632653061217</v>
      </c>
      <c r="N894">
        <f t="shared" si="653"/>
        <v>930.03061224489795</v>
      </c>
      <c r="O894">
        <f t="shared" si="653"/>
        <v>981.77551020408157</v>
      </c>
      <c r="P894">
        <f t="shared" si="653"/>
        <v>695.6</v>
      </c>
      <c r="Q894">
        <f t="shared" si="653"/>
        <v>1332.2448979591836</v>
      </c>
      <c r="R894">
        <f t="shared" si="653"/>
        <v>1077.8142857142855</v>
      </c>
      <c r="S894">
        <f t="shared" si="653"/>
        <v>970.55986160566692</v>
      </c>
      <c r="T894">
        <f t="shared" si="653"/>
        <v>1091.5897959183674</v>
      </c>
      <c r="U894">
        <f t="shared" si="653"/>
        <v>721.63265306122446</v>
      </c>
      <c r="V894">
        <f t="shared" si="653"/>
        <v>693.99999999999989</v>
      </c>
      <c r="W894">
        <f t="shared" si="653"/>
        <v>896.75510204081638</v>
      </c>
      <c r="Y894" s="17">
        <f t="shared" si="625"/>
        <v>19854.769364156688</v>
      </c>
      <c r="Z894">
        <f>SUMPRODUCT($D$898:$W$898,D894:W894)</f>
        <v>4486.7043461061567</v>
      </c>
    </row>
    <row r="895" spans="1:26" x14ac:dyDescent="0.25">
      <c r="A895" t="s">
        <v>314</v>
      </c>
      <c r="D895">
        <f t="shared" ref="D895:W895" si="654">D139*D247</f>
        <v>1583.504081632653</v>
      </c>
      <c r="E895">
        <f t="shared" si="654"/>
        <v>1363.6959183673468</v>
      </c>
      <c r="F895">
        <f t="shared" si="654"/>
        <v>1005.730612244898</v>
      </c>
      <c r="G895">
        <f t="shared" si="654"/>
        <v>1046.926530612245</v>
      </c>
      <c r="H895">
        <f t="shared" si="654"/>
        <v>1108.74693877551</v>
      </c>
      <c r="I895">
        <f t="shared" si="654"/>
        <v>1157.0510204081631</v>
      </c>
      <c r="J895">
        <f t="shared" si="654"/>
        <v>1049.742857142857</v>
      </c>
      <c r="K895">
        <f t="shared" si="654"/>
        <v>1015.3102040816327</v>
      </c>
      <c r="L895">
        <f t="shared" si="654"/>
        <v>948.1484375</v>
      </c>
      <c r="M895">
        <f t="shared" si="654"/>
        <v>1257.8</v>
      </c>
      <c r="N895">
        <f t="shared" si="654"/>
        <v>1127.1836734693877</v>
      </c>
      <c r="O895">
        <f t="shared" si="654"/>
        <v>874.21224489795918</v>
      </c>
      <c r="P895">
        <f t="shared" si="654"/>
        <v>1552</v>
      </c>
      <c r="Q895">
        <f t="shared" si="654"/>
        <v>1246.2</v>
      </c>
      <c r="R895">
        <f t="shared" si="654"/>
        <v>1035.3</v>
      </c>
      <c r="S895">
        <f t="shared" si="654"/>
        <v>997.6</v>
      </c>
      <c r="T895">
        <f t="shared" si="654"/>
        <v>1196.9306122448982</v>
      </c>
      <c r="U895">
        <f t="shared" si="654"/>
        <v>908.73469387755119</v>
      </c>
      <c r="V895">
        <f t="shared" si="654"/>
        <v>598.0408163265306</v>
      </c>
      <c r="W895">
        <f t="shared" si="654"/>
        <v>880.80816326530612</v>
      </c>
      <c r="Y895" s="17">
        <f t="shared" si="625"/>
        <v>21953.666804846936</v>
      </c>
      <c r="Z895">
        <f>SUMPRODUCT($D$898:$W$898,D895:W895)</f>
        <v>4848.5975031809558</v>
      </c>
    </row>
    <row r="896" spans="1:26" x14ac:dyDescent="0.25">
      <c r="A896" t="s">
        <v>315</v>
      </c>
      <c r="D896">
        <f t="shared" ref="D896:W896" si="655">D140*D248</f>
        <v>1366.1142857142856</v>
      </c>
      <c r="E896">
        <f t="shared" si="655"/>
        <v>1289.0204081632653</v>
      </c>
      <c r="F896">
        <f t="shared" si="655"/>
        <v>1756.0653061224491</v>
      </c>
      <c r="G896">
        <f t="shared" si="655"/>
        <v>1237.4693877551022</v>
      </c>
      <c r="H896">
        <f t="shared" si="655"/>
        <v>1364.0000000000002</v>
      </c>
      <c r="I896">
        <f t="shared" si="655"/>
        <v>903.0612244897959</v>
      </c>
      <c r="J896">
        <f t="shared" si="655"/>
        <v>1633.5102040816325</v>
      </c>
      <c r="K896">
        <f t="shared" si="655"/>
        <v>953.42857142857133</v>
      </c>
      <c r="L896">
        <f t="shared" si="655"/>
        <v>575.67656250000005</v>
      </c>
      <c r="M896">
        <f t="shared" si="655"/>
        <v>1046.08</v>
      </c>
      <c r="N896">
        <f t="shared" si="655"/>
        <v>1242.18</v>
      </c>
      <c r="O896">
        <f t="shared" si="655"/>
        <v>973.08</v>
      </c>
      <c r="P896">
        <f t="shared" si="655"/>
        <v>883.40493277903749</v>
      </c>
      <c r="Q896">
        <f t="shared" si="655"/>
        <v>953.97585925925932</v>
      </c>
      <c r="R896">
        <f t="shared" si="655"/>
        <v>969.8190409926932</v>
      </c>
      <c r="S896">
        <f t="shared" si="655"/>
        <v>1002.1151497102545</v>
      </c>
      <c r="T896">
        <f t="shared" si="655"/>
        <v>1180.0163265306121</v>
      </c>
      <c r="U896">
        <f t="shared" si="655"/>
        <v>1061.208163265306</v>
      </c>
      <c r="V896">
        <f t="shared" si="655"/>
        <v>967.0836734693878</v>
      </c>
      <c r="W896">
        <f t="shared" si="655"/>
        <v>1029.5999999999999</v>
      </c>
      <c r="Y896" s="17">
        <f t="shared" si="625"/>
        <v>22386.90909626165</v>
      </c>
      <c r="Z896">
        <f>SUMPRODUCT($D$898:$W$898,D896:W896)</f>
        <v>4841.8384604144276</v>
      </c>
    </row>
    <row r="897" spans="1:26" x14ac:dyDescent="0.25">
      <c r="A897" t="s">
        <v>677</v>
      </c>
      <c r="D897">
        <f t="shared" ref="D897:W897" si="656">D141*D249</f>
        <v>1125.8938775510205</v>
      </c>
      <c r="E897">
        <f t="shared" si="656"/>
        <v>1137.7163265306124</v>
      </c>
      <c r="F897">
        <f t="shared" si="656"/>
        <v>1185.6857142857143</v>
      </c>
      <c r="G897">
        <f t="shared" si="656"/>
        <v>946.06530612244887</v>
      </c>
      <c r="H897">
        <f t="shared" si="656"/>
        <v>792.84081632653067</v>
      </c>
      <c r="I897">
        <f t="shared" si="656"/>
        <v>992.69387755102048</v>
      </c>
      <c r="J897">
        <f t="shared" si="656"/>
        <v>752.95102040816323</v>
      </c>
      <c r="K897">
        <f t="shared" si="656"/>
        <v>600.58367346938769</v>
      </c>
      <c r="L897">
        <f t="shared" si="656"/>
        <v>597.03749999999991</v>
      </c>
      <c r="M897">
        <f t="shared" si="656"/>
        <v>1121.6448979591837</v>
      </c>
      <c r="N897">
        <f t="shared" si="656"/>
        <v>1052.0571428571432</v>
      </c>
      <c r="O897">
        <f t="shared" si="656"/>
        <v>273.75510204081633</v>
      </c>
      <c r="P897">
        <f t="shared" si="656"/>
        <v>867.50816326530605</v>
      </c>
      <c r="Q897">
        <f t="shared" si="656"/>
        <v>1084.9142857142854</v>
      </c>
      <c r="R897">
        <f t="shared" si="656"/>
        <v>574.26122448979595</v>
      </c>
      <c r="S897">
        <f t="shared" si="656"/>
        <v>786.29387755102039</v>
      </c>
      <c r="T897">
        <f t="shared" si="656"/>
        <v>964.48937454545455</v>
      </c>
      <c r="U897">
        <f t="shared" si="656"/>
        <v>864.30933948337383</v>
      </c>
      <c r="V897">
        <f t="shared" si="656"/>
        <v>790.89790907949191</v>
      </c>
      <c r="W897">
        <f t="shared" si="656"/>
        <v>853.61676626230894</v>
      </c>
      <c r="Y897" s="17">
        <f t="shared" ref="Y897" si="657">SUM(D897:W897)</f>
        <v>17365.216195493078</v>
      </c>
      <c r="Z897">
        <f>SUMPRODUCT($D$898:$W$898,D897:W897)</f>
        <v>3853.3788968219151</v>
      </c>
    </row>
    <row r="898" spans="1:26" x14ac:dyDescent="0.25">
      <c r="A898" s="2" t="s">
        <v>71</v>
      </c>
      <c r="D898" s="3">
        <f>CORREL($B$2:$B$28,D866:D892)</f>
        <v>0.1665118155792798</v>
      </c>
      <c r="E898" s="3">
        <f t="shared" ref="E898:W898" si="658">CORREL($B$2:$B$28,E866:E892)</f>
        <v>0.46664555342546482</v>
      </c>
      <c r="F898" s="3">
        <f t="shared" si="658"/>
        <v>0.35499940985535344</v>
      </c>
      <c r="G898" s="3">
        <f t="shared" si="658"/>
        <v>2.2649513047019471E-2</v>
      </c>
      <c r="H898" s="3">
        <f t="shared" si="658"/>
        <v>0.13785329559154902</v>
      </c>
      <c r="I898" s="3">
        <f t="shared" si="658"/>
        <v>0.34713798477835145</v>
      </c>
      <c r="J898" s="3">
        <f t="shared" si="658"/>
        <v>0.22629687797199335</v>
      </c>
      <c r="K898" s="3">
        <f t="shared" si="658"/>
        <v>0.28986504433250199</v>
      </c>
      <c r="L898" s="3">
        <f t="shared" si="658"/>
        <v>0.41110447291858643</v>
      </c>
      <c r="M898" s="3">
        <f t="shared" si="658"/>
        <v>0.34427812378678169</v>
      </c>
      <c r="N898" s="3">
        <f t="shared" si="658"/>
        <v>0.14861809697211012</v>
      </c>
      <c r="O898" s="3">
        <f t="shared" si="658"/>
        <v>0.27922268467042793</v>
      </c>
      <c r="P898" s="3">
        <f t="shared" si="658"/>
        <v>4.0386529877013584E-2</v>
      </c>
      <c r="Q898" s="3">
        <f t="shared" si="658"/>
        <v>0.38875867237879114</v>
      </c>
      <c r="R898" s="3">
        <f t="shared" si="658"/>
        <v>0.16766463740212476</v>
      </c>
      <c r="S898" s="3">
        <f t="shared" si="658"/>
        <v>0.11952549531253509</v>
      </c>
      <c r="T898" s="3">
        <f t="shared" si="658"/>
        <v>0.19678591810560769</v>
      </c>
      <c r="U898" s="3">
        <f t="shared" si="658"/>
        <v>0.26119397337218342</v>
      </c>
      <c r="V898" s="3">
        <f t="shared" si="658"/>
        <v>0.14703628579762795</v>
      </c>
      <c r="W898" s="3">
        <f t="shared" si="658"/>
        <v>-0.17459322866313368</v>
      </c>
    </row>
    <row r="901" spans="1:26" x14ac:dyDescent="0.25">
      <c r="D901" t="s">
        <v>280</v>
      </c>
      <c r="E901" t="s">
        <v>281</v>
      </c>
      <c r="F901" t="s">
        <v>282</v>
      </c>
      <c r="G901" t="s">
        <v>283</v>
      </c>
      <c r="H901" t="s">
        <v>284</v>
      </c>
      <c r="I901" t="s">
        <v>285</v>
      </c>
      <c r="J901" t="s">
        <v>286</v>
      </c>
      <c r="K901" t="s">
        <v>287</v>
      </c>
      <c r="L901" t="s">
        <v>365</v>
      </c>
      <c r="M901" t="s">
        <v>443</v>
      </c>
      <c r="N901" t="s">
        <v>444</v>
      </c>
      <c r="O901" t="s">
        <v>445</v>
      </c>
      <c r="P901" t="s">
        <v>553</v>
      </c>
      <c r="Q901" t="s">
        <v>554</v>
      </c>
      <c r="R901" t="s">
        <v>555</v>
      </c>
      <c r="S901" t="s">
        <v>556</v>
      </c>
      <c r="T901" t="s">
        <v>665</v>
      </c>
      <c r="U901" t="s">
        <v>666</v>
      </c>
      <c r="V901" t="s">
        <v>667</v>
      </c>
      <c r="W901" t="s">
        <v>668</v>
      </c>
      <c r="Y901" t="s">
        <v>288</v>
      </c>
      <c r="Z901" t="s">
        <v>289</v>
      </c>
    </row>
    <row r="902" spans="1:26" x14ac:dyDescent="0.25">
      <c r="A902" t="s">
        <v>43</v>
      </c>
      <c r="D902">
        <f t="shared" ref="D902:W902" si="659">D146*D182</f>
        <v>322.94285714285712</v>
      </c>
      <c r="E902">
        <f t="shared" si="659"/>
        <v>322.9795918367347</v>
      </c>
      <c r="F902">
        <f t="shared" si="659"/>
        <v>291.98571428571432</v>
      </c>
      <c r="G902">
        <f t="shared" si="659"/>
        <v>373.59183673469386</v>
      </c>
      <c r="H902">
        <f t="shared" si="659"/>
        <v>324.86326530612246</v>
      </c>
      <c r="I902">
        <f t="shared" si="659"/>
        <v>264.17142857142858</v>
      </c>
      <c r="J902">
        <f t="shared" si="659"/>
        <v>427.22857142857146</v>
      </c>
      <c r="K902">
        <f t="shared" si="659"/>
        <v>347.3020408163265</v>
      </c>
      <c r="L902">
        <f t="shared" si="659"/>
        <v>372.20156250000002</v>
      </c>
      <c r="M902">
        <f t="shared" si="659"/>
        <v>235.36326530612243</v>
      </c>
      <c r="N902">
        <f t="shared" si="659"/>
        <v>187.3795918367347</v>
      </c>
      <c r="O902">
        <f t="shared" si="659"/>
        <v>276.65510204081636</v>
      </c>
      <c r="P902">
        <f t="shared" si="659"/>
        <v>259.71428571428572</v>
      </c>
      <c r="Q902">
        <f t="shared" si="659"/>
        <v>283.80612244897958</v>
      </c>
      <c r="R902">
        <f t="shared" si="659"/>
        <v>342.59591836734688</v>
      </c>
      <c r="S902">
        <f t="shared" si="659"/>
        <v>223.56734693877556</v>
      </c>
      <c r="T902">
        <f t="shared" si="659"/>
        <v>206.14285714285717</v>
      </c>
      <c r="U902">
        <f t="shared" si="659"/>
        <v>163.05102040816331</v>
      </c>
      <c r="V902">
        <f t="shared" si="659"/>
        <v>267.12040816326532</v>
      </c>
      <c r="W902">
        <f t="shared" si="659"/>
        <v>194.88571428571427</v>
      </c>
      <c r="Y902" s="17">
        <f t="shared" ref="Y902:Y932" si="660">SUM(D902:W902)</f>
        <v>5687.5485012755089</v>
      </c>
      <c r="Z902">
        <f t="shared" ref="Z902:Z928" si="661">SUMPRODUCT($D$934:$W$934,D902:W902)</f>
        <v>715.2782565933652</v>
      </c>
    </row>
    <row r="903" spans="1:26" x14ac:dyDescent="0.25">
      <c r="A903" t="s">
        <v>44</v>
      </c>
      <c r="D903">
        <f t="shared" ref="D903:W903" si="662">D147*D183</f>
        <v>278.75</v>
      </c>
      <c r="E903">
        <f t="shared" si="662"/>
        <v>219.12</v>
      </c>
      <c r="F903">
        <f t="shared" si="662"/>
        <v>246.71999999999997</v>
      </c>
      <c r="G903">
        <f t="shared" si="662"/>
        <v>308.88000000000005</v>
      </c>
      <c r="H903">
        <f t="shared" si="662"/>
        <v>303.26</v>
      </c>
      <c r="I903">
        <f t="shared" si="662"/>
        <v>199.68</v>
      </c>
      <c r="J903">
        <f t="shared" si="662"/>
        <v>3754.0199999999995</v>
      </c>
      <c r="K903">
        <f t="shared" si="662"/>
        <v>297.78999999999996</v>
      </c>
      <c r="L903">
        <f t="shared" si="662"/>
        <v>282.08</v>
      </c>
      <c r="M903">
        <f t="shared" si="662"/>
        <v>310.42</v>
      </c>
      <c r="N903">
        <f t="shared" si="662"/>
        <v>264.77000000000004</v>
      </c>
      <c r="O903">
        <f t="shared" si="662"/>
        <v>330.27000000000004</v>
      </c>
      <c r="P903">
        <f t="shared" si="662"/>
        <v>285.65107460641394</v>
      </c>
      <c r="Q903">
        <f t="shared" si="662"/>
        <v>253.14045481049567</v>
      </c>
      <c r="R903">
        <f t="shared" si="662"/>
        <v>268.86252209912527</v>
      </c>
      <c r="S903">
        <f t="shared" si="662"/>
        <v>280.22142857142859</v>
      </c>
      <c r="T903">
        <f t="shared" si="662"/>
        <v>238.31364512471657</v>
      </c>
      <c r="U903">
        <f t="shared" si="662"/>
        <v>269.87726757369614</v>
      </c>
      <c r="V903">
        <f t="shared" si="662"/>
        <v>222.00578231292513</v>
      </c>
      <c r="W903">
        <f t="shared" si="662"/>
        <v>277.72637471655327</v>
      </c>
      <c r="Y903" s="17">
        <f t="shared" si="660"/>
        <v>8891.5585498153541</v>
      </c>
      <c r="Z903">
        <f t="shared" si="661"/>
        <v>-199.04365879098717</v>
      </c>
    </row>
    <row r="904" spans="1:26" x14ac:dyDescent="0.25">
      <c r="A904" t="s">
        <v>45</v>
      </c>
      <c r="D904">
        <f t="shared" ref="D904:W904" si="663">D148*D184</f>
        <v>263.99183673469389</v>
      </c>
      <c r="E904">
        <f t="shared" si="663"/>
        <v>192.30183673469395</v>
      </c>
      <c r="F904">
        <f t="shared" si="663"/>
        <v>207.89795918367346</v>
      </c>
      <c r="G904">
        <f t="shared" si="663"/>
        <v>300.34489795918364</v>
      </c>
      <c r="H904">
        <f t="shared" si="663"/>
        <v>322.65306122448982</v>
      </c>
      <c r="I904">
        <f t="shared" si="663"/>
        <v>254.79183673469385</v>
      </c>
      <c r="J904">
        <f t="shared" si="663"/>
        <v>698.98571428571427</v>
      </c>
      <c r="K904">
        <f t="shared" si="663"/>
        <v>221.34693877551024</v>
      </c>
      <c r="L904">
        <f t="shared" si="663"/>
        <v>292.09374999999994</v>
      </c>
      <c r="M904">
        <f t="shared" si="663"/>
        <v>328.0612244897959</v>
      </c>
      <c r="N904">
        <f t="shared" si="663"/>
        <v>389.12653061224489</v>
      </c>
      <c r="O904">
        <f t="shared" si="663"/>
        <v>329.64897959183662</v>
      </c>
      <c r="P904">
        <f t="shared" si="663"/>
        <v>176.07142857142858</v>
      </c>
      <c r="Q904">
        <f t="shared" si="663"/>
        <v>196.12653061224489</v>
      </c>
      <c r="R904">
        <f t="shared" si="663"/>
        <v>349.66530612244895</v>
      </c>
      <c r="S904">
        <f t="shared" si="663"/>
        <v>264.26938775510206</v>
      </c>
      <c r="T904">
        <f t="shared" si="663"/>
        <v>286.89795918367344</v>
      </c>
      <c r="U904">
        <f t="shared" si="663"/>
        <v>333.80816326530606</v>
      </c>
      <c r="V904">
        <f t="shared" si="663"/>
        <v>408.57142857142856</v>
      </c>
      <c r="W904">
        <f t="shared" si="663"/>
        <v>441.42857142857139</v>
      </c>
      <c r="Y904" s="17">
        <f t="shared" si="660"/>
        <v>6258.0833418367329</v>
      </c>
      <c r="Z904">
        <f t="shared" si="661"/>
        <v>602.75364003187724</v>
      </c>
    </row>
    <row r="905" spans="1:26" x14ac:dyDescent="0.25">
      <c r="A905" t="s">
        <v>46</v>
      </c>
      <c r="D905">
        <f t="shared" ref="D905:W905" si="664">D149*D185</f>
        <v>272.0408163265306</v>
      </c>
      <c r="E905">
        <f t="shared" si="664"/>
        <v>243.44897959183677</v>
      </c>
      <c r="F905">
        <f t="shared" si="664"/>
        <v>190</v>
      </c>
      <c r="G905">
        <f t="shared" si="664"/>
        <v>279.62653061224495</v>
      </c>
      <c r="H905">
        <f t="shared" si="664"/>
        <v>217.53061224489795</v>
      </c>
      <c r="I905">
        <f t="shared" si="664"/>
        <v>228.89387755102041</v>
      </c>
      <c r="J905">
        <f t="shared" si="664"/>
        <v>290.68979591836739</v>
      </c>
      <c r="K905">
        <f t="shared" si="664"/>
        <v>308.53469387755098</v>
      </c>
      <c r="L905">
        <f t="shared" si="664"/>
        <v>308.70937499999997</v>
      </c>
      <c r="M905">
        <f t="shared" si="664"/>
        <v>318.89795918367349</v>
      </c>
      <c r="N905">
        <f t="shared" si="664"/>
        <v>183.98571428571429</v>
      </c>
      <c r="O905">
        <f t="shared" si="664"/>
        <v>197.45918367346937</v>
      </c>
      <c r="P905">
        <f t="shared" si="664"/>
        <v>147.72448979591837</v>
      </c>
      <c r="Q905">
        <f t="shared" si="664"/>
        <v>219.6</v>
      </c>
      <c r="R905">
        <f t="shared" si="664"/>
        <v>283.66530612244901</v>
      </c>
      <c r="S905">
        <f t="shared" si="664"/>
        <v>389.36938775510197</v>
      </c>
      <c r="T905">
        <f t="shared" si="664"/>
        <v>163.01836734693879</v>
      </c>
      <c r="U905">
        <f t="shared" si="664"/>
        <v>178.60408163265308</v>
      </c>
      <c r="V905">
        <f t="shared" si="664"/>
        <v>173.89183673469387</v>
      </c>
      <c r="W905">
        <f t="shared" si="664"/>
        <v>413.14285714285717</v>
      </c>
      <c r="Y905" s="17">
        <f t="shared" si="660"/>
        <v>5008.833864795919</v>
      </c>
      <c r="Z905">
        <f t="shared" si="661"/>
        <v>578.25746158736615</v>
      </c>
    </row>
    <row r="906" spans="1:26" x14ac:dyDescent="0.25">
      <c r="A906" t="s">
        <v>47</v>
      </c>
      <c r="D906">
        <f t="shared" ref="D906:W906" si="665">D150*D186</f>
        <v>350.20408163265307</v>
      </c>
      <c r="E906">
        <f t="shared" si="665"/>
        <v>271.4591836734694</v>
      </c>
      <c r="F906">
        <f t="shared" si="665"/>
        <v>286.25306122448978</v>
      </c>
      <c r="G906">
        <f t="shared" si="665"/>
        <v>332.57142857142856</v>
      </c>
      <c r="H906">
        <f t="shared" si="665"/>
        <v>310.53877551020406</v>
      </c>
      <c r="I906">
        <f t="shared" si="665"/>
        <v>221.37551020408162</v>
      </c>
      <c r="J906">
        <f t="shared" si="665"/>
        <v>301.68367346938777</v>
      </c>
      <c r="K906">
        <f t="shared" si="665"/>
        <v>310.51836734693876</v>
      </c>
      <c r="L906">
        <f t="shared" si="665"/>
        <v>220.39999999999998</v>
      </c>
      <c r="M906">
        <f t="shared" si="665"/>
        <v>292.68979591836734</v>
      </c>
      <c r="N906">
        <f t="shared" si="665"/>
        <v>282.98571428571427</v>
      </c>
      <c r="O906">
        <f t="shared" si="665"/>
        <v>211.48163265306124</v>
      </c>
      <c r="P906">
        <f t="shared" si="665"/>
        <v>227.46122448979591</v>
      </c>
      <c r="Q906">
        <f t="shared" si="665"/>
        <v>171.9795918367347</v>
      </c>
      <c r="R906">
        <f t="shared" si="665"/>
        <v>320.14285714285717</v>
      </c>
      <c r="S906">
        <f t="shared" si="665"/>
        <v>377.06122448979585</v>
      </c>
      <c r="T906">
        <f t="shared" si="665"/>
        <v>318.71428571428572</v>
      </c>
      <c r="U906">
        <f t="shared" si="665"/>
        <v>337.37142857142857</v>
      </c>
      <c r="V906">
        <f t="shared" si="665"/>
        <v>122.86530612244901</v>
      </c>
      <c r="W906">
        <f t="shared" si="665"/>
        <v>201.82040816326528</v>
      </c>
      <c r="Y906" s="17">
        <f t="shared" si="660"/>
        <v>5469.5775510204076</v>
      </c>
      <c r="Z906">
        <f t="shared" si="661"/>
        <v>679.91364904128261</v>
      </c>
    </row>
    <row r="907" spans="1:26" x14ac:dyDescent="0.25">
      <c r="A907" t="s">
        <v>48</v>
      </c>
      <c r="D907">
        <f t="shared" ref="D907:W907" si="666">D151*D187</f>
        <v>466.28571428571428</v>
      </c>
      <c r="E907">
        <f t="shared" si="666"/>
        <v>291.18367346938777</v>
      </c>
      <c r="F907">
        <f t="shared" si="666"/>
        <v>319.2</v>
      </c>
      <c r="G907">
        <f t="shared" si="666"/>
        <v>694.83673469387759</v>
      </c>
      <c r="H907">
        <f t="shared" si="666"/>
        <v>522</v>
      </c>
      <c r="I907">
        <f t="shared" si="666"/>
        <v>546.85714285714289</v>
      </c>
      <c r="J907">
        <f t="shared" si="666"/>
        <v>404.66938775510204</v>
      </c>
      <c r="K907">
        <f t="shared" si="666"/>
        <v>353.94285714285718</v>
      </c>
      <c r="L907">
        <f t="shared" si="666"/>
        <v>353.5390625</v>
      </c>
      <c r="M907">
        <f t="shared" si="666"/>
        <v>182.53061224489798</v>
      </c>
      <c r="N907">
        <f t="shared" si="666"/>
        <v>309.62448979591835</v>
      </c>
      <c r="O907">
        <f t="shared" si="666"/>
        <v>170.73061224489794</v>
      </c>
      <c r="P907">
        <f t="shared" si="666"/>
        <v>270.07142857142856</v>
      </c>
      <c r="Q907">
        <f t="shared" si="666"/>
        <v>313.58979591836743</v>
      </c>
      <c r="R907">
        <f t="shared" si="666"/>
        <v>316.08163265306126</v>
      </c>
      <c r="S907">
        <f t="shared" si="666"/>
        <v>180.68571428571425</v>
      </c>
      <c r="T907">
        <f t="shared" si="666"/>
        <v>313.98571428571432</v>
      </c>
      <c r="U907">
        <f t="shared" si="666"/>
        <v>293.53061224489795</v>
      </c>
      <c r="V907">
        <f t="shared" si="666"/>
        <v>214.53061224489798</v>
      </c>
      <c r="W907">
        <f t="shared" si="666"/>
        <v>212.76938775510203</v>
      </c>
      <c r="Y907" s="17">
        <f t="shared" si="660"/>
        <v>6730.6451849489804</v>
      </c>
      <c r="Z907">
        <f t="shared" si="661"/>
        <v>739.72229555284196</v>
      </c>
    </row>
    <row r="908" spans="1:26" x14ac:dyDescent="0.25">
      <c r="A908" t="s">
        <v>49</v>
      </c>
      <c r="D908">
        <f t="shared" ref="D908:W908" si="667">D152*D188</f>
        <v>205.12653061224492</v>
      </c>
      <c r="E908">
        <f t="shared" si="667"/>
        <v>354.28571428571433</v>
      </c>
      <c r="F908">
        <f t="shared" si="667"/>
        <v>545.9591836734694</v>
      </c>
      <c r="G908">
        <f t="shared" si="667"/>
        <v>416.76734693877552</v>
      </c>
      <c r="H908">
        <f t="shared" si="667"/>
        <v>267.04897959183671</v>
      </c>
      <c r="I908">
        <f t="shared" si="667"/>
        <v>243.86326530612246</v>
      </c>
      <c r="J908">
        <f t="shared" si="667"/>
        <v>263.18367346938777</v>
      </c>
      <c r="K908">
        <f t="shared" si="667"/>
        <v>369.47346938775507</v>
      </c>
      <c r="L908">
        <f t="shared" si="667"/>
        <v>236.79218749999998</v>
      </c>
      <c r="M908">
        <f t="shared" si="667"/>
        <v>163.33877551020407</v>
      </c>
      <c r="N908">
        <f t="shared" si="667"/>
        <v>234.52653061224493</v>
      </c>
      <c r="O908">
        <f t="shared" si="667"/>
        <v>172.11428571428573</v>
      </c>
      <c r="P908">
        <f t="shared" si="667"/>
        <v>302.75510204081633</v>
      </c>
      <c r="Q908">
        <f t="shared" si="667"/>
        <v>477.17142857142858</v>
      </c>
      <c r="R908">
        <f t="shared" si="667"/>
        <v>269.79591836734699</v>
      </c>
      <c r="S908">
        <f t="shared" si="667"/>
        <v>209.14897959183676</v>
      </c>
      <c r="T908">
        <f t="shared" si="667"/>
        <v>151.69367346938776</v>
      </c>
      <c r="U908">
        <f t="shared" si="667"/>
        <v>231.02448979591836</v>
      </c>
      <c r="V908">
        <f t="shared" si="667"/>
        <v>313.77551020408163</v>
      </c>
      <c r="W908">
        <f t="shared" si="667"/>
        <v>152.3257142857143</v>
      </c>
      <c r="Y908" s="17">
        <f t="shared" si="660"/>
        <v>5580.1707589285734</v>
      </c>
      <c r="Z908">
        <f t="shared" si="661"/>
        <v>820.1201069129072</v>
      </c>
    </row>
    <row r="909" spans="1:26" x14ac:dyDescent="0.25">
      <c r="A909" t="s">
        <v>50</v>
      </c>
      <c r="D909">
        <f t="shared" ref="D909:W909" si="668">D153*D189</f>
        <v>282.81632653061223</v>
      </c>
      <c r="E909">
        <f t="shared" si="668"/>
        <v>211.73061224489794</v>
      </c>
      <c r="F909">
        <f t="shared" si="668"/>
        <v>350.89387755102041</v>
      </c>
      <c r="G909">
        <f t="shared" si="668"/>
        <v>493.53265306122455</v>
      </c>
      <c r="H909">
        <f t="shared" si="668"/>
        <v>311.28979591836736</v>
      </c>
      <c r="I909">
        <f t="shared" si="668"/>
        <v>416.57142857142856</v>
      </c>
      <c r="J909">
        <f t="shared" si="668"/>
        <v>331.89795918367349</v>
      </c>
      <c r="K909">
        <f t="shared" si="668"/>
        <v>316.07755102040818</v>
      </c>
      <c r="L909">
        <f t="shared" si="668"/>
        <v>328.9</v>
      </c>
      <c r="M909">
        <f t="shared" si="668"/>
        <v>453.67346938775512</v>
      </c>
      <c r="N909">
        <f t="shared" si="668"/>
        <v>396.09183673469386</v>
      </c>
      <c r="O909">
        <f t="shared" si="668"/>
        <v>335.20408163265307</v>
      </c>
      <c r="P909">
        <f t="shared" si="668"/>
        <v>232.75102040816324</v>
      </c>
      <c r="Q909">
        <f t="shared" si="668"/>
        <v>182.85714285714286</v>
      </c>
      <c r="R909">
        <f t="shared" si="668"/>
        <v>154.51020408163265</v>
      </c>
      <c r="S909">
        <f t="shared" si="668"/>
        <v>261.8448979591837</v>
      </c>
      <c r="T909">
        <f t="shared" si="668"/>
        <v>182.35102040816329</v>
      </c>
      <c r="U909">
        <f t="shared" si="668"/>
        <v>296.16734693877555</v>
      </c>
      <c r="V909">
        <f t="shared" si="668"/>
        <v>219.29999999999995</v>
      </c>
      <c r="W909">
        <f t="shared" si="668"/>
        <v>331.26734693877546</v>
      </c>
      <c r="Y909" s="17">
        <f t="shared" si="660"/>
        <v>6089.7285714285726</v>
      </c>
      <c r="Z909">
        <f t="shared" si="661"/>
        <v>775.70011362350192</v>
      </c>
    </row>
    <row r="910" spans="1:26" x14ac:dyDescent="0.25">
      <c r="A910" t="s">
        <v>51</v>
      </c>
      <c r="D910">
        <f t="shared" ref="D910:W910" si="669">D154*D190</f>
        <v>453.46938775510205</v>
      </c>
      <c r="E910">
        <f t="shared" si="669"/>
        <v>419.67346938775512</v>
      </c>
      <c r="F910">
        <f t="shared" si="669"/>
        <v>609.62448979591841</v>
      </c>
      <c r="G910">
        <f t="shared" si="669"/>
        <v>783.52448979591838</v>
      </c>
      <c r="H910">
        <f t="shared" si="669"/>
        <v>195.8</v>
      </c>
      <c r="I910">
        <f t="shared" si="669"/>
        <v>374.69387755102042</v>
      </c>
      <c r="J910">
        <f t="shared" si="669"/>
        <v>255.62653061224492</v>
      </c>
      <c r="K910">
        <f t="shared" si="669"/>
        <v>265.0204081632653</v>
      </c>
      <c r="L910">
        <f t="shared" si="669"/>
        <v>254.18906250000001</v>
      </c>
      <c r="M910">
        <f t="shared" si="669"/>
        <v>394.53061224489795</v>
      </c>
      <c r="N910">
        <f t="shared" si="669"/>
        <v>601.71428571428578</v>
      </c>
      <c r="O910">
        <f t="shared" si="669"/>
        <v>265.9591836734694</v>
      </c>
      <c r="P910">
        <f t="shared" si="669"/>
        <v>559</v>
      </c>
      <c r="Q910">
        <f t="shared" si="669"/>
        <v>153.67346938775509</v>
      </c>
      <c r="R910">
        <f t="shared" si="669"/>
        <v>264.22448979591837</v>
      </c>
      <c r="S910">
        <f t="shared" si="669"/>
        <v>219.73877551020411</v>
      </c>
      <c r="T910">
        <f t="shared" si="669"/>
        <v>260.52244897959184</v>
      </c>
      <c r="U910">
        <f t="shared" si="669"/>
        <v>181.23061224489791</v>
      </c>
      <c r="V910">
        <f t="shared" si="669"/>
        <v>139.29795918367347</v>
      </c>
      <c r="W910">
        <f t="shared" si="669"/>
        <v>219.42857142857142</v>
      </c>
      <c r="Y910" s="17">
        <f t="shared" si="660"/>
        <v>6870.9421237244896</v>
      </c>
      <c r="Z910">
        <f t="shared" si="661"/>
        <v>896.98737242910443</v>
      </c>
    </row>
    <row r="911" spans="1:26" x14ac:dyDescent="0.25">
      <c r="A911" t="s">
        <v>52</v>
      </c>
      <c r="D911">
        <f t="shared" ref="D911:W911" si="670">D155*D191</f>
        <v>467.89795918367349</v>
      </c>
      <c r="E911">
        <f t="shared" si="670"/>
        <v>279.38775510204079</v>
      </c>
      <c r="F911">
        <f t="shared" si="670"/>
        <v>434.57142857142861</v>
      </c>
      <c r="G911">
        <f t="shared" si="670"/>
        <v>255.62653061224492</v>
      </c>
      <c r="H911">
        <f t="shared" si="670"/>
        <v>313.91632653061225</v>
      </c>
      <c r="I911">
        <f t="shared" si="670"/>
        <v>407.51020408163259</v>
      </c>
      <c r="J911">
        <f t="shared" si="670"/>
        <v>224.78163265306119</v>
      </c>
      <c r="K911">
        <f t="shared" si="670"/>
        <v>218.36734693877554</v>
      </c>
      <c r="L911">
        <f t="shared" si="670"/>
        <v>301.67031250000002</v>
      </c>
      <c r="M911">
        <f t="shared" si="670"/>
        <v>301.17551020408166</v>
      </c>
      <c r="N911">
        <f t="shared" si="670"/>
        <v>313.03265306122449</v>
      </c>
      <c r="O911">
        <f t="shared" si="670"/>
        <v>345.04285714285709</v>
      </c>
      <c r="P911">
        <f t="shared" si="670"/>
        <v>232.00816326530608</v>
      </c>
      <c r="Q911">
        <f t="shared" si="670"/>
        <v>276.24693877551027</v>
      </c>
      <c r="R911">
        <f t="shared" si="670"/>
        <v>257.80408163265304</v>
      </c>
      <c r="S911">
        <f t="shared" si="670"/>
        <v>335.0204081632653</v>
      </c>
      <c r="T911">
        <f t="shared" si="670"/>
        <v>209.60204081632656</v>
      </c>
      <c r="U911">
        <f t="shared" si="670"/>
        <v>334.20612244897961</v>
      </c>
      <c r="V911">
        <f t="shared" si="670"/>
        <v>257.82857142857142</v>
      </c>
      <c r="W911">
        <f t="shared" si="670"/>
        <v>303.31632653061223</v>
      </c>
      <c r="Y911" s="17">
        <f t="shared" si="660"/>
        <v>6069.0131696428571</v>
      </c>
      <c r="Z911">
        <f t="shared" si="661"/>
        <v>888.05494932927058</v>
      </c>
    </row>
    <row r="912" spans="1:26" x14ac:dyDescent="0.25">
      <c r="A912" t="s">
        <v>53</v>
      </c>
      <c r="D912">
        <f t="shared" ref="D912:W912" si="671">D156*D192</f>
        <v>365.75510204081633</v>
      </c>
      <c r="E912">
        <f t="shared" si="671"/>
        <v>355.91836734693879</v>
      </c>
      <c r="F912">
        <f t="shared" si="671"/>
        <v>367.71428571428572</v>
      </c>
      <c r="G912">
        <f t="shared" si="671"/>
        <v>628.45714285714291</v>
      </c>
      <c r="H912">
        <f t="shared" si="671"/>
        <v>398.08775510204083</v>
      </c>
      <c r="I912">
        <f t="shared" si="671"/>
        <v>216.77142857142857</v>
      </c>
      <c r="J912">
        <f t="shared" si="671"/>
        <v>381.55102040816331</v>
      </c>
      <c r="K912">
        <f t="shared" si="671"/>
        <v>368.43265306122447</v>
      </c>
      <c r="L912">
        <f t="shared" si="671"/>
        <v>571.50312500000007</v>
      </c>
      <c r="M912">
        <f t="shared" si="671"/>
        <v>690.28163265306137</v>
      </c>
      <c r="N912">
        <f t="shared" si="671"/>
        <v>394.5306122448979</v>
      </c>
      <c r="O912">
        <f t="shared" si="671"/>
        <v>369.17346938775518</v>
      </c>
      <c r="P912">
        <f t="shared" si="671"/>
        <v>340.62040816326532</v>
      </c>
      <c r="Q912">
        <f t="shared" si="671"/>
        <v>190.28571428571428</v>
      </c>
      <c r="R912">
        <f t="shared" si="671"/>
        <v>221</v>
      </c>
      <c r="S912">
        <f t="shared" si="671"/>
        <v>250.93469387755101</v>
      </c>
      <c r="T912">
        <f t="shared" si="671"/>
        <v>425.66326530612253</v>
      </c>
      <c r="U912">
        <f t="shared" si="671"/>
        <v>255.91020408163266</v>
      </c>
      <c r="V912">
        <f t="shared" si="671"/>
        <v>230.25918367346938</v>
      </c>
      <c r="W912">
        <f t="shared" si="671"/>
        <v>279.6142857142857</v>
      </c>
      <c r="Y912" s="17">
        <f t="shared" si="660"/>
        <v>7302.4643494897964</v>
      </c>
      <c r="Z912">
        <f t="shared" si="661"/>
        <v>945.95935817360987</v>
      </c>
    </row>
    <row r="913" spans="1:26" x14ac:dyDescent="0.25">
      <c r="A913" t="s">
        <v>54</v>
      </c>
      <c r="D913">
        <f t="shared" ref="D913:W913" si="672">D157*D193</f>
        <v>573.26530612244892</v>
      </c>
      <c r="E913">
        <f t="shared" si="672"/>
        <v>455.74897959183681</v>
      </c>
      <c r="F913">
        <f t="shared" si="672"/>
        <v>446.98775510204081</v>
      </c>
      <c r="G913">
        <f t="shared" si="672"/>
        <v>349.66530612244895</v>
      </c>
      <c r="H913">
        <f t="shared" si="672"/>
        <v>331.93469387755101</v>
      </c>
      <c r="I913">
        <f t="shared" si="672"/>
        <v>366.46530612244902</v>
      </c>
      <c r="J913">
        <f t="shared" si="672"/>
        <v>206.57142857142858</v>
      </c>
      <c r="K913">
        <f t="shared" si="672"/>
        <v>345.01632653061228</v>
      </c>
      <c r="L913">
        <f t="shared" si="672"/>
        <v>307.125</v>
      </c>
      <c r="M913">
        <f t="shared" si="672"/>
        <v>300.70079999999996</v>
      </c>
      <c r="N913">
        <f t="shared" si="672"/>
        <v>540.33720000000005</v>
      </c>
      <c r="O913">
        <f t="shared" si="672"/>
        <v>378.54079999999999</v>
      </c>
      <c r="P913">
        <f t="shared" si="672"/>
        <v>221.58629999999999</v>
      </c>
      <c r="Q913">
        <f t="shared" si="672"/>
        <v>319.32</v>
      </c>
      <c r="R913">
        <f t="shared" si="672"/>
        <v>172.60559999999998</v>
      </c>
      <c r="S913">
        <f t="shared" si="672"/>
        <v>283.5</v>
      </c>
      <c r="T913">
        <f t="shared" si="672"/>
        <v>162.35120000000001</v>
      </c>
      <c r="U913">
        <f t="shared" si="672"/>
        <v>248.41380000000001</v>
      </c>
      <c r="V913">
        <f t="shared" si="672"/>
        <v>243.21759999999998</v>
      </c>
      <c r="W913">
        <f t="shared" si="672"/>
        <v>398.18100000000004</v>
      </c>
      <c r="Y913" s="17">
        <f t="shared" si="660"/>
        <v>6651.5344020408156</v>
      </c>
      <c r="Z913">
        <f t="shared" si="661"/>
        <v>1006.4429586532951</v>
      </c>
    </row>
    <row r="914" spans="1:26" x14ac:dyDescent="0.25">
      <c r="A914" t="s">
        <v>55</v>
      </c>
      <c r="D914">
        <f t="shared" ref="D914:W914" si="673">D158*D194</f>
        <v>662.73309999999992</v>
      </c>
      <c r="E914">
        <f t="shared" si="673"/>
        <v>634.74</v>
      </c>
      <c r="F914">
        <f t="shared" si="673"/>
        <v>491.49099999999999</v>
      </c>
      <c r="G914">
        <f t="shared" si="673"/>
        <v>778.73120000000006</v>
      </c>
      <c r="H914">
        <f t="shared" si="673"/>
        <v>758.94960000000003</v>
      </c>
      <c r="I914">
        <f t="shared" si="673"/>
        <v>864.93119999999999</v>
      </c>
      <c r="J914">
        <f t="shared" si="673"/>
        <v>449.31039999999996</v>
      </c>
      <c r="K914">
        <f t="shared" si="673"/>
        <v>659.77549999999997</v>
      </c>
      <c r="L914">
        <f t="shared" si="673"/>
        <v>539.64819999999997</v>
      </c>
      <c r="M914">
        <f t="shared" si="673"/>
        <v>471.67346938775512</v>
      </c>
      <c r="N914">
        <f t="shared" si="673"/>
        <v>457.62857142857149</v>
      </c>
      <c r="O914">
        <f t="shared" si="673"/>
        <v>244.28571428571433</v>
      </c>
      <c r="P914">
        <f t="shared" si="673"/>
        <v>286.59591836734694</v>
      </c>
      <c r="Q914">
        <f t="shared" si="673"/>
        <v>448.07142857142856</v>
      </c>
      <c r="R914">
        <f t="shared" si="673"/>
        <v>247.74285714285713</v>
      </c>
      <c r="S914">
        <f t="shared" si="673"/>
        <v>450.95510204081631</v>
      </c>
      <c r="T914">
        <f t="shared" si="673"/>
        <v>366.88775510204084</v>
      </c>
      <c r="U914">
        <f t="shared" si="673"/>
        <v>214.28571428571428</v>
      </c>
      <c r="V914">
        <f t="shared" si="673"/>
        <v>308.39999999999998</v>
      </c>
      <c r="W914">
        <f t="shared" si="673"/>
        <v>400.90408163265312</v>
      </c>
      <c r="Y914" s="17">
        <f t="shared" si="660"/>
        <v>9737.7408122448978</v>
      </c>
      <c r="Z914">
        <f t="shared" si="661"/>
        <v>1248.3861864229771</v>
      </c>
    </row>
    <row r="915" spans="1:26" x14ac:dyDescent="0.25">
      <c r="A915" t="s">
        <v>56</v>
      </c>
      <c r="D915">
        <f t="shared" ref="D915:W915" si="674">D159*D195</f>
        <v>777.85714285714278</v>
      </c>
      <c r="E915">
        <f t="shared" si="674"/>
        <v>499.59183673469386</v>
      </c>
      <c r="F915">
        <f t="shared" si="674"/>
        <v>576</v>
      </c>
      <c r="G915">
        <f t="shared" si="674"/>
        <v>437.14285714285717</v>
      </c>
      <c r="H915">
        <f t="shared" si="674"/>
        <v>286.72244897959189</v>
      </c>
      <c r="I915">
        <f t="shared" si="674"/>
        <v>266.95510204081631</v>
      </c>
      <c r="J915">
        <f t="shared" si="674"/>
        <v>306.31836734693877</v>
      </c>
      <c r="K915">
        <f t="shared" si="674"/>
        <v>412.92857142857144</v>
      </c>
      <c r="L915">
        <f t="shared" si="674"/>
        <v>324.00000000000006</v>
      </c>
      <c r="M915">
        <f t="shared" si="674"/>
        <v>339.59183673469391</v>
      </c>
      <c r="N915">
        <f t="shared" si="674"/>
        <v>259.15306122448976</v>
      </c>
      <c r="O915">
        <f t="shared" si="674"/>
        <v>405.49591836734703</v>
      </c>
      <c r="P915">
        <f t="shared" si="674"/>
        <v>462.95918367346951</v>
      </c>
      <c r="Q915">
        <f t="shared" si="674"/>
        <v>258.99795918367352</v>
      </c>
      <c r="R915">
        <f t="shared" si="674"/>
        <v>600.43877551020398</v>
      </c>
      <c r="S915">
        <f t="shared" si="674"/>
        <v>565.59183673469386</v>
      </c>
      <c r="T915">
        <f t="shared" si="674"/>
        <v>382.61224489795921</v>
      </c>
      <c r="U915">
        <f t="shared" si="674"/>
        <v>230.62040816326535</v>
      </c>
      <c r="V915">
        <f t="shared" si="674"/>
        <v>367.53061224489801</v>
      </c>
      <c r="W915">
        <f t="shared" si="674"/>
        <v>207.36530612244894</v>
      </c>
      <c r="Y915" s="17">
        <f t="shared" si="660"/>
        <v>7967.8734693877559</v>
      </c>
      <c r="Z915">
        <f t="shared" si="661"/>
        <v>1113.2983667088458</v>
      </c>
    </row>
    <row r="916" spans="1:26" x14ac:dyDescent="0.25">
      <c r="A916" t="s">
        <v>57</v>
      </c>
      <c r="D916">
        <f t="shared" ref="D916:W916" si="675">D160*D196</f>
        <v>428.57142857142861</v>
      </c>
      <c r="E916">
        <f t="shared" si="675"/>
        <v>349.22448979591837</v>
      </c>
      <c r="F916">
        <f t="shared" si="675"/>
        <v>272.77551020408163</v>
      </c>
      <c r="G916">
        <f t="shared" si="675"/>
        <v>330.27959183673465</v>
      </c>
      <c r="H916">
        <f t="shared" si="675"/>
        <v>214.84897959183675</v>
      </c>
      <c r="I916">
        <f t="shared" si="675"/>
        <v>301.34693877551024</v>
      </c>
      <c r="J916">
        <f t="shared" si="675"/>
        <v>305.86734693877554</v>
      </c>
      <c r="K916">
        <f t="shared" si="675"/>
        <v>216</v>
      </c>
      <c r="L916">
        <f t="shared" si="675"/>
        <v>298.20781250000005</v>
      </c>
      <c r="M916">
        <f t="shared" si="675"/>
        <v>264.82653061224494</v>
      </c>
      <c r="N916">
        <f t="shared" si="675"/>
        <v>345.23265306122448</v>
      </c>
      <c r="O916">
        <f t="shared" si="675"/>
        <v>240.7959183673469</v>
      </c>
      <c r="P916">
        <f t="shared" si="675"/>
        <v>377.93469387755096</v>
      </c>
      <c r="Q916">
        <f t="shared" si="675"/>
        <v>364.14693877551019</v>
      </c>
      <c r="R916">
        <f t="shared" si="675"/>
        <v>228.04897959183677</v>
      </c>
      <c r="S916">
        <f t="shared" si="675"/>
        <v>116.76734693877549</v>
      </c>
      <c r="T916">
        <f t="shared" si="675"/>
        <v>244.48163265306124</v>
      </c>
      <c r="U916">
        <f t="shared" si="675"/>
        <v>180.83265306122448</v>
      </c>
      <c r="V916">
        <f t="shared" si="675"/>
        <v>185.24489795918367</v>
      </c>
      <c r="W916">
        <f t="shared" si="675"/>
        <v>373.89795918367349</v>
      </c>
      <c r="Y916" s="17">
        <f t="shared" si="660"/>
        <v>5639.3323022959185</v>
      </c>
      <c r="Z916">
        <f t="shared" si="661"/>
        <v>742.74307221915819</v>
      </c>
    </row>
    <row r="917" spans="1:26" x14ac:dyDescent="0.25">
      <c r="A917" t="s">
        <v>58</v>
      </c>
      <c r="D917">
        <f t="shared" ref="D917:W917" si="676">D161*D197</f>
        <v>331.10204081632651</v>
      </c>
      <c r="E917">
        <f t="shared" si="676"/>
        <v>350.55102040816325</v>
      </c>
      <c r="F917">
        <f t="shared" si="676"/>
        <v>408.06122448979596</v>
      </c>
      <c r="G917">
        <f t="shared" si="676"/>
        <v>294</v>
      </c>
      <c r="H917">
        <f t="shared" si="676"/>
        <v>312.96326530612254</v>
      </c>
      <c r="I917">
        <f t="shared" si="676"/>
        <v>174.12244897959187</v>
      </c>
      <c r="J917">
        <f t="shared" si="676"/>
        <v>275.16734693877549</v>
      </c>
      <c r="K917">
        <f t="shared" si="676"/>
        <v>345.63877551020408</v>
      </c>
      <c r="L917">
        <f t="shared" si="676"/>
        <v>287.7</v>
      </c>
      <c r="M917">
        <f t="shared" si="676"/>
        <v>0</v>
      </c>
      <c r="N917">
        <f t="shared" si="676"/>
        <v>292.19387755102042</v>
      </c>
      <c r="O917">
        <f t="shared" si="676"/>
        <v>189.36122448979589</v>
      </c>
      <c r="P917">
        <f t="shared" si="676"/>
        <v>281.49795918367346</v>
      </c>
      <c r="Q917">
        <f t="shared" si="676"/>
        <v>151.86734693877551</v>
      </c>
      <c r="R917">
        <f t="shared" si="676"/>
        <v>204.24285714285716</v>
      </c>
      <c r="S917">
        <f t="shared" si="676"/>
        <v>157.51428571428571</v>
      </c>
      <c r="T917">
        <f t="shared" si="676"/>
        <v>217.20000000000002</v>
      </c>
      <c r="U917">
        <f t="shared" si="676"/>
        <v>321.51428571428568</v>
      </c>
      <c r="V917">
        <f t="shared" si="676"/>
        <v>229.27959183673465</v>
      </c>
      <c r="W917">
        <f t="shared" si="676"/>
        <v>189.4938775510204</v>
      </c>
      <c r="Y917" s="17">
        <f t="shared" si="660"/>
        <v>5013.4714285714281</v>
      </c>
      <c r="Z917">
        <f t="shared" si="661"/>
        <v>643.41751656221049</v>
      </c>
    </row>
    <row r="918" spans="1:26" x14ac:dyDescent="0.25">
      <c r="A918" t="s">
        <v>59</v>
      </c>
      <c r="D918">
        <f t="shared" ref="D918:W918" si="677">D162*D198</f>
        <v>305.63265306122446</v>
      </c>
      <c r="E918">
        <f t="shared" si="677"/>
        <v>395.75510204081633</v>
      </c>
      <c r="F918">
        <f t="shared" si="677"/>
        <v>284.64489795918365</v>
      </c>
      <c r="G918">
        <f t="shared" si="677"/>
        <v>229.13673469387754</v>
      </c>
      <c r="H918">
        <f t="shared" si="677"/>
        <v>287.83265306122451</v>
      </c>
      <c r="I918">
        <f t="shared" si="677"/>
        <v>318.31836734693877</v>
      </c>
      <c r="J918">
        <f t="shared" si="677"/>
        <v>268.16122448979593</v>
      </c>
      <c r="K918">
        <f t="shared" si="677"/>
        <v>327.62653061224489</v>
      </c>
      <c r="L918">
        <f t="shared" si="677"/>
        <v>276.65510204081636</v>
      </c>
      <c r="M918">
        <f t="shared" si="677"/>
        <v>238.13877551020408</v>
      </c>
      <c r="N918">
        <f t="shared" si="677"/>
        <v>282.44081632653052</v>
      </c>
      <c r="O918">
        <f t="shared" si="677"/>
        <v>327.58163265306126</v>
      </c>
      <c r="P918">
        <f t="shared" si="677"/>
        <v>331.53061224489795</v>
      </c>
      <c r="Q918">
        <f t="shared" si="677"/>
        <v>186.39387755102041</v>
      </c>
      <c r="R918">
        <f t="shared" si="677"/>
        <v>281.12653061224489</v>
      </c>
      <c r="S918">
        <f t="shared" si="677"/>
        <v>440.75510204081638</v>
      </c>
      <c r="T918">
        <f t="shared" si="677"/>
        <v>514.28571428571422</v>
      </c>
      <c r="U918">
        <f t="shared" si="677"/>
        <v>247.74693877551022</v>
      </c>
      <c r="V918">
        <f t="shared" si="677"/>
        <v>260.8</v>
      </c>
      <c r="W918">
        <f t="shared" si="677"/>
        <v>291.50816326530611</v>
      </c>
      <c r="Y918" s="17">
        <f t="shared" si="660"/>
        <v>6096.0714285714294</v>
      </c>
      <c r="Z918">
        <f t="shared" si="661"/>
        <v>802.09391526509955</v>
      </c>
    </row>
    <row r="919" spans="1:26" x14ac:dyDescent="0.25">
      <c r="A919" t="s">
        <v>60</v>
      </c>
      <c r="D919">
        <f t="shared" ref="D919:W919" si="678">D163*D199</f>
        <v>285.06122448979596</v>
      </c>
      <c r="E919">
        <f t="shared" si="678"/>
        <v>386.83673469387753</v>
      </c>
      <c r="F919">
        <f t="shared" si="678"/>
        <v>308.47346938775513</v>
      </c>
      <c r="G919">
        <f t="shared" si="678"/>
        <v>251.26530612244898</v>
      </c>
      <c r="H919">
        <f t="shared" si="678"/>
        <v>192.60000000000002</v>
      </c>
      <c r="I919">
        <f t="shared" si="678"/>
        <v>266.86530612244894</v>
      </c>
      <c r="J919">
        <f t="shared" si="678"/>
        <v>296.89591836734689</v>
      </c>
      <c r="K919">
        <f t="shared" si="678"/>
        <v>402.73469387755102</v>
      </c>
      <c r="L919">
        <f t="shared" si="678"/>
        <v>331.92500000000001</v>
      </c>
      <c r="M919">
        <f t="shared" si="678"/>
        <v>333.36734693877548</v>
      </c>
      <c r="N919">
        <f t="shared" si="678"/>
        <v>253.06122448979588</v>
      </c>
      <c r="O919">
        <f t="shared" si="678"/>
        <v>176.44081632653061</v>
      </c>
      <c r="P919">
        <f t="shared" si="678"/>
        <v>277.57142857142856</v>
      </c>
      <c r="Q919">
        <f t="shared" si="678"/>
        <v>440.87755102040813</v>
      </c>
      <c r="R919">
        <f t="shared" si="678"/>
        <v>316.61632653061224</v>
      </c>
      <c r="S919">
        <f t="shared" si="678"/>
        <v>291.32040816326526</v>
      </c>
      <c r="T919">
        <f t="shared" si="678"/>
        <v>423.62448979591841</v>
      </c>
      <c r="U919">
        <f t="shared" si="678"/>
        <v>335.02040816326524</v>
      </c>
      <c r="V919">
        <f t="shared" si="678"/>
        <v>80.600000000000009</v>
      </c>
      <c r="W919">
        <f t="shared" si="678"/>
        <v>188.01224489795919</v>
      </c>
      <c r="Y919" s="17">
        <f t="shared" si="660"/>
        <v>5839.1698979591847</v>
      </c>
      <c r="Z919">
        <f t="shared" si="661"/>
        <v>862.15549283622238</v>
      </c>
    </row>
    <row r="920" spans="1:26" x14ac:dyDescent="0.25">
      <c r="A920" t="s">
        <v>61</v>
      </c>
      <c r="D920">
        <f t="shared" ref="D920:W920" si="679">D164*D200</f>
        <v>550.73469387755097</v>
      </c>
      <c r="E920">
        <f t="shared" si="679"/>
        <v>502.85714285714283</v>
      </c>
      <c r="F920">
        <f t="shared" si="679"/>
        <v>398.57142857142861</v>
      </c>
      <c r="G920">
        <f t="shared" si="679"/>
        <v>550.61224489795916</v>
      </c>
      <c r="H920">
        <f t="shared" si="679"/>
        <v>427.9591836734694</v>
      </c>
      <c r="I920">
        <f t="shared" si="679"/>
        <v>352.65306122448982</v>
      </c>
      <c r="J920">
        <f t="shared" si="679"/>
        <v>409.10204081632656</v>
      </c>
      <c r="K920">
        <f t="shared" si="679"/>
        <v>386.1</v>
      </c>
      <c r="L920">
        <f t="shared" si="679"/>
        <v>316.95468749999998</v>
      </c>
      <c r="M920">
        <f t="shared" si="679"/>
        <v>148.93199999999999</v>
      </c>
      <c r="N920">
        <f t="shared" si="679"/>
        <v>188.99028571428573</v>
      </c>
      <c r="O920">
        <f t="shared" si="679"/>
        <v>169.708</v>
      </c>
      <c r="P920">
        <f t="shared" si="679"/>
        <v>142.88114285714286</v>
      </c>
      <c r="Q920">
        <f t="shared" si="679"/>
        <v>170.93757142857143</v>
      </c>
      <c r="R920">
        <f t="shared" si="679"/>
        <v>138.03428571428572</v>
      </c>
      <c r="S920">
        <f t="shared" si="679"/>
        <v>205.06499999999997</v>
      </c>
      <c r="T920">
        <f t="shared" si="679"/>
        <v>577.38122448979607</v>
      </c>
      <c r="U920">
        <f t="shared" si="679"/>
        <v>641.53469387755104</v>
      </c>
      <c r="V920">
        <f t="shared" si="679"/>
        <v>692.75326530612233</v>
      </c>
      <c r="W920">
        <f t="shared" si="679"/>
        <v>792.31122448979602</v>
      </c>
      <c r="Y920" s="17">
        <f t="shared" si="660"/>
        <v>7764.073177295918</v>
      </c>
      <c r="Z920">
        <f t="shared" si="661"/>
        <v>677.75279550626465</v>
      </c>
    </row>
    <row r="921" spans="1:26" x14ac:dyDescent="0.25">
      <c r="A921" t="s">
        <v>62</v>
      </c>
      <c r="D921">
        <f t="shared" ref="D921:W921" si="680">D165*D201</f>
        <v>384.89795918367355</v>
      </c>
      <c r="E921">
        <f t="shared" si="680"/>
        <v>352.45102040816329</v>
      </c>
      <c r="F921">
        <f t="shared" si="680"/>
        <v>323.14693877551019</v>
      </c>
      <c r="G921">
        <f t="shared" si="680"/>
        <v>272.51979591836727</v>
      </c>
      <c r="H921">
        <f t="shared" si="680"/>
        <v>192.32448979591834</v>
      </c>
      <c r="I921">
        <f t="shared" si="680"/>
        <v>205.83306122448982</v>
      </c>
      <c r="J921">
        <f t="shared" si="680"/>
        <v>162.49897959183673</v>
      </c>
      <c r="K921">
        <f t="shared" si="680"/>
        <v>170.81632653061223</v>
      </c>
      <c r="L921">
        <f t="shared" si="680"/>
        <v>193.24296875000002</v>
      </c>
      <c r="M921">
        <f t="shared" si="680"/>
        <v>330.24693877551022</v>
      </c>
      <c r="N921">
        <f t="shared" si="680"/>
        <v>290.66938775510209</v>
      </c>
      <c r="O921">
        <f t="shared" si="680"/>
        <v>254.95510204081629</v>
      </c>
      <c r="P921">
        <f t="shared" si="680"/>
        <v>306.42857142857139</v>
      </c>
      <c r="Q921">
        <f t="shared" si="680"/>
        <v>295.39183673469387</v>
      </c>
      <c r="R921">
        <f t="shared" si="680"/>
        <v>68.08775510204083</v>
      </c>
      <c r="S921">
        <f t="shared" si="680"/>
        <v>46.061224489795919</v>
      </c>
      <c r="T921">
        <f t="shared" si="680"/>
        <v>148.82448979591837</v>
      </c>
      <c r="U921">
        <f t="shared" si="680"/>
        <v>333.75336734693877</v>
      </c>
      <c r="V921">
        <f t="shared" si="680"/>
        <v>435.43285714285713</v>
      </c>
      <c r="W921">
        <f t="shared" si="680"/>
        <v>276.8545918367347</v>
      </c>
      <c r="Y921" s="17">
        <f t="shared" si="660"/>
        <v>5044.4376626275507</v>
      </c>
      <c r="Z921">
        <f t="shared" si="661"/>
        <v>752.9680844306896</v>
      </c>
    </row>
    <row r="922" spans="1:26" x14ac:dyDescent="0.25">
      <c r="A922" t="s">
        <v>63</v>
      </c>
      <c r="D922">
        <f t="shared" ref="D922:W922" si="681">D166*D202</f>
        <v>524.99436224489807</v>
      </c>
      <c r="E922">
        <f t="shared" si="681"/>
        <v>52.328571428571429</v>
      </c>
      <c r="F922">
        <f t="shared" si="681"/>
        <v>532.50510204081627</v>
      </c>
      <c r="G922">
        <f t="shared" si="681"/>
        <v>374.69035714285712</v>
      </c>
      <c r="H922">
        <f t="shared" si="681"/>
        <v>99.295918367346928</v>
      </c>
      <c r="I922">
        <f t="shared" si="681"/>
        <v>247.51020408163271</v>
      </c>
      <c r="J922">
        <f t="shared" si="681"/>
        <v>334.50612244897957</v>
      </c>
      <c r="K922">
        <f t="shared" si="681"/>
        <v>299.75510204081633</v>
      </c>
      <c r="L922">
        <f t="shared" si="681"/>
        <v>254</v>
      </c>
      <c r="M922">
        <f t="shared" si="681"/>
        <v>550.82357142857154</v>
      </c>
      <c r="N922">
        <f t="shared" si="681"/>
        <v>343.97500000000002</v>
      </c>
      <c r="O922">
        <f t="shared" si="681"/>
        <v>320.31469387755101</v>
      </c>
      <c r="P922">
        <f t="shared" si="681"/>
        <v>290.22528061224483</v>
      </c>
      <c r="Q922">
        <f t="shared" si="681"/>
        <v>272.31599489795923</v>
      </c>
      <c r="R922">
        <f t="shared" si="681"/>
        <v>211.43969387755101</v>
      </c>
      <c r="S922">
        <f t="shared" si="681"/>
        <v>304.52142857142866</v>
      </c>
      <c r="T922">
        <f t="shared" si="681"/>
        <v>281.56408163265314</v>
      </c>
      <c r="U922">
        <f t="shared" si="681"/>
        <v>250.0037244897959</v>
      </c>
      <c r="V922">
        <f t="shared" si="681"/>
        <v>357.37642857142851</v>
      </c>
      <c r="W922">
        <f t="shared" si="681"/>
        <v>339.89170918367347</v>
      </c>
      <c r="Y922" s="17">
        <f t="shared" si="660"/>
        <v>6242.037346938776</v>
      </c>
      <c r="Z922">
        <f t="shared" si="661"/>
        <v>833.60925665691616</v>
      </c>
    </row>
    <row r="923" spans="1:26" x14ac:dyDescent="0.25">
      <c r="A923" t="s">
        <v>64</v>
      </c>
      <c r="D923">
        <f t="shared" ref="D923:W923" si="682">D167*D203</f>
        <v>509.95624999999995</v>
      </c>
      <c r="E923">
        <f t="shared" si="682"/>
        <v>512.04698979591842</v>
      </c>
      <c r="F923">
        <f t="shared" si="682"/>
        <v>744.37499999999989</v>
      </c>
      <c r="G923">
        <f t="shared" si="682"/>
        <v>390.8844897959184</v>
      </c>
      <c r="H923">
        <f t="shared" si="682"/>
        <v>441.76357142857148</v>
      </c>
      <c r="I923">
        <f t="shared" si="682"/>
        <v>473.51576530612249</v>
      </c>
      <c r="J923">
        <f t="shared" si="682"/>
        <v>462.24642857142862</v>
      </c>
      <c r="K923">
        <f t="shared" si="682"/>
        <v>392.69081632653064</v>
      </c>
      <c r="L923">
        <f t="shared" si="682"/>
        <v>428.1196875</v>
      </c>
      <c r="M923">
        <f t="shared" si="682"/>
        <v>467.88571428571419</v>
      </c>
      <c r="N923">
        <f t="shared" si="682"/>
        <v>315.39183673469375</v>
      </c>
      <c r="O923">
        <f t="shared" si="682"/>
        <v>287.24489795918367</v>
      </c>
      <c r="P923">
        <f t="shared" si="682"/>
        <v>349.95306122448972</v>
      </c>
      <c r="Q923">
        <f t="shared" si="682"/>
        <v>438.61224489795916</v>
      </c>
      <c r="R923">
        <f t="shared" si="682"/>
        <v>563.9387755102041</v>
      </c>
      <c r="S923">
        <f t="shared" si="682"/>
        <v>380.88367346938782</v>
      </c>
      <c r="T923">
        <f t="shared" si="682"/>
        <v>321.40408163265306</v>
      </c>
      <c r="U923">
        <f t="shared" si="682"/>
        <v>387.29795918367353</v>
      </c>
      <c r="V923">
        <f t="shared" si="682"/>
        <v>282</v>
      </c>
      <c r="W923">
        <f t="shared" si="682"/>
        <v>306.79183673469385</v>
      </c>
      <c r="Y923" s="17">
        <f t="shared" si="660"/>
        <v>8457.0030803571444</v>
      </c>
      <c r="Z923">
        <f t="shared" si="661"/>
        <v>1228.3347470015749</v>
      </c>
    </row>
    <row r="924" spans="1:26" x14ac:dyDescent="0.25">
      <c r="A924" t="s">
        <v>65</v>
      </c>
      <c r="D924">
        <f t="shared" ref="D924:W924" si="683">D168*D204</f>
        <v>541.38367346938776</v>
      </c>
      <c r="E924">
        <f t="shared" si="683"/>
        <v>543.03061224489784</v>
      </c>
      <c r="F924">
        <f t="shared" si="683"/>
        <v>300.10204081632651</v>
      </c>
      <c r="G924">
        <f t="shared" si="683"/>
        <v>200.71836734693878</v>
      </c>
      <c r="H924">
        <f t="shared" si="683"/>
        <v>353.40612244897954</v>
      </c>
      <c r="I924">
        <f t="shared" si="683"/>
        <v>467.85306122448975</v>
      </c>
      <c r="J924">
        <f t="shared" si="683"/>
        <v>366.60000000000008</v>
      </c>
      <c r="K924">
        <f t="shared" si="683"/>
        <v>351.40816326530614</v>
      </c>
      <c r="L924">
        <f t="shared" si="683"/>
        <v>359.65781250000003</v>
      </c>
      <c r="M924">
        <f t="shared" si="683"/>
        <v>413.9265306122449</v>
      </c>
      <c r="N924">
        <f t="shared" si="683"/>
        <v>346.26938775510212</v>
      </c>
      <c r="O924">
        <f t="shared" si="683"/>
        <v>311.41224489795923</v>
      </c>
      <c r="P924">
        <f t="shared" si="683"/>
        <v>209.60204081632654</v>
      </c>
      <c r="Q924">
        <f t="shared" si="683"/>
        <v>460.71428571428561</v>
      </c>
      <c r="R924">
        <f t="shared" si="683"/>
        <v>348.28571428571422</v>
      </c>
      <c r="S924">
        <f t="shared" si="683"/>
        <v>201.82448979591834</v>
      </c>
      <c r="T924">
        <f t="shared" si="683"/>
        <v>218.5530612244898</v>
      </c>
      <c r="U924">
        <f t="shared" si="683"/>
        <v>114.55714285714285</v>
      </c>
      <c r="V924">
        <f t="shared" si="683"/>
        <v>241.68571428571428</v>
      </c>
      <c r="W924">
        <f t="shared" si="683"/>
        <v>284.48979591836729</v>
      </c>
      <c r="Y924" s="17">
        <f t="shared" si="660"/>
        <v>6635.4802614795917</v>
      </c>
      <c r="Z924">
        <f t="shared" si="661"/>
        <v>1047.125481900151</v>
      </c>
    </row>
    <row r="925" spans="1:26" x14ac:dyDescent="0.25">
      <c r="A925" t="s">
        <v>66</v>
      </c>
      <c r="D925">
        <f t="shared" ref="D925:W925" si="684">D169*D205</f>
        <v>400</v>
      </c>
      <c r="E925">
        <f t="shared" si="684"/>
        <v>321.12857142857143</v>
      </c>
      <c r="F925">
        <f t="shared" si="684"/>
        <v>336.6</v>
      </c>
      <c r="G925">
        <f t="shared" si="684"/>
        <v>406.86530612244906</v>
      </c>
      <c r="H925">
        <f t="shared" si="684"/>
        <v>342.42857142857144</v>
      </c>
      <c r="I925">
        <f t="shared" si="684"/>
        <v>370.28571428571428</v>
      </c>
      <c r="J925">
        <f t="shared" si="684"/>
        <v>601.68979591836739</v>
      </c>
      <c r="K925">
        <f t="shared" si="684"/>
        <v>545.44897959183675</v>
      </c>
      <c r="L925">
        <f t="shared" si="684"/>
        <v>317.89999999999998</v>
      </c>
      <c r="M925">
        <f t="shared" si="684"/>
        <v>382.18367346938771</v>
      </c>
      <c r="N925">
        <f t="shared" si="684"/>
        <v>655.19999999999993</v>
      </c>
      <c r="O925">
        <f t="shared" si="684"/>
        <v>653.48571428571427</v>
      </c>
      <c r="P925">
        <f t="shared" si="684"/>
        <v>360.04285714285709</v>
      </c>
      <c r="Q925">
        <f t="shared" si="684"/>
        <v>256.44285714285718</v>
      </c>
      <c r="R925">
        <f t="shared" si="684"/>
        <v>363.26938775510206</v>
      </c>
      <c r="S925">
        <f t="shared" si="684"/>
        <v>333.68571428571431</v>
      </c>
      <c r="T925">
        <f t="shared" si="684"/>
        <v>276.24489795918367</v>
      </c>
      <c r="U925">
        <f t="shared" si="684"/>
        <v>309.63469387755106</v>
      </c>
      <c r="V925">
        <f t="shared" si="684"/>
        <v>258.71836734693875</v>
      </c>
      <c r="W925">
        <f t="shared" si="684"/>
        <v>198.21428571428572</v>
      </c>
      <c r="Y925" s="17">
        <f t="shared" si="660"/>
        <v>7689.4693877551026</v>
      </c>
      <c r="Z925">
        <f t="shared" si="661"/>
        <v>1088.1032820158296</v>
      </c>
    </row>
    <row r="926" spans="1:26" x14ac:dyDescent="0.25">
      <c r="A926" t="s">
        <v>67</v>
      </c>
      <c r="D926">
        <f t="shared" ref="D926:W926" si="685">D170*D206</f>
        <v>289.55918367346936</v>
      </c>
      <c r="E926">
        <f t="shared" si="685"/>
        <v>608.54693877551006</v>
      </c>
      <c r="F926">
        <f t="shared" si="685"/>
        <v>906.71428571428567</v>
      </c>
      <c r="G926">
        <f t="shared" si="685"/>
        <v>400.43265306122447</v>
      </c>
      <c r="H926">
        <f t="shared" si="685"/>
        <v>360.22857142857146</v>
      </c>
      <c r="I926">
        <f t="shared" si="685"/>
        <v>410.68367346938783</v>
      </c>
      <c r="J926">
        <f t="shared" si="685"/>
        <v>479.90204081632646</v>
      </c>
      <c r="K926">
        <f t="shared" si="685"/>
        <v>733.99999999999989</v>
      </c>
      <c r="L926">
        <f t="shared" si="685"/>
        <v>500.84081632653056</v>
      </c>
      <c r="M926">
        <f t="shared" si="685"/>
        <v>482.14285714285722</v>
      </c>
      <c r="N926">
        <f t="shared" si="685"/>
        <v>358.65918367346944</v>
      </c>
      <c r="O926">
        <f t="shared" si="685"/>
        <v>317.30612244897964</v>
      </c>
      <c r="P926">
        <f t="shared" si="685"/>
        <v>258.5</v>
      </c>
      <c r="Q926">
        <f t="shared" si="685"/>
        <v>366.46530612244891</v>
      </c>
      <c r="R926">
        <f t="shared" si="685"/>
        <v>441.19591836734702</v>
      </c>
      <c r="S926">
        <f t="shared" si="685"/>
        <v>251.04489795918371</v>
      </c>
      <c r="T926">
        <f t="shared" si="685"/>
        <v>265.99999999999994</v>
      </c>
      <c r="U926">
        <f t="shared" si="685"/>
        <v>297.93061224489799</v>
      </c>
      <c r="V926">
        <f t="shared" si="685"/>
        <v>313.32040816326537</v>
      </c>
      <c r="W926">
        <f t="shared" si="685"/>
        <v>207.61632653061227</v>
      </c>
      <c r="Y926" s="17">
        <f t="shared" si="660"/>
        <v>8251.0897959183676</v>
      </c>
      <c r="Z926">
        <f t="shared" si="661"/>
        <v>1324.0806644795066</v>
      </c>
    </row>
    <row r="927" spans="1:26" x14ac:dyDescent="0.25">
      <c r="A927" t="s">
        <v>68</v>
      </c>
      <c r="D927">
        <f t="shared" ref="D927:W927" si="686">D171*D207</f>
        <v>449.43673469387738</v>
      </c>
      <c r="E927">
        <f t="shared" si="686"/>
        <v>497.41224489795968</v>
      </c>
      <c r="F927">
        <f t="shared" si="686"/>
        <v>824.04285714285709</v>
      </c>
      <c r="G927">
        <f t="shared" si="686"/>
        <v>621.72857142857083</v>
      </c>
      <c r="H927">
        <f t="shared" si="686"/>
        <v>971.73673469387745</v>
      </c>
      <c r="I927">
        <f t="shared" si="686"/>
        <v>461.81020408163278</v>
      </c>
      <c r="J927">
        <f t="shared" si="686"/>
        <v>362.7020408163263</v>
      </c>
      <c r="K927">
        <f t="shared" si="686"/>
        <v>272.88775510204079</v>
      </c>
      <c r="L927">
        <f t="shared" si="686"/>
        <v>491.67421874999997</v>
      </c>
      <c r="M927">
        <f t="shared" si="686"/>
        <v>285.61224489795904</v>
      </c>
      <c r="N927">
        <f t="shared" si="686"/>
        <v>293.7061224489795</v>
      </c>
      <c r="O927">
        <f t="shared" si="686"/>
        <v>320.56530612244927</v>
      </c>
      <c r="P927">
        <f t="shared" si="686"/>
        <v>372.31836734693889</v>
      </c>
      <c r="Q927">
        <f t="shared" si="686"/>
        <v>365.51632653061222</v>
      </c>
      <c r="R927">
        <f t="shared" si="686"/>
        <v>541.4693877551025</v>
      </c>
      <c r="S927">
        <f t="shared" si="686"/>
        <v>459.64285714285717</v>
      </c>
      <c r="T927">
        <f t="shared" si="686"/>
        <v>275.38775510204079</v>
      </c>
      <c r="U927">
        <f t="shared" si="686"/>
        <v>334.27959183673465</v>
      </c>
      <c r="V927">
        <f t="shared" si="686"/>
        <v>213.33265306122445</v>
      </c>
      <c r="W927">
        <f t="shared" si="686"/>
        <v>173.20408163265304</v>
      </c>
      <c r="Y927" s="17">
        <f t="shared" si="660"/>
        <v>8588.4660554846942</v>
      </c>
      <c r="Z927">
        <f t="shared" si="661"/>
        <v>1192.5260204227843</v>
      </c>
    </row>
    <row r="928" spans="1:26" x14ac:dyDescent="0.25">
      <c r="A928" t="s">
        <v>69</v>
      </c>
      <c r="D928">
        <f t="shared" ref="D928:W928" si="687">D172*D208</f>
        <v>571.10204081632651</v>
      </c>
      <c r="E928">
        <f t="shared" si="687"/>
        <v>539.0632653061225</v>
      </c>
      <c r="F928">
        <f t="shared" si="687"/>
        <v>487.57959183673472</v>
      </c>
      <c r="G928">
        <f t="shared" si="687"/>
        <v>488.37551020408159</v>
      </c>
      <c r="H928">
        <f t="shared" si="687"/>
        <v>395.41224489795923</v>
      </c>
      <c r="I928">
        <f t="shared" si="687"/>
        <v>512.84081632653056</v>
      </c>
      <c r="J928">
        <f t="shared" si="687"/>
        <v>298.71428571428572</v>
      </c>
      <c r="K928">
        <f t="shared" si="687"/>
        <v>405.96734693877551</v>
      </c>
      <c r="L928">
        <f t="shared" si="687"/>
        <v>303.328125</v>
      </c>
      <c r="M928">
        <f t="shared" si="687"/>
        <v>384.32571428571424</v>
      </c>
      <c r="N928">
        <f t="shared" si="687"/>
        <v>342.20314285714284</v>
      </c>
      <c r="O928">
        <f t="shared" si="687"/>
        <v>382.29257142857142</v>
      </c>
      <c r="P928">
        <f t="shared" si="687"/>
        <v>246.80314285714286</v>
      </c>
      <c r="Q928">
        <f t="shared" si="687"/>
        <v>289.02857142857141</v>
      </c>
      <c r="R928">
        <f t="shared" si="687"/>
        <v>140.30099999999999</v>
      </c>
      <c r="S928">
        <f t="shared" si="687"/>
        <v>275.14285714285717</v>
      </c>
      <c r="T928">
        <f t="shared" si="687"/>
        <v>267.30612244897958</v>
      </c>
      <c r="U928">
        <f t="shared" si="687"/>
        <v>276.88775510204079</v>
      </c>
      <c r="V928">
        <f t="shared" si="687"/>
        <v>221.38163265306125</v>
      </c>
      <c r="W928">
        <f t="shared" si="687"/>
        <v>169.27755102040817</v>
      </c>
      <c r="Y928" s="17">
        <f t="shared" si="660"/>
        <v>6997.3332882653049</v>
      </c>
      <c r="Z928">
        <f t="shared" si="661"/>
        <v>1046.1821051596507</v>
      </c>
    </row>
    <row r="929" spans="1:26" x14ac:dyDescent="0.25">
      <c r="Y929" s="17"/>
    </row>
    <row r="930" spans="1:26" x14ac:dyDescent="0.25">
      <c r="A930" t="s">
        <v>70</v>
      </c>
      <c r="D930">
        <f t="shared" ref="D930:W930" si="688">D174*D210</f>
        <v>409.52653061224498</v>
      </c>
      <c r="E930">
        <f t="shared" si="688"/>
        <v>326.20408163265313</v>
      </c>
      <c r="F930">
        <f t="shared" si="688"/>
        <v>457.49387755102043</v>
      </c>
      <c r="G930">
        <f t="shared" si="688"/>
        <v>313.92040816326528</v>
      </c>
      <c r="H930">
        <f t="shared" si="688"/>
        <v>366.0204081632653</v>
      </c>
      <c r="I930">
        <f t="shared" si="688"/>
        <v>482.74285714285708</v>
      </c>
      <c r="J930">
        <f t="shared" si="688"/>
        <v>390.70204081632653</v>
      </c>
      <c r="K930">
        <f t="shared" si="688"/>
        <v>355.30612244897964</v>
      </c>
      <c r="L930">
        <f t="shared" si="688"/>
        <v>315.08749999999998</v>
      </c>
      <c r="M930">
        <f t="shared" si="688"/>
        <v>326.55428571428564</v>
      </c>
      <c r="N930">
        <f t="shared" si="688"/>
        <v>353.40612244897966</v>
      </c>
      <c r="O930">
        <f t="shared" si="688"/>
        <v>400.86734693877548</v>
      </c>
      <c r="P930">
        <f t="shared" si="688"/>
        <v>232.00816326530608</v>
      </c>
      <c r="Q930">
        <f t="shared" si="688"/>
        <v>388.20204081632659</v>
      </c>
      <c r="R930">
        <f t="shared" si="688"/>
        <v>288.51428571428573</v>
      </c>
      <c r="S930">
        <f t="shared" si="688"/>
        <v>328.0408163265306</v>
      </c>
      <c r="T930">
        <f t="shared" si="688"/>
        <v>403.79591836734699</v>
      </c>
      <c r="U930">
        <f t="shared" si="688"/>
        <v>277.42040816326528</v>
      </c>
      <c r="V930">
        <f t="shared" si="688"/>
        <v>243.51020408163268</v>
      </c>
      <c r="W930">
        <f t="shared" si="688"/>
        <v>413.98367346938772</v>
      </c>
      <c r="Y930" s="17">
        <f t="shared" si="660"/>
        <v>7073.3070918367348</v>
      </c>
      <c r="Z930">
        <f>SUMPRODUCT($D$934:$W$934,D930:W930)</f>
        <v>975.06929748215202</v>
      </c>
    </row>
    <row r="931" spans="1:26" x14ac:dyDescent="0.25">
      <c r="A931" t="s">
        <v>314</v>
      </c>
      <c r="D931">
        <f t="shared" ref="D931:W931" si="689">D175*D211</f>
        <v>784.73673469387745</v>
      </c>
      <c r="E931">
        <f t="shared" si="689"/>
        <v>724.85714285714289</v>
      </c>
      <c r="F931">
        <f t="shared" si="689"/>
        <v>510.76326530612243</v>
      </c>
      <c r="G931">
        <f t="shared" si="689"/>
        <v>432.95510204081637</v>
      </c>
      <c r="H931">
        <f t="shared" si="689"/>
        <v>534.57551020408152</v>
      </c>
      <c r="I931">
        <f t="shared" si="689"/>
        <v>499.16530612244901</v>
      </c>
      <c r="J931">
        <f t="shared" si="689"/>
        <v>407.31428571428569</v>
      </c>
      <c r="K931">
        <f t="shared" si="689"/>
        <v>412.67346938775506</v>
      </c>
      <c r="L931">
        <f t="shared" si="689"/>
        <v>515.74531250000007</v>
      </c>
      <c r="M931">
        <f t="shared" si="689"/>
        <v>647.86734693877554</v>
      </c>
      <c r="N931">
        <f t="shared" si="689"/>
        <v>497.04489795918369</v>
      </c>
      <c r="O931">
        <f t="shared" si="689"/>
        <v>454.79999999999995</v>
      </c>
      <c r="P931">
        <f t="shared" si="689"/>
        <v>951.4</v>
      </c>
      <c r="Q931">
        <f t="shared" si="689"/>
        <v>491.4</v>
      </c>
      <c r="R931">
        <f t="shared" si="689"/>
        <v>487.59999999999997</v>
      </c>
      <c r="S931">
        <f t="shared" si="689"/>
        <v>494.16</v>
      </c>
      <c r="T931">
        <f t="shared" si="689"/>
        <v>576.93673469387761</v>
      </c>
      <c r="U931">
        <f t="shared" si="689"/>
        <v>408.13061224489797</v>
      </c>
      <c r="V931">
        <f t="shared" si="689"/>
        <v>422.40000000000003</v>
      </c>
      <c r="W931">
        <f t="shared" si="689"/>
        <v>365.75510204081633</v>
      </c>
      <c r="Y931" s="17">
        <f t="shared" si="660"/>
        <v>10620.28082270408</v>
      </c>
      <c r="Z931">
        <f>SUMPRODUCT($D$934:$W$934,D931:W931)</f>
        <v>1533.5047169658633</v>
      </c>
    </row>
    <row r="932" spans="1:26" x14ac:dyDescent="0.25">
      <c r="A932" t="s">
        <v>315</v>
      </c>
      <c r="D932">
        <f t="shared" ref="D932:W932" si="690">D176*D212</f>
        <v>656.58367346938769</v>
      </c>
      <c r="E932">
        <f t="shared" si="690"/>
        <v>603.20204081632664</v>
      </c>
      <c r="F932">
        <f t="shared" si="690"/>
        <v>1031.5224489795917</v>
      </c>
      <c r="G932">
        <f t="shared" si="690"/>
        <v>518.4</v>
      </c>
      <c r="H932">
        <f t="shared" si="690"/>
        <v>568.88775510204084</v>
      </c>
      <c r="I932">
        <f t="shared" si="690"/>
        <v>492.8244897959184</v>
      </c>
      <c r="J932">
        <f t="shared" si="690"/>
        <v>741.35714285714289</v>
      </c>
      <c r="K932">
        <f t="shared" si="690"/>
        <v>473.92040816326534</v>
      </c>
      <c r="L932">
        <f t="shared" si="690"/>
        <v>241.41249999999999</v>
      </c>
      <c r="M932">
        <f t="shared" si="690"/>
        <v>370.18000000000006</v>
      </c>
      <c r="N932">
        <f t="shared" si="690"/>
        <v>402.32</v>
      </c>
      <c r="O932">
        <f t="shared" si="690"/>
        <v>358.34</v>
      </c>
      <c r="P932">
        <f t="shared" si="690"/>
        <v>281.30195006377545</v>
      </c>
      <c r="Q932">
        <f t="shared" si="690"/>
        <v>319.40972860331624</v>
      </c>
      <c r="R932">
        <f t="shared" si="690"/>
        <v>307.50898086734696</v>
      </c>
      <c r="S932">
        <f t="shared" si="690"/>
        <v>266.25305500637762</v>
      </c>
      <c r="T932">
        <f t="shared" si="690"/>
        <v>476.6571428571429</v>
      </c>
      <c r="U932">
        <f t="shared" si="690"/>
        <v>567.45306122448983</v>
      </c>
      <c r="V932">
        <f t="shared" si="690"/>
        <v>409.1877551020408</v>
      </c>
      <c r="W932">
        <f t="shared" si="690"/>
        <v>508.32653061224499</v>
      </c>
      <c r="Y932" s="17">
        <f t="shared" si="660"/>
        <v>9595.0486635204106</v>
      </c>
      <c r="Z932">
        <f>SUMPRODUCT($D$934:$W$934,D932:W932)</f>
        <v>1199.9423338857366</v>
      </c>
    </row>
    <row r="933" spans="1:26" x14ac:dyDescent="0.25">
      <c r="A933" t="s">
        <v>677</v>
      </c>
      <c r="D933">
        <f t="shared" ref="D933:W933" si="691">D177*D213</f>
        <v>592.16326530612253</v>
      </c>
      <c r="E933">
        <f t="shared" si="691"/>
        <v>503.71428571428578</v>
      </c>
      <c r="F933">
        <f t="shared" si="691"/>
        <v>496.26326530612249</v>
      </c>
      <c r="G933">
        <f t="shared" si="691"/>
        <v>500.63265306122457</v>
      </c>
      <c r="H933">
        <f t="shared" si="691"/>
        <v>369.47142857142853</v>
      </c>
      <c r="I933">
        <f t="shared" si="691"/>
        <v>344.12857142857143</v>
      </c>
      <c r="J933">
        <f t="shared" si="691"/>
        <v>309.92448979591842</v>
      </c>
      <c r="K933">
        <f t="shared" si="691"/>
        <v>242.55918367346936</v>
      </c>
      <c r="L933">
        <f t="shared" si="691"/>
        <v>216.11250000000001</v>
      </c>
      <c r="M933">
        <f t="shared" si="691"/>
        <v>392.9081632653062</v>
      </c>
      <c r="N933">
        <f t="shared" si="691"/>
        <v>416.81632653061223</v>
      </c>
      <c r="O933">
        <f t="shared" si="691"/>
        <v>130.5061224489796</v>
      </c>
      <c r="P933">
        <f t="shared" si="691"/>
        <v>278.88979591836738</v>
      </c>
      <c r="Q933">
        <f t="shared" si="691"/>
        <v>445.86938775510208</v>
      </c>
      <c r="R933">
        <f t="shared" si="691"/>
        <v>214.43265306122447</v>
      </c>
      <c r="S933">
        <f t="shared" si="691"/>
        <v>285.60859268707492</v>
      </c>
      <c r="T933">
        <f t="shared" si="691"/>
        <v>335.1471354359926</v>
      </c>
      <c r="U933">
        <f t="shared" si="691"/>
        <v>302.80404883381919</v>
      </c>
      <c r="V933">
        <f t="shared" si="691"/>
        <v>310.89737198515763</v>
      </c>
      <c r="W933">
        <f t="shared" si="691"/>
        <v>326.0732477471509</v>
      </c>
      <c r="Y933" s="17">
        <f t="shared" ref="Y933" si="692">SUM(D933:W933)</f>
        <v>7014.9224885259309</v>
      </c>
      <c r="Z933">
        <f>SUMPRODUCT($D$934:$W$934,D933:W933)</f>
        <v>925.97018799840032</v>
      </c>
    </row>
    <row r="934" spans="1:26" x14ac:dyDescent="0.25">
      <c r="A934" s="2" t="s">
        <v>71</v>
      </c>
      <c r="D934" s="3">
        <f>CORREL($B$2:$B$28,D902:D928)</f>
        <v>0.11090049342736305</v>
      </c>
      <c r="E934" s="3">
        <f t="shared" ref="E934:W934" si="693">CORREL($B$2:$B$28,E902:E928)</f>
        <v>0.28047037843476197</v>
      </c>
      <c r="F934" s="3">
        <f t="shared" si="693"/>
        <v>0.32136355510702358</v>
      </c>
      <c r="G934" s="3">
        <f t="shared" si="693"/>
        <v>-0.19767716220546339</v>
      </c>
      <c r="H934" s="3">
        <f t="shared" si="693"/>
        <v>0.11509106535220232</v>
      </c>
      <c r="I934" s="3">
        <f t="shared" si="693"/>
        <v>0.19437140869522276</v>
      </c>
      <c r="J934" s="3">
        <f t="shared" si="693"/>
        <v>-0.26377637954871519</v>
      </c>
      <c r="K934" s="3">
        <f t="shared" si="693"/>
        <v>0.2399095583226333</v>
      </c>
      <c r="L934" s="3">
        <f t="shared" si="693"/>
        <v>0.1702921207943274</v>
      </c>
      <c r="M934" s="3">
        <f t="shared" si="693"/>
        <v>0.32053421857364078</v>
      </c>
      <c r="N934" s="3">
        <f t="shared" si="693"/>
        <v>0.24913952393773817</v>
      </c>
      <c r="O934" s="3">
        <f t="shared" si="693"/>
        <v>0.41448367258519175</v>
      </c>
      <c r="P934" s="3">
        <f t="shared" si="693"/>
        <v>9.1579796805639477E-2</v>
      </c>
      <c r="Q934" s="3">
        <f t="shared" si="693"/>
        <v>0.36266688003478087</v>
      </c>
      <c r="R934" s="3">
        <f t="shared" si="693"/>
        <v>0.18544068408673831</v>
      </c>
      <c r="S934" s="3">
        <f t="shared" si="693"/>
        <v>-6.913567434742087E-4</v>
      </c>
      <c r="T934" s="3">
        <f t="shared" si="693"/>
        <v>4.7676364772061018E-2</v>
      </c>
      <c r="U934" s="3">
        <f t="shared" si="693"/>
        <v>0.11650626521276675</v>
      </c>
      <c r="V934" s="3">
        <f t="shared" si="693"/>
        <v>7.4244759998294815E-2</v>
      </c>
      <c r="W934" s="3">
        <f t="shared" si="693"/>
        <v>-0.15082094953407049</v>
      </c>
    </row>
    <row r="937" spans="1:26" x14ac:dyDescent="0.25">
      <c r="D937" t="s">
        <v>290</v>
      </c>
      <c r="E937" t="s">
        <v>291</v>
      </c>
      <c r="F937" t="s">
        <v>292</v>
      </c>
      <c r="G937" t="s">
        <v>293</v>
      </c>
      <c r="H937" t="s">
        <v>294</v>
      </c>
      <c r="I937" t="s">
        <v>295</v>
      </c>
      <c r="J937" t="s">
        <v>296</v>
      </c>
      <c r="K937" t="s">
        <v>297</v>
      </c>
      <c r="L937" t="s">
        <v>366</v>
      </c>
      <c r="M937" t="s">
        <v>446</v>
      </c>
      <c r="N937" t="s">
        <v>447</v>
      </c>
      <c r="O937" t="s">
        <v>448</v>
      </c>
      <c r="P937" t="s">
        <v>557</v>
      </c>
      <c r="Q937" t="s">
        <v>558</v>
      </c>
      <c r="R937" t="s">
        <v>559</v>
      </c>
      <c r="S937" t="s">
        <v>560</v>
      </c>
      <c r="T937" t="s">
        <v>669</v>
      </c>
      <c r="U937" t="s">
        <v>670</v>
      </c>
      <c r="V937" t="s">
        <v>671</v>
      </c>
      <c r="W937" t="s">
        <v>672</v>
      </c>
      <c r="Y937" t="s">
        <v>298</v>
      </c>
      <c r="Z937" t="s">
        <v>299</v>
      </c>
    </row>
    <row r="938" spans="1:26" x14ac:dyDescent="0.25">
      <c r="A938" t="s">
        <v>43</v>
      </c>
      <c r="D938">
        <f t="shared" ref="D938:W938" si="694">D146*D218</f>
        <v>244.56571428571431</v>
      </c>
      <c r="E938">
        <f t="shared" si="694"/>
        <v>295.80204081632655</v>
      </c>
      <c r="F938">
        <f t="shared" si="694"/>
        <v>260.35714285714283</v>
      </c>
      <c r="G938">
        <f t="shared" si="694"/>
        <v>345.91836734693874</v>
      </c>
      <c r="H938">
        <f t="shared" si="694"/>
        <v>294.86938775510208</v>
      </c>
      <c r="I938">
        <f t="shared" si="694"/>
        <v>260.06938775510207</v>
      </c>
      <c r="J938">
        <f t="shared" si="694"/>
        <v>442.97142857142853</v>
      </c>
      <c r="K938">
        <f t="shared" si="694"/>
        <v>333.00408163265308</v>
      </c>
      <c r="L938">
        <f t="shared" si="694"/>
        <v>325.62343750000002</v>
      </c>
      <c r="M938">
        <f t="shared" si="694"/>
        <v>396.34285714285716</v>
      </c>
      <c r="N938">
        <f t="shared" si="694"/>
        <v>194.88979591836738</v>
      </c>
      <c r="O938">
        <f t="shared" si="694"/>
        <v>267.71632653061226</v>
      </c>
      <c r="P938">
        <f t="shared" si="694"/>
        <v>268.71428571428572</v>
      </c>
      <c r="Q938">
        <f t="shared" si="694"/>
        <v>271.2918367346939</v>
      </c>
      <c r="R938">
        <f t="shared" si="694"/>
        <v>338.6122448979591</v>
      </c>
      <c r="S938">
        <f t="shared" si="694"/>
        <v>199.09183673469389</v>
      </c>
      <c r="T938">
        <f t="shared" si="694"/>
        <v>251.90816326530611</v>
      </c>
      <c r="U938">
        <f t="shared" si="694"/>
        <v>164.82653061224491</v>
      </c>
      <c r="V938">
        <f t="shared" si="694"/>
        <v>223.87551020408162</v>
      </c>
      <c r="W938">
        <f t="shared" si="694"/>
        <v>140.32857142857142</v>
      </c>
      <c r="Y938" s="17">
        <f t="shared" ref="Y938:Y968" si="695">SUM(D938:W938)</f>
        <v>5520.7789477040815</v>
      </c>
      <c r="Z938">
        <f t="shared" ref="Z938:Z964" si="696">SUMPRODUCT($D$970:$W$970,D938:W938)</f>
        <v>1337.3082371918154</v>
      </c>
    </row>
    <row r="939" spans="1:26" x14ac:dyDescent="0.25">
      <c r="A939" t="s">
        <v>44</v>
      </c>
      <c r="D939">
        <f t="shared" ref="D939:W939" si="697">D147*D219</f>
        <v>209.62</v>
      </c>
      <c r="E939">
        <f t="shared" si="697"/>
        <v>239.03999999999996</v>
      </c>
      <c r="F939">
        <f t="shared" si="697"/>
        <v>262.14</v>
      </c>
      <c r="G939">
        <f t="shared" si="697"/>
        <v>240.24</v>
      </c>
      <c r="H939">
        <f t="shared" si="697"/>
        <v>290.41000000000003</v>
      </c>
      <c r="I939">
        <f t="shared" si="697"/>
        <v>238.08000000000004</v>
      </c>
      <c r="J939">
        <f t="shared" si="697"/>
        <v>646.14</v>
      </c>
      <c r="K939">
        <f t="shared" si="697"/>
        <v>260.95</v>
      </c>
      <c r="L939">
        <f t="shared" si="697"/>
        <v>275.52</v>
      </c>
      <c r="M939">
        <f t="shared" si="697"/>
        <v>347.82</v>
      </c>
      <c r="N939">
        <f t="shared" si="697"/>
        <v>290.28999999999996</v>
      </c>
      <c r="O939">
        <f t="shared" si="697"/>
        <v>330.27000000000004</v>
      </c>
      <c r="P939">
        <f t="shared" si="697"/>
        <v>307.19939947521863</v>
      </c>
      <c r="Q939">
        <f t="shared" si="697"/>
        <v>263.10668221574343</v>
      </c>
      <c r="R939">
        <f t="shared" si="697"/>
        <v>277.69599403304176</v>
      </c>
      <c r="S939">
        <f t="shared" si="697"/>
        <v>285.51944217687083</v>
      </c>
      <c r="T939">
        <f t="shared" si="697"/>
        <v>222.3168537414966</v>
      </c>
      <c r="U939">
        <f t="shared" si="697"/>
        <v>245.24580498866212</v>
      </c>
      <c r="V939">
        <f t="shared" si="697"/>
        <v>186.70578231292515</v>
      </c>
      <c r="W939">
        <f t="shared" si="697"/>
        <v>237.55562074829928</v>
      </c>
      <c r="Y939" s="17">
        <f t="shared" si="695"/>
        <v>5655.8655796922585</v>
      </c>
      <c r="Z939">
        <f t="shared" si="696"/>
        <v>1310.9998975330823</v>
      </c>
    </row>
    <row r="940" spans="1:26" x14ac:dyDescent="0.25">
      <c r="A940" t="s">
        <v>45</v>
      </c>
      <c r="D940">
        <f t="shared" ref="D940:W940" si="698">D148*D220</f>
        <v>193.07755102040815</v>
      </c>
      <c r="E940">
        <f t="shared" si="698"/>
        <v>164.91428571428577</v>
      </c>
      <c r="F940">
        <f t="shared" si="698"/>
        <v>213.69183673469388</v>
      </c>
      <c r="G940">
        <f t="shared" si="698"/>
        <v>263.32653061224494</v>
      </c>
      <c r="H940">
        <f t="shared" si="698"/>
        <v>267.23265306122454</v>
      </c>
      <c r="I940">
        <f t="shared" si="698"/>
        <v>281.0204081632653</v>
      </c>
      <c r="J940">
        <f t="shared" si="698"/>
        <v>849.21020408163258</v>
      </c>
      <c r="K940">
        <f t="shared" si="698"/>
        <v>205.70000000000002</v>
      </c>
      <c r="L940">
        <f t="shared" si="698"/>
        <v>327.03125</v>
      </c>
      <c r="M940">
        <f t="shared" si="698"/>
        <v>359.18367346938783</v>
      </c>
      <c r="N940">
        <f t="shared" si="698"/>
        <v>447.96734693877539</v>
      </c>
      <c r="O940">
        <f t="shared" si="698"/>
        <v>358.03265306122449</v>
      </c>
      <c r="P940">
        <f t="shared" si="698"/>
        <v>182.85714285714286</v>
      </c>
      <c r="Q940">
        <f t="shared" si="698"/>
        <v>203.80408163265307</v>
      </c>
      <c r="R940">
        <f t="shared" si="698"/>
        <v>354.48163265306124</v>
      </c>
      <c r="S940">
        <f t="shared" si="698"/>
        <v>268.31020408163266</v>
      </c>
      <c r="T940">
        <f t="shared" si="698"/>
        <v>331.23673469387757</v>
      </c>
      <c r="U940">
        <f t="shared" si="698"/>
        <v>385.16326530612241</v>
      </c>
      <c r="V940">
        <f t="shared" si="698"/>
        <v>379.83673469387753</v>
      </c>
      <c r="W940">
        <f t="shared" si="698"/>
        <v>356.08571428571423</v>
      </c>
      <c r="Y940" s="17">
        <f t="shared" si="695"/>
        <v>6392.1639030612241</v>
      </c>
      <c r="Z940">
        <f t="shared" si="696"/>
        <v>1348.2641061005613</v>
      </c>
    </row>
    <row r="941" spans="1:26" x14ac:dyDescent="0.25">
      <c r="A941" t="s">
        <v>46</v>
      </c>
      <c r="D941">
        <f t="shared" ref="D941:W941" si="699">D149*D221</f>
        <v>200.23469387755102</v>
      </c>
      <c r="E941">
        <f t="shared" si="699"/>
        <v>179.35102040816329</v>
      </c>
      <c r="F941">
        <f t="shared" si="699"/>
        <v>144.57142857142856</v>
      </c>
      <c r="G941">
        <f t="shared" si="699"/>
        <v>232.71428571428572</v>
      </c>
      <c r="H941">
        <f t="shared" si="699"/>
        <v>219.46938775510202</v>
      </c>
      <c r="I941">
        <f t="shared" si="699"/>
        <v>214.46938775510205</v>
      </c>
      <c r="J941">
        <f t="shared" si="699"/>
        <v>324.80612244897964</v>
      </c>
      <c r="K941">
        <f t="shared" si="699"/>
        <v>327.11020408163267</v>
      </c>
      <c r="L941">
        <f t="shared" si="699"/>
        <v>361.79062500000003</v>
      </c>
      <c r="M941">
        <f t="shared" si="699"/>
        <v>337.4693877551021</v>
      </c>
      <c r="N941">
        <f t="shared" si="699"/>
        <v>164.31428571428572</v>
      </c>
      <c r="O941">
        <f t="shared" si="699"/>
        <v>177.44897959183672</v>
      </c>
      <c r="P941">
        <f t="shared" si="699"/>
        <v>139.5</v>
      </c>
      <c r="Q941">
        <f t="shared" si="699"/>
        <v>225.20204081632656</v>
      </c>
      <c r="R941">
        <f t="shared" si="699"/>
        <v>306.11020408163267</v>
      </c>
      <c r="S941">
        <f t="shared" si="699"/>
        <v>401.08775510204077</v>
      </c>
      <c r="T941">
        <f t="shared" si="699"/>
        <v>152.84897959183672</v>
      </c>
      <c r="U941">
        <f t="shared" si="699"/>
        <v>147.08571428571429</v>
      </c>
      <c r="V941">
        <f t="shared" si="699"/>
        <v>163.11224489795919</v>
      </c>
      <c r="W941">
        <f t="shared" si="699"/>
        <v>502.6571428571429</v>
      </c>
      <c r="Y941" s="17">
        <f t="shared" si="695"/>
        <v>4921.3538903061226</v>
      </c>
      <c r="Z941">
        <f t="shared" si="696"/>
        <v>1030.7815388435727</v>
      </c>
    </row>
    <row r="942" spans="1:26" x14ac:dyDescent="0.25">
      <c r="A942" t="s">
        <v>47</v>
      </c>
      <c r="D942">
        <f t="shared" ref="D942:W942" si="700">D150*D222</f>
        <v>313.19387755102036</v>
      </c>
      <c r="E942">
        <f t="shared" si="700"/>
        <v>262.39795918367344</v>
      </c>
      <c r="F942">
        <f t="shared" si="700"/>
        <v>264.0938775510204</v>
      </c>
      <c r="G942">
        <f t="shared" si="700"/>
        <v>287.04081632653066</v>
      </c>
      <c r="H942">
        <f t="shared" si="700"/>
        <v>311.42857142857144</v>
      </c>
      <c r="I942">
        <f t="shared" si="700"/>
        <v>210.78163265306122</v>
      </c>
      <c r="J942">
        <f t="shared" si="700"/>
        <v>294.79591836734687</v>
      </c>
      <c r="K942">
        <f t="shared" si="700"/>
        <v>317.77346938775509</v>
      </c>
      <c r="L942">
        <f t="shared" si="700"/>
        <v>270.8</v>
      </c>
      <c r="M942">
        <f t="shared" si="700"/>
        <v>352.43265306122453</v>
      </c>
      <c r="N942">
        <f t="shared" si="700"/>
        <v>303.79999999999995</v>
      </c>
      <c r="O942">
        <f t="shared" si="700"/>
        <v>200.31428571428572</v>
      </c>
      <c r="P942">
        <f t="shared" si="700"/>
        <v>205.34693877551024</v>
      </c>
      <c r="Q942">
        <f t="shared" si="700"/>
        <v>153.80816326530612</v>
      </c>
      <c r="R942">
        <f t="shared" si="700"/>
        <v>320.57142857142856</v>
      </c>
      <c r="S942">
        <f t="shared" si="700"/>
        <v>354.28571428571433</v>
      </c>
      <c r="T942">
        <f t="shared" si="700"/>
        <v>312.61224489795921</v>
      </c>
      <c r="U942">
        <f t="shared" si="700"/>
        <v>287.08571428571429</v>
      </c>
      <c r="V942">
        <f t="shared" si="700"/>
        <v>98.244897959183689</v>
      </c>
      <c r="W942">
        <f t="shared" si="700"/>
        <v>155.87755102040816</v>
      </c>
      <c r="Y942" s="17">
        <f t="shared" si="695"/>
        <v>5276.6857142857134</v>
      </c>
      <c r="Z942">
        <f t="shared" si="696"/>
        <v>1208.4297984982611</v>
      </c>
    </row>
    <row r="943" spans="1:26" x14ac:dyDescent="0.25">
      <c r="A943" t="s">
        <v>48</v>
      </c>
      <c r="D943">
        <f t="shared" ref="D943:W943" si="701">D151*D223</f>
        <v>388.11428571428576</v>
      </c>
      <c r="E943">
        <f t="shared" si="701"/>
        <v>224.77959183673468</v>
      </c>
      <c r="F943">
        <f t="shared" si="701"/>
        <v>279.60000000000002</v>
      </c>
      <c r="G943">
        <f t="shared" si="701"/>
        <v>723.48979591836735</v>
      </c>
      <c r="H943">
        <f t="shared" si="701"/>
        <v>552</v>
      </c>
      <c r="I943">
        <f t="shared" si="701"/>
        <v>657.64897959183668</v>
      </c>
      <c r="J943">
        <f t="shared" si="701"/>
        <v>427.42857142857139</v>
      </c>
      <c r="K943">
        <f t="shared" si="701"/>
        <v>396.82857142857137</v>
      </c>
      <c r="L943">
        <f t="shared" si="701"/>
        <v>371.0546875</v>
      </c>
      <c r="M943">
        <f t="shared" si="701"/>
        <v>193.14285714285714</v>
      </c>
      <c r="N943">
        <f t="shared" si="701"/>
        <v>349.15102040816328</v>
      </c>
      <c r="O943">
        <f t="shared" si="701"/>
        <v>183.5938775510204</v>
      </c>
      <c r="P943">
        <f t="shared" si="701"/>
        <v>294.03265306122449</v>
      </c>
      <c r="Q943">
        <f t="shared" si="701"/>
        <v>318.73061224489794</v>
      </c>
      <c r="R943">
        <f t="shared" si="701"/>
        <v>325.95918367346934</v>
      </c>
      <c r="S943">
        <f t="shared" si="701"/>
        <v>152.22857142857143</v>
      </c>
      <c r="T943">
        <f t="shared" si="701"/>
        <v>328.15714285714284</v>
      </c>
      <c r="U943">
        <f t="shared" si="701"/>
        <v>266.38775510204084</v>
      </c>
      <c r="V943">
        <f t="shared" si="701"/>
        <v>162.68571428571428</v>
      </c>
      <c r="W943">
        <f t="shared" si="701"/>
        <v>159.36734693877551</v>
      </c>
      <c r="Y943" s="17">
        <f t="shared" si="695"/>
        <v>6754.3812181122448</v>
      </c>
      <c r="Z943">
        <f t="shared" si="696"/>
        <v>1574.4141005438148</v>
      </c>
    </row>
    <row r="944" spans="1:26" x14ac:dyDescent="0.25">
      <c r="A944" t="s">
        <v>49</v>
      </c>
      <c r="D944">
        <f t="shared" ref="D944:W944" si="702">D152*D224</f>
        <v>172.8</v>
      </c>
      <c r="E944">
        <f t="shared" si="702"/>
        <v>283.67346938775512</v>
      </c>
      <c r="F944">
        <f t="shared" si="702"/>
        <v>608</v>
      </c>
      <c r="G944">
        <f t="shared" si="702"/>
        <v>433.87346938775511</v>
      </c>
      <c r="H944">
        <f t="shared" si="702"/>
        <v>237.50816326530614</v>
      </c>
      <c r="I944">
        <f t="shared" si="702"/>
        <v>241.19183673469388</v>
      </c>
      <c r="J944">
        <f t="shared" si="702"/>
        <v>269.97551020408162</v>
      </c>
      <c r="K944">
        <f t="shared" si="702"/>
        <v>406.90204081632652</v>
      </c>
      <c r="L944">
        <f t="shared" si="702"/>
        <v>217.81718750000005</v>
      </c>
      <c r="M944">
        <f t="shared" si="702"/>
        <v>179.74897959183676</v>
      </c>
      <c r="N944">
        <f t="shared" si="702"/>
        <v>241.51428571428573</v>
      </c>
      <c r="O944">
        <f t="shared" si="702"/>
        <v>166.62857142857141</v>
      </c>
      <c r="P944">
        <f t="shared" si="702"/>
        <v>316.35714285714283</v>
      </c>
      <c r="Q944">
        <f t="shared" si="702"/>
        <v>479.56326530612245</v>
      </c>
      <c r="R944">
        <f t="shared" si="702"/>
        <v>236.73469387755105</v>
      </c>
      <c r="S944">
        <f t="shared" si="702"/>
        <v>207.57346938775513</v>
      </c>
      <c r="T944">
        <f t="shared" si="702"/>
        <v>100.76204081632652</v>
      </c>
      <c r="U944">
        <f t="shared" si="702"/>
        <v>196.12653061224489</v>
      </c>
      <c r="V944">
        <f t="shared" si="702"/>
        <v>283.23469387755102</v>
      </c>
      <c r="W944">
        <f t="shared" si="702"/>
        <v>112.58857142857143</v>
      </c>
      <c r="Y944" s="17">
        <f t="shared" si="695"/>
        <v>5392.5739221938775</v>
      </c>
      <c r="Z944">
        <f t="shared" si="696"/>
        <v>1327.7840560306124</v>
      </c>
    </row>
    <row r="945" spans="1:26" x14ac:dyDescent="0.25">
      <c r="A945" t="s">
        <v>50</v>
      </c>
      <c r="D945">
        <f t="shared" ref="D945:W945" si="703">D153*D225</f>
        <v>221.07959183673466</v>
      </c>
      <c r="E945">
        <f t="shared" si="703"/>
        <v>163.10204081632654</v>
      </c>
      <c r="F945">
        <f t="shared" si="703"/>
        <v>351.34489795918375</v>
      </c>
      <c r="G945">
        <f t="shared" si="703"/>
        <v>467.73061224489805</v>
      </c>
      <c r="H945">
        <f t="shared" si="703"/>
        <v>320.39183673469381</v>
      </c>
      <c r="I945">
        <f t="shared" si="703"/>
        <v>426.85714285714289</v>
      </c>
      <c r="J945">
        <f t="shared" si="703"/>
        <v>331.42040816326534</v>
      </c>
      <c r="K945">
        <f t="shared" si="703"/>
        <v>378.07346938775504</v>
      </c>
      <c r="L945">
        <f t="shared" si="703"/>
        <v>372.69375000000002</v>
      </c>
      <c r="M945">
        <f t="shared" si="703"/>
        <v>511.83673469387753</v>
      </c>
      <c r="N945">
        <f t="shared" si="703"/>
        <v>443.78571428571433</v>
      </c>
      <c r="O945">
        <f t="shared" si="703"/>
        <v>326.0204081632653</v>
      </c>
      <c r="P945">
        <f t="shared" si="703"/>
        <v>221.03265306122449</v>
      </c>
      <c r="Q945">
        <f t="shared" si="703"/>
        <v>159.67346938775512</v>
      </c>
      <c r="R945">
        <f t="shared" si="703"/>
        <v>137.00816326530614</v>
      </c>
      <c r="S945">
        <f t="shared" si="703"/>
        <v>231.31428571428575</v>
      </c>
      <c r="T945">
        <f t="shared" si="703"/>
        <v>139.14693877551022</v>
      </c>
      <c r="U945">
        <f t="shared" si="703"/>
        <v>255.96734693877553</v>
      </c>
      <c r="V945">
        <f t="shared" si="703"/>
        <v>180.6</v>
      </c>
      <c r="W945">
        <f t="shared" si="703"/>
        <v>253.21224489795915</v>
      </c>
      <c r="Y945" s="17">
        <f t="shared" si="695"/>
        <v>5892.2917091836744</v>
      </c>
      <c r="Z945">
        <f t="shared" si="696"/>
        <v>1388.4608962060213</v>
      </c>
    </row>
    <row r="946" spans="1:26" x14ac:dyDescent="0.25">
      <c r="A946" t="s">
        <v>51</v>
      </c>
      <c r="D946">
        <f t="shared" ref="D946:W946" si="704">D154*D226</f>
        <v>371.75510204081627</v>
      </c>
      <c r="E946">
        <f t="shared" si="704"/>
        <v>350.44897959183669</v>
      </c>
      <c r="F946">
        <f t="shared" si="704"/>
        <v>603.66530612244901</v>
      </c>
      <c r="G946">
        <f t="shared" si="704"/>
        <v>990.0408163265306</v>
      </c>
      <c r="H946">
        <f t="shared" si="704"/>
        <v>164.05714285714285</v>
      </c>
      <c r="I946">
        <f t="shared" si="704"/>
        <v>371.75510204081627</v>
      </c>
      <c r="J946">
        <f t="shared" si="704"/>
        <v>241.05306122448982</v>
      </c>
      <c r="K946">
        <f t="shared" si="704"/>
        <v>280.37755102040813</v>
      </c>
      <c r="L946">
        <f t="shared" si="704"/>
        <v>289.92812500000002</v>
      </c>
      <c r="M946">
        <f t="shared" si="704"/>
        <v>468.36734693877548</v>
      </c>
      <c r="N946">
        <f t="shared" si="704"/>
        <v>623.20408163265313</v>
      </c>
      <c r="O946">
        <f t="shared" si="704"/>
        <v>281.63265306122446</v>
      </c>
      <c r="P946">
        <f t="shared" si="704"/>
        <v>620.42857142857144</v>
      </c>
      <c r="Q946">
        <f t="shared" si="704"/>
        <v>126.12244897959184</v>
      </c>
      <c r="R946">
        <f t="shared" si="704"/>
        <v>263.78775510204088</v>
      </c>
      <c r="S946">
        <f t="shared" si="704"/>
        <v>185.3387755102041</v>
      </c>
      <c r="T946">
        <f t="shared" si="704"/>
        <v>273.74693877551022</v>
      </c>
      <c r="U946">
        <f t="shared" si="704"/>
        <v>157.88367346938773</v>
      </c>
      <c r="V946">
        <f t="shared" si="704"/>
        <v>100.72653061224491</v>
      </c>
      <c r="W946">
        <f t="shared" si="704"/>
        <v>162.74285714285713</v>
      </c>
      <c r="Y946" s="17">
        <f t="shared" si="695"/>
        <v>6927.0628188775518</v>
      </c>
      <c r="Z946">
        <f t="shared" si="696"/>
        <v>1518.7743292987477</v>
      </c>
    </row>
    <row r="947" spans="1:26" x14ac:dyDescent="0.25">
      <c r="A947" t="s">
        <v>52</v>
      </c>
      <c r="D947">
        <f t="shared" ref="D947:W947" si="705">D155*D227</f>
        <v>403.04081632653066</v>
      </c>
      <c r="E947">
        <f t="shared" si="705"/>
        <v>268.81632653061229</v>
      </c>
      <c r="F947">
        <f t="shared" si="705"/>
        <v>389.68163265306123</v>
      </c>
      <c r="G947">
        <f t="shared" si="705"/>
        <v>237.11428571428573</v>
      </c>
      <c r="H947">
        <f t="shared" si="705"/>
        <v>290.23265306122454</v>
      </c>
      <c r="I947">
        <f t="shared" si="705"/>
        <v>444.08163265306121</v>
      </c>
      <c r="J947">
        <f t="shared" si="705"/>
        <v>229.47346938775507</v>
      </c>
      <c r="K947">
        <f t="shared" si="705"/>
        <v>233.87755102040822</v>
      </c>
      <c r="L947">
        <f t="shared" si="705"/>
        <v>337.16093749999999</v>
      </c>
      <c r="M947">
        <f t="shared" si="705"/>
        <v>343.82448979591845</v>
      </c>
      <c r="N947">
        <f t="shared" si="705"/>
        <v>319.11632653061224</v>
      </c>
      <c r="O947">
        <f t="shared" si="705"/>
        <v>405.61836734693873</v>
      </c>
      <c r="P947">
        <f t="shared" si="705"/>
        <v>218.5469387755102</v>
      </c>
      <c r="Q947">
        <f t="shared" si="705"/>
        <v>303.5530612244898</v>
      </c>
      <c r="R947">
        <f t="shared" si="705"/>
        <v>266.69387755102042</v>
      </c>
      <c r="S947">
        <f t="shared" si="705"/>
        <v>305.70612244897956</v>
      </c>
      <c r="T947">
        <f t="shared" si="705"/>
        <v>168.70408163265307</v>
      </c>
      <c r="U947">
        <f t="shared" si="705"/>
        <v>312.10612244897965</v>
      </c>
      <c r="V947">
        <f t="shared" si="705"/>
        <v>209.86938775510205</v>
      </c>
      <c r="W947">
        <f t="shared" si="705"/>
        <v>318.37755102040819</v>
      </c>
      <c r="Y947" s="17">
        <f t="shared" si="695"/>
        <v>6005.5956313775532</v>
      </c>
      <c r="Z947">
        <f t="shared" si="696"/>
        <v>1423.051228678077</v>
      </c>
    </row>
    <row r="948" spans="1:26" x14ac:dyDescent="0.25">
      <c r="A948" t="s">
        <v>53</v>
      </c>
      <c r="D948">
        <f t="shared" ref="D948:W948" si="706">D156*D228</f>
        <v>324.55510204081628</v>
      </c>
      <c r="E948">
        <f t="shared" si="706"/>
        <v>344.35102040816332</v>
      </c>
      <c r="F948">
        <f t="shared" si="706"/>
        <v>407.35102040816327</v>
      </c>
      <c r="G948">
        <f t="shared" si="706"/>
        <v>936.16326530612241</v>
      </c>
      <c r="H948">
        <f t="shared" si="706"/>
        <v>415.39591836734695</v>
      </c>
      <c r="I948">
        <f t="shared" si="706"/>
        <v>224.10000000000002</v>
      </c>
      <c r="J948">
        <f t="shared" si="706"/>
        <v>383.05714285714288</v>
      </c>
      <c r="K948">
        <f t="shared" si="706"/>
        <v>361.51836734693876</v>
      </c>
      <c r="L948">
        <f t="shared" si="706"/>
        <v>638.04374999999993</v>
      </c>
      <c r="M948">
        <f t="shared" si="706"/>
        <v>853.34693877551024</v>
      </c>
      <c r="N948">
        <f t="shared" si="706"/>
        <v>421.53061224489795</v>
      </c>
      <c r="O948">
        <f t="shared" si="706"/>
        <v>399.68367346938777</v>
      </c>
      <c r="P948">
        <f t="shared" si="706"/>
        <v>364.91428571428571</v>
      </c>
      <c r="Q948">
        <f t="shared" si="706"/>
        <v>204.63265306122446</v>
      </c>
      <c r="R948">
        <f t="shared" si="706"/>
        <v>215.05714285714288</v>
      </c>
      <c r="S948">
        <f t="shared" si="706"/>
        <v>267.9061224489796</v>
      </c>
      <c r="T948">
        <f t="shared" si="706"/>
        <v>351.73469387755102</v>
      </c>
      <c r="U948">
        <f t="shared" si="706"/>
        <v>250.53877551020406</v>
      </c>
      <c r="V948">
        <f t="shared" si="706"/>
        <v>185.6081632653061</v>
      </c>
      <c r="W948">
        <f t="shared" si="706"/>
        <v>219.81428571428575</v>
      </c>
      <c r="Y948" s="17">
        <f t="shared" si="695"/>
        <v>7769.3029336734689</v>
      </c>
      <c r="Z948">
        <f t="shared" si="696"/>
        <v>1756.7000213811457</v>
      </c>
    </row>
    <row r="949" spans="1:26" x14ac:dyDescent="0.25">
      <c r="A949" t="s">
        <v>54</v>
      </c>
      <c r="D949">
        <f t="shared" ref="D949:W949" si="707">D157*D229</f>
        <v>513.77551020408157</v>
      </c>
      <c r="E949">
        <f t="shared" si="707"/>
        <v>422.52244897959179</v>
      </c>
      <c r="F949">
        <f t="shared" si="707"/>
        <v>356.25306122448984</v>
      </c>
      <c r="G949">
        <f t="shared" si="707"/>
        <v>358.81632653061223</v>
      </c>
      <c r="H949">
        <f t="shared" si="707"/>
        <v>305.04489795918363</v>
      </c>
      <c r="I949">
        <f t="shared" si="707"/>
        <v>391.21224489795912</v>
      </c>
      <c r="J949">
        <f t="shared" si="707"/>
        <v>249.00000000000003</v>
      </c>
      <c r="K949">
        <f t="shared" si="707"/>
        <v>447.34693877551024</v>
      </c>
      <c r="L949">
        <f t="shared" si="707"/>
        <v>338.34375</v>
      </c>
      <c r="M949">
        <f t="shared" si="707"/>
        <v>383.50799999999998</v>
      </c>
      <c r="N949">
        <f t="shared" si="707"/>
        <v>658.46759999999995</v>
      </c>
      <c r="O949">
        <f t="shared" si="707"/>
        <v>479.51519999999999</v>
      </c>
      <c r="P949">
        <f t="shared" si="707"/>
        <v>218.4084</v>
      </c>
      <c r="Q949">
        <f t="shared" si="707"/>
        <v>348.84</v>
      </c>
      <c r="R949">
        <f t="shared" si="707"/>
        <v>153.97739999999999</v>
      </c>
      <c r="S949">
        <f t="shared" si="707"/>
        <v>276.90000000000003</v>
      </c>
      <c r="T949">
        <f t="shared" si="707"/>
        <v>132.83280000000002</v>
      </c>
      <c r="U949">
        <f t="shared" si="707"/>
        <v>211.87560000000002</v>
      </c>
      <c r="V949">
        <f t="shared" si="707"/>
        <v>181.12860000000001</v>
      </c>
      <c r="W949">
        <f t="shared" si="707"/>
        <v>328.67520000000002</v>
      </c>
      <c r="Y949" s="17">
        <f t="shared" si="695"/>
        <v>6756.4439785714285</v>
      </c>
      <c r="Z949">
        <f t="shared" si="696"/>
        <v>1684.8922572101669</v>
      </c>
    </row>
    <row r="950" spans="1:26" x14ac:dyDescent="0.25">
      <c r="A950" t="s">
        <v>55</v>
      </c>
      <c r="D950">
        <f t="shared" ref="D950:W950" si="708">D158*D230</f>
        <v>593.60629999999992</v>
      </c>
      <c r="E950">
        <f t="shared" si="708"/>
        <v>553.90750000000003</v>
      </c>
      <c r="F950">
        <f t="shared" si="708"/>
        <v>415.18959999999998</v>
      </c>
      <c r="G950">
        <f t="shared" si="708"/>
        <v>746.19799999999998</v>
      </c>
      <c r="H950">
        <f t="shared" si="708"/>
        <v>859.5132000000001</v>
      </c>
      <c r="I950">
        <f t="shared" si="708"/>
        <v>935.82719999999995</v>
      </c>
      <c r="J950">
        <f t="shared" si="708"/>
        <v>476.04479999999995</v>
      </c>
      <c r="K950">
        <f t="shared" si="708"/>
        <v>802.19400000000007</v>
      </c>
      <c r="L950">
        <f t="shared" si="708"/>
        <v>631.22799999999995</v>
      </c>
      <c r="M950">
        <f t="shared" si="708"/>
        <v>596.14285714285711</v>
      </c>
      <c r="N950">
        <f t="shared" si="708"/>
        <v>493.18367346938783</v>
      </c>
      <c r="O950">
        <f t="shared" si="708"/>
        <v>240.15306122448985</v>
      </c>
      <c r="P950">
        <f t="shared" si="708"/>
        <v>361.52653061224481</v>
      </c>
      <c r="Q950">
        <f t="shared" si="708"/>
        <v>527.14285714285711</v>
      </c>
      <c r="R950">
        <f t="shared" si="708"/>
        <v>269.28571428571433</v>
      </c>
      <c r="S950">
        <f t="shared" si="708"/>
        <v>489.67346938775512</v>
      </c>
      <c r="T950">
        <f t="shared" si="708"/>
        <v>368.4489795918368</v>
      </c>
      <c r="U950">
        <f t="shared" si="708"/>
        <v>215</v>
      </c>
      <c r="V950">
        <f t="shared" si="708"/>
        <v>276.39999999999998</v>
      </c>
      <c r="W950">
        <f t="shared" si="708"/>
        <v>296.55918367346936</v>
      </c>
      <c r="Y950" s="17">
        <f t="shared" si="695"/>
        <v>10147.224926530611</v>
      </c>
      <c r="Z950">
        <f t="shared" si="696"/>
        <v>2560.9116901963935</v>
      </c>
    </row>
    <row r="951" spans="1:26" x14ac:dyDescent="0.25">
      <c r="A951" t="s">
        <v>56</v>
      </c>
      <c r="D951">
        <f t="shared" ref="D951:W951" si="709">D159*D231</f>
        <v>776.57142857142856</v>
      </c>
      <c r="E951">
        <f t="shared" si="709"/>
        <v>420.73469387755102</v>
      </c>
      <c r="F951">
        <f t="shared" si="709"/>
        <v>576</v>
      </c>
      <c r="G951">
        <f t="shared" si="709"/>
        <v>440.78571428571428</v>
      </c>
      <c r="H951">
        <f t="shared" si="709"/>
        <v>261.13673469387754</v>
      </c>
      <c r="I951">
        <f t="shared" si="709"/>
        <v>263.73877551020405</v>
      </c>
      <c r="J951">
        <f t="shared" si="709"/>
        <v>321.730612244898</v>
      </c>
      <c r="K951">
        <f t="shared" si="709"/>
        <v>507.81428571428575</v>
      </c>
      <c r="L951">
        <f t="shared" si="709"/>
        <v>370.35</v>
      </c>
      <c r="M951">
        <f t="shared" si="709"/>
        <v>366.12244897959187</v>
      </c>
      <c r="N951">
        <f t="shared" si="709"/>
        <v>269.6142857142857</v>
      </c>
      <c r="O951">
        <f t="shared" si="709"/>
        <v>527.32653061224494</v>
      </c>
      <c r="P951">
        <f t="shared" si="709"/>
        <v>524.64285714285711</v>
      </c>
      <c r="Q951">
        <f t="shared" si="709"/>
        <v>285.8244897959184</v>
      </c>
      <c r="R951">
        <f t="shared" si="709"/>
        <v>758.83673469387747</v>
      </c>
      <c r="S951">
        <f t="shared" si="709"/>
        <v>662.89795918367338</v>
      </c>
      <c r="T951">
        <f t="shared" si="709"/>
        <v>363.92653061224485</v>
      </c>
      <c r="U951">
        <f t="shared" si="709"/>
        <v>183.54285714285717</v>
      </c>
      <c r="V951">
        <f t="shared" si="709"/>
        <v>317.25918367346941</v>
      </c>
      <c r="W951">
        <f t="shared" si="709"/>
        <v>164.53061224489798</v>
      </c>
      <c r="Y951" s="17">
        <f t="shared" si="695"/>
        <v>8363.3867346938787</v>
      </c>
      <c r="Z951">
        <f t="shared" si="696"/>
        <v>1940.1413020771081</v>
      </c>
    </row>
    <row r="952" spans="1:26" x14ac:dyDescent="0.25">
      <c r="A952" t="s">
        <v>57</v>
      </c>
      <c r="D952">
        <f t="shared" ref="D952:W952" si="710">D160*D232</f>
        <v>377.14285714285711</v>
      </c>
      <c r="E952">
        <f t="shared" si="710"/>
        <v>271.11836734693878</v>
      </c>
      <c r="F952">
        <f t="shared" si="710"/>
        <v>206.91020408163268</v>
      </c>
      <c r="G952">
        <f t="shared" si="710"/>
        <v>300.13673469387749</v>
      </c>
      <c r="H952">
        <f t="shared" si="710"/>
        <v>236.865306122449</v>
      </c>
      <c r="I952">
        <f t="shared" si="710"/>
        <v>330.44897959183675</v>
      </c>
      <c r="J952">
        <f t="shared" si="710"/>
        <v>432.14285714285711</v>
      </c>
      <c r="K952">
        <f t="shared" si="710"/>
        <v>235.60000000000002</v>
      </c>
      <c r="L952">
        <f t="shared" si="710"/>
        <v>347.11562500000002</v>
      </c>
      <c r="M952">
        <f t="shared" si="710"/>
        <v>283.77346938775503</v>
      </c>
      <c r="N952">
        <f t="shared" si="710"/>
        <v>372.70612244897956</v>
      </c>
      <c r="O952">
        <f t="shared" si="710"/>
        <v>291.9591836734694</v>
      </c>
      <c r="P952">
        <f t="shared" si="710"/>
        <v>421.14285714285711</v>
      </c>
      <c r="Q952">
        <f t="shared" si="710"/>
        <v>371.98367346938778</v>
      </c>
      <c r="R952">
        <f t="shared" si="710"/>
        <v>204.68979591836737</v>
      </c>
      <c r="S952">
        <f t="shared" si="710"/>
        <v>94.302040816326524</v>
      </c>
      <c r="T952">
        <f t="shared" si="710"/>
        <v>267.04285714285714</v>
      </c>
      <c r="U952">
        <f t="shared" si="710"/>
        <v>156.19999999999999</v>
      </c>
      <c r="V952">
        <f t="shared" si="710"/>
        <v>146.77551020408166</v>
      </c>
      <c r="W952">
        <f t="shared" si="710"/>
        <v>282.23265306122443</v>
      </c>
      <c r="Y952" s="17">
        <f t="shared" si="695"/>
        <v>5630.2890943877555</v>
      </c>
      <c r="Z952">
        <f t="shared" si="696"/>
        <v>1323.3641205504957</v>
      </c>
    </row>
    <row r="953" spans="1:26" x14ac:dyDescent="0.25">
      <c r="A953" t="s">
        <v>58</v>
      </c>
      <c r="D953">
        <f t="shared" ref="D953:W953" si="711">D161*D233</f>
        <v>341.2897959183673</v>
      </c>
      <c r="E953">
        <f t="shared" si="711"/>
        <v>326.91836734693879</v>
      </c>
      <c r="F953">
        <f t="shared" si="711"/>
        <v>390.51020408163265</v>
      </c>
      <c r="G953">
        <f t="shared" si="711"/>
        <v>286.39999999999998</v>
      </c>
      <c r="H953">
        <f t="shared" si="711"/>
        <v>340.89795918367355</v>
      </c>
      <c r="I953">
        <f t="shared" si="711"/>
        <v>223.34693877551018</v>
      </c>
      <c r="J953">
        <f t="shared" si="711"/>
        <v>321.02857142857135</v>
      </c>
      <c r="K953">
        <f t="shared" si="711"/>
        <v>430.08163265306121</v>
      </c>
      <c r="L953">
        <f t="shared" si="711"/>
        <v>330.08437499999997</v>
      </c>
      <c r="M953">
        <f t="shared" si="711"/>
        <v>0</v>
      </c>
      <c r="N953">
        <f t="shared" si="711"/>
        <v>314.5530612244898</v>
      </c>
      <c r="O953">
        <f t="shared" si="711"/>
        <v>211.07142857142858</v>
      </c>
      <c r="P953">
        <f t="shared" si="711"/>
        <v>345.82653061224482</v>
      </c>
      <c r="Q953">
        <f t="shared" si="711"/>
        <v>156.91836734693879</v>
      </c>
      <c r="R953">
        <f t="shared" si="711"/>
        <v>241.11428571428567</v>
      </c>
      <c r="S953">
        <f t="shared" si="711"/>
        <v>146.87142857142857</v>
      </c>
      <c r="T953">
        <f t="shared" si="711"/>
        <v>212.76734693877549</v>
      </c>
      <c r="U953">
        <f t="shared" si="711"/>
        <v>340.11428571428576</v>
      </c>
      <c r="V953">
        <f t="shared" si="711"/>
        <v>222.64897959183671</v>
      </c>
      <c r="W953">
        <f t="shared" si="711"/>
        <v>153.46734693877551</v>
      </c>
      <c r="Y953" s="17">
        <f t="shared" si="695"/>
        <v>5335.9109056122443</v>
      </c>
      <c r="Z953">
        <f t="shared" si="696"/>
        <v>1257.8829300195302</v>
      </c>
    </row>
    <row r="954" spans="1:26" x14ac:dyDescent="0.25">
      <c r="A954" t="s">
        <v>59</v>
      </c>
      <c r="D954">
        <f t="shared" ref="D954:W954" si="712">D162*D234</f>
        <v>230.81632653061226</v>
      </c>
      <c r="E954">
        <f t="shared" si="712"/>
        <v>333.0612244897959</v>
      </c>
      <c r="F954">
        <f t="shared" si="712"/>
        <v>245.2714285714286</v>
      </c>
      <c r="G954">
        <f t="shared" si="712"/>
        <v>231.25510204081635</v>
      </c>
      <c r="H954">
        <f t="shared" si="712"/>
        <v>296.5428571428572</v>
      </c>
      <c r="I954">
        <f t="shared" si="712"/>
        <v>552.30612244897964</v>
      </c>
      <c r="J954">
        <f t="shared" si="712"/>
        <v>285.04693877551023</v>
      </c>
      <c r="K954">
        <f t="shared" si="712"/>
        <v>353.30408163265309</v>
      </c>
      <c r="L954">
        <f t="shared" si="712"/>
        <v>299.44897959183669</v>
      </c>
      <c r="M954">
        <f t="shared" si="712"/>
        <v>277.82857142857148</v>
      </c>
      <c r="N954">
        <f t="shared" si="712"/>
        <v>323.85306122448975</v>
      </c>
      <c r="O954">
        <f t="shared" si="712"/>
        <v>347.28979591836736</v>
      </c>
      <c r="P954">
        <f t="shared" si="712"/>
        <v>426.33673469387759</v>
      </c>
      <c r="Q954">
        <f t="shared" si="712"/>
        <v>244.82857142857145</v>
      </c>
      <c r="R954">
        <f t="shared" si="712"/>
        <v>347.21224489795912</v>
      </c>
      <c r="S954">
        <f t="shared" si="712"/>
        <v>696.26530612244903</v>
      </c>
      <c r="T954">
        <f t="shared" si="712"/>
        <v>667.34693877551013</v>
      </c>
      <c r="U954">
        <f t="shared" si="712"/>
        <v>248.11020408163262</v>
      </c>
      <c r="V954">
        <f t="shared" si="712"/>
        <v>207.24285714285713</v>
      </c>
      <c r="W954">
        <f t="shared" si="712"/>
        <v>244.54897959183666</v>
      </c>
      <c r="Y954" s="17">
        <f t="shared" si="695"/>
        <v>6857.9163265306115</v>
      </c>
      <c r="Z954">
        <f t="shared" si="696"/>
        <v>1480.1069463096792</v>
      </c>
    </row>
    <row r="955" spans="1:26" x14ac:dyDescent="0.25">
      <c r="A955" t="s">
        <v>60</v>
      </c>
      <c r="D955">
        <f t="shared" ref="D955:W955" si="713">D163*D235</f>
        <v>181.91020408163268</v>
      </c>
      <c r="E955">
        <f t="shared" si="713"/>
        <v>364.99183673469389</v>
      </c>
      <c r="F955">
        <f t="shared" si="713"/>
        <v>264.73469387755102</v>
      </c>
      <c r="G955">
        <f t="shared" si="713"/>
        <v>187.05306122448982</v>
      </c>
      <c r="H955">
        <f t="shared" si="713"/>
        <v>150.29999999999998</v>
      </c>
      <c r="I955">
        <f t="shared" si="713"/>
        <v>301.42040816326534</v>
      </c>
      <c r="J955">
        <f t="shared" si="713"/>
        <v>318.63061224489792</v>
      </c>
      <c r="K955">
        <f t="shared" si="713"/>
        <v>430.1</v>
      </c>
      <c r="L955">
        <f t="shared" si="713"/>
        <v>331.48124999999999</v>
      </c>
      <c r="M955">
        <f t="shared" si="713"/>
        <v>395.08163265306126</v>
      </c>
      <c r="N955">
        <f t="shared" si="713"/>
        <v>339.28571428571428</v>
      </c>
      <c r="O955">
        <f t="shared" si="713"/>
        <v>247.34693877551021</v>
      </c>
      <c r="P955">
        <f t="shared" si="713"/>
        <v>267.21428571428567</v>
      </c>
      <c r="Q955">
        <f t="shared" si="713"/>
        <v>456.58163265306121</v>
      </c>
      <c r="R955">
        <f t="shared" si="713"/>
        <v>352.43265306122453</v>
      </c>
      <c r="S955">
        <f t="shared" si="713"/>
        <v>285.34897959183667</v>
      </c>
      <c r="T955">
        <f t="shared" si="713"/>
        <v>393.76326530612243</v>
      </c>
      <c r="U955">
        <f t="shared" si="713"/>
        <v>276.24489795918367</v>
      </c>
      <c r="V955">
        <f t="shared" si="713"/>
        <v>62.177142857142869</v>
      </c>
      <c r="W955">
        <f t="shared" si="713"/>
        <v>177.58367346938775</v>
      </c>
      <c r="Y955" s="17">
        <f t="shared" si="695"/>
        <v>5783.6828826530609</v>
      </c>
      <c r="Z955">
        <f t="shared" si="696"/>
        <v>1441.2525302846325</v>
      </c>
    </row>
    <row r="956" spans="1:26" x14ac:dyDescent="0.25">
      <c r="A956" t="s">
        <v>61</v>
      </c>
      <c r="D956">
        <f t="shared" ref="D956:W956" si="714">D164*D236</f>
        <v>598.85714285714289</v>
      </c>
      <c r="E956">
        <f t="shared" si="714"/>
        <v>411.42857142857144</v>
      </c>
      <c r="F956">
        <f t="shared" si="714"/>
        <v>319.71428571428572</v>
      </c>
      <c r="G956">
        <f t="shared" si="714"/>
        <v>585.38775510204084</v>
      </c>
      <c r="H956">
        <f t="shared" si="714"/>
        <v>379.93265306122447</v>
      </c>
      <c r="I956">
        <f t="shared" si="714"/>
        <v>338.54693877551023</v>
      </c>
      <c r="J956">
        <f t="shared" si="714"/>
        <v>432.9795918367347</v>
      </c>
      <c r="K956">
        <f t="shared" si="714"/>
        <v>475.80612244897958</v>
      </c>
      <c r="L956">
        <f t="shared" si="714"/>
        <v>346.19062499999995</v>
      </c>
      <c r="M956">
        <f t="shared" si="714"/>
        <v>589.67999999999984</v>
      </c>
      <c r="N956">
        <f t="shared" si="714"/>
        <v>631.24285714285713</v>
      </c>
      <c r="O956">
        <f t="shared" si="714"/>
        <v>689.91</v>
      </c>
      <c r="P956">
        <f t="shared" si="714"/>
        <v>616.07346938775515</v>
      </c>
      <c r="Q956">
        <f t="shared" si="714"/>
        <v>650.8236734693877</v>
      </c>
      <c r="R956">
        <f t="shared" si="714"/>
        <v>668.88979591836744</v>
      </c>
      <c r="S956">
        <f t="shared" si="714"/>
        <v>812.81999999999994</v>
      </c>
      <c r="T956">
        <f t="shared" si="714"/>
        <v>896.95653061224505</v>
      </c>
      <c r="U956">
        <f t="shared" si="714"/>
        <v>965.36020408163267</v>
      </c>
      <c r="V956">
        <f t="shared" si="714"/>
        <v>1030.8281632653061</v>
      </c>
      <c r="W956">
        <f t="shared" si="714"/>
        <v>1201.6402040816326</v>
      </c>
      <c r="Y956" s="17">
        <f t="shared" si="695"/>
        <v>12643.068584183675</v>
      </c>
      <c r="Z956">
        <f t="shared" si="696"/>
        <v>2137.9723908241367</v>
      </c>
    </row>
    <row r="957" spans="1:26" x14ac:dyDescent="0.25">
      <c r="A957" t="s">
        <v>62</v>
      </c>
      <c r="D957">
        <f t="shared" ref="D957:W957" si="715">D165*D237</f>
        <v>1066.937142857143</v>
      </c>
      <c r="E957">
        <f t="shared" si="715"/>
        <v>1030.0665306122448</v>
      </c>
      <c r="F957">
        <f t="shared" si="715"/>
        <v>1101.8522448979593</v>
      </c>
      <c r="G957">
        <f t="shared" si="715"/>
        <v>977.09183673469386</v>
      </c>
      <c r="H957">
        <f t="shared" si="715"/>
        <v>892.6438775510203</v>
      </c>
      <c r="I957">
        <f t="shared" si="715"/>
        <v>805.69857142857143</v>
      </c>
      <c r="J957">
        <f t="shared" si="715"/>
        <v>723.64224489795913</v>
      </c>
      <c r="K957">
        <f t="shared" si="715"/>
        <v>695.60204081632651</v>
      </c>
      <c r="L957">
        <f t="shared" si="715"/>
        <v>736.79140625000002</v>
      </c>
      <c r="M957">
        <f t="shared" si="715"/>
        <v>465.12438775510208</v>
      </c>
      <c r="N957">
        <f t="shared" si="715"/>
        <v>363.47902040816325</v>
      </c>
      <c r="O957">
        <f t="shared" si="715"/>
        <v>311.98636734693878</v>
      </c>
      <c r="P957">
        <f t="shared" si="715"/>
        <v>391.45971428571426</v>
      </c>
      <c r="Q957">
        <f t="shared" si="715"/>
        <v>386.89753061224485</v>
      </c>
      <c r="R957">
        <f t="shared" si="715"/>
        <v>433.56769387755111</v>
      </c>
      <c r="S957">
        <f t="shared" si="715"/>
        <v>399.61846938775511</v>
      </c>
      <c r="T957">
        <f t="shared" si="715"/>
        <v>220.77318367346936</v>
      </c>
      <c r="U957">
        <f t="shared" si="715"/>
        <v>296.75314285714285</v>
      </c>
      <c r="V957">
        <f t="shared" si="715"/>
        <v>347.4768979591837</v>
      </c>
      <c r="W957">
        <f t="shared" si="715"/>
        <v>220.18171428571426</v>
      </c>
      <c r="Y957" s="17">
        <f t="shared" si="695"/>
        <v>11867.644018494901</v>
      </c>
      <c r="Z957">
        <f t="shared" si="696"/>
        <v>3112.5498767836075</v>
      </c>
    </row>
    <row r="958" spans="1:26" x14ac:dyDescent="0.25">
      <c r="A958" t="s">
        <v>63</v>
      </c>
      <c r="D958">
        <f t="shared" ref="D958:W958" si="716">D166*D238</f>
        <v>446.20422448979588</v>
      </c>
      <c r="E958">
        <f t="shared" si="716"/>
        <v>414.13042857142858</v>
      </c>
      <c r="F958">
        <f t="shared" si="716"/>
        <v>503.33346938775503</v>
      </c>
      <c r="G958">
        <f t="shared" si="716"/>
        <v>390.04642857142852</v>
      </c>
      <c r="H958">
        <f t="shared" si="716"/>
        <v>378.76830612244896</v>
      </c>
      <c r="I958">
        <f t="shared" si="716"/>
        <v>487.95428571428567</v>
      </c>
      <c r="J958">
        <f t="shared" si="716"/>
        <v>434.26840816326524</v>
      </c>
      <c r="K958">
        <f t="shared" si="716"/>
        <v>389.83775510204077</v>
      </c>
      <c r="L958">
        <f t="shared" si="716"/>
        <v>320.91312499999998</v>
      </c>
      <c r="M958">
        <f t="shared" si="716"/>
        <v>526.02857142857135</v>
      </c>
      <c r="N958">
        <f t="shared" si="716"/>
        <v>306.00000000000006</v>
      </c>
      <c r="O958">
        <f t="shared" si="716"/>
        <v>417.31428571428575</v>
      </c>
      <c r="P958">
        <f t="shared" si="716"/>
        <v>224.36326530612246</v>
      </c>
      <c r="Q958">
        <f t="shared" si="716"/>
        <v>296.72653061224491</v>
      </c>
      <c r="R958">
        <f t="shared" si="716"/>
        <v>232.11632653061227</v>
      </c>
      <c r="S958">
        <f t="shared" si="716"/>
        <v>339.42857142857144</v>
      </c>
      <c r="T958">
        <f t="shared" si="716"/>
        <v>348.67346938775512</v>
      </c>
      <c r="U958">
        <f t="shared" si="716"/>
        <v>261.91428571428571</v>
      </c>
      <c r="V958">
        <f t="shared" si="716"/>
        <v>391.48571428571432</v>
      </c>
      <c r="W958">
        <f t="shared" si="716"/>
        <v>337.5530612244898</v>
      </c>
      <c r="Y958" s="17">
        <f t="shared" si="695"/>
        <v>7447.0605127551025</v>
      </c>
      <c r="Z958">
        <f t="shared" si="696"/>
        <v>1751.9763726417625</v>
      </c>
    </row>
    <row r="959" spans="1:26" x14ac:dyDescent="0.25">
      <c r="A959" t="s">
        <v>64</v>
      </c>
      <c r="D959">
        <f t="shared" ref="D959:W959" si="717">D167*D239</f>
        <v>490.5</v>
      </c>
      <c r="E959">
        <f t="shared" si="717"/>
        <v>580.2714285714286</v>
      </c>
      <c r="F959">
        <f t="shared" si="717"/>
        <v>781.03673469387763</v>
      </c>
      <c r="G959">
        <f t="shared" si="717"/>
        <v>468.73469387755102</v>
      </c>
      <c r="H959">
        <f t="shared" si="717"/>
        <v>479.14285714285711</v>
      </c>
      <c r="I959">
        <f t="shared" si="717"/>
        <v>643.08571428571418</v>
      </c>
      <c r="J959">
        <f t="shared" si="717"/>
        <v>596.66326530612264</v>
      </c>
      <c r="K959">
        <f t="shared" si="717"/>
        <v>476.01632653061222</v>
      </c>
      <c r="L959">
        <f t="shared" si="717"/>
        <v>564.39374999999995</v>
      </c>
      <c r="M959">
        <f t="shared" si="717"/>
        <v>520.4571428571428</v>
      </c>
      <c r="N959">
        <f t="shared" si="717"/>
        <v>336.45306122448977</v>
      </c>
      <c r="O959">
        <f t="shared" si="717"/>
        <v>303.57142857142856</v>
      </c>
      <c r="P959">
        <f t="shared" si="717"/>
        <v>427.72040816326529</v>
      </c>
      <c r="Q959">
        <f t="shared" si="717"/>
        <v>452.38775510204079</v>
      </c>
      <c r="R959">
        <f t="shared" si="717"/>
        <v>565.78775510204082</v>
      </c>
      <c r="S959">
        <f t="shared" si="717"/>
        <v>310.03265306122444</v>
      </c>
      <c r="T959">
        <f t="shared" si="717"/>
        <v>285.16734693877555</v>
      </c>
      <c r="U959">
        <f t="shared" si="717"/>
        <v>371.67346938775512</v>
      </c>
      <c r="V959">
        <f t="shared" si="717"/>
        <v>268.1877551020408</v>
      </c>
      <c r="W959">
        <f t="shared" si="717"/>
        <v>233.42857142857144</v>
      </c>
      <c r="Y959" s="17">
        <f t="shared" si="695"/>
        <v>9154.7121173469368</v>
      </c>
      <c r="Z959">
        <f t="shared" si="696"/>
        <v>2342.3515962719175</v>
      </c>
    </row>
    <row r="960" spans="1:26" x14ac:dyDescent="0.25">
      <c r="A960" t="s">
        <v>65</v>
      </c>
      <c r="D960">
        <f t="shared" ref="D960:W960" si="718">D168*D240</f>
        <v>518.19591836734685</v>
      </c>
      <c r="E960">
        <f t="shared" si="718"/>
        <v>427.27346938775509</v>
      </c>
      <c r="F960">
        <f t="shared" si="718"/>
        <v>235.13877551020408</v>
      </c>
      <c r="G960">
        <f t="shared" si="718"/>
        <v>148.70204081632653</v>
      </c>
      <c r="H960">
        <f t="shared" si="718"/>
        <v>308.63265306122446</v>
      </c>
      <c r="I960">
        <f t="shared" si="718"/>
        <v>499.5918367346938</v>
      </c>
      <c r="J960">
        <f t="shared" si="718"/>
        <v>393.34285714285716</v>
      </c>
      <c r="K960">
        <f t="shared" si="718"/>
        <v>402.80816326530612</v>
      </c>
      <c r="L960">
        <f t="shared" si="718"/>
        <v>375.1171875</v>
      </c>
      <c r="M960">
        <f t="shared" si="718"/>
        <v>568.65306122448965</v>
      </c>
      <c r="N960">
        <f t="shared" si="718"/>
        <v>368.04081632653066</v>
      </c>
      <c r="O960">
        <f t="shared" si="718"/>
        <v>393.30612244897964</v>
      </c>
      <c r="P960">
        <f t="shared" si="718"/>
        <v>191.61224489795919</v>
      </c>
      <c r="Q960">
        <f t="shared" si="718"/>
        <v>649.74489795918373</v>
      </c>
      <c r="R960">
        <f t="shared" si="718"/>
        <v>545.9</v>
      </c>
      <c r="S960">
        <f t="shared" si="718"/>
        <v>248.86326530612246</v>
      </c>
      <c r="T960">
        <f t="shared" si="718"/>
        <v>158.3428571428571</v>
      </c>
      <c r="U960">
        <f t="shared" si="718"/>
        <v>78.593877551020398</v>
      </c>
      <c r="V960">
        <f t="shared" si="718"/>
        <v>209</v>
      </c>
      <c r="W960">
        <f t="shared" si="718"/>
        <v>244.24489795918362</v>
      </c>
      <c r="Y960" s="17">
        <f t="shared" si="695"/>
        <v>6965.10494260204</v>
      </c>
      <c r="Z960">
        <f t="shared" si="696"/>
        <v>1894.1330213436222</v>
      </c>
    </row>
    <row r="961" spans="1:26" x14ac:dyDescent="0.25">
      <c r="A961" t="s">
        <v>66</v>
      </c>
      <c r="D961">
        <f t="shared" ref="D961:W961" si="719">D169*D241</f>
        <v>319.20000000000005</v>
      </c>
      <c r="E961">
        <f t="shared" si="719"/>
        <v>252.49591836734689</v>
      </c>
      <c r="F961">
        <f t="shared" si="719"/>
        <v>278.41224489795911</v>
      </c>
      <c r="G961">
        <f t="shared" si="719"/>
        <v>423.38775510204079</v>
      </c>
      <c r="H961">
        <f t="shared" si="719"/>
        <v>375.21428571428572</v>
      </c>
      <c r="I961">
        <f t="shared" si="719"/>
        <v>347.99999999999994</v>
      </c>
      <c r="J961">
        <f t="shared" si="719"/>
        <v>625.80816326530612</v>
      </c>
      <c r="K961">
        <f t="shared" si="719"/>
        <v>554.69387755102048</v>
      </c>
      <c r="L961">
        <f t="shared" si="719"/>
        <v>335.32499999999999</v>
      </c>
      <c r="M961">
        <f t="shared" si="719"/>
        <v>503.10408163265305</v>
      </c>
      <c r="N961">
        <f t="shared" si="719"/>
        <v>809.59999999999991</v>
      </c>
      <c r="O961">
        <f t="shared" si="719"/>
        <v>675.42857142857144</v>
      </c>
      <c r="P961">
        <f t="shared" si="719"/>
        <v>449.08571428571429</v>
      </c>
      <c r="Q961">
        <f t="shared" si="719"/>
        <v>264.31428571428563</v>
      </c>
      <c r="R961">
        <f t="shared" si="719"/>
        <v>336.10408163265305</v>
      </c>
      <c r="S961">
        <f t="shared" si="719"/>
        <v>345.83673469387753</v>
      </c>
      <c r="T961">
        <f t="shared" si="719"/>
        <v>289.95918367346934</v>
      </c>
      <c r="U961">
        <f t="shared" si="719"/>
        <v>263.73673469387757</v>
      </c>
      <c r="V961">
        <f t="shared" si="719"/>
        <v>233.61632653061224</v>
      </c>
      <c r="W961">
        <f t="shared" si="719"/>
        <v>155.10204081632654</v>
      </c>
      <c r="Y961" s="17">
        <f t="shared" si="695"/>
        <v>7838.4249999999984</v>
      </c>
      <c r="Z961">
        <f t="shared" si="696"/>
        <v>1892.2300678077543</v>
      </c>
    </row>
    <row r="962" spans="1:26" x14ac:dyDescent="0.25">
      <c r="A962" t="s">
        <v>67</v>
      </c>
      <c r="D962">
        <f t="shared" ref="D962:W962" si="720">D170*D242</f>
        <v>223.13469387755106</v>
      </c>
      <c r="E962">
        <f t="shared" si="720"/>
        <v>567.93673469387761</v>
      </c>
      <c r="F962">
        <f t="shared" si="720"/>
        <v>890.21428571428578</v>
      </c>
      <c r="G962">
        <f t="shared" si="720"/>
        <v>405.51428571428556</v>
      </c>
      <c r="H962">
        <f t="shared" si="720"/>
        <v>334.62857142857143</v>
      </c>
      <c r="I962">
        <f t="shared" si="720"/>
        <v>371.33673469387759</v>
      </c>
      <c r="J962">
        <f t="shared" si="720"/>
        <v>551.19183673469388</v>
      </c>
      <c r="K962">
        <f t="shared" si="720"/>
        <v>792.42040816326528</v>
      </c>
      <c r="L962">
        <f t="shared" si="720"/>
        <v>523.32244897959185</v>
      </c>
      <c r="M962">
        <f t="shared" si="720"/>
        <v>650.71428571428567</v>
      </c>
      <c r="N962">
        <f t="shared" si="720"/>
        <v>432.00816326530611</v>
      </c>
      <c r="O962">
        <f t="shared" si="720"/>
        <v>400.08163265306126</v>
      </c>
      <c r="P962">
        <f t="shared" si="720"/>
        <v>355.85714285714283</v>
      </c>
      <c r="Q962">
        <f t="shared" si="720"/>
        <v>440.50408163265308</v>
      </c>
      <c r="R962">
        <f t="shared" si="720"/>
        <v>454.6142857142857</v>
      </c>
      <c r="S962">
        <f t="shared" si="720"/>
        <v>267.28163265306125</v>
      </c>
      <c r="T962">
        <f t="shared" si="720"/>
        <v>270.26530612244898</v>
      </c>
      <c r="U962">
        <f t="shared" si="720"/>
        <v>245.37551020408159</v>
      </c>
      <c r="V962">
        <f t="shared" si="720"/>
        <v>280.5</v>
      </c>
      <c r="W962">
        <f t="shared" si="720"/>
        <v>142.04081632653063</v>
      </c>
      <c r="Y962" s="17">
        <f t="shared" si="695"/>
        <v>8598.942857142858</v>
      </c>
      <c r="Z962">
        <f t="shared" si="696"/>
        <v>2322.6542112086358</v>
      </c>
    </row>
    <row r="963" spans="1:26" x14ac:dyDescent="0.25">
      <c r="A963" t="s">
        <v>68</v>
      </c>
      <c r="D963">
        <f t="shared" ref="D963:W963" si="721">D171*D243</f>
        <v>505.16326530612218</v>
      </c>
      <c r="E963">
        <f t="shared" si="721"/>
        <v>500.20408163265347</v>
      </c>
      <c r="F963">
        <f t="shared" si="721"/>
        <v>765.37142857142862</v>
      </c>
      <c r="G963">
        <f t="shared" si="721"/>
        <v>684.39183673469313</v>
      </c>
      <c r="H963">
        <f t="shared" si="721"/>
        <v>1122.9530612244898</v>
      </c>
      <c r="I963">
        <f t="shared" si="721"/>
        <v>593.92448979591859</v>
      </c>
      <c r="J963">
        <f t="shared" si="721"/>
        <v>320.54081632653043</v>
      </c>
      <c r="K963">
        <f t="shared" si="721"/>
        <v>310.29591836734693</v>
      </c>
      <c r="L963">
        <f t="shared" si="721"/>
        <v>507.3046875</v>
      </c>
      <c r="M963">
        <f t="shared" si="721"/>
        <v>371.29591836734676</v>
      </c>
      <c r="N963">
        <f t="shared" si="721"/>
        <v>370.82448979591834</v>
      </c>
      <c r="O963">
        <f t="shared" si="721"/>
        <v>317.14897959183702</v>
      </c>
      <c r="P963">
        <f t="shared" si="721"/>
        <v>437.65714285714284</v>
      </c>
      <c r="Q963">
        <f t="shared" si="721"/>
        <v>432.07142857142856</v>
      </c>
      <c r="R963">
        <f t="shared" si="721"/>
        <v>584.54081632653106</v>
      </c>
      <c r="S963">
        <f t="shared" si="721"/>
        <v>473.67346938775518</v>
      </c>
      <c r="T963">
        <f t="shared" si="721"/>
        <v>263.44897959183675</v>
      </c>
      <c r="U963">
        <f t="shared" si="721"/>
        <v>342.53877551020406</v>
      </c>
      <c r="V963">
        <f t="shared" si="721"/>
        <v>166.05510204081634</v>
      </c>
      <c r="W963">
        <f t="shared" si="721"/>
        <v>130.72448979591834</v>
      </c>
      <c r="Y963" s="17">
        <f t="shared" si="695"/>
        <v>9200.1291772959175</v>
      </c>
      <c r="Z963">
        <f t="shared" si="696"/>
        <v>2309.773810671833</v>
      </c>
    </row>
    <row r="964" spans="1:26" x14ac:dyDescent="0.25">
      <c r="A964" t="s">
        <v>69</v>
      </c>
      <c r="D964">
        <f t="shared" ref="D964:W964" si="722">D172*D244</f>
        <v>441.30612244897952</v>
      </c>
      <c r="E964">
        <f t="shared" si="722"/>
        <v>434.92040816326534</v>
      </c>
      <c r="F964">
        <f t="shared" si="722"/>
        <v>433.6163265306123</v>
      </c>
      <c r="G964">
        <f t="shared" si="722"/>
        <v>380.00816326530611</v>
      </c>
      <c r="H964">
        <f t="shared" si="722"/>
        <v>462.85714285714289</v>
      </c>
      <c r="I964">
        <f t="shared" si="722"/>
        <v>519.6857142857142</v>
      </c>
      <c r="J964">
        <f t="shared" si="722"/>
        <v>310.71428571428572</v>
      </c>
      <c r="K964">
        <f t="shared" si="722"/>
        <v>474.74693877551022</v>
      </c>
      <c r="L964">
        <f t="shared" si="722"/>
        <v>364.078125</v>
      </c>
      <c r="M964">
        <f t="shared" si="722"/>
        <v>412.94571428571425</v>
      </c>
      <c r="N964">
        <f t="shared" si="722"/>
        <v>388.68964285714276</v>
      </c>
      <c r="O964">
        <f t="shared" si="722"/>
        <v>370.97257142857154</v>
      </c>
      <c r="P964">
        <f t="shared" si="722"/>
        <v>261.66085714285714</v>
      </c>
      <c r="Q964">
        <f t="shared" si="722"/>
        <v>330.68571428571431</v>
      </c>
      <c r="R964">
        <f t="shared" si="722"/>
        <v>151.943625</v>
      </c>
      <c r="S964">
        <f t="shared" si="722"/>
        <v>269.35714285714289</v>
      </c>
      <c r="T964">
        <f t="shared" si="722"/>
        <v>248.80612244897955</v>
      </c>
      <c r="U964">
        <f t="shared" si="722"/>
        <v>269.50408163265308</v>
      </c>
      <c r="V964">
        <f t="shared" si="722"/>
        <v>156.74693877551019</v>
      </c>
      <c r="W964">
        <f t="shared" si="722"/>
        <v>164.08163265306121</v>
      </c>
      <c r="Y964" s="17">
        <f t="shared" si="695"/>
        <v>6847.3272704081628</v>
      </c>
      <c r="Z964">
        <f t="shared" si="696"/>
        <v>1767.6050780557998</v>
      </c>
    </row>
    <row r="965" spans="1:26" x14ac:dyDescent="0.25">
      <c r="Y965" s="17"/>
    </row>
    <row r="966" spans="1:26" x14ac:dyDescent="0.25">
      <c r="A966" t="s">
        <v>70</v>
      </c>
      <c r="D966">
        <f t="shared" ref="D966:W966" si="723">D174*D246</f>
        <v>394.93367346938777</v>
      </c>
      <c r="E966">
        <f t="shared" si="723"/>
        <v>302.41836734693879</v>
      </c>
      <c r="F966">
        <f t="shared" si="723"/>
        <v>418.57346938775515</v>
      </c>
      <c r="G966">
        <f t="shared" si="723"/>
        <v>296.78673469387758</v>
      </c>
      <c r="H966">
        <f t="shared" si="723"/>
        <v>367.52755102040811</v>
      </c>
      <c r="I966">
        <f t="shared" si="723"/>
        <v>501.8122448979592</v>
      </c>
      <c r="J966">
        <f t="shared" si="723"/>
        <v>382.8112244897959</v>
      </c>
      <c r="K966">
        <f t="shared" si="723"/>
        <v>370.30612244897964</v>
      </c>
      <c r="L966">
        <f t="shared" si="723"/>
        <v>330.88515624999997</v>
      </c>
      <c r="M966">
        <f t="shared" si="723"/>
        <v>375.4163265306122</v>
      </c>
      <c r="N966">
        <f t="shared" si="723"/>
        <v>409.81836734693877</v>
      </c>
      <c r="O966">
        <f t="shared" si="723"/>
        <v>433.53061224489795</v>
      </c>
      <c r="P966">
        <f t="shared" si="723"/>
        <v>260.51428571428573</v>
      </c>
      <c r="Q966">
        <f t="shared" si="723"/>
        <v>464.20408163265301</v>
      </c>
      <c r="R966">
        <f t="shared" si="723"/>
        <v>367.31020408163261</v>
      </c>
      <c r="S966">
        <f t="shared" si="723"/>
        <v>418.61096103896097</v>
      </c>
      <c r="T966">
        <f t="shared" si="723"/>
        <v>491.87755102040825</v>
      </c>
      <c r="U966">
        <f t="shared" si="723"/>
        <v>266.44897959183669</v>
      </c>
      <c r="V966">
        <f t="shared" si="723"/>
        <v>222.3632653061224</v>
      </c>
      <c r="W966">
        <f t="shared" si="723"/>
        <v>289.67346938775512</v>
      </c>
      <c r="Y966" s="17">
        <f t="shared" si="695"/>
        <v>7365.8226479012073</v>
      </c>
      <c r="Z966">
        <f>SUMPRODUCT($D$970:$W$970,D966:W966)</f>
        <v>1735.1749959878232</v>
      </c>
    </row>
    <row r="967" spans="1:26" x14ac:dyDescent="0.25">
      <c r="A967" t="s">
        <v>314</v>
      </c>
      <c r="D967">
        <f t="shared" ref="D967:W967" si="724">D175*D247</f>
        <v>764.03469387755092</v>
      </c>
      <c r="E967">
        <f t="shared" si="724"/>
        <v>665.2714285714286</v>
      </c>
      <c r="F967">
        <f t="shared" si="724"/>
        <v>540.25306122448978</v>
      </c>
      <c r="G967">
        <f t="shared" si="724"/>
        <v>450.23265306122448</v>
      </c>
      <c r="H967">
        <f t="shared" si="724"/>
        <v>589.58775510204077</v>
      </c>
      <c r="I967">
        <f t="shared" si="724"/>
        <v>496.90408163265295</v>
      </c>
      <c r="J967">
        <f t="shared" si="724"/>
        <v>418.62857142857143</v>
      </c>
      <c r="K967">
        <f t="shared" si="724"/>
        <v>422.28367346938779</v>
      </c>
      <c r="L967">
        <f t="shared" si="724"/>
        <v>637.84531249999998</v>
      </c>
      <c r="M967">
        <f t="shared" si="724"/>
        <v>697.30000000000007</v>
      </c>
      <c r="N967">
        <f t="shared" si="724"/>
        <v>605.86122448979586</v>
      </c>
      <c r="O967">
        <f t="shared" si="724"/>
        <v>394.20000000000005</v>
      </c>
      <c r="P967">
        <f t="shared" si="724"/>
        <v>1072</v>
      </c>
      <c r="Q967">
        <f t="shared" si="724"/>
        <v>562.80000000000007</v>
      </c>
      <c r="R967">
        <f t="shared" si="724"/>
        <v>504.56</v>
      </c>
      <c r="S967">
        <f t="shared" si="724"/>
        <v>494.16</v>
      </c>
      <c r="T967">
        <f t="shared" si="724"/>
        <v>573.84489795918375</v>
      </c>
      <c r="U967">
        <f t="shared" si="724"/>
        <v>348.47346938775519</v>
      </c>
      <c r="V967">
        <f t="shared" si="724"/>
        <v>241.37142857142857</v>
      </c>
      <c r="W967">
        <f t="shared" si="724"/>
        <v>265.61632653061224</v>
      </c>
      <c r="Y967" s="17">
        <f t="shared" si="695"/>
        <v>10745.22857780612</v>
      </c>
      <c r="Z967">
        <f>SUMPRODUCT($D$970:$W$970,D967:W967)</f>
        <v>2560.1081915952914</v>
      </c>
    </row>
    <row r="968" spans="1:26" x14ac:dyDescent="0.25">
      <c r="A968" t="s">
        <v>315</v>
      </c>
      <c r="D968">
        <f t="shared" ref="D968:W968" si="725">D176*D248</f>
        <v>574.97142857142853</v>
      </c>
      <c r="E968">
        <f t="shared" si="725"/>
        <v>568.87346938775511</v>
      </c>
      <c r="F968">
        <f t="shared" si="725"/>
        <v>1050.1959183673468</v>
      </c>
      <c r="G968">
        <f t="shared" si="725"/>
        <v>478.28571428571433</v>
      </c>
      <c r="H968">
        <f t="shared" si="725"/>
        <v>566.00000000000011</v>
      </c>
      <c r="I968">
        <f t="shared" si="725"/>
        <v>446.93877551020404</v>
      </c>
      <c r="J968">
        <f t="shared" si="725"/>
        <v>1277.8265306122451</v>
      </c>
      <c r="K968">
        <f t="shared" si="725"/>
        <v>494.10204081632651</v>
      </c>
      <c r="L968">
        <f t="shared" si="725"/>
        <v>236.76250000000002</v>
      </c>
      <c r="M968">
        <f t="shared" si="725"/>
        <v>499.52</v>
      </c>
      <c r="N968">
        <f t="shared" si="725"/>
        <v>573.52</v>
      </c>
      <c r="O968">
        <f t="shared" si="725"/>
        <v>471.96000000000004</v>
      </c>
      <c r="P968">
        <f t="shared" si="725"/>
        <v>405.63834077097499</v>
      </c>
      <c r="Q968">
        <f t="shared" si="725"/>
        <v>447.41586999999993</v>
      </c>
      <c r="R968">
        <f t="shared" si="725"/>
        <v>476.17514489795911</v>
      </c>
      <c r="S968">
        <f t="shared" si="725"/>
        <v>422.66438705215427</v>
      </c>
      <c r="T968">
        <f t="shared" si="725"/>
        <v>483.26326530612232</v>
      </c>
      <c r="U968">
        <f t="shared" si="725"/>
        <v>593.73061224489788</v>
      </c>
      <c r="V968">
        <f t="shared" si="725"/>
        <v>399.99795918367346</v>
      </c>
      <c r="W968">
        <f t="shared" si="725"/>
        <v>468</v>
      </c>
      <c r="Y968" s="17">
        <f t="shared" si="695"/>
        <v>10935.841957006802</v>
      </c>
      <c r="Z968">
        <f>SUMPRODUCT($D$970:$W$970,D968:W968)</f>
        <v>2548.9119505587232</v>
      </c>
    </row>
    <row r="969" spans="1:26" x14ac:dyDescent="0.25">
      <c r="A969" t="s">
        <v>677</v>
      </c>
      <c r="D969">
        <f t="shared" ref="D969:W969" si="726">D177*D249</f>
        <v>578.49795918367352</v>
      </c>
      <c r="E969">
        <f t="shared" si="726"/>
        <v>380.41836734693879</v>
      </c>
      <c r="F969">
        <f t="shared" si="726"/>
        <v>469.21224489795918</v>
      </c>
      <c r="G969">
        <f t="shared" si="726"/>
        <v>508.9591836734694</v>
      </c>
      <c r="H969">
        <f t="shared" si="726"/>
        <v>383.26122448979589</v>
      </c>
      <c r="I969">
        <f t="shared" si="726"/>
        <v>362.62040816326532</v>
      </c>
      <c r="J969">
        <f t="shared" si="726"/>
        <v>286.29795918367347</v>
      </c>
      <c r="K969">
        <f t="shared" si="726"/>
        <v>233.86530612244894</v>
      </c>
      <c r="L969">
        <f t="shared" si="726"/>
        <v>245.77499999999998</v>
      </c>
      <c r="M969">
        <f t="shared" si="726"/>
        <v>434.02040816326536</v>
      </c>
      <c r="N969">
        <f t="shared" si="726"/>
        <v>449.48571428571438</v>
      </c>
      <c r="O969">
        <f t="shared" si="726"/>
        <v>113.22448979591837</v>
      </c>
      <c r="P969">
        <f t="shared" si="726"/>
        <v>308.97551020408162</v>
      </c>
      <c r="Q969">
        <f t="shared" si="726"/>
        <v>498.42653061224479</v>
      </c>
      <c r="R969">
        <f t="shared" si="726"/>
        <v>188.21224489795921</v>
      </c>
      <c r="S969">
        <f t="shared" si="726"/>
        <v>311.00047619047621</v>
      </c>
      <c r="T969">
        <f t="shared" si="726"/>
        <v>384.79921372912804</v>
      </c>
      <c r="U969">
        <f t="shared" si="726"/>
        <v>319.61554227405242</v>
      </c>
      <c r="V969">
        <f t="shared" si="726"/>
        <v>315.31335245162995</v>
      </c>
      <c r="W969">
        <f t="shared" si="726"/>
        <v>311.96446398091706</v>
      </c>
      <c r="Y969" s="17">
        <f t="shared" ref="Y969" si="727">SUM(D969:W969)</f>
        <v>7083.9455996466113</v>
      </c>
      <c r="Z969">
        <f>SUMPRODUCT($D$970:$W$970,D969:W969)</f>
        <v>1562.0902841858313</v>
      </c>
    </row>
    <row r="970" spans="1:26" x14ac:dyDescent="0.25">
      <c r="A970" s="2" t="s">
        <v>71</v>
      </c>
      <c r="D970" s="3">
        <f>CORREL($B$2:$B$28,D938:D964)</f>
        <v>0.23429365992767107</v>
      </c>
      <c r="E970" s="3">
        <f t="shared" ref="E970:W970" si="728">CORREL($B$2:$B$28,E938:E964)</f>
        <v>0.47175733961415844</v>
      </c>
      <c r="F970" s="3">
        <f t="shared" si="728"/>
        <v>0.36774042017098224</v>
      </c>
      <c r="G970" s="3">
        <f t="shared" si="728"/>
        <v>-2.0863848818618698E-2</v>
      </c>
      <c r="H970" s="3">
        <f t="shared" si="728"/>
        <v>0.32046865475382597</v>
      </c>
      <c r="I970" s="3">
        <f t="shared" si="728"/>
        <v>0.39120402051847403</v>
      </c>
      <c r="J970" s="3">
        <f t="shared" si="728"/>
        <v>0.26686322839460253</v>
      </c>
      <c r="K970" s="3">
        <f t="shared" si="728"/>
        <v>0.38754481441377264</v>
      </c>
      <c r="L970" s="3">
        <f t="shared" si="728"/>
        <v>0.36642089473910977</v>
      </c>
      <c r="M970" s="3">
        <f t="shared" si="728"/>
        <v>0.32280910010000735</v>
      </c>
      <c r="N970" s="3">
        <f t="shared" si="728"/>
        <v>0.26238063296770686</v>
      </c>
      <c r="O970" s="3">
        <f t="shared" si="728"/>
        <v>0.32010169162627555</v>
      </c>
      <c r="P970" s="3">
        <f t="shared" si="728"/>
        <v>0.10811362519507955</v>
      </c>
      <c r="Q970" s="3">
        <f t="shared" si="728"/>
        <v>0.36696262326880968</v>
      </c>
      <c r="R970" s="3">
        <f t="shared" si="728"/>
        <v>0.24740796381792721</v>
      </c>
      <c r="S970" s="3">
        <f t="shared" si="728"/>
        <v>6.4138361689315526E-2</v>
      </c>
      <c r="T970" s="3">
        <f t="shared" si="728"/>
        <v>2.6015294379255496E-2</v>
      </c>
      <c r="U970" s="3">
        <f t="shared" si="728"/>
        <v>3.2718940925729315E-2</v>
      </c>
      <c r="V970" s="3">
        <f t="shared" si="728"/>
        <v>3.1989219253015067E-2</v>
      </c>
      <c r="W970" s="3">
        <f t="shared" si="728"/>
        <v>-0.14193326836232467</v>
      </c>
    </row>
    <row r="973" spans="1:26" x14ac:dyDescent="0.25">
      <c r="D973" t="s">
        <v>300</v>
      </c>
      <c r="E973" t="s">
        <v>301</v>
      </c>
      <c r="F973" t="s">
        <v>302</v>
      </c>
      <c r="G973" t="s">
        <v>303</v>
      </c>
      <c r="H973" t="s">
        <v>304</v>
      </c>
      <c r="I973" t="s">
        <v>305</v>
      </c>
      <c r="J973" t="s">
        <v>306</v>
      </c>
      <c r="K973" t="s">
        <v>307</v>
      </c>
      <c r="L973" t="s">
        <v>367</v>
      </c>
      <c r="M973" t="s">
        <v>449</v>
      </c>
      <c r="N973" t="s">
        <v>450</v>
      </c>
      <c r="O973" t="s">
        <v>451</v>
      </c>
      <c r="P973" t="s">
        <v>561</v>
      </c>
      <c r="Q973" t="s">
        <v>562</v>
      </c>
      <c r="R973" t="s">
        <v>563</v>
      </c>
      <c r="S973" t="s">
        <v>564</v>
      </c>
      <c r="T973" t="s">
        <v>673</v>
      </c>
      <c r="U973" t="s">
        <v>674</v>
      </c>
      <c r="V973" t="s">
        <v>675</v>
      </c>
      <c r="W973" t="s">
        <v>676</v>
      </c>
      <c r="Y973" t="s">
        <v>308</v>
      </c>
      <c r="Z973" t="s">
        <v>309</v>
      </c>
    </row>
    <row r="974" spans="1:26" x14ac:dyDescent="0.25">
      <c r="A974" t="s">
        <v>43</v>
      </c>
      <c r="D974">
        <f t="shared" ref="D974:W974" si="729">D182*D218</f>
        <v>122.42040816326532</v>
      </c>
      <c r="E974">
        <f t="shared" si="729"/>
        <v>125.67755102040815</v>
      </c>
      <c r="F974">
        <f t="shared" si="729"/>
        <v>104.28061224489797</v>
      </c>
      <c r="G974">
        <f t="shared" si="729"/>
        <v>123.97959183673468</v>
      </c>
      <c r="H974">
        <f t="shared" si="729"/>
        <v>109.54326530612245</v>
      </c>
      <c r="I974">
        <f t="shared" si="729"/>
        <v>83.325714285714298</v>
      </c>
      <c r="J974">
        <f t="shared" si="729"/>
        <v>131.05959183673471</v>
      </c>
      <c r="K974">
        <f t="shared" si="729"/>
        <v>110.95224489795918</v>
      </c>
      <c r="L974">
        <f t="shared" si="729"/>
        <v>105.61734375000002</v>
      </c>
      <c r="M974">
        <f t="shared" si="729"/>
        <v>61.782857142857146</v>
      </c>
      <c r="N974">
        <f t="shared" si="729"/>
        <v>52.853265306122459</v>
      </c>
      <c r="O974">
        <f t="shared" si="729"/>
        <v>75.66959183673471</v>
      </c>
      <c r="P974">
        <f t="shared" si="729"/>
        <v>77.54326530612245</v>
      </c>
      <c r="Q974">
        <f t="shared" si="729"/>
        <v>78.662244897959198</v>
      </c>
      <c r="R974">
        <f t="shared" si="729"/>
        <v>95.477551020408143</v>
      </c>
      <c r="S974">
        <f t="shared" si="729"/>
        <v>68.069387755102042</v>
      </c>
      <c r="T974">
        <f t="shared" si="729"/>
        <v>66.917142857142863</v>
      </c>
      <c r="U974">
        <f t="shared" si="729"/>
        <v>62.634081632653071</v>
      </c>
      <c r="V974">
        <f t="shared" si="729"/>
        <v>110.28959183673469</v>
      </c>
      <c r="W974">
        <f t="shared" si="729"/>
        <v>75.756326530612242</v>
      </c>
      <c r="Y974" s="17">
        <f t="shared" ref="Y974:Y1004" si="730">SUM(D974:W974)</f>
        <v>1842.511629464286</v>
      </c>
      <c r="Z974">
        <f t="shared" ref="Z974:Z1000" si="731">SUMPRODUCT($D$1006:$W$1006,D974:W974)</f>
        <v>247.86853669351419</v>
      </c>
    </row>
    <row r="975" spans="1:26" x14ac:dyDescent="0.25">
      <c r="A975" t="s">
        <v>44</v>
      </c>
      <c r="D975">
        <f t="shared" ref="D975:W975" si="732">D183*D219</f>
        <v>117.5</v>
      </c>
      <c r="E975">
        <f t="shared" si="732"/>
        <v>84.48</v>
      </c>
      <c r="F975">
        <f t="shared" si="732"/>
        <v>97.919999999999987</v>
      </c>
      <c r="G975">
        <f t="shared" si="732"/>
        <v>90.720000000000013</v>
      </c>
      <c r="H975">
        <f t="shared" si="732"/>
        <v>133.34</v>
      </c>
      <c r="I975">
        <f t="shared" si="732"/>
        <v>72.540000000000006</v>
      </c>
      <c r="J975">
        <f t="shared" si="732"/>
        <v>850.63</v>
      </c>
      <c r="K975">
        <f t="shared" si="732"/>
        <v>82.449999999999989</v>
      </c>
      <c r="L975">
        <f t="shared" si="732"/>
        <v>72.239999999999995</v>
      </c>
      <c r="M975">
        <f t="shared" si="732"/>
        <v>77.190000000000012</v>
      </c>
      <c r="N975">
        <f t="shared" si="732"/>
        <v>75.53</v>
      </c>
      <c r="O975">
        <f t="shared" si="732"/>
        <v>102.00999999999999</v>
      </c>
      <c r="P975">
        <f t="shared" si="732"/>
        <v>84.546558530612259</v>
      </c>
      <c r="Q975">
        <f t="shared" si="732"/>
        <v>73.40284269387756</v>
      </c>
      <c r="R975">
        <f t="shared" si="732"/>
        <v>82.170023346938763</v>
      </c>
      <c r="S975">
        <f t="shared" si="732"/>
        <v>90.990900000000039</v>
      </c>
      <c r="T975">
        <f t="shared" si="732"/>
        <v>72.770548469387748</v>
      </c>
      <c r="U975">
        <f t="shared" si="732"/>
        <v>89.418494897959192</v>
      </c>
      <c r="V975">
        <f t="shared" si="732"/>
        <v>82.515162627551007</v>
      </c>
      <c r="W975">
        <f t="shared" si="732"/>
        <v>114.70757334183672</v>
      </c>
      <c r="Y975" s="17">
        <f t="shared" si="730"/>
        <v>2547.0721039081641</v>
      </c>
      <c r="Z975">
        <f t="shared" si="731"/>
        <v>60.570925944903209</v>
      </c>
    </row>
    <row r="976" spans="1:26" x14ac:dyDescent="0.25">
      <c r="A976" t="s">
        <v>45</v>
      </c>
      <c r="D976">
        <f t="shared" ref="D976:W976" si="733">D184*D220</f>
        <v>117.16897959183672</v>
      </c>
      <c r="E976">
        <f t="shared" si="733"/>
        <v>74.628571428571462</v>
      </c>
      <c r="F976">
        <f t="shared" si="733"/>
        <v>78.055102040816323</v>
      </c>
      <c r="G976">
        <f t="shared" si="733"/>
        <v>110.82244897959184</v>
      </c>
      <c r="H976">
        <f t="shared" si="733"/>
        <v>122.12244897959185</v>
      </c>
      <c r="I976">
        <f t="shared" si="733"/>
        <v>84.306122448979579</v>
      </c>
      <c r="J976">
        <f t="shared" si="733"/>
        <v>155.13285714285715</v>
      </c>
      <c r="K976">
        <f t="shared" si="733"/>
        <v>63.800000000000004</v>
      </c>
      <c r="L976">
        <f t="shared" si="733"/>
        <v>90.436718749999983</v>
      </c>
      <c r="M976">
        <f t="shared" si="733"/>
        <v>92.382040816326537</v>
      </c>
      <c r="N976">
        <f t="shared" si="733"/>
        <v>115.45040816326528</v>
      </c>
      <c r="O976">
        <f t="shared" si="733"/>
        <v>97.138367346938765</v>
      </c>
      <c r="P976">
        <f t="shared" si="733"/>
        <v>51.513469387755109</v>
      </c>
      <c r="Q976">
        <f t="shared" si="733"/>
        <v>66.98122448979592</v>
      </c>
      <c r="R976">
        <f t="shared" si="733"/>
        <v>109.0481632653061</v>
      </c>
      <c r="S976">
        <f t="shared" si="733"/>
        <v>88.623673469387768</v>
      </c>
      <c r="T976">
        <f t="shared" si="733"/>
        <v>102.63673469387754</v>
      </c>
      <c r="U976">
        <f t="shared" si="733"/>
        <v>116.04489795918364</v>
      </c>
      <c r="V976">
        <f t="shared" si="733"/>
        <v>157.1142857142857</v>
      </c>
      <c r="W976">
        <f t="shared" si="733"/>
        <v>181.5</v>
      </c>
      <c r="Y976" s="17">
        <f t="shared" si="730"/>
        <v>2074.906514668367</v>
      </c>
      <c r="Z976">
        <f t="shared" si="731"/>
        <v>181.40663842909981</v>
      </c>
    </row>
    <row r="977" spans="1:26" x14ac:dyDescent="0.25">
      <c r="A977" t="s">
        <v>46</v>
      </c>
      <c r="D977">
        <f t="shared" ref="D977:W977" si="734">D185*D221</f>
        <v>111.09795918367348</v>
      </c>
      <c r="E977">
        <f t="shared" si="734"/>
        <v>93.832653061224505</v>
      </c>
      <c r="F977">
        <f t="shared" si="734"/>
        <v>68.671428571428564</v>
      </c>
      <c r="G977">
        <f t="shared" si="734"/>
        <v>97.328571428571436</v>
      </c>
      <c r="H977">
        <f t="shared" si="734"/>
        <v>64.801224489795914</v>
      </c>
      <c r="I977">
        <f t="shared" si="734"/>
        <v>69.529591836734681</v>
      </c>
      <c r="J977">
        <f t="shared" si="734"/>
        <v>88.222448979591846</v>
      </c>
      <c r="K977">
        <f t="shared" si="734"/>
        <v>100.34326530612245</v>
      </c>
      <c r="L977">
        <f t="shared" si="734"/>
        <v>80.492343750000003</v>
      </c>
      <c r="M977">
        <f t="shared" si="734"/>
        <v>78.007346938775527</v>
      </c>
      <c r="N977">
        <f t="shared" si="734"/>
        <v>41.469795918367353</v>
      </c>
      <c r="O977">
        <f t="shared" si="734"/>
        <v>50.165306122448975</v>
      </c>
      <c r="P977">
        <f t="shared" si="734"/>
        <v>42.03</v>
      </c>
      <c r="Q977">
        <f t="shared" si="734"/>
        <v>72.360000000000014</v>
      </c>
      <c r="R977">
        <f t="shared" si="734"/>
        <v>77.704897959183668</v>
      </c>
      <c r="S977">
        <f t="shared" si="734"/>
        <v>112.33530612244896</v>
      </c>
      <c r="T977">
        <f t="shared" si="734"/>
        <v>53.54775510204081</v>
      </c>
      <c r="U977">
        <f t="shared" si="734"/>
        <v>62.948571428571434</v>
      </c>
      <c r="V977">
        <f t="shared" si="734"/>
        <v>71.933673469387742</v>
      </c>
      <c r="W977">
        <f t="shared" si="734"/>
        <v>175.2</v>
      </c>
      <c r="Y977" s="17">
        <f t="shared" si="730"/>
        <v>1612.0221396683673</v>
      </c>
      <c r="Z977">
        <f t="shared" si="731"/>
        <v>186.86489783735743</v>
      </c>
    </row>
    <row r="978" spans="1:26" x14ac:dyDescent="0.25">
      <c r="A978" t="s">
        <v>47</v>
      </c>
      <c r="D978">
        <f t="shared" ref="D978:W978" si="735">D186*D222</f>
        <v>141.33877551020407</v>
      </c>
      <c r="E978">
        <f t="shared" si="735"/>
        <v>101.98061224489797</v>
      </c>
      <c r="F978">
        <f t="shared" si="735"/>
        <v>116.9134693877551</v>
      </c>
      <c r="G978">
        <f t="shared" si="735"/>
        <v>124.28571428571429</v>
      </c>
      <c r="H978">
        <f t="shared" si="735"/>
        <v>99.714285714285722</v>
      </c>
      <c r="I978">
        <f t="shared" si="735"/>
        <v>71.35959183673468</v>
      </c>
      <c r="J978">
        <f t="shared" si="735"/>
        <v>86.08040816326529</v>
      </c>
      <c r="K978">
        <f t="shared" si="735"/>
        <v>86.080408163265318</v>
      </c>
      <c r="L978">
        <f t="shared" si="735"/>
        <v>58.28546875</v>
      </c>
      <c r="M978">
        <f t="shared" si="735"/>
        <v>83.523673469387745</v>
      </c>
      <c r="N978">
        <f t="shared" si="735"/>
        <v>89.45999999999998</v>
      </c>
      <c r="O978">
        <f t="shared" si="735"/>
        <v>70.988571428571447</v>
      </c>
      <c r="P978">
        <f t="shared" si="735"/>
        <v>77.363265306122443</v>
      </c>
      <c r="Q978">
        <f t="shared" si="735"/>
        <v>51.269387755102031</v>
      </c>
      <c r="R978">
        <f t="shared" si="735"/>
        <v>114.03183673469388</v>
      </c>
      <c r="S978">
        <f t="shared" si="735"/>
        <v>106.4285714285714</v>
      </c>
      <c r="T978">
        <f t="shared" si="735"/>
        <v>92.288571428571458</v>
      </c>
      <c r="U978">
        <f t="shared" si="735"/>
        <v>94.584489795918373</v>
      </c>
      <c r="V978">
        <f t="shared" si="735"/>
        <v>43.956122448979599</v>
      </c>
      <c r="W978">
        <f t="shared" si="735"/>
        <v>85.848979591836724</v>
      </c>
      <c r="Y978" s="17">
        <f t="shared" si="730"/>
        <v>1795.7822034438775</v>
      </c>
      <c r="Z978">
        <f t="shared" si="731"/>
        <v>221.75175878455792</v>
      </c>
    </row>
    <row r="979" spans="1:26" x14ac:dyDescent="0.25">
      <c r="A979" t="s">
        <v>48</v>
      </c>
      <c r="D979">
        <f t="shared" ref="D979:W979" si="736">D187*D223</f>
        <v>176.73061224489797</v>
      </c>
      <c r="E979">
        <f t="shared" si="736"/>
        <v>105.93061224489794</v>
      </c>
      <c r="F979">
        <f t="shared" si="736"/>
        <v>113.83714285714287</v>
      </c>
      <c r="G979">
        <f t="shared" si="736"/>
        <v>199.9387755102041</v>
      </c>
      <c r="H979">
        <f t="shared" si="736"/>
        <v>163.34693877551021</v>
      </c>
      <c r="I979">
        <f t="shared" si="736"/>
        <v>145.51428571428571</v>
      </c>
      <c r="J979">
        <f t="shared" si="736"/>
        <v>114.55714285714286</v>
      </c>
      <c r="K979">
        <f t="shared" si="736"/>
        <v>97.267755102040809</v>
      </c>
      <c r="L979">
        <f t="shared" si="736"/>
        <v>96.474218750000006</v>
      </c>
      <c r="M979">
        <f t="shared" si="736"/>
        <v>39.928571428571431</v>
      </c>
      <c r="N979">
        <f t="shared" si="736"/>
        <v>73.204897959183668</v>
      </c>
      <c r="O979">
        <f t="shared" si="736"/>
        <v>42.101632653061223</v>
      </c>
      <c r="P979">
        <f t="shared" si="736"/>
        <v>98.257142857142867</v>
      </c>
      <c r="Q979">
        <f t="shared" si="736"/>
        <v>93.392244897959188</v>
      </c>
      <c r="R979">
        <f t="shared" si="736"/>
        <v>104.3069387755102</v>
      </c>
      <c r="S979">
        <f t="shared" si="736"/>
        <v>47.752653061224478</v>
      </c>
      <c r="T979">
        <f t="shared" si="736"/>
        <v>107.21816326530613</v>
      </c>
      <c r="U979">
        <f t="shared" si="736"/>
        <v>106.13448979591838</v>
      </c>
      <c r="V979">
        <f t="shared" si="736"/>
        <v>80.228571428571428</v>
      </c>
      <c r="W979">
        <f t="shared" si="736"/>
        <v>88.524489795918356</v>
      </c>
      <c r="Y979" s="17">
        <f t="shared" si="730"/>
        <v>2094.6472799744902</v>
      </c>
      <c r="Z979">
        <f t="shared" si="731"/>
        <v>293.36878788479771</v>
      </c>
    </row>
    <row r="980" spans="1:26" x14ac:dyDescent="0.25">
      <c r="A980" t="s">
        <v>49</v>
      </c>
      <c r="D980">
        <f t="shared" ref="D980:W980" si="737">D188*D224</f>
        <v>83.76</v>
      </c>
      <c r="E980">
        <f t="shared" si="737"/>
        <v>123.11428571428571</v>
      </c>
      <c r="F980">
        <f t="shared" si="737"/>
        <v>176</v>
      </c>
      <c r="G980">
        <f t="shared" si="737"/>
        <v>137.33632653061224</v>
      </c>
      <c r="H980">
        <f t="shared" si="737"/>
        <v>83.435510204081623</v>
      </c>
      <c r="I980">
        <f t="shared" si="737"/>
        <v>82.41795918367346</v>
      </c>
      <c r="J980">
        <f t="shared" si="737"/>
        <v>80.473469387755102</v>
      </c>
      <c r="K980">
        <f t="shared" si="737"/>
        <v>107.31653061224488</v>
      </c>
      <c r="L980">
        <f t="shared" si="737"/>
        <v>51.570156250000004</v>
      </c>
      <c r="M980">
        <f t="shared" si="737"/>
        <v>41.140408163265306</v>
      </c>
      <c r="N980">
        <f t="shared" si="737"/>
        <v>60.604285714285716</v>
      </c>
      <c r="O980">
        <f t="shared" si="737"/>
        <v>49.790204081632652</v>
      </c>
      <c r="P980">
        <f t="shared" si="737"/>
        <v>101.52857142857142</v>
      </c>
      <c r="Q980">
        <f t="shared" si="737"/>
        <v>130.61142857142858</v>
      </c>
      <c r="R980">
        <f t="shared" si="737"/>
        <v>78.240816326530634</v>
      </c>
      <c r="S980">
        <f t="shared" si="737"/>
        <v>57.109591836734701</v>
      </c>
      <c r="T980">
        <f t="shared" si="737"/>
        <v>41.15632653061224</v>
      </c>
      <c r="U980">
        <f t="shared" si="737"/>
        <v>75.927346938775514</v>
      </c>
      <c r="V980">
        <f t="shared" si="737"/>
        <v>103.62244897959184</v>
      </c>
      <c r="W980">
        <f t="shared" si="737"/>
        <v>62.56</v>
      </c>
      <c r="Y980" s="17">
        <f t="shared" si="730"/>
        <v>1727.7156664540819</v>
      </c>
      <c r="Z980">
        <f t="shared" si="731"/>
        <v>248.3649712121873</v>
      </c>
    </row>
    <row r="981" spans="1:26" x14ac:dyDescent="0.25">
      <c r="A981" t="s">
        <v>50</v>
      </c>
      <c r="D981">
        <f t="shared" ref="D981:W981" si="738">D189*D225</f>
        <v>107.26938775510203</v>
      </c>
      <c r="E981">
        <f t="shared" si="738"/>
        <v>77.253061224489812</v>
      </c>
      <c r="F981">
        <f t="shared" si="738"/>
        <v>123.6861224489796</v>
      </c>
      <c r="G981">
        <f t="shared" si="738"/>
        <v>156.31591836734697</v>
      </c>
      <c r="H981">
        <f t="shared" si="738"/>
        <v>98.272653061224474</v>
      </c>
      <c r="I981">
        <f t="shared" si="738"/>
        <v>137.20408163265307</v>
      </c>
      <c r="J981">
        <f t="shared" si="738"/>
        <v>98.434693877551027</v>
      </c>
      <c r="K981">
        <f t="shared" si="738"/>
        <v>94.44244897959183</v>
      </c>
      <c r="L981">
        <f t="shared" si="738"/>
        <v>95.91</v>
      </c>
      <c r="M981">
        <f t="shared" si="738"/>
        <v>140.08163265306121</v>
      </c>
      <c r="N981">
        <f t="shared" si="738"/>
        <v>106.04142857142857</v>
      </c>
      <c r="O981">
        <f t="shared" si="738"/>
        <v>85.678163265306125</v>
      </c>
      <c r="P981">
        <f t="shared" si="738"/>
        <v>64.300408163265303</v>
      </c>
      <c r="Q981">
        <f t="shared" si="738"/>
        <v>55.885714285714286</v>
      </c>
      <c r="R981">
        <f t="shared" si="738"/>
        <v>57.768367346938774</v>
      </c>
      <c r="S981">
        <f t="shared" si="738"/>
        <v>95.811428571428578</v>
      </c>
      <c r="T981">
        <f t="shared" si="738"/>
        <v>58.32734693877552</v>
      </c>
      <c r="U981">
        <f t="shared" si="738"/>
        <v>91.944489795918372</v>
      </c>
      <c r="V981">
        <f t="shared" si="738"/>
        <v>89.808571428571412</v>
      </c>
      <c r="W981">
        <f t="shared" si="738"/>
        <v>122.73183673469384</v>
      </c>
      <c r="Y981" s="17">
        <f t="shared" si="730"/>
        <v>1957.1677551020407</v>
      </c>
      <c r="Z981">
        <f t="shared" si="731"/>
        <v>257.0113385296653</v>
      </c>
    </row>
    <row r="982" spans="1:26" x14ac:dyDescent="0.25">
      <c r="A982" t="s">
        <v>51</v>
      </c>
      <c r="D982">
        <f t="shared" ref="D982:W982" si="739">D190*D226</f>
        <v>170.66938775510204</v>
      </c>
      <c r="E982">
        <f t="shared" si="739"/>
        <v>160.34693877551021</v>
      </c>
      <c r="F982">
        <f t="shared" si="739"/>
        <v>211.48959183673469</v>
      </c>
      <c r="G982">
        <f t="shared" si="739"/>
        <v>264.62040816326527</v>
      </c>
      <c r="H982">
        <f t="shared" si="739"/>
        <v>66.368571428571428</v>
      </c>
      <c r="I982">
        <f t="shared" si="739"/>
        <v>118.49693877551019</v>
      </c>
      <c r="J982">
        <f t="shared" si="739"/>
        <v>81.0587755102041</v>
      </c>
      <c r="K982">
        <f t="shared" si="739"/>
        <v>78.766530612244892</v>
      </c>
      <c r="L982">
        <f t="shared" si="739"/>
        <v>71.410312500000003</v>
      </c>
      <c r="M982">
        <f t="shared" si="739"/>
        <v>124.20408163265307</v>
      </c>
      <c r="N982">
        <f t="shared" si="739"/>
        <v>149.14285714285714</v>
      </c>
      <c r="O982">
        <f t="shared" si="739"/>
        <v>63.719387755102041</v>
      </c>
      <c r="P982">
        <f t="shared" si="739"/>
        <v>187.57142857142858</v>
      </c>
      <c r="Q982">
        <f t="shared" si="739"/>
        <v>42.208979591836737</v>
      </c>
      <c r="R982">
        <f t="shared" si="739"/>
        <v>74.575510204081638</v>
      </c>
      <c r="S982">
        <f t="shared" si="739"/>
        <v>67.454693877551023</v>
      </c>
      <c r="T982">
        <f t="shared" si="739"/>
        <v>74.900204081632666</v>
      </c>
      <c r="U982">
        <f t="shared" si="739"/>
        <v>68.563469387755092</v>
      </c>
      <c r="V982">
        <f t="shared" si="739"/>
        <v>58.943673469387761</v>
      </c>
      <c r="W982">
        <f t="shared" si="739"/>
        <v>106.80000000000001</v>
      </c>
      <c r="Y982" s="17">
        <f t="shared" si="730"/>
        <v>2241.3117410714285</v>
      </c>
      <c r="Z982">
        <f t="shared" si="731"/>
        <v>320.09269956032432</v>
      </c>
    </row>
    <row r="983" spans="1:26" x14ac:dyDescent="0.25">
      <c r="A983" t="s">
        <v>52</v>
      </c>
      <c r="D983">
        <f t="shared" ref="D983:W983" si="740">D191*D227</f>
        <v>179.32653061224491</v>
      </c>
      <c r="E983">
        <f t="shared" si="740"/>
        <v>107.52653061224491</v>
      </c>
      <c r="F983">
        <f t="shared" si="740"/>
        <v>151.54285714285714</v>
      </c>
      <c r="G983">
        <f t="shared" si="740"/>
        <v>79.734285714285718</v>
      </c>
      <c r="H983">
        <f t="shared" si="740"/>
        <v>100.27469387755103</v>
      </c>
      <c r="I983">
        <f t="shared" si="740"/>
        <v>135.30612244897958</v>
      </c>
      <c r="J983">
        <f t="shared" si="740"/>
        <v>57.862448979591825</v>
      </c>
      <c r="K983">
        <f t="shared" si="740"/>
        <v>62.562244897959197</v>
      </c>
      <c r="L983">
        <f t="shared" si="740"/>
        <v>84.837968749999987</v>
      </c>
      <c r="M983">
        <f t="shared" si="740"/>
        <v>76.227755102040845</v>
      </c>
      <c r="N983">
        <f t="shared" si="740"/>
        <v>66.649387755102026</v>
      </c>
      <c r="O983">
        <f t="shared" si="740"/>
        <v>80.98428571428569</v>
      </c>
      <c r="P983">
        <f t="shared" si="740"/>
        <v>66.014693877551011</v>
      </c>
      <c r="Q983">
        <f t="shared" si="740"/>
        <v>82.626326530612261</v>
      </c>
      <c r="R983">
        <f t="shared" si="740"/>
        <v>85.934693877551013</v>
      </c>
      <c r="S983">
        <f t="shared" si="740"/>
        <v>96.538775510204076</v>
      </c>
      <c r="T983">
        <f t="shared" si="740"/>
        <v>62.12755102040817</v>
      </c>
      <c r="U983">
        <f t="shared" si="740"/>
        <v>104.64734693877551</v>
      </c>
      <c r="V983">
        <f t="shared" si="740"/>
        <v>75.017142857142858</v>
      </c>
      <c r="W983">
        <f t="shared" si="740"/>
        <v>112.59693877551021</v>
      </c>
      <c r="Y983" s="17">
        <f t="shared" si="730"/>
        <v>1868.3385809948979</v>
      </c>
      <c r="Z983">
        <f t="shared" si="731"/>
        <v>270.92742142330667</v>
      </c>
    </row>
    <row r="984" spans="1:26" x14ac:dyDescent="0.25">
      <c r="A984" t="s">
        <v>53</v>
      </c>
      <c r="D984">
        <f t="shared" ref="D984:W984" si="741">D192*D228</f>
        <v>137.06938775510204</v>
      </c>
      <c r="E984">
        <f t="shared" si="741"/>
        <v>126.36734693877553</v>
      </c>
      <c r="F984">
        <f t="shared" si="741"/>
        <v>134.04285714285714</v>
      </c>
      <c r="G984">
        <f t="shared" si="741"/>
        <v>203.91428571428571</v>
      </c>
      <c r="H984">
        <f t="shared" si="741"/>
        <v>122.6791836734694</v>
      </c>
      <c r="I984">
        <f t="shared" si="741"/>
        <v>66.637142857142862</v>
      </c>
      <c r="J984">
        <f t="shared" si="741"/>
        <v>118.34285714285716</v>
      </c>
      <c r="K984">
        <f t="shared" si="741"/>
        <v>111.44326530612244</v>
      </c>
      <c r="L984">
        <f t="shared" si="741"/>
        <v>147.32718750000001</v>
      </c>
      <c r="M984">
        <f t="shared" si="741"/>
        <v>168.40204081632655</v>
      </c>
      <c r="N984">
        <f t="shared" si="741"/>
        <v>111.78367346938775</v>
      </c>
      <c r="O984">
        <f t="shared" si="741"/>
        <v>80.872448979591852</v>
      </c>
      <c r="P984">
        <f t="shared" si="741"/>
        <v>99.027142857142849</v>
      </c>
      <c r="Q984">
        <f t="shared" si="741"/>
        <v>55.748571428571424</v>
      </c>
      <c r="R984">
        <f t="shared" si="741"/>
        <v>70.307142857142864</v>
      </c>
      <c r="S984">
        <f t="shared" si="741"/>
        <v>84.025102040816336</v>
      </c>
      <c r="T984">
        <f t="shared" si="741"/>
        <v>144.914693877551</v>
      </c>
      <c r="U984">
        <f t="shared" si="741"/>
        <v>88.887959183673459</v>
      </c>
      <c r="V984">
        <f t="shared" si="741"/>
        <v>102.40897959183674</v>
      </c>
      <c r="W984">
        <f t="shared" si="741"/>
        <v>116.18755102040818</v>
      </c>
      <c r="Y984" s="17">
        <f t="shared" si="730"/>
        <v>2290.3888201530613</v>
      </c>
      <c r="Z984">
        <f t="shared" si="731"/>
        <v>292.21049677482495</v>
      </c>
    </row>
    <row r="985" spans="1:26" x14ac:dyDescent="0.25">
      <c r="A985" t="s">
        <v>54</v>
      </c>
      <c r="D985">
        <f t="shared" ref="D985:W985" si="742">D193*D229</f>
        <v>205.51020408163265</v>
      </c>
      <c r="E985">
        <f t="shared" si="742"/>
        <v>159.7934693877551</v>
      </c>
      <c r="F985">
        <f t="shared" si="742"/>
        <v>142.50122448979593</v>
      </c>
      <c r="G985">
        <f t="shared" si="742"/>
        <v>110.3816326530612</v>
      </c>
      <c r="H985">
        <f t="shared" si="742"/>
        <v>106.3420408163265</v>
      </c>
      <c r="I985">
        <f t="shared" si="742"/>
        <v>105.53632653061226</v>
      </c>
      <c r="J985">
        <f t="shared" si="742"/>
        <v>57.151428571428582</v>
      </c>
      <c r="K985">
        <f t="shared" si="742"/>
        <v>100.73469387755102</v>
      </c>
      <c r="L985">
        <f t="shared" si="742"/>
        <v>91.227500000000006</v>
      </c>
      <c r="M985">
        <f t="shared" si="742"/>
        <v>79.194000000000003</v>
      </c>
      <c r="N985">
        <f t="shared" si="742"/>
        <v>118.9552</v>
      </c>
      <c r="O985">
        <f t="shared" si="742"/>
        <v>88.532399999999996</v>
      </c>
      <c r="P985">
        <f t="shared" si="742"/>
        <v>57.985199999999999</v>
      </c>
      <c r="Q985">
        <f t="shared" si="742"/>
        <v>85.950299999999984</v>
      </c>
      <c r="R985">
        <f t="shared" si="742"/>
        <v>47.799600000000005</v>
      </c>
      <c r="S985">
        <f t="shared" si="742"/>
        <v>87.223500000000001</v>
      </c>
      <c r="T985">
        <f t="shared" si="742"/>
        <v>57.182399999999994</v>
      </c>
      <c r="U985">
        <f t="shared" si="742"/>
        <v>99.668200000000013</v>
      </c>
      <c r="V985">
        <f t="shared" si="742"/>
        <v>96.10560000000001</v>
      </c>
      <c r="W985">
        <f t="shared" si="742"/>
        <v>165.27199999999999</v>
      </c>
      <c r="Y985" s="17">
        <f t="shared" si="730"/>
        <v>2063.0469204081637</v>
      </c>
      <c r="Z985">
        <f t="shared" si="731"/>
        <v>308.06208666638452</v>
      </c>
    </row>
    <row r="986" spans="1:26" x14ac:dyDescent="0.25">
      <c r="A986" t="s">
        <v>55</v>
      </c>
      <c r="D986">
        <f t="shared" ref="D986:W986" si="743">D194*D230</f>
        <v>243.55729999999997</v>
      </c>
      <c r="E986">
        <f t="shared" si="743"/>
        <v>253.38479999999998</v>
      </c>
      <c r="F986">
        <f t="shared" si="743"/>
        <v>172.744</v>
      </c>
      <c r="G986">
        <f t="shared" si="743"/>
        <v>217.90599999999998</v>
      </c>
      <c r="H986">
        <f t="shared" si="743"/>
        <v>211.3202</v>
      </c>
      <c r="I986">
        <f t="shared" si="743"/>
        <v>231.89760000000001</v>
      </c>
      <c r="J986">
        <f t="shared" si="743"/>
        <v>115.03679999999999</v>
      </c>
      <c r="K986">
        <f t="shared" si="743"/>
        <v>156.63</v>
      </c>
      <c r="L986">
        <f t="shared" si="743"/>
        <v>127.246</v>
      </c>
      <c r="M986">
        <f t="shared" si="743"/>
        <v>133.71428571428572</v>
      </c>
      <c r="N986">
        <f t="shared" si="743"/>
        <v>140.05714285714288</v>
      </c>
      <c r="O986">
        <f t="shared" si="743"/>
        <v>56.782857142857154</v>
      </c>
      <c r="P986">
        <f t="shared" si="743"/>
        <v>70.686530612244894</v>
      </c>
      <c r="Q986">
        <f t="shared" si="743"/>
        <v>140.51020408163265</v>
      </c>
      <c r="R986">
        <f t="shared" si="743"/>
        <v>79.326530612244909</v>
      </c>
      <c r="S986">
        <f t="shared" si="743"/>
        <v>139.00408163265308</v>
      </c>
      <c r="T986">
        <f t="shared" si="743"/>
        <v>101.86530612244898</v>
      </c>
      <c r="U986">
        <f t="shared" si="743"/>
        <v>73.714285714285708</v>
      </c>
      <c r="V986">
        <f t="shared" si="743"/>
        <v>108.72673469387753</v>
      </c>
      <c r="W986">
        <f t="shared" si="743"/>
        <v>135.95877551020408</v>
      </c>
      <c r="Y986" s="17">
        <f t="shared" si="730"/>
        <v>2910.0694346938781</v>
      </c>
      <c r="Z986">
        <f t="shared" si="731"/>
        <v>481.28270706743103</v>
      </c>
    </row>
    <row r="987" spans="1:26" x14ac:dyDescent="0.25">
      <c r="A987" t="s">
        <v>56</v>
      </c>
      <c r="D987">
        <f t="shared" ref="D987:W987" si="744">D195*D231</f>
        <v>298.3020408163265</v>
      </c>
      <c r="E987">
        <f t="shared" si="744"/>
        <v>178.8122448979592</v>
      </c>
      <c r="F987">
        <f t="shared" si="744"/>
        <v>188.08163265306121</v>
      </c>
      <c r="G987">
        <f t="shared" si="744"/>
        <v>145.19999999999999</v>
      </c>
      <c r="H987">
        <f t="shared" si="744"/>
        <v>92.644489795918375</v>
      </c>
      <c r="I987">
        <f t="shared" si="744"/>
        <v>88.894693877551006</v>
      </c>
      <c r="J987">
        <f t="shared" si="744"/>
        <v>86.703673469387766</v>
      </c>
      <c r="K987">
        <f t="shared" si="744"/>
        <v>124.74183673469388</v>
      </c>
      <c r="L987">
        <f t="shared" si="744"/>
        <v>92.587500000000034</v>
      </c>
      <c r="M987">
        <f t="shared" si="744"/>
        <v>90.122448979591837</v>
      </c>
      <c r="N987">
        <f t="shared" si="744"/>
        <v>63.064285714285703</v>
      </c>
      <c r="O987">
        <f t="shared" si="744"/>
        <v>118.78163265306125</v>
      </c>
      <c r="P987">
        <f t="shared" si="744"/>
        <v>112.67714285714287</v>
      </c>
      <c r="Q987">
        <f t="shared" si="744"/>
        <v>63.503265306122465</v>
      </c>
      <c r="R987">
        <f t="shared" si="744"/>
        <v>171.31632653061223</v>
      </c>
      <c r="S987">
        <f t="shared" si="744"/>
        <v>206.87755102040816</v>
      </c>
      <c r="T987">
        <f t="shared" si="744"/>
        <v>143.5673469387755</v>
      </c>
      <c r="U987">
        <f t="shared" si="744"/>
        <v>97.302857142857164</v>
      </c>
      <c r="V987">
        <f t="shared" si="744"/>
        <v>133.34081632653061</v>
      </c>
      <c r="W987">
        <f t="shared" si="744"/>
        <v>86.526530612244898</v>
      </c>
      <c r="Y987" s="17">
        <f t="shared" si="730"/>
        <v>2583.0483163265312</v>
      </c>
      <c r="Z987">
        <f t="shared" si="731"/>
        <v>345.50910482012199</v>
      </c>
    </row>
    <row r="988" spans="1:26" x14ac:dyDescent="0.25">
      <c r="A988" t="s">
        <v>57</v>
      </c>
      <c r="D988">
        <f t="shared" ref="D988:W988" si="745">D196*D232</f>
        <v>179.59183673469389</v>
      </c>
      <c r="E988">
        <f t="shared" si="745"/>
        <v>137.03265306122449</v>
      </c>
      <c r="F988">
        <f t="shared" si="745"/>
        <v>104.08979591836737</v>
      </c>
      <c r="G988">
        <f t="shared" si="745"/>
        <v>109.10183673469385</v>
      </c>
      <c r="H988">
        <f t="shared" si="745"/>
        <v>72.078367346938776</v>
      </c>
      <c r="I988">
        <f t="shared" si="745"/>
        <v>92.238367346938801</v>
      </c>
      <c r="J988">
        <f t="shared" si="745"/>
        <v>85.642857142857153</v>
      </c>
      <c r="K988">
        <f t="shared" si="745"/>
        <v>64.910204081632656</v>
      </c>
      <c r="L988">
        <f t="shared" si="745"/>
        <v>86.34031250000001</v>
      </c>
      <c r="M988">
        <f t="shared" si="745"/>
        <v>82.71122448979591</v>
      </c>
      <c r="N988">
        <f t="shared" si="745"/>
        <v>97.72530612244897</v>
      </c>
      <c r="O988">
        <f t="shared" si="745"/>
        <v>65.119591836734699</v>
      </c>
      <c r="P988">
        <f t="shared" si="745"/>
        <v>108.58571428571427</v>
      </c>
      <c r="Q988">
        <f t="shared" si="745"/>
        <v>101.27836734693879</v>
      </c>
      <c r="R988">
        <f t="shared" si="745"/>
        <v>60.773877551020419</v>
      </c>
      <c r="S988">
        <f t="shared" si="745"/>
        <v>32.932040816326527</v>
      </c>
      <c r="T988">
        <f t="shared" si="745"/>
        <v>79.182857142857131</v>
      </c>
      <c r="U988">
        <f t="shared" si="745"/>
        <v>68.64</v>
      </c>
      <c r="V988">
        <f t="shared" si="745"/>
        <v>63.366530612244908</v>
      </c>
      <c r="W988">
        <f t="shared" si="745"/>
        <v>133.23673469387754</v>
      </c>
      <c r="Y988" s="17">
        <f t="shared" si="730"/>
        <v>1824.5784757653059</v>
      </c>
      <c r="Z988">
        <f t="shared" si="731"/>
        <v>246.44136343676809</v>
      </c>
    </row>
    <row r="989" spans="1:26" x14ac:dyDescent="0.25">
      <c r="A989" t="s">
        <v>58</v>
      </c>
      <c r="D989">
        <f t="shared" ref="D989:W989" si="746">D197*D233</f>
        <v>150.20306122448977</v>
      </c>
      <c r="E989">
        <f t="shared" si="746"/>
        <v>150.75510204081633</v>
      </c>
      <c r="F989">
        <f t="shared" si="746"/>
        <v>168.91836734693877</v>
      </c>
      <c r="G989">
        <f t="shared" si="746"/>
        <v>107.39999999999999</v>
      </c>
      <c r="H989">
        <f t="shared" si="746"/>
        <v>97.12653061224492</v>
      </c>
      <c r="I989">
        <f t="shared" si="746"/>
        <v>58.814693877551022</v>
      </c>
      <c r="J989">
        <f t="shared" si="746"/>
        <v>96.308571428571412</v>
      </c>
      <c r="K989">
        <f t="shared" si="746"/>
        <v>110.28163265306122</v>
      </c>
      <c r="L989">
        <f t="shared" si="746"/>
        <v>80.954999999999998</v>
      </c>
      <c r="M989">
        <f t="shared" si="746"/>
        <v>102.82775510204084</v>
      </c>
      <c r="N989">
        <f t="shared" si="746"/>
        <v>72.637755102040828</v>
      </c>
      <c r="O989">
        <f t="shared" si="746"/>
        <v>50.464285714285715</v>
      </c>
      <c r="P989">
        <f t="shared" si="746"/>
        <v>84.924489795918362</v>
      </c>
      <c r="Q989">
        <f t="shared" si="746"/>
        <v>42.891020408163271</v>
      </c>
      <c r="R989">
        <f t="shared" si="746"/>
        <v>58.556326530612246</v>
      </c>
      <c r="S989">
        <f t="shared" si="746"/>
        <v>51.059999999999995</v>
      </c>
      <c r="T989">
        <f t="shared" si="746"/>
        <v>69.11999999999999</v>
      </c>
      <c r="U989">
        <f t="shared" si="746"/>
        <v>113.78938775510204</v>
      </c>
      <c r="V989">
        <f t="shared" si="746"/>
        <v>85.544081632653047</v>
      </c>
      <c r="W989">
        <f t="shared" si="746"/>
        <v>73.752653061224478</v>
      </c>
      <c r="Y989" s="17">
        <f t="shared" si="730"/>
        <v>1826.3307142857143</v>
      </c>
      <c r="Z989">
        <f t="shared" si="731"/>
        <v>269.94246047687739</v>
      </c>
    </row>
    <row r="990" spans="1:26" x14ac:dyDescent="0.25">
      <c r="A990" t="s">
        <v>59</v>
      </c>
      <c r="D990">
        <f t="shared" ref="D990:W990" si="747">D198*D234</f>
        <v>142.0408163265306</v>
      </c>
      <c r="E990">
        <f t="shared" si="747"/>
        <v>175.20408163265304</v>
      </c>
      <c r="F990">
        <f t="shared" si="747"/>
        <v>109.19428571428571</v>
      </c>
      <c r="G990">
        <f t="shared" si="747"/>
        <v>86.754081632653055</v>
      </c>
      <c r="H990">
        <f t="shared" si="747"/>
        <v>111.12714285714287</v>
      </c>
      <c r="I990">
        <f t="shared" si="747"/>
        <v>101.73061224489797</v>
      </c>
      <c r="J990">
        <f t="shared" si="747"/>
        <v>96.51081632653063</v>
      </c>
      <c r="K990">
        <f t="shared" si="747"/>
        <v>104.47489795918369</v>
      </c>
      <c r="L990">
        <f t="shared" si="747"/>
        <v>84.638775510204084</v>
      </c>
      <c r="M990">
        <f t="shared" si="747"/>
        <v>66.377142857142857</v>
      </c>
      <c r="N990">
        <f t="shared" si="747"/>
        <v>86.21877551020404</v>
      </c>
      <c r="O990">
        <f t="shared" si="747"/>
        <v>81.832653061224505</v>
      </c>
      <c r="P990">
        <f t="shared" si="747"/>
        <v>85.267346938775503</v>
      </c>
      <c r="Q990">
        <f t="shared" si="747"/>
        <v>51.191428571428581</v>
      </c>
      <c r="R990">
        <f t="shared" si="747"/>
        <v>72.414693877551016</v>
      </c>
      <c r="S990">
        <f t="shared" si="747"/>
        <v>153.48979591836735</v>
      </c>
      <c r="T990">
        <f t="shared" si="747"/>
        <v>186.85714285714286</v>
      </c>
      <c r="U990">
        <f t="shared" si="747"/>
        <v>95.062448979591835</v>
      </c>
      <c r="V990">
        <f t="shared" si="747"/>
        <v>99.68</v>
      </c>
      <c r="W990">
        <f t="shared" si="747"/>
        <v>111.49775510204078</v>
      </c>
      <c r="Y990" s="17">
        <f t="shared" si="730"/>
        <v>2101.5646938775508</v>
      </c>
      <c r="Z990">
        <f t="shared" si="731"/>
        <v>257.33708769199427</v>
      </c>
    </row>
    <row r="991" spans="1:26" x14ac:dyDescent="0.25">
      <c r="A991" t="s">
        <v>60</v>
      </c>
      <c r="D991">
        <f t="shared" ref="D991:W991" si="748">D199*D235</f>
        <v>122.53673469387756</v>
      </c>
      <c r="E991">
        <f t="shared" si="748"/>
        <v>139.12244897959184</v>
      </c>
      <c r="F991">
        <f t="shared" si="748"/>
        <v>113.21632653061225</v>
      </c>
      <c r="G991">
        <f t="shared" si="748"/>
        <v>99.679591836734701</v>
      </c>
      <c r="H991">
        <f t="shared" si="748"/>
        <v>65.641224489795917</v>
      </c>
      <c r="I991">
        <f t="shared" si="748"/>
        <v>94.711020408163265</v>
      </c>
      <c r="J991">
        <f t="shared" si="748"/>
        <v>102.1712244897959</v>
      </c>
      <c r="K991">
        <f t="shared" si="748"/>
        <v>132.6</v>
      </c>
      <c r="L991">
        <f t="shared" si="748"/>
        <v>87.305625000000006</v>
      </c>
      <c r="M991">
        <f t="shared" si="748"/>
        <v>88.527551020408168</v>
      </c>
      <c r="N991">
        <f t="shared" si="748"/>
        <v>67.314285714285703</v>
      </c>
      <c r="O991">
        <f t="shared" si="748"/>
        <v>52.408163265306115</v>
      </c>
      <c r="P991">
        <f t="shared" si="748"/>
        <v>88.193877551020393</v>
      </c>
      <c r="Q991">
        <f t="shared" si="748"/>
        <v>121.434693877551</v>
      </c>
      <c r="R991">
        <f t="shared" si="748"/>
        <v>99.855918367346945</v>
      </c>
      <c r="S991">
        <f t="shared" si="748"/>
        <v>93.250408163265277</v>
      </c>
      <c r="T991">
        <f t="shared" si="748"/>
        <v>132.89510204081631</v>
      </c>
      <c r="U991">
        <f t="shared" si="748"/>
        <v>123.01530612244896</v>
      </c>
      <c r="V991">
        <f t="shared" si="748"/>
        <v>32.592857142857142</v>
      </c>
      <c r="W991">
        <f t="shared" si="748"/>
        <v>76.750204081632646</v>
      </c>
      <c r="Y991" s="17">
        <f t="shared" si="730"/>
        <v>1933.2225637755098</v>
      </c>
      <c r="Z991">
        <f t="shared" si="731"/>
        <v>257.18914249739731</v>
      </c>
    </row>
    <row r="992" spans="1:26" x14ac:dyDescent="0.25">
      <c r="A992" t="s">
        <v>61</v>
      </c>
      <c r="D992">
        <f t="shared" ref="D992:W992" si="749">D200*D236</f>
        <v>235.42857142857142</v>
      </c>
      <c r="E992">
        <f t="shared" si="749"/>
        <v>202.0408163265306</v>
      </c>
      <c r="F992">
        <f t="shared" si="749"/>
        <v>141.58775510204083</v>
      </c>
      <c r="G992">
        <f t="shared" si="749"/>
        <v>195.81632653061226</v>
      </c>
      <c r="H992">
        <f t="shared" si="749"/>
        <v>146.75510204081633</v>
      </c>
      <c r="I992">
        <f t="shared" si="749"/>
        <v>125.38775510204081</v>
      </c>
      <c r="J992">
        <f t="shared" si="749"/>
        <v>128.39510204081631</v>
      </c>
      <c r="K992">
        <f t="shared" si="749"/>
        <v>102.04999999999998</v>
      </c>
      <c r="L992">
        <f t="shared" si="749"/>
        <v>79.61218749999999</v>
      </c>
      <c r="M992">
        <f t="shared" si="749"/>
        <v>245.85599999999997</v>
      </c>
      <c r="N992">
        <f t="shared" si="749"/>
        <v>326.04000000000002</v>
      </c>
      <c r="O992">
        <f t="shared" si="749"/>
        <v>284.12057142857134</v>
      </c>
      <c r="P992">
        <f t="shared" si="749"/>
        <v>253.65785714285713</v>
      </c>
      <c r="Q992">
        <f t="shared" si="749"/>
        <v>299.55257142857135</v>
      </c>
      <c r="R992">
        <f t="shared" si="749"/>
        <v>259.65085714285721</v>
      </c>
      <c r="S992">
        <f t="shared" si="749"/>
        <v>353.96999999999997</v>
      </c>
      <c r="T992">
        <f t="shared" si="749"/>
        <v>999.99673469387778</v>
      </c>
      <c r="U992">
        <f t="shared" si="749"/>
        <v>1094.6546938775512</v>
      </c>
      <c r="V992">
        <f t="shared" si="749"/>
        <v>1167.7955102040817</v>
      </c>
      <c r="W992">
        <f t="shared" si="749"/>
        <v>1332.658163265306</v>
      </c>
      <c r="Y992" s="17">
        <f t="shared" si="730"/>
        <v>7975.0265752551013</v>
      </c>
      <c r="Z992">
        <f t="shared" si="731"/>
        <v>141.03102105515489</v>
      </c>
    </row>
    <row r="993" spans="1:26" x14ac:dyDescent="0.25">
      <c r="A993" t="s">
        <v>62</v>
      </c>
      <c r="D993">
        <f t="shared" ref="D993:W993" si="750">D201*D237</f>
        <v>565.71428571428578</v>
      </c>
      <c r="E993">
        <f t="shared" si="750"/>
        <v>515.86530612244906</v>
      </c>
      <c r="F993">
        <f t="shared" si="750"/>
        <v>467.90204081632652</v>
      </c>
      <c r="G993">
        <f t="shared" si="750"/>
        <v>430.45918367346934</v>
      </c>
      <c r="H993">
        <f t="shared" si="750"/>
        <v>303.44530612244893</v>
      </c>
      <c r="I993">
        <f t="shared" si="750"/>
        <v>329.25428571428574</v>
      </c>
      <c r="J993">
        <f t="shared" si="750"/>
        <v>269.94183673469388</v>
      </c>
      <c r="K993">
        <f t="shared" si="750"/>
        <v>242.3387755102041</v>
      </c>
      <c r="L993">
        <f t="shared" si="750"/>
        <v>282.81296875000004</v>
      </c>
      <c r="M993">
        <f t="shared" si="750"/>
        <v>76.827255102040823</v>
      </c>
      <c r="N993">
        <f t="shared" si="750"/>
        <v>83.497991836734712</v>
      </c>
      <c r="O993">
        <f t="shared" si="750"/>
        <v>65.465991836734702</v>
      </c>
      <c r="P993">
        <f t="shared" si="750"/>
        <v>78.865510204081616</v>
      </c>
      <c r="Q993">
        <f t="shared" si="750"/>
        <v>65.231187755102042</v>
      </c>
      <c r="R993">
        <f t="shared" si="750"/>
        <v>12.736855102040819</v>
      </c>
      <c r="S993">
        <f t="shared" si="750"/>
        <v>9.6956612244897968</v>
      </c>
      <c r="T993">
        <f t="shared" si="750"/>
        <v>51.389012244897955</v>
      </c>
      <c r="U993">
        <f t="shared" si="750"/>
        <v>87.135084642857137</v>
      </c>
      <c r="V993">
        <f t="shared" si="750"/>
        <v>91.919262857142868</v>
      </c>
      <c r="W993">
        <f t="shared" si="750"/>
        <v>111.05583035714287</v>
      </c>
      <c r="Y993" s="17">
        <f t="shared" si="730"/>
        <v>4141.5536323214283</v>
      </c>
      <c r="Z993">
        <f t="shared" si="731"/>
        <v>926.22473454725105</v>
      </c>
    </row>
    <row r="994" spans="1:26" x14ac:dyDescent="0.25">
      <c r="A994" t="s">
        <v>63</v>
      </c>
      <c r="D994">
        <f t="shared" ref="D994:W994" si="751">D202*D238</f>
        <v>179.32603869897957</v>
      </c>
      <c r="E994">
        <f t="shared" si="751"/>
        <v>15.829695918367349</v>
      </c>
      <c r="F994">
        <f t="shared" si="751"/>
        <v>156.1635479591836</v>
      </c>
      <c r="G994">
        <f t="shared" si="751"/>
        <v>152.0776645408163</v>
      </c>
      <c r="H994">
        <f t="shared" si="751"/>
        <v>26.643397959183673</v>
      </c>
      <c r="I994">
        <f t="shared" si="751"/>
        <v>57.792085714285726</v>
      </c>
      <c r="J994">
        <f t="shared" si="751"/>
        <v>72.19366530612244</v>
      </c>
      <c r="K994">
        <f t="shared" si="751"/>
        <v>88.057469387755077</v>
      </c>
      <c r="L994">
        <f t="shared" si="751"/>
        <v>80.86</v>
      </c>
      <c r="M994">
        <f t="shared" si="751"/>
        <v>89.18095918367348</v>
      </c>
      <c r="N994">
        <f t="shared" si="751"/>
        <v>85.923551020408169</v>
      </c>
      <c r="O994">
        <f t="shared" si="751"/>
        <v>91.194071428571434</v>
      </c>
      <c r="P994">
        <f t="shared" si="751"/>
        <v>66.526525510204081</v>
      </c>
      <c r="Q994">
        <f t="shared" si="751"/>
        <v>79.618846938775533</v>
      </c>
      <c r="R994">
        <f t="shared" si="751"/>
        <v>84.200540816326537</v>
      </c>
      <c r="S994">
        <f t="shared" si="751"/>
        <v>108.55625000000002</v>
      </c>
      <c r="T994">
        <f t="shared" si="751"/>
        <v>119.06938775510206</v>
      </c>
      <c r="U994">
        <f t="shared" si="751"/>
        <v>101.26555357142858</v>
      </c>
      <c r="V994">
        <f t="shared" si="751"/>
        <v>121.02747959183674</v>
      </c>
      <c r="W994">
        <f t="shared" si="751"/>
        <v>150.92600765306122</v>
      </c>
      <c r="Y994" s="17">
        <f t="shared" si="730"/>
        <v>1926.4327389540817</v>
      </c>
      <c r="Z994">
        <f t="shared" si="731"/>
        <v>205.08756133072063</v>
      </c>
    </row>
    <row r="995" spans="1:26" x14ac:dyDescent="0.25">
      <c r="A995" t="s">
        <v>64</v>
      </c>
      <c r="D995">
        <f t="shared" ref="D995:W995" si="752">D203*D239</f>
        <v>204.19064540816325</v>
      </c>
      <c r="E995">
        <f t="shared" si="752"/>
        <v>201.20210714285713</v>
      </c>
      <c r="F995">
        <f t="shared" si="752"/>
        <v>180.75</v>
      </c>
      <c r="G995">
        <f t="shared" si="752"/>
        <v>166.79984693877552</v>
      </c>
      <c r="H995">
        <f t="shared" si="752"/>
        <v>114.47693877551021</v>
      </c>
      <c r="I995">
        <f t="shared" si="752"/>
        <v>136.18942857142855</v>
      </c>
      <c r="J995">
        <f t="shared" si="752"/>
        <v>101.44092857142859</v>
      </c>
      <c r="K995">
        <f t="shared" si="752"/>
        <v>104.54066326530612</v>
      </c>
      <c r="L995">
        <f t="shared" si="752"/>
        <v>111.7484453125</v>
      </c>
      <c r="M995">
        <f t="shared" si="752"/>
        <v>115.0824489795918</v>
      </c>
      <c r="N995">
        <f t="shared" si="752"/>
        <v>78.114489795918345</v>
      </c>
      <c r="O995">
        <f t="shared" si="752"/>
        <v>68.364285714285714</v>
      </c>
      <c r="P995">
        <f t="shared" si="752"/>
        <v>107.66755102040815</v>
      </c>
      <c r="Q995">
        <f t="shared" si="752"/>
        <v>133.37061224489796</v>
      </c>
      <c r="R995">
        <f t="shared" si="752"/>
        <v>171.42244897959182</v>
      </c>
      <c r="S995">
        <f t="shared" si="752"/>
        <v>106.58204081632654</v>
      </c>
      <c r="T995">
        <f t="shared" si="752"/>
        <v>120.56816326530613</v>
      </c>
      <c r="U995">
        <f t="shared" si="752"/>
        <v>131.0469387755102</v>
      </c>
      <c r="V995">
        <f t="shared" si="752"/>
        <v>104.85</v>
      </c>
      <c r="W995">
        <f t="shared" si="752"/>
        <v>118.6142857142857</v>
      </c>
      <c r="Y995" s="17">
        <f t="shared" si="730"/>
        <v>2577.0222692920925</v>
      </c>
      <c r="Z995">
        <f t="shared" si="731"/>
        <v>356.51633067098271</v>
      </c>
    </row>
    <row r="996" spans="1:26" x14ac:dyDescent="0.25">
      <c r="A996" t="s">
        <v>65</v>
      </c>
      <c r="D996">
        <f t="shared" ref="D996:W996" si="753">D204*D240</f>
        <v>225.3208163265306</v>
      </c>
      <c r="E996">
        <f t="shared" si="753"/>
        <v>237.04897959183668</v>
      </c>
      <c r="F996">
        <f t="shared" si="753"/>
        <v>115.53061224489795</v>
      </c>
      <c r="G996">
        <f t="shared" si="753"/>
        <v>70.530204081632633</v>
      </c>
      <c r="H996">
        <f t="shared" si="753"/>
        <v>117.80204081632652</v>
      </c>
      <c r="I996">
        <f t="shared" si="753"/>
        <v>138.08163265306118</v>
      </c>
      <c r="J996">
        <f t="shared" si="753"/>
        <v>94.805714285714302</v>
      </c>
      <c r="K996">
        <f t="shared" si="753"/>
        <v>105.01224489795918</v>
      </c>
      <c r="L996">
        <f t="shared" si="753"/>
        <v>101.96484375000001</v>
      </c>
      <c r="M996">
        <f t="shared" si="753"/>
        <v>109.86938775510203</v>
      </c>
      <c r="N996">
        <f t="shared" si="753"/>
        <v>96.791836734693902</v>
      </c>
      <c r="O996">
        <f t="shared" si="753"/>
        <v>86.110204081632659</v>
      </c>
      <c r="P996">
        <f t="shared" si="753"/>
        <v>46.828163265306124</v>
      </c>
      <c r="Q996">
        <f t="shared" si="753"/>
        <v>104.30571428571427</v>
      </c>
      <c r="R996">
        <f t="shared" si="753"/>
        <v>67.685714285714269</v>
      </c>
      <c r="S996">
        <f t="shared" si="753"/>
        <v>63.41591836734694</v>
      </c>
      <c r="T996">
        <f t="shared" si="753"/>
        <v>63.822857142857139</v>
      </c>
      <c r="U996">
        <f t="shared" si="753"/>
        <v>45.012857142857136</v>
      </c>
      <c r="V996">
        <f t="shared" si="753"/>
        <v>104.36428571428571</v>
      </c>
      <c r="W996">
        <f t="shared" si="753"/>
        <v>117.81224489795915</v>
      </c>
      <c r="Y996" s="17">
        <f t="shared" si="730"/>
        <v>2112.1162723214284</v>
      </c>
      <c r="Z996">
        <f t="shared" si="731"/>
        <v>351.29069774398801</v>
      </c>
    </row>
    <row r="997" spans="1:26" x14ac:dyDescent="0.25">
      <c r="A997" t="s">
        <v>66</v>
      </c>
      <c r="D997">
        <f t="shared" ref="D997:W997" si="754">D205*D241</f>
        <v>162.85714285714289</v>
      </c>
      <c r="E997">
        <f t="shared" si="754"/>
        <v>126.81857142857142</v>
      </c>
      <c r="F997">
        <f t="shared" si="754"/>
        <v>117.13</v>
      </c>
      <c r="G997">
        <f t="shared" si="754"/>
        <v>131.86938775510203</v>
      </c>
      <c r="H997">
        <f t="shared" si="754"/>
        <v>96.82</v>
      </c>
      <c r="I997">
        <f t="shared" si="754"/>
        <v>143.17714285714283</v>
      </c>
      <c r="J997">
        <f t="shared" si="754"/>
        <v>190.7608163265306</v>
      </c>
      <c r="K997">
        <f t="shared" si="754"/>
        <v>162.55102040816325</v>
      </c>
      <c r="L997">
        <f t="shared" si="754"/>
        <v>92.21437499999999</v>
      </c>
      <c r="M997">
        <f t="shared" si="754"/>
        <v>99.965306122448965</v>
      </c>
      <c r="N997">
        <f t="shared" si="754"/>
        <v>169.14857142857139</v>
      </c>
      <c r="O997">
        <f t="shared" si="754"/>
        <v>191.57244897959183</v>
      </c>
      <c r="P997">
        <f t="shared" si="754"/>
        <v>107.87999999999998</v>
      </c>
      <c r="Q997">
        <f t="shared" si="754"/>
        <v>80.596326530612231</v>
      </c>
      <c r="R997">
        <f t="shared" si="754"/>
        <v>87.824897959183687</v>
      </c>
      <c r="S997">
        <f t="shared" si="754"/>
        <v>107.82857142857144</v>
      </c>
      <c r="T997">
        <f t="shared" si="754"/>
        <v>106.46938775510203</v>
      </c>
      <c r="U997">
        <f t="shared" si="754"/>
        <v>133.69775510204082</v>
      </c>
      <c r="V997">
        <f t="shared" si="754"/>
        <v>110.1130612244898</v>
      </c>
      <c r="W997">
        <f t="shared" si="754"/>
        <v>96.411428571428559</v>
      </c>
      <c r="Y997" s="17">
        <f t="shared" si="730"/>
        <v>2515.7062117346941</v>
      </c>
      <c r="Z997">
        <f t="shared" si="731"/>
        <v>303.88555134333012</v>
      </c>
    </row>
    <row r="998" spans="1:26" x14ac:dyDescent="0.25">
      <c r="A998" t="s">
        <v>67</v>
      </c>
      <c r="D998">
        <f t="shared" ref="D998:W998" si="755">D206*D242</f>
        <v>126.81959183673469</v>
      </c>
      <c r="E998">
        <f t="shared" si="755"/>
        <v>191.989387755102</v>
      </c>
      <c r="F998">
        <f t="shared" si="755"/>
        <v>266.83306122448977</v>
      </c>
      <c r="G998">
        <f t="shared" si="755"/>
        <v>128.33142857142855</v>
      </c>
      <c r="H998">
        <f t="shared" si="755"/>
        <v>117.71755102040818</v>
      </c>
      <c r="I998">
        <f t="shared" si="755"/>
        <v>128.65816326530614</v>
      </c>
      <c r="J998">
        <f t="shared" si="755"/>
        <v>160.69959183673467</v>
      </c>
      <c r="K998">
        <f t="shared" si="755"/>
        <v>211.59999999999997</v>
      </c>
      <c r="L998">
        <f t="shared" si="755"/>
        <v>137.15836734693875</v>
      </c>
      <c r="M998">
        <f t="shared" si="755"/>
        <v>125.49489795918369</v>
      </c>
      <c r="N998">
        <f t="shared" si="755"/>
        <v>94.797551020408164</v>
      </c>
      <c r="O998">
        <f t="shared" si="755"/>
        <v>92.018775510204094</v>
      </c>
      <c r="P998">
        <f t="shared" si="755"/>
        <v>81.62</v>
      </c>
      <c r="Q998">
        <f t="shared" si="755"/>
        <v>116.11755102040816</v>
      </c>
      <c r="R998">
        <f t="shared" si="755"/>
        <v>142.08857142857147</v>
      </c>
      <c r="S998">
        <f t="shared" si="755"/>
        <v>79.005306122448999</v>
      </c>
      <c r="T998">
        <f t="shared" si="755"/>
        <v>97.579999999999984</v>
      </c>
      <c r="U998">
        <f t="shared" si="755"/>
        <v>118.31612244897957</v>
      </c>
      <c r="V998">
        <f t="shared" si="755"/>
        <v>123.15</v>
      </c>
      <c r="W998">
        <f t="shared" si="755"/>
        <v>107.38775510204081</v>
      </c>
      <c r="Y998" s="17">
        <f t="shared" si="730"/>
        <v>2647.3836734693878</v>
      </c>
      <c r="Z998">
        <f t="shared" si="731"/>
        <v>404.65000548891055</v>
      </c>
    </row>
    <row r="999" spans="1:26" x14ac:dyDescent="0.25">
      <c r="A999" t="s">
        <v>68</v>
      </c>
      <c r="D999">
        <f t="shared" ref="D999:W999" si="756">D207*D243</f>
        <v>225.73061224489797</v>
      </c>
      <c r="E999">
        <f t="shared" si="756"/>
        <v>234.52551020408168</v>
      </c>
      <c r="F999">
        <f t="shared" si="756"/>
        <v>460.70040816326525</v>
      </c>
      <c r="G999">
        <f t="shared" si="756"/>
        <v>292.46857142857147</v>
      </c>
      <c r="H999">
        <f t="shared" si="756"/>
        <v>301.67693877551017</v>
      </c>
      <c r="I999">
        <f t="shared" si="756"/>
        <v>160.91448979591837</v>
      </c>
      <c r="J999">
        <f t="shared" si="756"/>
        <v>71.130612244897961</v>
      </c>
      <c r="K999">
        <f t="shared" si="756"/>
        <v>75.131224489795926</v>
      </c>
      <c r="L999">
        <f t="shared" si="756"/>
        <v>129.572265625</v>
      </c>
      <c r="M999">
        <f t="shared" si="756"/>
        <v>53.72448979591838</v>
      </c>
      <c r="N999">
        <f t="shared" si="756"/>
        <v>74.303265306122427</v>
      </c>
      <c r="O999">
        <f t="shared" si="756"/>
        <v>63.998163265306118</v>
      </c>
      <c r="P999">
        <f t="shared" si="756"/>
        <v>104.81571428571431</v>
      </c>
      <c r="Q999">
        <f t="shared" si="756"/>
        <v>111.87857142857142</v>
      </c>
      <c r="R999">
        <f t="shared" si="756"/>
        <v>138.19591836734693</v>
      </c>
      <c r="S999">
        <f t="shared" si="756"/>
        <v>141.06857142857146</v>
      </c>
      <c r="T999">
        <f t="shared" si="756"/>
        <v>93.490612244897946</v>
      </c>
      <c r="U999">
        <f t="shared" si="756"/>
        <v>123.66775510204079</v>
      </c>
      <c r="V999">
        <f t="shared" si="756"/>
        <v>84.88551020408164</v>
      </c>
      <c r="W999">
        <f t="shared" si="756"/>
        <v>83.891020408163271</v>
      </c>
      <c r="Y999" s="17">
        <f t="shared" si="730"/>
        <v>3025.7702248086734</v>
      </c>
      <c r="Z999">
        <f t="shared" si="731"/>
        <v>539.37382274454944</v>
      </c>
    </row>
    <row r="1000" spans="1:26" x14ac:dyDescent="0.25">
      <c r="A1000" t="s">
        <v>69</v>
      </c>
      <c r="D1000">
        <f t="shared" ref="D1000:W1000" si="757">D208*D244</f>
        <v>175.85632653061222</v>
      </c>
      <c r="E1000">
        <f t="shared" si="757"/>
        <v>194.55081632653062</v>
      </c>
      <c r="F1000">
        <f t="shared" si="757"/>
        <v>189.19755102040816</v>
      </c>
      <c r="G1000">
        <f t="shared" si="757"/>
        <v>163.27469387755099</v>
      </c>
      <c r="H1000">
        <f t="shared" si="757"/>
        <v>192.21428571428572</v>
      </c>
      <c r="I1000">
        <f t="shared" si="757"/>
        <v>196.19142857142856</v>
      </c>
      <c r="J1000">
        <f t="shared" si="757"/>
        <v>103.12755102040818</v>
      </c>
      <c r="K1000">
        <f t="shared" si="757"/>
        <v>125.79061224489794</v>
      </c>
      <c r="L1000">
        <f t="shared" si="757"/>
        <v>96.952656250000004</v>
      </c>
      <c r="M1000">
        <f t="shared" si="757"/>
        <v>108.98724489795917</v>
      </c>
      <c r="N1000">
        <f t="shared" si="757"/>
        <v>44.470408163265297</v>
      </c>
      <c r="O1000">
        <f t="shared" si="757"/>
        <v>69.171122448979617</v>
      </c>
      <c r="P1000">
        <f t="shared" si="757"/>
        <v>77.373877551020399</v>
      </c>
      <c r="Q1000">
        <f t="shared" si="757"/>
        <v>73.748163265306133</v>
      </c>
      <c r="R1000">
        <f t="shared" si="757"/>
        <v>38.340312500000003</v>
      </c>
      <c r="S1000">
        <f t="shared" si="757"/>
        <v>82.346326530612259</v>
      </c>
      <c r="T1000">
        <f t="shared" si="757"/>
        <v>95.218775510204068</v>
      </c>
      <c r="U1000">
        <f t="shared" si="757"/>
        <v>90.505102040816325</v>
      </c>
      <c r="V1000">
        <f t="shared" si="757"/>
        <v>72.636326530612251</v>
      </c>
      <c r="W1000">
        <f t="shared" si="757"/>
        <v>75.795918367346943</v>
      </c>
      <c r="Y1000" s="17">
        <f t="shared" si="730"/>
        <v>2265.7494993622449</v>
      </c>
      <c r="Z1000">
        <f t="shared" si="731"/>
        <v>397.58893414739885</v>
      </c>
    </row>
    <row r="1001" spans="1:26" x14ac:dyDescent="0.25">
      <c r="Y1001" s="17"/>
    </row>
    <row r="1002" spans="1:26" x14ac:dyDescent="0.25">
      <c r="A1002" t="s">
        <v>70</v>
      </c>
      <c r="D1002">
        <f t="shared" ref="D1002:W1002" si="758">D210*D246</f>
        <v>153.7979591836735</v>
      </c>
      <c r="E1002">
        <f t="shared" si="758"/>
        <v>141.2375510204082</v>
      </c>
      <c r="F1002">
        <f t="shared" si="758"/>
        <v>171.36469387755102</v>
      </c>
      <c r="G1002">
        <f t="shared" si="758"/>
        <v>122.55908163265305</v>
      </c>
      <c r="H1002">
        <f t="shared" si="758"/>
        <v>148.05612244897958</v>
      </c>
      <c r="I1002">
        <f t="shared" si="758"/>
        <v>181.12285714285716</v>
      </c>
      <c r="J1002">
        <f t="shared" si="758"/>
        <v>167.77755102040817</v>
      </c>
      <c r="K1002">
        <f t="shared" si="758"/>
        <v>161.17573979591839</v>
      </c>
      <c r="L1002">
        <f t="shared" si="758"/>
        <v>86.961874999999978</v>
      </c>
      <c r="M1002">
        <f t="shared" si="758"/>
        <v>90.245428571428562</v>
      </c>
      <c r="N1002">
        <f t="shared" si="758"/>
        <v>96.632448979591842</v>
      </c>
      <c r="O1002">
        <f t="shared" si="758"/>
        <v>100.56122448979592</v>
      </c>
      <c r="P1002">
        <f t="shared" si="758"/>
        <v>78.69142857142856</v>
      </c>
      <c r="Q1002">
        <f t="shared" si="758"/>
        <v>177.56326530612245</v>
      </c>
      <c r="R1002">
        <f t="shared" si="758"/>
        <v>132.4542857142857</v>
      </c>
      <c r="S1002">
        <f t="shared" si="758"/>
        <v>129.43891558441558</v>
      </c>
      <c r="T1002">
        <f t="shared" si="758"/>
        <v>143.9687755102041</v>
      </c>
      <c r="U1002">
        <f t="shared" si="758"/>
        <v>98.253061224489784</v>
      </c>
      <c r="V1002">
        <f t="shared" si="758"/>
        <v>107.64081632653063</v>
      </c>
      <c r="W1002">
        <f t="shared" si="758"/>
        <v>166.25408163265305</v>
      </c>
      <c r="Y1002" s="17">
        <f t="shared" si="730"/>
        <v>2655.7571630333955</v>
      </c>
      <c r="Z1002">
        <f>SUMPRODUCT($D$1006:$W$1006,D1002:W1002)</f>
        <v>339.77273683811836</v>
      </c>
    </row>
    <row r="1003" spans="1:26" x14ac:dyDescent="0.25">
      <c r="A1003" t="s">
        <v>314</v>
      </c>
      <c r="D1003">
        <f t="shared" ref="D1003:W1003" si="759">D211*D247</f>
        <v>292.35775510204076</v>
      </c>
      <c r="E1003">
        <f t="shared" si="759"/>
        <v>260.80408163265309</v>
      </c>
      <c r="F1003">
        <f t="shared" si="759"/>
        <v>161.88897959183674</v>
      </c>
      <c r="G1003">
        <f t="shared" si="759"/>
        <v>154.05551020408166</v>
      </c>
      <c r="H1003">
        <f t="shared" si="759"/>
        <v>179.89469387755099</v>
      </c>
      <c r="I1003">
        <f t="shared" si="759"/>
        <v>158.39938775510203</v>
      </c>
      <c r="J1003">
        <f t="shared" si="759"/>
        <v>119.87999999999998</v>
      </c>
      <c r="K1003">
        <f t="shared" si="759"/>
        <v>111.28775510204083</v>
      </c>
      <c r="L1003">
        <f t="shared" si="759"/>
        <v>127.09890625000001</v>
      </c>
      <c r="M1003">
        <f t="shared" si="759"/>
        <v>164.35000000000002</v>
      </c>
      <c r="N1003">
        <f t="shared" si="759"/>
        <v>124.694693877551</v>
      </c>
      <c r="O1003">
        <f t="shared" si="759"/>
        <v>101.6338775510204</v>
      </c>
      <c r="P1003">
        <f t="shared" si="759"/>
        <v>227.2</v>
      </c>
      <c r="Q1003">
        <f t="shared" si="759"/>
        <v>156.78</v>
      </c>
      <c r="R1003">
        <f t="shared" si="759"/>
        <v>136.85</v>
      </c>
      <c r="S1003">
        <f t="shared" si="759"/>
        <v>134.56</v>
      </c>
      <c r="T1003">
        <f t="shared" si="759"/>
        <v>176.69877551020411</v>
      </c>
      <c r="U1003">
        <f t="shared" si="759"/>
        <v>129.47591836734694</v>
      </c>
      <c r="V1003">
        <f t="shared" si="759"/>
        <v>99.565714285714293</v>
      </c>
      <c r="W1003">
        <f t="shared" si="759"/>
        <v>157.23265306122448</v>
      </c>
      <c r="Y1003" s="17">
        <f t="shared" si="730"/>
        <v>3174.7087021683669</v>
      </c>
      <c r="Z1003">
        <f>SUMPRODUCT($D$1006:$W$1006,D1003:W1003)</f>
        <v>419.5075075921165</v>
      </c>
    </row>
    <row r="1004" spans="1:26" x14ac:dyDescent="0.25">
      <c r="A1004" t="s">
        <v>315</v>
      </c>
      <c r="D1004">
        <f t="shared" ref="D1004:W1004" si="760">D212*D248</f>
        <v>277.9028571428571</v>
      </c>
      <c r="E1004">
        <f t="shared" si="760"/>
        <v>235.85877551020408</v>
      </c>
      <c r="F1004">
        <f t="shared" si="760"/>
        <v>396.2624489795918</v>
      </c>
      <c r="G1004">
        <f t="shared" si="760"/>
        <v>191.31428571428572</v>
      </c>
      <c r="H1004">
        <f t="shared" si="760"/>
        <v>197.00000000000003</v>
      </c>
      <c r="I1004">
        <f t="shared" si="760"/>
        <v>126.58163265306122</v>
      </c>
      <c r="J1004">
        <f t="shared" si="760"/>
        <v>197.33857142857141</v>
      </c>
      <c r="K1004">
        <f t="shared" si="760"/>
        <v>98.675510204081633</v>
      </c>
      <c r="L1004">
        <f t="shared" si="760"/>
        <v>59.477031249999996</v>
      </c>
      <c r="M1004">
        <f t="shared" si="760"/>
        <v>92.960000000000008</v>
      </c>
      <c r="N1004">
        <f t="shared" si="760"/>
        <v>125.96000000000001</v>
      </c>
      <c r="O1004">
        <f t="shared" si="760"/>
        <v>88.56</v>
      </c>
      <c r="P1004">
        <f t="shared" si="760"/>
        <v>103.93373027990361</v>
      </c>
      <c r="Q1004">
        <f t="shared" si="760"/>
        <v>119.67950255208332</v>
      </c>
      <c r="R1004">
        <f t="shared" si="760"/>
        <v>112.1819404606009</v>
      </c>
      <c r="S1004">
        <f t="shared" si="760"/>
        <v>113.21944633822282</v>
      </c>
      <c r="T1004">
        <f t="shared" si="760"/>
        <v>182.04857142857142</v>
      </c>
      <c r="U1004">
        <f t="shared" si="760"/>
        <v>136.31918367346938</v>
      </c>
      <c r="V1004">
        <f t="shared" si="760"/>
        <v>142.78408163265306</v>
      </c>
      <c r="W1004">
        <f t="shared" si="760"/>
        <v>172.44</v>
      </c>
      <c r="Y1004" s="17">
        <f t="shared" si="730"/>
        <v>3170.4975692481576</v>
      </c>
      <c r="Z1004">
        <f>SUMPRODUCT($D$1006:$W$1006,D1004:W1004)</f>
        <v>437.36325257308886</v>
      </c>
    </row>
    <row r="1005" spans="1:26" x14ac:dyDescent="0.25">
      <c r="A1005" t="s">
        <v>677</v>
      </c>
      <c r="D1005">
        <f t="shared" ref="D1005:W1005" si="761">D213*D249</f>
        <v>215.64081632653068</v>
      </c>
      <c r="E1005">
        <f t="shared" si="761"/>
        <v>203.12571428571431</v>
      </c>
      <c r="F1005">
        <f t="shared" si="761"/>
        <v>196.44612244897959</v>
      </c>
      <c r="G1005">
        <f t="shared" si="761"/>
        <v>192.00734693877553</v>
      </c>
      <c r="H1005">
        <f t="shared" si="761"/>
        <v>127.80857142857143</v>
      </c>
      <c r="I1005">
        <f t="shared" si="761"/>
        <v>125.19428571428571</v>
      </c>
      <c r="J1005">
        <f t="shared" si="761"/>
        <v>84.375918367346941</v>
      </c>
      <c r="K1005">
        <f t="shared" si="761"/>
        <v>61.26612244897958</v>
      </c>
      <c r="L1005">
        <f t="shared" si="761"/>
        <v>66.554999999999993</v>
      </c>
      <c r="M1005">
        <f t="shared" si="761"/>
        <v>128.50408163265308</v>
      </c>
      <c r="N1005">
        <f t="shared" si="761"/>
        <v>120.51428571428573</v>
      </c>
      <c r="O1005">
        <f t="shared" si="761"/>
        <v>33.967346938775513</v>
      </c>
      <c r="P1005">
        <f t="shared" si="761"/>
        <v>77.111836734693881</v>
      </c>
      <c r="Q1005">
        <f t="shared" si="761"/>
        <v>135.96653061224487</v>
      </c>
      <c r="R1005">
        <f t="shared" si="761"/>
        <v>63.842448979591843</v>
      </c>
      <c r="S1005">
        <f t="shared" si="761"/>
        <v>86.407946428571449</v>
      </c>
      <c r="T1005">
        <f t="shared" si="761"/>
        <v>149.05723968966097</v>
      </c>
      <c r="U1005">
        <f t="shared" si="761"/>
        <v>141.49611211755774</v>
      </c>
      <c r="V1005">
        <f t="shared" si="761"/>
        <v>142.12221626918537</v>
      </c>
      <c r="W1005">
        <f t="shared" si="761"/>
        <v>167.06597631556761</v>
      </c>
      <c r="Y1005" s="17">
        <f t="shared" ref="Y1005" si="762">SUM(D1005:W1005)</f>
        <v>2518.4759193919722</v>
      </c>
      <c r="Z1005">
        <f>SUMPRODUCT($D$1006:$W$1006,D1005:W1005)</f>
        <v>334.76328805742151</v>
      </c>
    </row>
    <row r="1006" spans="1:26" x14ac:dyDescent="0.25">
      <c r="A1006" s="2" t="s">
        <v>71</v>
      </c>
      <c r="D1006" s="3">
        <f>CORREL($B$2:$B$28,D974:D1000)</f>
        <v>0.27734240846052793</v>
      </c>
      <c r="E1006" s="3">
        <f t="shared" ref="E1006:W1006" si="763">CORREL($B$2:$B$28,E974:E1000)</f>
        <v>0.37722496840912856</v>
      </c>
      <c r="F1006" s="3">
        <f t="shared" si="763"/>
        <v>0.35730073236677262</v>
      </c>
      <c r="G1006" s="3">
        <f t="shared" si="763"/>
        <v>0.16093368492636698</v>
      </c>
      <c r="H1006" s="3">
        <f t="shared" si="763"/>
        <v>0.21130258150569345</v>
      </c>
      <c r="I1006" s="3">
        <f t="shared" si="763"/>
        <v>0.38146704399357217</v>
      </c>
      <c r="J1006" s="3">
        <f t="shared" si="763"/>
        <v>-0.19505823475138595</v>
      </c>
      <c r="K1006" s="3">
        <f t="shared" si="763"/>
        <v>0.41244523246224302</v>
      </c>
      <c r="L1006" s="3">
        <f t="shared" si="763"/>
        <v>0.36112203222856937</v>
      </c>
      <c r="M1006" s="3">
        <f t="shared" si="763"/>
        <v>0.1011345276370232</v>
      </c>
      <c r="N1006" s="3">
        <f t="shared" si="763"/>
        <v>4.4501460432513823E-2</v>
      </c>
      <c r="O1006" s="3">
        <f t="shared" si="763"/>
        <v>0.13203415880869437</v>
      </c>
      <c r="P1006" s="3">
        <f t="shared" si="763"/>
        <v>-8.0995814611020747E-2</v>
      </c>
      <c r="Q1006" s="3">
        <f t="shared" si="763"/>
        <v>0.10471443289050973</v>
      </c>
      <c r="R1006" s="3">
        <f t="shared" si="763"/>
        <v>-1.9013847251980041E-2</v>
      </c>
      <c r="S1006" s="3">
        <f t="shared" si="763"/>
        <v>-6.8516080737293414E-2</v>
      </c>
      <c r="T1006" s="3">
        <f t="shared" si="763"/>
        <v>-3.5661443122697138E-2</v>
      </c>
      <c r="U1006" s="3">
        <f t="shared" si="763"/>
        <v>-3.7445847221387447E-2</v>
      </c>
      <c r="V1006" s="3">
        <f t="shared" si="763"/>
        <v>-5.8389940568013304E-2</v>
      </c>
      <c r="W1006" s="3">
        <f t="shared" si="763"/>
        <v>-9.0719593613006855E-2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8"/>
  <sheetViews>
    <sheetView workbookViewId="0">
      <selection activeCell="J33" sqref="J33"/>
    </sheetView>
  </sheetViews>
  <sheetFormatPr defaultRowHeight="15" x14ac:dyDescent="0.25"/>
  <sheetData>
    <row r="1" spans="1:13" x14ac:dyDescent="0.25">
      <c r="A1" t="s">
        <v>452</v>
      </c>
      <c r="B1" t="s">
        <v>310</v>
      </c>
      <c r="C1" t="s">
        <v>32</v>
      </c>
      <c r="D1" t="s">
        <v>312</v>
      </c>
      <c r="E1" t="s">
        <v>311</v>
      </c>
    </row>
    <row r="2" spans="1:13" x14ac:dyDescent="0.25">
      <c r="A2" t="s">
        <v>43</v>
      </c>
      <c r="B2" s="1">
        <v>1688</v>
      </c>
      <c r="C2" s="6">
        <v>1</v>
      </c>
      <c r="D2">
        <f>$I$19+($I$20*C2)</f>
        <v>1396.3960395160395</v>
      </c>
      <c r="E2" s="21">
        <f>B2-D2</f>
        <v>291.60396048396046</v>
      </c>
    </row>
    <row r="3" spans="1:13" x14ac:dyDescent="0.25">
      <c r="A3" t="s">
        <v>44</v>
      </c>
      <c r="B3" s="1">
        <v>1365</v>
      </c>
      <c r="C3" s="6">
        <v>2</v>
      </c>
      <c r="D3">
        <f t="shared" ref="D3:D28" si="0">$I$19+($I$20*C3)</f>
        <v>1452.7148037148038</v>
      </c>
      <c r="E3" s="21">
        <f t="shared" ref="E3:E28" si="1">B3-D3</f>
        <v>-87.714803714803793</v>
      </c>
      <c r="H3" t="s">
        <v>316</v>
      </c>
    </row>
    <row r="4" spans="1:13" ht="15.75" thickBot="1" x14ac:dyDescent="0.3">
      <c r="A4" t="s">
        <v>45</v>
      </c>
      <c r="B4" s="1">
        <v>1894</v>
      </c>
      <c r="C4" s="6">
        <v>3</v>
      </c>
      <c r="D4">
        <f t="shared" si="0"/>
        <v>1509.0335679135678</v>
      </c>
      <c r="E4" s="21">
        <f t="shared" si="1"/>
        <v>384.96643208643218</v>
      </c>
    </row>
    <row r="5" spans="1:13" x14ac:dyDescent="0.25">
      <c r="A5" t="s">
        <v>46</v>
      </c>
      <c r="B5" s="1">
        <v>1611</v>
      </c>
      <c r="C5" s="6">
        <v>4</v>
      </c>
      <c r="D5">
        <f t="shared" si="0"/>
        <v>1565.3523321123321</v>
      </c>
      <c r="E5" s="21">
        <f t="shared" si="1"/>
        <v>45.647667887667922</v>
      </c>
      <c r="H5" s="20" t="s">
        <v>317</v>
      </c>
      <c r="I5" s="20"/>
    </row>
    <row r="6" spans="1:13" x14ac:dyDescent="0.25">
      <c r="A6" t="s">
        <v>47</v>
      </c>
      <c r="B6" s="1">
        <v>1715</v>
      </c>
      <c r="C6" s="6">
        <v>5</v>
      </c>
      <c r="D6">
        <f t="shared" si="0"/>
        <v>1621.6710963110963</v>
      </c>
      <c r="E6" s="21">
        <f t="shared" si="1"/>
        <v>93.328903688903665</v>
      </c>
      <c r="H6" s="4" t="s">
        <v>318</v>
      </c>
      <c r="I6" s="4">
        <v>0.85540230137735929</v>
      </c>
    </row>
    <row r="7" spans="1:13" x14ac:dyDescent="0.25">
      <c r="A7" t="s">
        <v>48</v>
      </c>
      <c r="B7" s="1">
        <v>1526</v>
      </c>
      <c r="C7" s="6">
        <v>6</v>
      </c>
      <c r="D7">
        <f t="shared" si="0"/>
        <v>1677.9898605098606</v>
      </c>
      <c r="E7" s="21">
        <f t="shared" si="1"/>
        <v>-151.98986050986059</v>
      </c>
      <c r="H7" s="4" t="s">
        <v>319</v>
      </c>
      <c r="I7" s="4">
        <v>0.73171309720168254</v>
      </c>
    </row>
    <row r="8" spans="1:13" x14ac:dyDescent="0.25">
      <c r="A8" t="s">
        <v>49</v>
      </c>
      <c r="B8" s="1">
        <v>1814</v>
      </c>
      <c r="C8" s="6">
        <v>7</v>
      </c>
      <c r="D8">
        <f t="shared" si="0"/>
        <v>1734.3086247086248</v>
      </c>
      <c r="E8" s="21">
        <f t="shared" si="1"/>
        <v>79.691375291375152</v>
      </c>
      <c r="H8" s="4" t="s">
        <v>320</v>
      </c>
      <c r="I8" s="4">
        <v>0.7205344762517526</v>
      </c>
    </row>
    <row r="9" spans="1:13" x14ac:dyDescent="0.25">
      <c r="A9" t="s">
        <v>50</v>
      </c>
      <c r="B9" s="1">
        <v>2084</v>
      </c>
      <c r="C9" s="6">
        <v>8</v>
      </c>
      <c r="D9">
        <f t="shared" si="0"/>
        <v>1790.6273889073889</v>
      </c>
      <c r="E9" s="21">
        <f t="shared" si="1"/>
        <v>293.37261109261112</v>
      </c>
      <c r="H9" s="4" t="s">
        <v>321</v>
      </c>
      <c r="I9" s="4">
        <v>266.21023856541501</v>
      </c>
    </row>
    <row r="10" spans="1:13" ht="15.75" thickBot="1" x14ac:dyDescent="0.3">
      <c r="A10" t="s">
        <v>51</v>
      </c>
      <c r="B10" s="1">
        <v>1656</v>
      </c>
      <c r="C10" s="6">
        <v>9</v>
      </c>
      <c r="D10">
        <f t="shared" si="0"/>
        <v>1846.9461531061531</v>
      </c>
      <c r="E10" s="21">
        <f t="shared" si="1"/>
        <v>-190.94615310615313</v>
      </c>
      <c r="H10" s="18" t="s">
        <v>322</v>
      </c>
      <c r="I10" s="18">
        <v>26</v>
      </c>
    </row>
    <row r="11" spans="1:13" x14ac:dyDescent="0.25">
      <c r="A11" t="s">
        <v>52</v>
      </c>
      <c r="B11" s="1">
        <v>1794</v>
      </c>
      <c r="C11" s="6">
        <v>10</v>
      </c>
      <c r="D11">
        <f t="shared" si="0"/>
        <v>1903.2649173049174</v>
      </c>
      <c r="E11" s="21">
        <f t="shared" si="1"/>
        <v>-109.26491730491739</v>
      </c>
    </row>
    <row r="12" spans="1:13" ht="15.75" thickBot="1" x14ac:dyDescent="0.3">
      <c r="A12" t="s">
        <v>53</v>
      </c>
      <c r="B12" s="1">
        <v>1981</v>
      </c>
      <c r="C12" s="6">
        <v>11</v>
      </c>
      <c r="D12">
        <f t="shared" si="0"/>
        <v>1959.5836815036814</v>
      </c>
      <c r="E12" s="21">
        <f t="shared" si="1"/>
        <v>21.416318496318581</v>
      </c>
      <c r="H12" t="s">
        <v>323</v>
      </c>
    </row>
    <row r="13" spans="1:13" x14ac:dyDescent="0.25">
      <c r="A13" t="s">
        <v>54</v>
      </c>
      <c r="B13" s="1">
        <v>1798</v>
      </c>
      <c r="C13" s="6">
        <v>12</v>
      </c>
      <c r="D13">
        <f t="shared" si="0"/>
        <v>2015.9024457024457</v>
      </c>
      <c r="E13" s="21">
        <f t="shared" si="1"/>
        <v>-217.90244570244568</v>
      </c>
      <c r="H13" s="19"/>
      <c r="I13" s="19" t="s">
        <v>328</v>
      </c>
      <c r="J13" s="19" t="s">
        <v>329</v>
      </c>
      <c r="K13" s="19" t="s">
        <v>330</v>
      </c>
      <c r="L13" s="19" t="s">
        <v>331</v>
      </c>
      <c r="M13" s="19" t="s">
        <v>332</v>
      </c>
    </row>
    <row r="14" spans="1:13" x14ac:dyDescent="0.25">
      <c r="A14" t="s">
        <v>55</v>
      </c>
      <c r="B14" s="1">
        <v>1959</v>
      </c>
      <c r="C14" s="6">
        <v>13</v>
      </c>
      <c r="D14">
        <f t="shared" si="0"/>
        <v>2072.2212099012099</v>
      </c>
      <c r="E14" s="21">
        <f t="shared" si="1"/>
        <v>-113.22120990120993</v>
      </c>
      <c r="H14" s="4" t="s">
        <v>324</v>
      </c>
      <c r="I14" s="4">
        <v>1</v>
      </c>
      <c r="J14" s="4">
        <v>4638762.1812811568</v>
      </c>
      <c r="K14" s="4">
        <v>4638762.1812811568</v>
      </c>
      <c r="L14" s="4">
        <v>65.456472715113506</v>
      </c>
      <c r="M14" s="4">
        <v>2.5846227971407958E-8</v>
      </c>
    </row>
    <row r="15" spans="1:13" x14ac:dyDescent="0.25">
      <c r="A15" t="s">
        <v>56</v>
      </c>
      <c r="B15" s="1">
        <v>1694</v>
      </c>
      <c r="C15" s="6">
        <v>14</v>
      </c>
      <c r="D15">
        <f t="shared" si="0"/>
        <v>2128.5399740999742</v>
      </c>
      <c r="E15" s="21">
        <f t="shared" si="1"/>
        <v>-434.53997409997419</v>
      </c>
      <c r="H15" s="4" t="s">
        <v>325</v>
      </c>
      <c r="I15" s="4">
        <v>24</v>
      </c>
      <c r="J15" s="4">
        <v>1700829.3868093241</v>
      </c>
      <c r="K15" s="4">
        <v>70867.891117055173</v>
      </c>
      <c r="L15" s="4"/>
      <c r="M15" s="4"/>
    </row>
    <row r="16" spans="1:13" ht="15.75" thickBot="1" x14ac:dyDescent="0.3">
      <c r="A16" t="s">
        <v>57</v>
      </c>
      <c r="B16" s="1">
        <v>2079</v>
      </c>
      <c r="C16" s="6">
        <v>15</v>
      </c>
      <c r="D16">
        <f t="shared" si="0"/>
        <v>2184.8587382987384</v>
      </c>
      <c r="E16" s="21">
        <f t="shared" si="1"/>
        <v>-105.85873829873844</v>
      </c>
      <c r="H16" s="18" t="s">
        <v>326</v>
      </c>
      <c r="I16" s="18">
        <v>25</v>
      </c>
      <c r="J16" s="18">
        <v>6339591.5680904808</v>
      </c>
      <c r="K16" s="18"/>
      <c r="L16" s="18"/>
      <c r="M16" s="18"/>
    </row>
    <row r="17" spans="1:16" ht="15.75" thickBot="1" x14ac:dyDescent="0.3">
      <c r="A17" t="s">
        <v>58</v>
      </c>
      <c r="B17" s="1">
        <v>2090</v>
      </c>
      <c r="C17" s="6">
        <v>16</v>
      </c>
      <c r="D17">
        <f t="shared" si="0"/>
        <v>2241.1775024975027</v>
      </c>
      <c r="E17" s="21">
        <f t="shared" si="1"/>
        <v>-151.1775024975027</v>
      </c>
    </row>
    <row r="18" spans="1:16" x14ac:dyDescent="0.25">
      <c r="A18" t="s">
        <v>59</v>
      </c>
      <c r="B18" s="1">
        <v>2372</v>
      </c>
      <c r="C18" s="6">
        <v>17</v>
      </c>
      <c r="D18">
        <f t="shared" si="0"/>
        <v>2297.496266696267</v>
      </c>
      <c r="E18" s="21">
        <f t="shared" si="1"/>
        <v>74.503733303733043</v>
      </c>
      <c r="H18" s="19"/>
      <c r="I18" s="19" t="s">
        <v>333</v>
      </c>
      <c r="J18" s="19" t="s">
        <v>321</v>
      </c>
      <c r="K18" s="19" t="s">
        <v>334</v>
      </c>
      <c r="L18" s="19" t="s">
        <v>335</v>
      </c>
      <c r="M18" s="19" t="s">
        <v>336</v>
      </c>
      <c r="N18" s="19" t="s">
        <v>337</v>
      </c>
      <c r="O18" s="19" t="s">
        <v>338</v>
      </c>
      <c r="P18" s="19" t="s">
        <v>339</v>
      </c>
    </row>
    <row r="19" spans="1:16" x14ac:dyDescent="0.25">
      <c r="A19" t="s">
        <v>60</v>
      </c>
      <c r="B19" s="1">
        <v>2413</v>
      </c>
      <c r="C19" s="6">
        <v>18</v>
      </c>
      <c r="D19">
        <f t="shared" si="0"/>
        <v>2353.8150308950308</v>
      </c>
      <c r="E19" s="21">
        <f t="shared" si="1"/>
        <v>59.184969104969241</v>
      </c>
      <c r="H19" s="4" t="s">
        <v>327</v>
      </c>
      <c r="I19" s="4">
        <v>1340.0772753172753</v>
      </c>
      <c r="J19" s="4">
        <v>113.63848205406596</v>
      </c>
      <c r="K19" s="4">
        <v>11.792460186855582</v>
      </c>
      <c r="L19" s="4">
        <v>1.7920152886781233E-11</v>
      </c>
      <c r="M19" s="4">
        <v>1105.5389756602963</v>
      </c>
      <c r="N19" s="4">
        <v>1574.6155749742543</v>
      </c>
      <c r="O19" s="4">
        <v>1105.5389756602963</v>
      </c>
      <c r="P19" s="4">
        <v>1574.6155749742543</v>
      </c>
    </row>
    <row r="20" spans="1:16" ht="15.75" thickBot="1" x14ac:dyDescent="0.3">
      <c r="A20" t="s">
        <v>61</v>
      </c>
      <c r="B20" s="1">
        <v>1937</v>
      </c>
      <c r="C20" s="6">
        <v>19</v>
      </c>
      <c r="D20">
        <f t="shared" si="0"/>
        <v>2410.133795093795</v>
      </c>
      <c r="E20" s="21">
        <f t="shared" si="1"/>
        <v>-473.13379509379502</v>
      </c>
      <c r="H20" s="18">
        <v>1</v>
      </c>
      <c r="I20" s="18">
        <v>56.318764198764207</v>
      </c>
      <c r="J20" s="18">
        <v>6.9610830828884174</v>
      </c>
      <c r="K20" s="18">
        <v>8.0905174565730675</v>
      </c>
      <c r="L20" s="18">
        <v>2.5846227971407908E-8</v>
      </c>
      <c r="M20" s="18">
        <v>41.951794836617623</v>
      </c>
      <c r="N20" s="18">
        <v>70.685733560910791</v>
      </c>
      <c r="O20" s="18">
        <v>41.951794836617623</v>
      </c>
      <c r="P20" s="18">
        <v>70.685733560910791</v>
      </c>
    </row>
    <row r="21" spans="1:16" x14ac:dyDescent="0.25">
      <c r="A21" t="s">
        <v>62</v>
      </c>
      <c r="B21" s="1">
        <v>2674</v>
      </c>
      <c r="C21" s="6">
        <v>20</v>
      </c>
      <c r="D21">
        <f t="shared" si="0"/>
        <v>2466.4525592925593</v>
      </c>
      <c r="E21" s="21">
        <f t="shared" si="1"/>
        <v>207.54744070744073</v>
      </c>
    </row>
    <row r="22" spans="1:16" x14ac:dyDescent="0.25">
      <c r="A22" t="s">
        <v>63</v>
      </c>
      <c r="B22" s="24">
        <v>2610</v>
      </c>
      <c r="C22" s="6">
        <v>21</v>
      </c>
      <c r="D22">
        <f t="shared" si="0"/>
        <v>2522.7713234913235</v>
      </c>
      <c r="E22" s="21">
        <f t="shared" si="1"/>
        <v>87.228676508676472</v>
      </c>
    </row>
    <row r="23" spans="1:16" x14ac:dyDescent="0.25">
      <c r="A23" t="s">
        <v>64</v>
      </c>
      <c r="B23" s="1">
        <v>3079.3650793650795</v>
      </c>
      <c r="C23" s="6">
        <v>22</v>
      </c>
      <c r="D23">
        <f t="shared" si="0"/>
        <v>2579.0900876900878</v>
      </c>
      <c r="E23" s="21">
        <f t="shared" si="1"/>
        <v>500.27499167499172</v>
      </c>
    </row>
    <row r="24" spans="1:16" x14ac:dyDescent="0.25">
      <c r="A24" t="s">
        <v>65</v>
      </c>
      <c r="B24" s="1">
        <v>2941.818181818182</v>
      </c>
      <c r="C24" s="6">
        <v>23</v>
      </c>
      <c r="D24">
        <f t="shared" si="0"/>
        <v>2635.408851888852</v>
      </c>
      <c r="E24" s="21">
        <f t="shared" si="1"/>
        <v>306.40932992932994</v>
      </c>
    </row>
    <row r="25" spans="1:16" x14ac:dyDescent="0.25">
      <c r="A25" t="s">
        <v>66</v>
      </c>
      <c r="B25" s="1">
        <v>3239</v>
      </c>
      <c r="C25" s="6">
        <v>24</v>
      </c>
      <c r="D25">
        <f t="shared" si="0"/>
        <v>2691.7276160876163</v>
      </c>
      <c r="E25" s="21">
        <f t="shared" si="1"/>
        <v>547.2723839123837</v>
      </c>
    </row>
    <row r="26" spans="1:16" x14ac:dyDescent="0.25">
      <c r="A26" t="s">
        <v>67</v>
      </c>
      <c r="B26" s="1">
        <v>2535</v>
      </c>
      <c r="C26" s="6">
        <v>25</v>
      </c>
      <c r="D26">
        <f t="shared" si="0"/>
        <v>2748.0463802863806</v>
      </c>
      <c r="E26" s="21">
        <f t="shared" si="1"/>
        <v>-213.04638028638055</v>
      </c>
    </row>
    <row r="27" spans="1:16" x14ac:dyDescent="0.25">
      <c r="A27" t="s">
        <v>68</v>
      </c>
      <c r="B27" s="1">
        <v>2655</v>
      </c>
      <c r="C27" s="6">
        <v>26</v>
      </c>
      <c r="D27">
        <f t="shared" si="0"/>
        <v>2804.3651444851448</v>
      </c>
      <c r="E27" s="21">
        <f t="shared" si="1"/>
        <v>-149.36514448514481</v>
      </c>
    </row>
    <row r="28" spans="1:16" x14ac:dyDescent="0.25">
      <c r="A28" t="s">
        <v>69</v>
      </c>
      <c r="B28" s="1">
        <v>2558</v>
      </c>
      <c r="C28" s="6">
        <v>27</v>
      </c>
      <c r="D28">
        <f t="shared" si="0"/>
        <v>2860.6839086839091</v>
      </c>
      <c r="E28" s="21">
        <f t="shared" si="1"/>
        <v>-302.68390868390907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997"/>
  <sheetViews>
    <sheetView tabSelected="1" topLeftCell="A33" zoomScale="85" zoomScaleNormal="85" workbookViewId="0">
      <selection activeCell="C34" sqref="C34"/>
    </sheetView>
  </sheetViews>
  <sheetFormatPr defaultRowHeight="15" x14ac:dyDescent="0.25"/>
  <cols>
    <col min="1" max="2" width="9.140625" style="25"/>
    <col min="3" max="3" width="9.42578125" style="25" bestFit="1" customWidth="1"/>
    <col min="4" max="4" width="11.7109375" style="25" bestFit="1" customWidth="1"/>
    <col min="5" max="5" width="12.85546875" style="25" bestFit="1" customWidth="1"/>
    <col min="6" max="6" width="11.7109375" style="25" bestFit="1" customWidth="1"/>
    <col min="7" max="16384" width="9.140625" style="25"/>
  </cols>
  <sheetData>
    <row r="1" spans="1:61" x14ac:dyDescent="0.25">
      <c r="B1" s="25" t="s">
        <v>310</v>
      </c>
      <c r="C1" s="25" t="s">
        <v>312</v>
      </c>
      <c r="D1" s="25" t="s">
        <v>313</v>
      </c>
      <c r="E1" s="25" t="s">
        <v>32</v>
      </c>
      <c r="F1" s="25" t="s">
        <v>41</v>
      </c>
      <c r="G1" s="25" t="s">
        <v>42</v>
      </c>
      <c r="H1" s="25" t="s">
        <v>80</v>
      </c>
      <c r="I1" s="25" t="s">
        <v>81</v>
      </c>
      <c r="J1" s="25" t="s">
        <v>90</v>
      </c>
      <c r="K1" s="25" t="s">
        <v>91</v>
      </c>
      <c r="L1" s="25" t="s">
        <v>92</v>
      </c>
      <c r="M1" s="25" t="s">
        <v>93</v>
      </c>
      <c r="N1" s="25" t="s">
        <v>94</v>
      </c>
      <c r="O1" s="25" t="s">
        <v>95</v>
      </c>
      <c r="P1" s="25" t="s">
        <v>96</v>
      </c>
      <c r="Q1" s="25" t="s">
        <v>97</v>
      </c>
      <c r="R1" s="25" t="s">
        <v>98</v>
      </c>
      <c r="S1" s="25" t="s">
        <v>99</v>
      </c>
      <c r="T1" s="25" t="s">
        <v>108</v>
      </c>
      <c r="U1" s="25" t="s">
        <v>109</v>
      </c>
      <c r="V1" s="25" t="s">
        <v>118</v>
      </c>
      <c r="W1" s="25" t="s">
        <v>119</v>
      </c>
      <c r="X1" s="25" t="s">
        <v>128</v>
      </c>
      <c r="Y1" s="25" t="s">
        <v>129</v>
      </c>
      <c r="Z1" s="25" t="s">
        <v>138</v>
      </c>
      <c r="AA1" s="25" t="s">
        <v>139</v>
      </c>
      <c r="AB1" s="25" t="s">
        <v>148</v>
      </c>
      <c r="AC1" s="25" t="s">
        <v>149</v>
      </c>
      <c r="AD1" s="25" t="s">
        <v>158</v>
      </c>
      <c r="AE1" s="25" t="s">
        <v>159</v>
      </c>
      <c r="AF1" s="25" t="s">
        <v>168</v>
      </c>
      <c r="AG1" s="25" t="s">
        <v>169</v>
      </c>
      <c r="AH1" s="25" t="s">
        <v>178</v>
      </c>
      <c r="AI1" s="25" t="s">
        <v>179</v>
      </c>
      <c r="AJ1" s="25" t="s">
        <v>188</v>
      </c>
      <c r="AK1" s="25" t="s">
        <v>189</v>
      </c>
      <c r="AL1" s="25" t="s">
        <v>198</v>
      </c>
      <c r="AM1" s="25" t="s">
        <v>199</v>
      </c>
      <c r="AN1" s="25" t="s">
        <v>208</v>
      </c>
      <c r="AO1" s="25" t="s">
        <v>209</v>
      </c>
      <c r="AP1" s="25" t="s">
        <v>218</v>
      </c>
      <c r="AQ1" s="25" t="s">
        <v>219</v>
      </c>
      <c r="AR1" s="25" t="s">
        <v>228</v>
      </c>
      <c r="AS1" s="25" t="s">
        <v>229</v>
      </c>
      <c r="AT1" s="25" t="s">
        <v>238</v>
      </c>
      <c r="AU1" s="25" t="s">
        <v>239</v>
      </c>
      <c r="AV1" s="25" t="s">
        <v>248</v>
      </c>
      <c r="AW1" s="25" t="s">
        <v>249</v>
      </c>
      <c r="AX1" s="25" t="s">
        <v>258</v>
      </c>
      <c r="AY1" s="25" t="s">
        <v>259</v>
      </c>
      <c r="AZ1" s="25" t="s">
        <v>268</v>
      </c>
      <c r="BA1" s="25" t="s">
        <v>269</v>
      </c>
      <c r="BB1" s="25" t="s">
        <v>278</v>
      </c>
      <c r="BC1" s="25" t="s">
        <v>279</v>
      </c>
      <c r="BD1" s="25" t="s">
        <v>288</v>
      </c>
      <c r="BE1" s="25" t="s">
        <v>289</v>
      </c>
      <c r="BF1" s="25" t="s">
        <v>298</v>
      </c>
      <c r="BG1" s="25" t="s">
        <v>299</v>
      </c>
      <c r="BH1" s="25" t="s">
        <v>308</v>
      </c>
      <c r="BI1" s="25" t="s">
        <v>309</v>
      </c>
    </row>
    <row r="2" spans="1:61" x14ac:dyDescent="0.25">
      <c r="A2" s="25" t="s">
        <v>43</v>
      </c>
      <c r="B2" s="26">
        <v>1688</v>
      </c>
      <c r="C2" s="85">
        <f t="shared" ref="C2:C28" si="0">$D$62+($D$63*E2)+($D$64*AG2)+($D$65*AB2)</f>
        <v>1639.2822097098356</v>
      </c>
      <c r="D2" s="5">
        <f t="shared" ref="D2:D27" si="1">(B2-C2)/B2*100</f>
        <v>2.8861250171898356</v>
      </c>
      <c r="E2" s="25">
        <v>1</v>
      </c>
      <c r="F2" s="27">
        <v>198.46250000000001</v>
      </c>
      <c r="G2" s="25">
        <v>-49.632497402811381</v>
      </c>
      <c r="H2" s="27">
        <v>631.69285714285718</v>
      </c>
      <c r="I2" s="25">
        <v>45.053728259876088</v>
      </c>
      <c r="J2" s="27">
        <v>275.28749999999997</v>
      </c>
      <c r="K2" s="25">
        <v>51.148364622538814</v>
      </c>
      <c r="L2" s="27">
        <v>1519.1071428571433</v>
      </c>
      <c r="M2" s="25">
        <v>17.075324073645916</v>
      </c>
      <c r="N2" s="27">
        <v>583.70357142857131</v>
      </c>
      <c r="O2" s="25">
        <v>121.85573978295518</v>
      </c>
      <c r="P2" s="27">
        <v>195.31607142857143</v>
      </c>
      <c r="Q2" s="25">
        <v>12.839032171538809</v>
      </c>
      <c r="R2" s="27">
        <v>186.62678571428575</v>
      </c>
      <c r="S2" s="25">
        <v>27.560583240421046</v>
      </c>
      <c r="T2" s="27">
        <v>6297.0142984693875</v>
      </c>
      <c r="U2" s="25">
        <v>-862.53784400602729</v>
      </c>
      <c r="V2" s="27">
        <v>2742.086973852041</v>
      </c>
      <c r="W2" s="25">
        <v>-22.046519406408184</v>
      </c>
      <c r="X2" s="27">
        <v>15042.182461734694</v>
      </c>
      <c r="Y2" s="25">
        <v>-1523.0415853139436</v>
      </c>
      <c r="Z2" s="27">
        <v>5726.4365752551021</v>
      </c>
      <c r="AA2" s="25">
        <v>656.18460282787635</v>
      </c>
      <c r="AB2" s="27">
        <v>1941.2753922193876</v>
      </c>
      <c r="AC2" s="25">
        <v>-130.1350912864373</v>
      </c>
      <c r="AD2" s="27">
        <v>1843.3112914540818</v>
      </c>
      <c r="AE2" s="25">
        <v>186.8870064089293</v>
      </c>
      <c r="AF2" s="27">
        <v>8773.858609693878</v>
      </c>
      <c r="AG2" s="25">
        <v>1755.4769112091387</v>
      </c>
      <c r="AH2" s="27">
        <v>47951.146173469388</v>
      </c>
      <c r="AI2" s="25">
        <v>1049.3609771664878</v>
      </c>
      <c r="AJ2" s="27">
        <v>18218.151403061223</v>
      </c>
      <c r="AK2" s="25">
        <v>4054.3453168744318</v>
      </c>
      <c r="AL2" s="27">
        <v>6220.7324872448971</v>
      </c>
      <c r="AM2" s="25">
        <v>456.90971072680668</v>
      </c>
      <c r="AN2" s="27">
        <v>5889.67343112245</v>
      </c>
      <c r="AO2" s="25">
        <v>904.08162215337154</v>
      </c>
      <c r="AP2" s="27">
        <v>20907.866772959183</v>
      </c>
      <c r="AQ2" s="25">
        <v>2134.5068089255401</v>
      </c>
      <c r="AR2" s="27">
        <v>7954.7890114795928</v>
      </c>
      <c r="AS2" s="25">
        <v>1717.6242242164906</v>
      </c>
      <c r="AT2" s="27">
        <v>2725.382350127551</v>
      </c>
      <c r="AU2" s="25">
        <v>304.97953541347482</v>
      </c>
      <c r="AV2" s="27">
        <v>2579.7179049744896</v>
      </c>
      <c r="AW2" s="25">
        <v>461.91191868984691</v>
      </c>
      <c r="AX2" s="27">
        <v>44667.094260204089</v>
      </c>
      <c r="AY2" s="25">
        <v>7143.5113734416418</v>
      </c>
      <c r="AZ2" s="27">
        <v>15090.62697704082</v>
      </c>
      <c r="BA2" s="25">
        <v>638.25029093098453</v>
      </c>
      <c r="BB2" s="27">
        <v>14268.802614795917</v>
      </c>
      <c r="BC2" s="25">
        <v>3204.5028820875868</v>
      </c>
      <c r="BD2" s="27">
        <v>5687.5485012755089</v>
      </c>
      <c r="BE2" s="25">
        <v>715.2782565933652</v>
      </c>
      <c r="BF2" s="27">
        <v>5520.7789477040815</v>
      </c>
      <c r="BG2" s="25">
        <v>1337.3082371918154</v>
      </c>
      <c r="BH2" s="27">
        <v>1842.511629464286</v>
      </c>
      <c r="BI2" s="25">
        <v>247.86853669351419</v>
      </c>
    </row>
    <row r="3" spans="1:61" x14ac:dyDescent="0.25">
      <c r="A3" s="25" t="s">
        <v>44</v>
      </c>
      <c r="B3" s="26">
        <v>1365</v>
      </c>
      <c r="C3" s="85">
        <f t="shared" si="0"/>
        <v>1414.7129993229755</v>
      </c>
      <c r="D3" s="5">
        <f t="shared" si="1"/>
        <v>-3.6419779723791588</v>
      </c>
      <c r="E3" s="25">
        <v>2</v>
      </c>
      <c r="F3" s="27">
        <v>190.7714285714286</v>
      </c>
      <c r="G3" s="25">
        <v>-49.051828641150834</v>
      </c>
      <c r="H3" s="27">
        <v>632.6593506493507</v>
      </c>
      <c r="I3" s="25">
        <v>43.520948265567078</v>
      </c>
      <c r="J3" s="27">
        <v>268.85847152847157</v>
      </c>
      <c r="K3" s="25">
        <v>50.282131858619884</v>
      </c>
      <c r="L3" s="27">
        <v>1499.8993246753246</v>
      </c>
      <c r="M3" s="25">
        <v>26.404401033398074</v>
      </c>
      <c r="N3" s="27">
        <v>594.4197392290248</v>
      </c>
      <c r="O3" s="25">
        <v>121.10124803710559</v>
      </c>
      <c r="P3" s="27">
        <v>252.47721428571427</v>
      </c>
      <c r="Q3" s="25">
        <v>-5.4911432732369256</v>
      </c>
      <c r="R3" s="27">
        <v>188.30042857142854</v>
      </c>
      <c r="S3" s="25">
        <v>26.150952885256594</v>
      </c>
      <c r="T3" s="27">
        <v>6055.0200665584398</v>
      </c>
      <c r="U3" s="25">
        <v>-884.9884596332912</v>
      </c>
      <c r="V3" s="27">
        <v>2568.7719623287421</v>
      </c>
      <c r="W3" s="25">
        <v>-32.779751198465242</v>
      </c>
      <c r="X3" s="27">
        <v>14285.078563566789</v>
      </c>
      <c r="Y3" s="25">
        <v>-1374.7004264203297</v>
      </c>
      <c r="Z3" s="27">
        <v>5572.8533585600899</v>
      </c>
      <c r="AA3" s="25">
        <v>648.08336660841155</v>
      </c>
      <c r="AB3" s="27">
        <v>2232.7256207908163</v>
      </c>
      <c r="AC3" s="25">
        <v>-244.18684238128978</v>
      </c>
      <c r="AD3" s="27">
        <v>1788.1233286989798</v>
      </c>
      <c r="AE3" s="25">
        <v>168.39084053201492</v>
      </c>
      <c r="AF3" s="27">
        <v>8572.7780155130567</v>
      </c>
      <c r="AG3" s="25">
        <v>1697.6814689478256</v>
      </c>
      <c r="AH3" s="27">
        <v>47320.144120556593</v>
      </c>
      <c r="AI3" s="25">
        <v>1368.6030183750584</v>
      </c>
      <c r="AJ3" s="27">
        <v>18566.62103925406</v>
      </c>
      <c r="AK3" s="25">
        <v>4058.9805719071901</v>
      </c>
      <c r="AL3" s="27">
        <v>7839.9628191651209</v>
      </c>
      <c r="AM3" s="25">
        <v>-74.448325145488909</v>
      </c>
      <c r="AN3" s="27">
        <v>5952.7357749350649</v>
      </c>
      <c r="AO3" s="25">
        <v>857.56434268963403</v>
      </c>
      <c r="AP3" s="27">
        <v>20080.282152105814</v>
      </c>
      <c r="AQ3" s="25">
        <v>2126.1826561437388</v>
      </c>
      <c r="AR3" s="27">
        <v>7904.0013359438744</v>
      </c>
      <c r="AS3" s="25">
        <v>1650.9289938604456</v>
      </c>
      <c r="AT3" s="27">
        <v>3474.3877048337376</v>
      </c>
      <c r="AU3" s="25">
        <v>43.632422888589318</v>
      </c>
      <c r="AV3" s="27">
        <v>2540.0603471131258</v>
      </c>
      <c r="AW3" s="25">
        <v>440.10360365171181</v>
      </c>
      <c r="AX3" s="27">
        <v>44934.632287593122</v>
      </c>
      <c r="AY3" s="25">
        <v>7268.3007486250808</v>
      </c>
      <c r="AZ3" s="27">
        <v>19591.032671760666</v>
      </c>
      <c r="BA3" s="25">
        <v>-787.6102784541032</v>
      </c>
      <c r="BB3" s="27">
        <v>14153.532116435988</v>
      </c>
      <c r="BC3" s="25">
        <v>3027.2167512907504</v>
      </c>
      <c r="BD3" s="27">
        <v>8891.5585498153541</v>
      </c>
      <c r="BE3" s="25">
        <v>-199.04365879098717</v>
      </c>
      <c r="BF3" s="27">
        <v>5655.8655796922585</v>
      </c>
      <c r="BG3" s="25">
        <v>1310.9998975330823</v>
      </c>
      <c r="BH3" s="27">
        <v>2547.0721039081641</v>
      </c>
      <c r="BI3" s="25">
        <v>60.570925944903209</v>
      </c>
    </row>
    <row r="4" spans="1:61" x14ac:dyDescent="0.25">
      <c r="A4" s="25" t="s">
        <v>45</v>
      </c>
      <c r="B4" s="26">
        <v>1894</v>
      </c>
      <c r="C4" s="85">
        <f t="shared" si="0"/>
        <v>1799.9159888612851</v>
      </c>
      <c r="D4" s="5">
        <f t="shared" si="1"/>
        <v>4.9674768288656237</v>
      </c>
      <c r="E4" s="25">
        <v>3</v>
      </c>
      <c r="F4" s="27">
        <v>193.38928571428573</v>
      </c>
      <c r="G4" s="25">
        <v>-50.001047897595853</v>
      </c>
      <c r="H4" s="27">
        <v>637.55892857142862</v>
      </c>
      <c r="I4" s="25">
        <v>42.760529302331392</v>
      </c>
      <c r="J4" s="27">
        <v>282.04285714285714</v>
      </c>
      <c r="K4" s="25">
        <v>53.160446958279962</v>
      </c>
      <c r="L4" s="27">
        <v>1471.1785714285713</v>
      </c>
      <c r="M4" s="25">
        <v>26.984334662108651</v>
      </c>
      <c r="N4" s="27">
        <v>614.25714285714287</v>
      </c>
      <c r="O4" s="25">
        <v>121.41002594359759</v>
      </c>
      <c r="P4" s="27">
        <v>202.30178571428573</v>
      </c>
      <c r="Q4" s="25">
        <v>11.108343238786324</v>
      </c>
      <c r="R4" s="27">
        <v>201.41964285714289</v>
      </c>
      <c r="S4" s="25">
        <v>25.690116746580031</v>
      </c>
      <c r="T4" s="27">
        <v>6199.2681951530622</v>
      </c>
      <c r="U4" s="25">
        <v>-913.53162076287447</v>
      </c>
      <c r="V4" s="27">
        <v>2730.7185714285715</v>
      </c>
      <c r="W4" s="25">
        <v>-19.489200406393536</v>
      </c>
      <c r="X4" s="27">
        <v>14150.94349489796</v>
      </c>
      <c r="Y4" s="25">
        <v>-1346.5282992576258</v>
      </c>
      <c r="Z4" s="27">
        <v>5775.8956632653071</v>
      </c>
      <c r="AA4" s="25">
        <v>665.66217559433744</v>
      </c>
      <c r="AB4" s="27">
        <v>1952.0396747448976</v>
      </c>
      <c r="AC4" s="25">
        <v>-132.24923525527043</v>
      </c>
      <c r="AD4" s="27">
        <v>1928.9156058673468</v>
      </c>
      <c r="AE4" s="25">
        <v>159.5925867848631</v>
      </c>
      <c r="AF4" s="27">
        <v>9075.4835714285728</v>
      </c>
      <c r="AG4" s="25">
        <v>1814.7737538384501</v>
      </c>
      <c r="AH4" s="27">
        <v>46813.072512755105</v>
      </c>
      <c r="AI4" s="25">
        <v>1330.121593433882</v>
      </c>
      <c r="AJ4" s="27">
        <v>19302.652729591839</v>
      </c>
      <c r="AK4" s="25">
        <v>4202.6857406591307</v>
      </c>
      <c r="AL4" s="27">
        <v>6512.743600127551</v>
      </c>
      <c r="AM4" s="25">
        <v>410.41532936907998</v>
      </c>
      <c r="AN4" s="27">
        <v>6420.3251116071433</v>
      </c>
      <c r="AO4" s="25">
        <v>847.18102328327916</v>
      </c>
      <c r="AP4" s="27">
        <v>20687.763265306123</v>
      </c>
      <c r="AQ4" s="25">
        <v>2214.3315112189885</v>
      </c>
      <c r="AR4" s="27">
        <v>8616.6916326530609</v>
      </c>
      <c r="AS4" s="25">
        <v>1774.3438413792651</v>
      </c>
      <c r="AT4" s="27">
        <v>2914.5327551020409</v>
      </c>
      <c r="AU4" s="25">
        <v>298.68454658791956</v>
      </c>
      <c r="AV4" s="27">
        <v>2865.0184693877559</v>
      </c>
      <c r="AW4" s="25">
        <v>456.54576738731515</v>
      </c>
      <c r="AX4" s="27">
        <v>45996.562755102044</v>
      </c>
      <c r="AY4" s="25">
        <v>7340.1874952957996</v>
      </c>
      <c r="AZ4" s="27">
        <v>15018.279145408162</v>
      </c>
      <c r="BA4" s="25">
        <v>627.8813736649455</v>
      </c>
      <c r="BB4" s="27">
        <v>14969.360395408159</v>
      </c>
      <c r="BC4" s="25">
        <v>3042.5075200413849</v>
      </c>
      <c r="BD4" s="27">
        <v>6258.0833418367329</v>
      </c>
      <c r="BE4" s="25">
        <v>602.75364003187724</v>
      </c>
      <c r="BF4" s="27">
        <v>6392.1639030612241</v>
      </c>
      <c r="BG4" s="25">
        <v>1348.2641061005613</v>
      </c>
      <c r="BH4" s="27">
        <v>2074.906514668367</v>
      </c>
      <c r="BI4" s="25">
        <v>181.40663842909981</v>
      </c>
    </row>
    <row r="5" spans="1:61" x14ac:dyDescent="0.25">
      <c r="A5" s="25" t="s">
        <v>46</v>
      </c>
      <c r="B5" s="26">
        <v>1611</v>
      </c>
      <c r="C5" s="85">
        <f t="shared" si="0"/>
        <v>1458.6315286638519</v>
      </c>
      <c r="D5" s="5">
        <f t="shared" si="1"/>
        <v>9.4580056695312287</v>
      </c>
      <c r="E5" s="25">
        <v>4</v>
      </c>
      <c r="F5" s="27">
        <v>197.19821428571427</v>
      </c>
      <c r="G5" s="25">
        <v>-49.817630618160251</v>
      </c>
      <c r="H5" s="27">
        <v>606.06428571428569</v>
      </c>
      <c r="I5" s="25">
        <v>40.640247968576467</v>
      </c>
      <c r="J5" s="27">
        <v>245.77500000000001</v>
      </c>
      <c r="K5" s="25">
        <v>45.377260815227373</v>
      </c>
      <c r="L5" s="27">
        <v>1531.9642857142858</v>
      </c>
      <c r="M5" s="25">
        <v>33.524288136083648</v>
      </c>
      <c r="N5" s="27">
        <v>550.82142857142867</v>
      </c>
      <c r="O5" s="25">
        <v>108.8430275789777</v>
      </c>
      <c r="P5" s="27">
        <v>181.34464285714287</v>
      </c>
      <c r="Q5" s="25">
        <v>12.30638728527315</v>
      </c>
      <c r="R5" s="27">
        <v>173.51250000000002</v>
      </c>
      <c r="S5" s="25">
        <v>23.309221679755748</v>
      </c>
      <c r="T5" s="27">
        <v>5983.6559056122451</v>
      </c>
      <c r="U5" s="25">
        <v>-859.3094199602873</v>
      </c>
      <c r="V5" s="27">
        <v>2419.3654017857139</v>
      </c>
      <c r="W5" s="25">
        <v>-18.746083003652998</v>
      </c>
      <c r="X5" s="27">
        <v>15123.053890306122</v>
      </c>
      <c r="Y5" s="25">
        <v>-1324.4255728875605</v>
      </c>
      <c r="Z5" s="27">
        <v>5398.0982780612258</v>
      </c>
      <c r="AA5" s="25">
        <v>602.66682597785723</v>
      </c>
      <c r="AB5" s="27">
        <v>1790.5996141581631</v>
      </c>
      <c r="AC5" s="25">
        <v>-105.63700404484898</v>
      </c>
      <c r="AD5" s="27">
        <v>1706.913753188775</v>
      </c>
      <c r="AE5" s="25">
        <v>147.509813824335</v>
      </c>
      <c r="AF5" s="27">
        <v>7566.5712500000009</v>
      </c>
      <c r="AG5" s="25">
        <v>1478.4585000016939</v>
      </c>
      <c r="AH5" s="27">
        <v>46346.796683673478</v>
      </c>
      <c r="AI5" s="25">
        <v>1431.8620061397921</v>
      </c>
      <c r="AJ5" s="27">
        <v>16596.635459183672</v>
      </c>
      <c r="AK5" s="25">
        <v>3461.7927783117325</v>
      </c>
      <c r="AL5" s="27">
        <v>5573.6837882653053</v>
      </c>
      <c r="AM5" s="25">
        <v>422.90923764387782</v>
      </c>
      <c r="AN5" s="27">
        <v>5314.9519260204088</v>
      </c>
      <c r="AO5" s="25">
        <v>750.29756015631631</v>
      </c>
      <c r="AP5" s="27">
        <v>18686.073852040819</v>
      </c>
      <c r="AQ5" s="25">
        <v>2020.1529435469924</v>
      </c>
      <c r="AR5" s="27">
        <v>6737.2340561224482</v>
      </c>
      <c r="AS5" s="25">
        <v>1334.8734060470019</v>
      </c>
      <c r="AT5" s="27">
        <v>2287.7083227040812</v>
      </c>
      <c r="AU5" s="25">
        <v>253.03617346580438</v>
      </c>
      <c r="AV5" s="27">
        <v>2179.5955548469387</v>
      </c>
      <c r="AW5" s="25">
        <v>362.6097572042035</v>
      </c>
      <c r="AX5" s="27">
        <v>42674.001275510207</v>
      </c>
      <c r="AY5" s="25">
        <v>6836.144671237681</v>
      </c>
      <c r="AZ5" s="27">
        <v>13927.768048469385</v>
      </c>
      <c r="BA5" s="25">
        <v>800.03079669720171</v>
      </c>
      <c r="BB5" s="27">
        <v>13374.882971938776</v>
      </c>
      <c r="BC5" s="25">
        <v>2741.4610231474026</v>
      </c>
      <c r="BD5" s="27">
        <v>5008.833864795919</v>
      </c>
      <c r="BE5" s="25">
        <v>578.25746158736615</v>
      </c>
      <c r="BF5" s="27">
        <v>4921.3538903061226</v>
      </c>
      <c r="BG5" s="25">
        <v>1030.7815388435727</v>
      </c>
      <c r="BH5" s="27">
        <v>1612.0221396683673</v>
      </c>
      <c r="BI5" s="25">
        <v>186.86489783735743</v>
      </c>
    </row>
    <row r="6" spans="1:61" x14ac:dyDescent="0.25">
      <c r="A6" s="25" t="s">
        <v>47</v>
      </c>
      <c r="B6" s="26">
        <v>1715</v>
      </c>
      <c r="C6" s="85">
        <f t="shared" si="0"/>
        <v>1762.2236893251318</v>
      </c>
      <c r="D6" s="5">
        <f t="shared" si="1"/>
        <v>-2.7535678906782377</v>
      </c>
      <c r="E6" s="25">
        <v>5</v>
      </c>
      <c r="F6" s="27">
        <v>191.32678571428571</v>
      </c>
      <c r="G6" s="25">
        <v>-48.275585674893208</v>
      </c>
      <c r="H6" s="27">
        <v>638.04642857142846</v>
      </c>
      <c r="I6" s="25">
        <v>41.987808051531772</v>
      </c>
      <c r="J6" s="27">
        <v>274.88392857142861</v>
      </c>
      <c r="K6" s="25">
        <v>50.751752218984095</v>
      </c>
      <c r="L6" s="27">
        <v>1489.5178571428571</v>
      </c>
      <c r="M6" s="25">
        <v>28.499101586784427</v>
      </c>
      <c r="N6" s="27">
        <v>565.99999999999989</v>
      </c>
      <c r="O6" s="25">
        <v>113.5987408252961</v>
      </c>
      <c r="P6" s="27">
        <v>192.63035714285715</v>
      </c>
      <c r="Q6" s="25">
        <v>12.143341545333787</v>
      </c>
      <c r="R6" s="27">
        <v>183.57678571428568</v>
      </c>
      <c r="S6" s="25">
        <v>26.04957815794112</v>
      </c>
      <c r="T6" s="27">
        <v>6120.5524426020402</v>
      </c>
      <c r="U6" s="25">
        <v>-896.13640322319338</v>
      </c>
      <c r="V6" s="27">
        <v>2631.4225797193885</v>
      </c>
      <c r="W6" s="25">
        <v>-45.150718398856533</v>
      </c>
      <c r="X6" s="27">
        <v>14227.849330357141</v>
      </c>
      <c r="Y6" s="25">
        <v>-1318.3808878560567</v>
      </c>
      <c r="Z6" s="27">
        <v>5373.9285714285716</v>
      </c>
      <c r="AA6" s="25">
        <v>591.72921188271926</v>
      </c>
      <c r="AB6" s="27">
        <v>1841.9169866071427</v>
      </c>
      <c r="AC6" s="25">
        <v>-123.35196205006507</v>
      </c>
      <c r="AD6" s="27">
        <v>1751.6045822704082</v>
      </c>
      <c r="AE6" s="25">
        <v>170.87587034113943</v>
      </c>
      <c r="AF6" s="27">
        <v>8830.0232079081616</v>
      </c>
      <c r="AG6" s="25">
        <v>1683.4377571784366</v>
      </c>
      <c r="AH6" s="27">
        <v>47503.785012755099</v>
      </c>
      <c r="AI6" s="25">
        <v>1452.5611975265647</v>
      </c>
      <c r="AJ6" s="27">
        <v>17916.114285714288</v>
      </c>
      <c r="AK6" s="25">
        <v>3905.450323479844</v>
      </c>
      <c r="AL6" s="27">
        <v>6192.8560267857138</v>
      </c>
      <c r="AM6" s="25">
        <v>421.62941652436575</v>
      </c>
      <c r="AN6" s="27">
        <v>5866.2451211734697</v>
      </c>
      <c r="AO6" s="25">
        <v>843.21624556878601</v>
      </c>
      <c r="AP6" s="27">
        <v>20352.532748724494</v>
      </c>
      <c r="AQ6" s="25">
        <v>2154.2545776567122</v>
      </c>
      <c r="AR6" s="27">
        <v>7774.9469387755089</v>
      </c>
      <c r="AS6" s="25">
        <v>1672.9331175643611</v>
      </c>
      <c r="AT6" s="27">
        <v>2694.1511447704083</v>
      </c>
      <c r="AU6" s="25">
        <v>301.13871374572454</v>
      </c>
      <c r="AV6" s="27">
        <v>2555.5058322704085</v>
      </c>
      <c r="AW6" s="25">
        <v>452.36032758669234</v>
      </c>
      <c r="AX6" s="27">
        <v>42448.48979591838</v>
      </c>
      <c r="AY6" s="25">
        <v>6612.9544970056068</v>
      </c>
      <c r="AZ6" s="27">
        <v>14411.429751275511</v>
      </c>
      <c r="BA6" s="25">
        <v>758.41565426617933</v>
      </c>
      <c r="BB6" s="27">
        <v>13725.159151785712</v>
      </c>
      <c r="BC6" s="25">
        <v>2898.2211921937278</v>
      </c>
      <c r="BD6" s="27">
        <v>5469.5775510204076</v>
      </c>
      <c r="BE6" s="25">
        <v>679.91364904128261</v>
      </c>
      <c r="BF6" s="27">
        <v>5276.6857142857134</v>
      </c>
      <c r="BG6" s="25">
        <v>1208.4297984982611</v>
      </c>
      <c r="BH6" s="27">
        <v>1795.7822034438775</v>
      </c>
      <c r="BI6" s="25">
        <v>221.75175878455792</v>
      </c>
    </row>
    <row r="7" spans="1:61" x14ac:dyDescent="0.25">
      <c r="A7" s="25" t="s">
        <v>48</v>
      </c>
      <c r="B7" s="26">
        <v>1526</v>
      </c>
      <c r="C7" s="85">
        <f t="shared" si="0"/>
        <v>1573.4141505660091</v>
      </c>
      <c r="D7" s="5">
        <f t="shared" si="1"/>
        <v>-3.1070871930543307</v>
      </c>
      <c r="E7" s="25">
        <v>6</v>
      </c>
      <c r="F7" s="27">
        <v>194.32321428571427</v>
      </c>
      <c r="G7" s="25">
        <v>-48.07392454097625</v>
      </c>
      <c r="H7" s="27">
        <v>599.89107142857142</v>
      </c>
      <c r="I7" s="25">
        <v>38.706944173714973</v>
      </c>
      <c r="J7" s="27">
        <v>268.98928571428576</v>
      </c>
      <c r="K7" s="25">
        <v>49.855579402786667</v>
      </c>
      <c r="L7" s="27">
        <v>1573.625</v>
      </c>
      <c r="M7" s="25">
        <v>30.716609385678876</v>
      </c>
      <c r="N7" s="27">
        <v>651.01785714285711</v>
      </c>
      <c r="O7" s="25">
        <v>124.48262220004372</v>
      </c>
      <c r="P7" s="27">
        <v>203.51607142857145</v>
      </c>
      <c r="Q7" s="25">
        <v>13.012672967789364</v>
      </c>
      <c r="R7" s="27">
        <v>198.91964285714286</v>
      </c>
      <c r="S7" s="25">
        <v>30.673256320788525</v>
      </c>
      <c r="T7" s="27">
        <v>5837.5564508928583</v>
      </c>
      <c r="U7" s="25">
        <v>-853.67489372968737</v>
      </c>
      <c r="V7" s="27">
        <v>2606.470644132653</v>
      </c>
      <c r="W7" s="25">
        <v>-36.643364338907148</v>
      </c>
      <c r="X7" s="27">
        <v>15275.597672193879</v>
      </c>
      <c r="Y7" s="25">
        <v>-1321.2335675793104</v>
      </c>
      <c r="Z7" s="27">
        <v>6262.9062818877564</v>
      </c>
      <c r="AA7" s="25">
        <v>666.36868827189915</v>
      </c>
      <c r="AB7" s="27">
        <v>1972.2292251275512</v>
      </c>
      <c r="AC7" s="25">
        <v>-120.57043132668097</v>
      </c>
      <c r="AD7" s="27">
        <v>1919.1843845663261</v>
      </c>
      <c r="AE7" s="25">
        <v>208.50614573973499</v>
      </c>
      <c r="AF7" s="27">
        <v>8192.8297640306137</v>
      </c>
      <c r="AG7" s="25">
        <v>1580.3080301815085</v>
      </c>
      <c r="AH7" s="27">
        <v>47144.982940051013</v>
      </c>
      <c r="AI7" s="25">
        <v>1314.1221674255639</v>
      </c>
      <c r="AJ7" s="27">
        <v>19326.676371173467</v>
      </c>
      <c r="AK7" s="25">
        <v>4026.4694346730089</v>
      </c>
      <c r="AL7" s="27">
        <v>6184.1547544642854</v>
      </c>
      <c r="AM7" s="25">
        <v>426.98793070847904</v>
      </c>
      <c r="AN7" s="27">
        <v>5992.8438807397961</v>
      </c>
      <c r="AO7" s="25">
        <v>941.8819748451856</v>
      </c>
      <c r="AP7" s="27">
        <v>21073.994579081631</v>
      </c>
      <c r="AQ7" s="25">
        <v>2036.7683809874288</v>
      </c>
      <c r="AR7" s="27">
        <v>8867.389859693878</v>
      </c>
      <c r="AS7" s="25">
        <v>1693.7147563303588</v>
      </c>
      <c r="AT7" s="27">
        <v>2857.0863839285707</v>
      </c>
      <c r="AU7" s="25">
        <v>321.39007758076491</v>
      </c>
      <c r="AV7" s="27">
        <v>2766.7937946428569</v>
      </c>
      <c r="AW7" s="25">
        <v>534.27862831854907</v>
      </c>
      <c r="AX7" s="27">
        <v>51640.70758928571</v>
      </c>
      <c r="AY7" s="25">
        <v>7468.2269567479889</v>
      </c>
      <c r="AZ7" s="27">
        <v>16032.633769132652</v>
      </c>
      <c r="BA7" s="25">
        <v>772.45463608748366</v>
      </c>
      <c r="BB7" s="27">
        <v>15745.346460459185</v>
      </c>
      <c r="BC7" s="25">
        <v>3398.7208915248912</v>
      </c>
      <c r="BD7" s="27">
        <v>6730.6451849489804</v>
      </c>
      <c r="BE7" s="25">
        <v>739.72229555284196</v>
      </c>
      <c r="BF7" s="27">
        <v>6754.3812181122448</v>
      </c>
      <c r="BG7" s="25">
        <v>1574.4141005438148</v>
      </c>
      <c r="BH7" s="27">
        <v>2094.6472799744902</v>
      </c>
      <c r="BI7" s="25">
        <v>293.36878788479771</v>
      </c>
    </row>
    <row r="8" spans="1:61" x14ac:dyDescent="0.25">
      <c r="A8" s="25" t="s">
        <v>49</v>
      </c>
      <c r="B8" s="26">
        <v>1814</v>
      </c>
      <c r="C8" s="85">
        <f t="shared" si="0"/>
        <v>1653.8325785126306</v>
      </c>
      <c r="D8" s="5">
        <f t="shared" si="1"/>
        <v>8.8295160687634748</v>
      </c>
      <c r="E8" s="25">
        <v>7</v>
      </c>
      <c r="F8" s="27">
        <v>185.15535714285716</v>
      </c>
      <c r="G8" s="25">
        <v>-44.611912040268727</v>
      </c>
      <c r="H8" s="27">
        <v>606.69642857142867</v>
      </c>
      <c r="I8" s="25">
        <v>39.553662198533118</v>
      </c>
      <c r="J8" s="27">
        <v>253.1767857142857</v>
      </c>
      <c r="K8" s="25">
        <v>46.887910166986472</v>
      </c>
      <c r="L8" s="27">
        <v>1537.5892857142858</v>
      </c>
      <c r="M8" s="25">
        <v>35.33650260062872</v>
      </c>
      <c r="N8" s="27">
        <v>581.45357142857142</v>
      </c>
      <c r="O8" s="25">
        <v>122.69363638355414</v>
      </c>
      <c r="P8" s="27">
        <v>187.94464285714287</v>
      </c>
      <c r="Q8" s="25">
        <v>12.928711533174942</v>
      </c>
      <c r="R8" s="27">
        <v>177.64464285714288</v>
      </c>
      <c r="S8" s="25">
        <v>26.693908239464623</v>
      </c>
      <c r="T8" s="27">
        <v>5627.9935165816323</v>
      </c>
      <c r="U8" s="25">
        <v>-762.33469533458151</v>
      </c>
      <c r="V8" s="27">
        <v>2337.0214190051024</v>
      </c>
      <c r="W8" s="25">
        <v>-41.548234302622873</v>
      </c>
      <c r="X8" s="27">
        <v>14182.309151785714</v>
      </c>
      <c r="Y8" s="25">
        <v>-1190.2731396778045</v>
      </c>
      <c r="Z8" s="27">
        <v>5316.7447512755107</v>
      </c>
      <c r="AA8" s="25">
        <v>625.39807390432497</v>
      </c>
      <c r="AB8" s="27">
        <v>1731.9744866071428</v>
      </c>
      <c r="AC8" s="25">
        <v>-114.52332961682285</v>
      </c>
      <c r="AD8" s="27">
        <v>1629.3443335459183</v>
      </c>
      <c r="AE8" s="25">
        <v>162.95334283541439</v>
      </c>
      <c r="AF8" s="27">
        <v>7784.2259196428568</v>
      </c>
      <c r="AG8" s="25">
        <v>1503.0002626192634</v>
      </c>
      <c r="AH8" s="27">
        <v>46427.858711734691</v>
      </c>
      <c r="AI8" s="25">
        <v>1466.9982773555998</v>
      </c>
      <c r="AJ8" s="27">
        <v>17521.263257653063</v>
      </c>
      <c r="AK8" s="25">
        <v>3952.4513314674218</v>
      </c>
      <c r="AL8" s="27">
        <v>5747.9388915816326</v>
      </c>
      <c r="AM8" s="25">
        <v>421.63927032980411</v>
      </c>
      <c r="AN8" s="27">
        <v>5410.9215038265311</v>
      </c>
      <c r="AO8" s="25">
        <v>832.39348001925475</v>
      </c>
      <c r="AP8" s="27">
        <v>19268.670503826535</v>
      </c>
      <c r="AQ8" s="25">
        <v>2099.6044524523431</v>
      </c>
      <c r="AR8" s="27">
        <v>7498.6553380102032</v>
      </c>
      <c r="AS8" s="25">
        <v>1640.0944932501372</v>
      </c>
      <c r="AT8" s="27">
        <v>2474.8296014030616</v>
      </c>
      <c r="AU8" s="25">
        <v>302.76781054425214</v>
      </c>
      <c r="AV8" s="27">
        <v>2344.1545503826533</v>
      </c>
      <c r="AW8" s="25">
        <v>449.07355385354629</v>
      </c>
      <c r="AX8" s="27">
        <v>45150.199426020416</v>
      </c>
      <c r="AY8" s="25">
        <v>7945.5562263774082</v>
      </c>
      <c r="AZ8" s="27">
        <v>14442.413297193878</v>
      </c>
      <c r="BA8" s="25">
        <v>925.22035548857184</v>
      </c>
      <c r="BB8" s="27">
        <v>13681.545440051019</v>
      </c>
      <c r="BC8" s="25">
        <v>3140.0302532295023</v>
      </c>
      <c r="BD8" s="27">
        <v>5580.1707589285734</v>
      </c>
      <c r="BE8" s="25">
        <v>820.1201069129072</v>
      </c>
      <c r="BF8" s="27">
        <v>5392.5739221938775</v>
      </c>
      <c r="BG8" s="25">
        <v>1327.7840560306124</v>
      </c>
      <c r="BH8" s="27">
        <v>1727.7156664540819</v>
      </c>
      <c r="BI8" s="25">
        <v>248.3649712121873</v>
      </c>
    </row>
    <row r="9" spans="1:61" x14ac:dyDescent="0.25">
      <c r="A9" s="25" t="s">
        <v>50</v>
      </c>
      <c r="B9" s="26">
        <v>2084</v>
      </c>
      <c r="C9" s="85">
        <f t="shared" si="0"/>
        <v>1865.7462483650884</v>
      </c>
      <c r="D9" s="5">
        <f t="shared" si="1"/>
        <v>10.472828773268313</v>
      </c>
      <c r="E9" s="25">
        <v>8</v>
      </c>
      <c r="F9" s="27">
        <v>188.13750000000002</v>
      </c>
      <c r="G9" s="25">
        <v>-48.006334502577502</v>
      </c>
      <c r="H9" s="27">
        <v>636.21750000000009</v>
      </c>
      <c r="I9" s="25">
        <v>42.182145289350508</v>
      </c>
      <c r="J9" s="27">
        <v>267.20714285714286</v>
      </c>
      <c r="K9" s="25">
        <v>50.354218898265081</v>
      </c>
      <c r="L9" s="27">
        <v>1568.9464285714284</v>
      </c>
      <c r="M9" s="25">
        <v>31.981620905505871</v>
      </c>
      <c r="N9" s="27">
        <v>597.17857142857133</v>
      </c>
      <c r="O9" s="25">
        <v>117.01043371242602</v>
      </c>
      <c r="P9" s="27">
        <v>202.18571428571428</v>
      </c>
      <c r="Q9" s="25">
        <v>13.615211450401906</v>
      </c>
      <c r="R9" s="27">
        <v>190.68214285714285</v>
      </c>
      <c r="S9" s="25">
        <v>27.933038760124546</v>
      </c>
      <c r="T9" s="27">
        <v>6004.7442480867358</v>
      </c>
      <c r="U9" s="25">
        <v>-877.42570740856559</v>
      </c>
      <c r="V9" s="27">
        <v>2519.5822321428568</v>
      </c>
      <c r="W9" s="25">
        <v>-30.198743215767923</v>
      </c>
      <c r="X9" s="27">
        <v>14698.644164540819</v>
      </c>
      <c r="Y9" s="25">
        <v>-1347.2353626852989</v>
      </c>
      <c r="Z9" s="27">
        <v>5574.5936862244898</v>
      </c>
      <c r="AA9" s="25">
        <v>558.12229211305225</v>
      </c>
      <c r="AB9" s="27">
        <v>1903.34887755102</v>
      </c>
      <c r="AC9" s="25">
        <v>-119.60410383335427</v>
      </c>
      <c r="AD9" s="27">
        <v>1786.2419579081632</v>
      </c>
      <c r="AE9" s="25">
        <v>175.0099665210862</v>
      </c>
      <c r="AF9" s="27">
        <v>8553.4747831632649</v>
      </c>
      <c r="AG9" s="25">
        <v>1696.5157062508513</v>
      </c>
      <c r="AH9" s="27">
        <v>49644.100133928579</v>
      </c>
      <c r="AI9" s="25">
        <v>1603.8294277198431</v>
      </c>
      <c r="AJ9" s="27">
        <v>18794.545829081631</v>
      </c>
      <c r="AK9" s="25">
        <v>3995.6123128909294</v>
      </c>
      <c r="AL9" s="27">
        <v>6457.1464693877542</v>
      </c>
      <c r="AM9" s="25">
        <v>459.23580363778319</v>
      </c>
      <c r="AN9" s="27">
        <v>6045.0659068877549</v>
      </c>
      <c r="AO9" s="25">
        <v>885.69838972472758</v>
      </c>
      <c r="AP9" s="27">
        <v>20801.650892857142</v>
      </c>
      <c r="AQ9" s="25">
        <v>2308.0229384178433</v>
      </c>
      <c r="AR9" s="27">
        <v>7937.0742346938787</v>
      </c>
      <c r="AS9" s="25">
        <v>1639.9159124590008</v>
      </c>
      <c r="AT9" s="27">
        <v>2738.6563265306127</v>
      </c>
      <c r="AU9" s="25">
        <v>323.49029284395328</v>
      </c>
      <c r="AV9" s="27">
        <v>2559.7952295918367</v>
      </c>
      <c r="AW9" s="25">
        <v>463.30767561301491</v>
      </c>
      <c r="AX9" s="27">
        <v>47605.396045918365</v>
      </c>
      <c r="AY9" s="25">
        <v>7391.4843485814308</v>
      </c>
      <c r="AZ9" s="27">
        <v>15831.141836734692</v>
      </c>
      <c r="BA9" s="25">
        <v>910.7087521295598</v>
      </c>
      <c r="BB9" s="27">
        <v>15072.287946428571</v>
      </c>
      <c r="BC9" s="25">
        <v>3289.695510456992</v>
      </c>
      <c r="BD9" s="27">
        <v>6089.7285714285726</v>
      </c>
      <c r="BE9" s="25">
        <v>775.70011362350192</v>
      </c>
      <c r="BF9" s="27">
        <v>5892.2917091836744</v>
      </c>
      <c r="BG9" s="25">
        <v>1388.4608962060213</v>
      </c>
      <c r="BH9" s="27">
        <v>1957.1677551020407</v>
      </c>
      <c r="BI9" s="25">
        <v>257.0113385296653</v>
      </c>
    </row>
    <row r="10" spans="1:61" x14ac:dyDescent="0.25">
      <c r="A10" s="25" t="s">
        <v>51</v>
      </c>
      <c r="B10" s="26">
        <v>1656</v>
      </c>
      <c r="C10" s="85">
        <f t="shared" si="0"/>
        <v>1614.3639346349782</v>
      </c>
      <c r="D10" s="5">
        <f t="shared" si="1"/>
        <v>2.5142551548926177</v>
      </c>
      <c r="E10" s="25">
        <v>9</v>
      </c>
      <c r="F10" s="27">
        <v>190.29821428571427</v>
      </c>
      <c r="G10" s="25">
        <v>-47.432556644171882</v>
      </c>
      <c r="H10" s="27">
        <v>613.41535714285715</v>
      </c>
      <c r="I10" s="25">
        <v>37.467786537376703</v>
      </c>
      <c r="J10" s="27">
        <v>272.72499999999997</v>
      </c>
      <c r="K10" s="25">
        <v>48.534884205895921</v>
      </c>
      <c r="L10" s="27">
        <v>1582.5178571428571</v>
      </c>
      <c r="M10" s="25">
        <v>28.637960367079113</v>
      </c>
      <c r="N10" s="27">
        <v>631.83928571428578</v>
      </c>
      <c r="O10" s="25">
        <v>123.96697913948728</v>
      </c>
      <c r="P10" s="27">
        <v>209.09821428571431</v>
      </c>
      <c r="Q10" s="25">
        <v>14.988265840295517</v>
      </c>
      <c r="R10" s="27">
        <v>202.65357142857144</v>
      </c>
      <c r="S10" s="25">
        <v>29.696116641507135</v>
      </c>
      <c r="T10" s="27">
        <v>5835.4100720663255</v>
      </c>
      <c r="U10" s="25">
        <v>-817.83918686653067</v>
      </c>
      <c r="V10" s="27">
        <v>2586.6624808673464</v>
      </c>
      <c r="W10" s="25">
        <v>-41.183890019295575</v>
      </c>
      <c r="X10" s="27">
        <v>14993.47305484694</v>
      </c>
      <c r="Y10" s="25">
        <v>-1351.0094189955321</v>
      </c>
      <c r="Z10" s="27">
        <v>5913.5314094387768</v>
      </c>
      <c r="AA10" s="25">
        <v>638.15112285940472</v>
      </c>
      <c r="AB10" s="27">
        <v>1974.2322991071433</v>
      </c>
      <c r="AC10" s="25">
        <v>-121.65985506770078</v>
      </c>
      <c r="AD10" s="27">
        <v>1901.1638839285717</v>
      </c>
      <c r="AE10" s="25">
        <v>186.21062548709449</v>
      </c>
      <c r="AF10" s="27">
        <v>8468.552230867348</v>
      </c>
      <c r="AG10" s="25">
        <v>1523.9648412382867</v>
      </c>
      <c r="AH10" s="27">
        <v>48501.556753826517</v>
      </c>
      <c r="AI10" s="25">
        <v>1076.233982428972</v>
      </c>
      <c r="AJ10" s="27">
        <v>19350.721077806124</v>
      </c>
      <c r="AK10" s="25">
        <v>3973.9028172599142</v>
      </c>
      <c r="AL10" s="27">
        <v>6475.9430618622455</v>
      </c>
      <c r="AM10" s="25">
        <v>465.13756414027085</v>
      </c>
      <c r="AN10" s="27">
        <v>6256.2526951530617</v>
      </c>
      <c r="AO10" s="25">
        <v>952.29818340538475</v>
      </c>
      <c r="AP10" s="27">
        <v>21585.124426020408</v>
      </c>
      <c r="AQ10" s="25">
        <v>2022.3238919033331</v>
      </c>
      <c r="AR10" s="27">
        <v>8615.64674744898</v>
      </c>
      <c r="AS10" s="25">
        <v>1693.0364647797678</v>
      </c>
      <c r="AT10" s="27">
        <v>2940.595644132653</v>
      </c>
      <c r="AU10" s="25">
        <v>319.87201680641812</v>
      </c>
      <c r="AV10" s="27">
        <v>2819.3851658163267</v>
      </c>
      <c r="AW10" s="25">
        <v>492.20189729042556</v>
      </c>
      <c r="AX10" s="27">
        <v>51067.304528061242</v>
      </c>
      <c r="AY10" s="25">
        <v>7693.8637101276945</v>
      </c>
      <c r="AZ10" s="27">
        <v>16650.407238520409</v>
      </c>
      <c r="BA10" s="25">
        <v>857.49702778535971</v>
      </c>
      <c r="BB10" s="27">
        <v>16262.02774234694</v>
      </c>
      <c r="BC10" s="25">
        <v>3414.8182757363056</v>
      </c>
      <c r="BD10" s="27">
        <v>6870.9421237244896</v>
      </c>
      <c r="BE10" s="25">
        <v>896.98737242910443</v>
      </c>
      <c r="BF10" s="27">
        <v>6927.0628188775518</v>
      </c>
      <c r="BG10" s="25">
        <v>1518.7743292987477</v>
      </c>
      <c r="BH10" s="27">
        <v>2241.3117410714285</v>
      </c>
      <c r="BI10" s="25">
        <v>320.09269956032432</v>
      </c>
    </row>
    <row r="11" spans="1:61" x14ac:dyDescent="0.25">
      <c r="A11" s="25" t="s">
        <v>52</v>
      </c>
      <c r="B11" s="26">
        <v>1794</v>
      </c>
      <c r="C11" s="85">
        <f t="shared" si="0"/>
        <v>1972.0953729523121</v>
      </c>
      <c r="D11" s="5">
        <f t="shared" si="1"/>
        <v>-9.9272783139527387</v>
      </c>
      <c r="E11" s="25">
        <v>10</v>
      </c>
      <c r="F11" s="27">
        <v>185.11607142857142</v>
      </c>
      <c r="G11" s="25">
        <v>-46.141104046712009</v>
      </c>
      <c r="H11" s="27">
        <v>617.92142857142858</v>
      </c>
      <c r="I11" s="25">
        <v>44.331400833802746</v>
      </c>
      <c r="J11" s="27">
        <v>259.39821428571429</v>
      </c>
      <c r="K11" s="25">
        <v>48.715014344748958</v>
      </c>
      <c r="L11" s="27">
        <v>1550.5357142857147</v>
      </c>
      <c r="M11" s="25">
        <v>31.111934820786612</v>
      </c>
      <c r="N11" s="27">
        <v>628.76785714285722</v>
      </c>
      <c r="O11" s="25">
        <v>131.6334251419529</v>
      </c>
      <c r="P11" s="27">
        <v>193.0410714285714</v>
      </c>
      <c r="Q11" s="25">
        <v>14.483688982707131</v>
      </c>
      <c r="R11" s="27">
        <v>189.43749999999997</v>
      </c>
      <c r="S11" s="25">
        <v>27.316520473223584</v>
      </c>
      <c r="T11" s="27">
        <v>5709.8340688775506</v>
      </c>
      <c r="U11" s="25">
        <v>-796.83883138452438</v>
      </c>
      <c r="V11" s="27">
        <v>2391.3463743622442</v>
      </c>
      <c r="W11" s="25">
        <v>-24.336567602454945</v>
      </c>
      <c r="X11" s="27">
        <v>14370.266262755102</v>
      </c>
      <c r="Y11" s="25">
        <v>-1287.6981579057306</v>
      </c>
      <c r="Z11" s="27">
        <v>5814.3498405612245</v>
      </c>
      <c r="AA11" s="25">
        <v>702.9710191143547</v>
      </c>
      <c r="AB11" s="27">
        <v>1781.8062978316325</v>
      </c>
      <c r="AC11" s="25">
        <v>-99.525698737086515</v>
      </c>
      <c r="AD11" s="27">
        <v>1752.8173628826535</v>
      </c>
      <c r="AE11" s="25">
        <v>177.18030260193416</v>
      </c>
      <c r="AF11" s="27">
        <v>8195.3430739795913</v>
      </c>
      <c r="AG11" s="25">
        <v>1660.4030469868924</v>
      </c>
      <c r="AH11" s="27">
        <v>47430.743112244898</v>
      </c>
      <c r="AI11" s="25">
        <v>1448.9999967720296</v>
      </c>
      <c r="AJ11" s="27">
        <v>19238.784311224488</v>
      </c>
      <c r="AK11" s="25">
        <v>4277.7909490347838</v>
      </c>
      <c r="AL11" s="27">
        <v>6026.56786989796</v>
      </c>
      <c r="AM11" s="25">
        <v>485.1757090533419</v>
      </c>
      <c r="AN11" s="27">
        <v>5876.699323979592</v>
      </c>
      <c r="AO11" s="25">
        <v>874.98620508903059</v>
      </c>
      <c r="AP11" s="27">
        <v>19664.901084183675</v>
      </c>
      <c r="AQ11" s="25">
        <v>2176.7018488482036</v>
      </c>
      <c r="AR11" s="27">
        <v>8037.3868941326537</v>
      </c>
      <c r="AS11" s="25">
        <v>1743.0648108331459</v>
      </c>
      <c r="AT11" s="27">
        <v>2579.2643144132653</v>
      </c>
      <c r="AU11" s="25">
        <v>320.94769322661102</v>
      </c>
      <c r="AV11" s="27">
        <v>2498.4736575255101</v>
      </c>
      <c r="AW11" s="25">
        <v>440.87174876308603</v>
      </c>
      <c r="AX11" s="27">
        <v>49300.5338010204</v>
      </c>
      <c r="AY11" s="25">
        <v>8472.9490603920203</v>
      </c>
      <c r="AZ11" s="27">
        <v>14915.633227040818</v>
      </c>
      <c r="BA11" s="25">
        <v>967.21027455643411</v>
      </c>
      <c r="BB11" s="27">
        <v>14692.481313775508</v>
      </c>
      <c r="BC11" s="25">
        <v>3318.9910145964104</v>
      </c>
      <c r="BD11" s="27">
        <v>6069.0131696428571</v>
      </c>
      <c r="BE11" s="25">
        <v>888.05494932927058</v>
      </c>
      <c r="BF11" s="27">
        <v>6005.5956313775532</v>
      </c>
      <c r="BG11" s="25">
        <v>1423.051228678077</v>
      </c>
      <c r="BH11" s="27">
        <v>1868.3385809948979</v>
      </c>
      <c r="BI11" s="25">
        <v>270.92742142330667</v>
      </c>
    </row>
    <row r="12" spans="1:61" x14ac:dyDescent="0.25">
      <c r="A12" s="25" t="s">
        <v>53</v>
      </c>
      <c r="B12" s="26">
        <v>1981</v>
      </c>
      <c r="C12" s="85">
        <f t="shared" si="0"/>
        <v>1966.0483312602073</v>
      </c>
      <c r="D12" s="5">
        <f t="shared" si="1"/>
        <v>0.75475359615308912</v>
      </c>
      <c r="E12" s="25">
        <v>11</v>
      </c>
      <c r="F12" s="27">
        <v>185.84642857142859</v>
      </c>
      <c r="G12" s="25">
        <v>-45.792813526989164</v>
      </c>
      <c r="H12" s="27">
        <v>618.45535714285711</v>
      </c>
      <c r="I12" s="25">
        <v>43.937581749047077</v>
      </c>
      <c r="J12" s="27">
        <v>277.75714285714281</v>
      </c>
      <c r="K12" s="25">
        <v>50.936812099167348</v>
      </c>
      <c r="L12" s="27">
        <v>1562.0000000000002</v>
      </c>
      <c r="M12" s="25">
        <v>32.948728510734334</v>
      </c>
      <c r="N12" s="27">
        <v>689.89285714285722</v>
      </c>
      <c r="O12" s="25">
        <v>134.68727601986171</v>
      </c>
      <c r="P12" s="27">
        <v>209.35892857142858</v>
      </c>
      <c r="Q12" s="25">
        <v>13.85074674354709</v>
      </c>
      <c r="R12" s="27">
        <v>214.91071428571428</v>
      </c>
      <c r="S12" s="25">
        <v>31.087008153716894</v>
      </c>
      <c r="T12" s="27">
        <v>5763.0529987244881</v>
      </c>
      <c r="U12" s="25">
        <v>-766.03938635182828</v>
      </c>
      <c r="V12" s="27">
        <v>2570.4552551020406</v>
      </c>
      <c r="W12" s="25">
        <v>-24.914901061024043</v>
      </c>
      <c r="X12" s="27">
        <v>14494.302551020408</v>
      </c>
      <c r="Y12" s="25">
        <v>-1314.9754855549079</v>
      </c>
      <c r="Z12" s="27">
        <v>6323.6536989795914</v>
      </c>
      <c r="AA12" s="25">
        <v>662.46937020212556</v>
      </c>
      <c r="AB12" s="27">
        <v>1938.0705420918366</v>
      </c>
      <c r="AC12" s="25">
        <v>-126.34556778469353</v>
      </c>
      <c r="AD12" s="27">
        <v>1983.9675892857144</v>
      </c>
      <c r="AE12" s="25">
        <v>202.11091928318911</v>
      </c>
      <c r="AF12" s="27">
        <v>8670.0908622448987</v>
      </c>
      <c r="AG12" s="25">
        <v>1695.7154511708984</v>
      </c>
      <c r="AH12" s="27">
        <v>48005.637091836732</v>
      </c>
      <c r="AI12" s="25">
        <v>1592.8170664517886</v>
      </c>
      <c r="AJ12" s="27">
        <v>20979.177589285711</v>
      </c>
      <c r="AK12" s="25">
        <v>4314.260468244096</v>
      </c>
      <c r="AL12" s="27">
        <v>6509.1008182397954</v>
      </c>
      <c r="AM12" s="25">
        <v>450.7618662279649</v>
      </c>
      <c r="AN12" s="27">
        <v>6630.6793329081629</v>
      </c>
      <c r="AO12" s="25">
        <v>981.78078901883998</v>
      </c>
      <c r="AP12" s="27">
        <v>21526.82244897959</v>
      </c>
      <c r="AQ12" s="25">
        <v>2364.2120225070862</v>
      </c>
      <c r="AR12" s="27">
        <v>9594.7668367346942</v>
      </c>
      <c r="AS12" s="25">
        <v>1903.2306688367853</v>
      </c>
      <c r="AT12" s="27">
        <v>2968.5540561224498</v>
      </c>
      <c r="AU12" s="25">
        <v>325.06029408539774</v>
      </c>
      <c r="AV12" s="27">
        <v>3026.973520408163</v>
      </c>
      <c r="AW12" s="25">
        <v>510.58445374247657</v>
      </c>
      <c r="AX12" s="27">
        <v>54737.862244897959</v>
      </c>
      <c r="AY12" s="25">
        <v>8757.8974973771801</v>
      </c>
      <c r="AZ12" s="27">
        <v>16382.362500000001</v>
      </c>
      <c r="BA12" s="25">
        <v>989.83907452349592</v>
      </c>
      <c r="BB12" s="27">
        <v>16869.907653061222</v>
      </c>
      <c r="BC12" s="25">
        <v>3738.9622067058663</v>
      </c>
      <c r="BD12" s="27">
        <v>7302.4643494897964</v>
      </c>
      <c r="BE12" s="25">
        <v>945.95935817360987</v>
      </c>
      <c r="BF12" s="27">
        <v>7769.3029336734689</v>
      </c>
      <c r="BG12" s="25">
        <v>1756.7000213811457</v>
      </c>
      <c r="BH12" s="27">
        <v>2290.3888201530613</v>
      </c>
      <c r="BI12" s="25">
        <v>292.21049677482495</v>
      </c>
    </row>
    <row r="13" spans="1:61" x14ac:dyDescent="0.25">
      <c r="A13" s="25" t="s">
        <v>54</v>
      </c>
      <c r="B13" s="26">
        <v>1798</v>
      </c>
      <c r="C13" s="85">
        <f t="shared" si="0"/>
        <v>1927.2528203010293</v>
      </c>
      <c r="D13" s="5">
        <f t="shared" si="1"/>
        <v>-7.188699683038335</v>
      </c>
      <c r="E13" s="25">
        <v>12</v>
      </c>
      <c r="F13" s="27">
        <v>182.18821428571428</v>
      </c>
      <c r="G13" s="25">
        <v>-44.296823436085567</v>
      </c>
      <c r="H13" s="27">
        <v>592.39071428571435</v>
      </c>
      <c r="I13" s="25">
        <v>40.194862401874225</v>
      </c>
      <c r="J13" s="27">
        <v>251.36892857142857</v>
      </c>
      <c r="K13" s="25">
        <v>49.904358470778689</v>
      </c>
      <c r="L13" s="27">
        <v>1625.2392857142854</v>
      </c>
      <c r="M13" s="25">
        <v>28.164484525324173</v>
      </c>
      <c r="N13" s="27">
        <v>658.87142857142862</v>
      </c>
      <c r="O13" s="25">
        <v>140.79604036646066</v>
      </c>
      <c r="P13" s="27">
        <v>201.62428571428572</v>
      </c>
      <c r="Q13" s="25">
        <v>15.57205945504025</v>
      </c>
      <c r="R13" s="27">
        <v>199.18642857142859</v>
      </c>
      <c r="S13" s="25">
        <v>29.549636016919081</v>
      </c>
      <c r="T13" s="27">
        <v>5398.6791752551017</v>
      </c>
      <c r="U13" s="25">
        <v>-719.40991102512965</v>
      </c>
      <c r="V13" s="27">
        <v>2270.3092406887754</v>
      </c>
      <c r="W13" s="25">
        <v>-8.1753963904117199</v>
      </c>
      <c r="X13" s="27">
        <v>14795.084749744896</v>
      </c>
      <c r="Y13" s="25">
        <v>-1346.5187806078839</v>
      </c>
      <c r="Z13" s="27">
        <v>5904.2322484693887</v>
      </c>
      <c r="AA13" s="25">
        <v>696.45071006505395</v>
      </c>
      <c r="AB13" s="27">
        <v>1823.2761846938772</v>
      </c>
      <c r="AC13" s="25">
        <v>-104.15413926312904</v>
      </c>
      <c r="AD13" s="27">
        <v>1795.3440267857143</v>
      </c>
      <c r="AE13" s="25">
        <v>185.60009880813854</v>
      </c>
      <c r="AF13" s="27">
        <v>7537.213222704082</v>
      </c>
      <c r="AG13" s="25">
        <v>1590.1437740095598</v>
      </c>
      <c r="AH13" s="27">
        <v>48104.691829081625</v>
      </c>
      <c r="AI13" s="25">
        <v>1330.8950450241193</v>
      </c>
      <c r="AJ13" s="27">
        <v>19364.431494897966</v>
      </c>
      <c r="AK13" s="25">
        <v>4420.438452893718</v>
      </c>
      <c r="AL13" s="27">
        <v>6045.7861142857146</v>
      </c>
      <c r="AM13" s="25">
        <v>520.43188861720046</v>
      </c>
      <c r="AN13" s="27">
        <v>5922.2147321428583</v>
      </c>
      <c r="AO13" s="25">
        <v>927.30436387925852</v>
      </c>
      <c r="AP13" s="27">
        <v>20374.27181147959</v>
      </c>
      <c r="AQ13" s="25">
        <v>2312.4532610333908</v>
      </c>
      <c r="AR13" s="27">
        <v>8262.9081617346947</v>
      </c>
      <c r="AS13" s="25">
        <v>1863.2715050630491</v>
      </c>
      <c r="AT13" s="27">
        <v>2649.8439704081629</v>
      </c>
      <c r="AU13" s="25">
        <v>356.86268602803005</v>
      </c>
      <c r="AV13" s="27">
        <v>2567.6993364795912</v>
      </c>
      <c r="AW13" s="25">
        <v>473.85167513685042</v>
      </c>
      <c r="AX13" s="27">
        <v>54011.788239795926</v>
      </c>
      <c r="AY13" s="25">
        <v>8763.563014458834</v>
      </c>
      <c r="AZ13" s="27">
        <v>16446.073481632651</v>
      </c>
      <c r="BA13" s="25">
        <v>1035.6986656691311</v>
      </c>
      <c r="BB13" s="27">
        <v>16259.808319897957</v>
      </c>
      <c r="BC13" s="25">
        <v>3562.8859614962739</v>
      </c>
      <c r="BD13" s="27">
        <v>6651.5344020408156</v>
      </c>
      <c r="BE13" s="25">
        <v>1006.4429586532951</v>
      </c>
      <c r="BF13" s="27">
        <v>6756.4439785714285</v>
      </c>
      <c r="BG13" s="25">
        <v>1684.8922572101669</v>
      </c>
      <c r="BH13" s="27">
        <v>2063.0469204081637</v>
      </c>
      <c r="BI13" s="25">
        <v>308.06208666638452</v>
      </c>
    </row>
    <row r="14" spans="1:61" x14ac:dyDescent="0.25">
      <c r="A14" s="25" t="s">
        <v>55</v>
      </c>
      <c r="B14" s="26">
        <v>1959</v>
      </c>
      <c r="C14" s="85">
        <f t="shared" si="0"/>
        <v>2091.530312190258</v>
      </c>
      <c r="D14" s="5">
        <f t="shared" si="1"/>
        <v>-6.7652022557558951</v>
      </c>
      <c r="E14" s="25">
        <v>13</v>
      </c>
      <c r="F14" s="27">
        <v>181.82000000000002</v>
      </c>
      <c r="G14" s="25">
        <v>-44.801317807233822</v>
      </c>
      <c r="H14" s="27">
        <v>607.54142857142847</v>
      </c>
      <c r="I14" s="25">
        <v>45.803563141646393</v>
      </c>
      <c r="J14" s="27">
        <v>292.54142857142853</v>
      </c>
      <c r="K14" s="25">
        <v>55.188728817376642</v>
      </c>
      <c r="L14" s="27">
        <v>1667.3257142857144</v>
      </c>
      <c r="M14" s="25">
        <v>27.874365730680044</v>
      </c>
      <c r="N14" s="27">
        <v>816.36571428571426</v>
      </c>
      <c r="O14" s="25">
        <v>159.50358666646659</v>
      </c>
      <c r="P14" s="27">
        <v>234.18142857142857</v>
      </c>
      <c r="Q14" s="25">
        <v>17.771712459137945</v>
      </c>
      <c r="R14" s="27">
        <v>239.76285714285714</v>
      </c>
      <c r="S14" s="25">
        <v>38.061690669839393</v>
      </c>
      <c r="T14" s="27">
        <v>5560.9506163265314</v>
      </c>
      <c r="U14" s="25">
        <v>-704.69473105402346</v>
      </c>
      <c r="V14" s="27">
        <v>2652.259832653061</v>
      </c>
      <c r="W14" s="25">
        <v>-24.865381588102952</v>
      </c>
      <c r="X14" s="27">
        <v>15110.911079591837</v>
      </c>
      <c r="Y14" s="25">
        <v>-1333.5225818888375</v>
      </c>
      <c r="Z14" s="27">
        <v>7263.435069387755</v>
      </c>
      <c r="AA14" s="25">
        <v>753.87959523300503</v>
      </c>
      <c r="AB14" s="27">
        <v>2123.1332836734696</v>
      </c>
      <c r="AC14" s="25">
        <v>-112.5875712345547</v>
      </c>
      <c r="AD14" s="27">
        <v>2155.2460959183672</v>
      </c>
      <c r="AE14" s="25">
        <v>234.18896210281287</v>
      </c>
      <c r="AF14" s="27">
        <v>8977.7031571428561</v>
      </c>
      <c r="AG14" s="25">
        <v>1806.5035998805481</v>
      </c>
      <c r="AH14" s="27">
        <v>50594.33561428573</v>
      </c>
      <c r="AI14" s="25">
        <v>1721.8438647722587</v>
      </c>
      <c r="AJ14" s="27">
        <v>24428.87002244898</v>
      </c>
      <c r="AK14" s="25">
        <v>5154.4857793595029</v>
      </c>
      <c r="AL14" s="27">
        <v>7193.7502163265299</v>
      </c>
      <c r="AM14" s="25">
        <v>604.57451169884757</v>
      </c>
      <c r="AN14" s="27">
        <v>7279.1365346938774</v>
      </c>
      <c r="AO14" s="25">
        <v>1164.4858127557341</v>
      </c>
      <c r="AP14" s="27">
        <v>24475.909385714283</v>
      </c>
      <c r="AQ14" s="25">
        <v>2564.6031082503214</v>
      </c>
      <c r="AR14" s="27">
        <v>12147.353273469387</v>
      </c>
      <c r="AS14" s="25">
        <v>2482.3924771038855</v>
      </c>
      <c r="AT14" s="27">
        <v>3583.4597693877545</v>
      </c>
      <c r="AU14" s="25">
        <v>467.23419958129415</v>
      </c>
      <c r="AV14" s="27">
        <v>3621.4669040816334</v>
      </c>
      <c r="AW14" s="25">
        <v>732.95208243450224</v>
      </c>
      <c r="AX14" s="27">
        <v>68595.408148979594</v>
      </c>
      <c r="AY14" s="25">
        <v>10082.674228413707</v>
      </c>
      <c r="AZ14" s="27">
        <v>19654.149244897959</v>
      </c>
      <c r="BA14" s="25">
        <v>1043.4065662715702</v>
      </c>
      <c r="BB14" s="27">
        <v>20121.040985714284</v>
      </c>
      <c r="BC14" s="25">
        <v>4553.5978879687918</v>
      </c>
      <c r="BD14" s="27">
        <v>9737.7408122448978</v>
      </c>
      <c r="BE14" s="25">
        <v>1248.3861864229771</v>
      </c>
      <c r="BF14" s="27">
        <v>10147.224926530611</v>
      </c>
      <c r="BG14" s="25">
        <v>2560.9116901963935</v>
      </c>
      <c r="BH14" s="27">
        <v>2910.0694346938781</v>
      </c>
      <c r="BI14" s="25">
        <v>481.28270706743103</v>
      </c>
    </row>
    <row r="15" spans="1:61" x14ac:dyDescent="0.25">
      <c r="A15" s="25" t="s">
        <v>56</v>
      </c>
      <c r="B15" s="26">
        <v>1694</v>
      </c>
      <c r="C15" s="85">
        <f t="shared" si="0"/>
        <v>2133.2755709328312</v>
      </c>
      <c r="D15" s="5">
        <f t="shared" si="1"/>
        <v>-25.931261566282839</v>
      </c>
      <c r="E15" s="25">
        <v>14</v>
      </c>
      <c r="F15" s="27">
        <v>186.46785714285716</v>
      </c>
      <c r="G15" s="25">
        <v>-47.32660490839266</v>
      </c>
      <c r="H15" s="27">
        <v>609.34285714285727</v>
      </c>
      <c r="I15" s="25">
        <v>42.990887221714814</v>
      </c>
      <c r="J15" s="27">
        <v>280.91785714285714</v>
      </c>
      <c r="K15" s="25">
        <v>52.865577497861977</v>
      </c>
      <c r="L15" s="27">
        <v>1652.8928571428567</v>
      </c>
      <c r="M15" s="25">
        <v>30.393837243803517</v>
      </c>
      <c r="N15" s="27">
        <v>714</v>
      </c>
      <c r="O15" s="25">
        <v>154.07910992678168</v>
      </c>
      <c r="P15" s="27">
        <v>220.48571428571424</v>
      </c>
      <c r="Q15" s="25">
        <v>15.465305731346531</v>
      </c>
      <c r="R15" s="27">
        <v>225.95892857142857</v>
      </c>
      <c r="S15" s="25">
        <v>31.615816276020777</v>
      </c>
      <c r="T15" s="27">
        <v>5684.3206632653055</v>
      </c>
      <c r="U15" s="25">
        <v>-780.11456546519946</v>
      </c>
      <c r="V15" s="27">
        <v>2613.8387627551019</v>
      </c>
      <c r="W15" s="25">
        <v>1.3569858696422585</v>
      </c>
      <c r="X15" s="27">
        <v>15393.568239795919</v>
      </c>
      <c r="Y15" s="25">
        <v>-1476.1774233746473</v>
      </c>
      <c r="Z15" s="27">
        <v>6607.1387755102032</v>
      </c>
      <c r="AA15" s="25">
        <v>797.93187889715546</v>
      </c>
      <c r="AB15" s="27">
        <v>2050.4739795918367</v>
      </c>
      <c r="AC15" s="25">
        <v>-118.1248835360031</v>
      </c>
      <c r="AD15" s="27">
        <v>2093.7919323979595</v>
      </c>
      <c r="AE15" s="25">
        <v>193.55126684626049</v>
      </c>
      <c r="AF15" s="27">
        <v>8690.9317857142851</v>
      </c>
      <c r="AG15" s="25">
        <v>1775.3169922303471</v>
      </c>
      <c r="AH15" s="27">
        <v>50229.53826530611</v>
      </c>
      <c r="AI15" s="25">
        <v>1390.1253883210538</v>
      </c>
      <c r="AJ15" s="27">
        <v>21640.202040816326</v>
      </c>
      <c r="AK15" s="25">
        <v>4887.4502359960716</v>
      </c>
      <c r="AL15" s="27">
        <v>6803.3112244897957</v>
      </c>
      <c r="AM15" s="25">
        <v>538.35321096835867</v>
      </c>
      <c r="AN15" s="27">
        <v>6929.9860969387737</v>
      </c>
      <c r="AO15" s="25">
        <v>1017.8961873016134</v>
      </c>
      <c r="AP15" s="27">
        <v>23059.660331632647</v>
      </c>
      <c r="AQ15" s="25">
        <v>2548.8471196222454</v>
      </c>
      <c r="AR15" s="27">
        <v>10019.755102040817</v>
      </c>
      <c r="AS15" s="25">
        <v>2149.045036557759</v>
      </c>
      <c r="AT15" s="27">
        <v>3236.5445918367345</v>
      </c>
      <c r="AU15" s="25">
        <v>387.9886124755696</v>
      </c>
      <c r="AV15" s="27">
        <v>3268.6037818877553</v>
      </c>
      <c r="AW15" s="25">
        <v>556.91056801437776</v>
      </c>
      <c r="AX15" s="27">
        <v>59849.081632653062</v>
      </c>
      <c r="AY15" s="25">
        <v>10192.113727852786</v>
      </c>
      <c r="AZ15" s="27">
        <v>18214.54183673469</v>
      </c>
      <c r="BA15" s="25">
        <v>1097.7448604108142</v>
      </c>
      <c r="BB15" s="27">
        <v>18822.913839285713</v>
      </c>
      <c r="BC15" s="25">
        <v>4115.120653019002</v>
      </c>
      <c r="BD15" s="27">
        <v>7967.8734693877559</v>
      </c>
      <c r="BE15" s="25">
        <v>1113.2983667088458</v>
      </c>
      <c r="BF15" s="27">
        <v>8363.3867346938787</v>
      </c>
      <c r="BG15" s="25">
        <v>1940.1413020771081</v>
      </c>
      <c r="BH15" s="27">
        <v>2583.0483163265312</v>
      </c>
      <c r="BI15" s="25">
        <v>345.50910482012199</v>
      </c>
    </row>
    <row r="16" spans="1:61" x14ac:dyDescent="0.25">
      <c r="A16" s="25" t="s">
        <v>57</v>
      </c>
      <c r="B16" s="26">
        <v>2079</v>
      </c>
      <c r="C16" s="85">
        <f t="shared" si="0"/>
        <v>2065.1872570779879</v>
      </c>
      <c r="D16" s="5">
        <f t="shared" si="1"/>
        <v>0.66439359894238326</v>
      </c>
      <c r="E16" s="25">
        <v>15</v>
      </c>
      <c r="F16" s="27">
        <v>189.11250000000001</v>
      </c>
      <c r="G16" s="25">
        <v>-46.596530691188711</v>
      </c>
      <c r="H16" s="27">
        <v>615.81214285714304</v>
      </c>
      <c r="I16" s="25">
        <v>41.867659299651052</v>
      </c>
      <c r="J16" s="27">
        <v>255.52499999999998</v>
      </c>
      <c r="K16" s="25">
        <v>48.096798150354928</v>
      </c>
      <c r="L16" s="27">
        <v>1560.8571428571427</v>
      </c>
      <c r="M16" s="25">
        <v>29.550551103254065</v>
      </c>
      <c r="N16" s="27">
        <v>589.05357142857133</v>
      </c>
      <c r="O16" s="25">
        <v>119.56955323101769</v>
      </c>
      <c r="P16" s="27">
        <v>191.34107142857141</v>
      </c>
      <c r="Q16" s="25">
        <v>14.484589999068211</v>
      </c>
      <c r="R16" s="27">
        <v>186.53928571428574</v>
      </c>
      <c r="S16" s="25">
        <v>27.191510098093431</v>
      </c>
      <c r="T16" s="27">
        <v>5826.0176084183677</v>
      </c>
      <c r="U16" s="25">
        <v>-817.46948548489775</v>
      </c>
      <c r="V16" s="27">
        <v>2412.1255931122455</v>
      </c>
      <c r="W16" s="25">
        <v>-30.793963854119447</v>
      </c>
      <c r="X16" s="27">
        <v>14754.087244897961</v>
      </c>
      <c r="Y16" s="25">
        <v>-1317.2500542192906</v>
      </c>
      <c r="Z16" s="27">
        <v>5544.3009247448972</v>
      </c>
      <c r="AA16" s="25">
        <v>652.1056494122796</v>
      </c>
      <c r="AB16" s="27">
        <v>1808.3113042091836</v>
      </c>
      <c r="AC16" s="25">
        <v>-101.92439295738221</v>
      </c>
      <c r="AD16" s="27">
        <v>1757.8044451530614</v>
      </c>
      <c r="AE16" s="25">
        <v>176.32695318678421</v>
      </c>
      <c r="AF16" s="27">
        <v>7956.2369413265287</v>
      </c>
      <c r="AG16" s="25">
        <v>1593.8726027780449</v>
      </c>
      <c r="AH16" s="27">
        <v>48142.053877551014</v>
      </c>
      <c r="AI16" s="25">
        <v>1378.6920490916282</v>
      </c>
      <c r="AJ16" s="27">
        <v>18015.643380102043</v>
      </c>
      <c r="AK16" s="25">
        <v>3890.3094823374668</v>
      </c>
      <c r="AL16" s="27">
        <v>5974.9413533163279</v>
      </c>
      <c r="AM16" s="25">
        <v>501.76265010548866</v>
      </c>
      <c r="AN16" s="27">
        <v>5763.8284005102059</v>
      </c>
      <c r="AO16" s="25">
        <v>878.26365478521905</v>
      </c>
      <c r="AP16" s="27">
        <v>20023.937755102037</v>
      </c>
      <c r="AQ16" s="25">
        <v>2141.8106522236326</v>
      </c>
      <c r="AR16" s="27">
        <v>7486.5730229591827</v>
      </c>
      <c r="AS16" s="25">
        <v>1551.2428985261793</v>
      </c>
      <c r="AT16" s="27">
        <v>2520.028195153061</v>
      </c>
      <c r="AU16" s="25">
        <v>318.24037559538374</v>
      </c>
      <c r="AV16" s="27">
        <v>2414.1678188775509</v>
      </c>
      <c r="AW16" s="25">
        <v>424.26211695672259</v>
      </c>
      <c r="AX16" s="27">
        <v>46438.75</v>
      </c>
      <c r="AY16" s="25">
        <v>7251.8155006550323</v>
      </c>
      <c r="AZ16" s="27">
        <v>15138.801530612247</v>
      </c>
      <c r="BA16" s="25">
        <v>896.06450783717037</v>
      </c>
      <c r="BB16" s="27">
        <v>14725.052040816325</v>
      </c>
      <c r="BC16" s="25">
        <v>3203.634860343434</v>
      </c>
      <c r="BD16" s="27">
        <v>5639.3323022959185</v>
      </c>
      <c r="BE16" s="25">
        <v>742.74307221915819</v>
      </c>
      <c r="BF16" s="27">
        <v>5630.2890943877555</v>
      </c>
      <c r="BG16" s="25">
        <v>1323.3641205504957</v>
      </c>
      <c r="BH16" s="27">
        <v>1824.5784757653059</v>
      </c>
      <c r="BI16" s="25">
        <v>246.44136343676809</v>
      </c>
    </row>
    <row r="17" spans="1:61" x14ac:dyDescent="0.25">
      <c r="A17" s="25" t="s">
        <v>58</v>
      </c>
      <c r="B17" s="26">
        <v>2090</v>
      </c>
      <c r="C17" s="85">
        <f t="shared" si="0"/>
        <v>2194.313315051525</v>
      </c>
      <c r="D17" s="5">
        <f t="shared" si="1"/>
        <v>-4.9910677058145945</v>
      </c>
      <c r="E17" s="25">
        <v>16</v>
      </c>
      <c r="F17" s="27">
        <v>178.57500000000002</v>
      </c>
      <c r="G17" s="25">
        <v>-45.438571367005373</v>
      </c>
      <c r="H17" s="27">
        <v>631.303</v>
      </c>
      <c r="I17" s="25">
        <v>45.220359174305926</v>
      </c>
      <c r="J17" s="27">
        <v>235.95357142857142</v>
      </c>
      <c r="K17" s="25">
        <v>45.507584036733562</v>
      </c>
      <c r="L17" s="27">
        <v>1534.2235714285712</v>
      </c>
      <c r="M17" s="25">
        <v>32.433713491030851</v>
      </c>
      <c r="N17" s="27">
        <v>546.39285714285711</v>
      </c>
      <c r="O17" s="25">
        <v>107.81798963223078</v>
      </c>
      <c r="P17" s="27">
        <v>183.81428571428572</v>
      </c>
      <c r="Q17" s="25">
        <v>13.70250803174501</v>
      </c>
      <c r="R17" s="27">
        <v>192.63464285714284</v>
      </c>
      <c r="S17" s="25">
        <v>29.478192916647288</v>
      </c>
      <c r="T17" s="27">
        <v>5676.3265433673469</v>
      </c>
      <c r="U17" s="25">
        <v>-754.36388865280492</v>
      </c>
      <c r="V17" s="27">
        <v>2212.3649362244901</v>
      </c>
      <c r="W17" s="25">
        <v>-44.058177378837172</v>
      </c>
      <c r="X17" s="27">
        <v>13671.034375000001</v>
      </c>
      <c r="Y17" s="25">
        <v>-1319.393244805538</v>
      </c>
      <c r="Z17" s="27">
        <v>5121.5340561224484</v>
      </c>
      <c r="AA17" s="25">
        <v>507.89698762440935</v>
      </c>
      <c r="AB17" s="27">
        <v>1632.8630612244899</v>
      </c>
      <c r="AC17" s="25">
        <v>-107.18647096122238</v>
      </c>
      <c r="AD17" s="27">
        <v>1717.0310778061225</v>
      </c>
      <c r="AE17" s="25">
        <v>197.96648382886102</v>
      </c>
      <c r="AF17" s="27">
        <v>7621.5940178571436</v>
      </c>
      <c r="AG17" s="25">
        <v>1578.6841194612618</v>
      </c>
      <c r="AH17" s="27">
        <v>48436.354420714284</v>
      </c>
      <c r="AI17" s="25">
        <v>1657.6972370685382</v>
      </c>
      <c r="AJ17" s="27">
        <v>17277.447321428572</v>
      </c>
      <c r="AK17" s="25">
        <v>3699.1676270588182</v>
      </c>
      <c r="AL17" s="27">
        <v>5889.3837142857137</v>
      </c>
      <c r="AM17" s="25">
        <v>483.04963818042046</v>
      </c>
      <c r="AN17" s="27">
        <v>6141.3372937244894</v>
      </c>
      <c r="AO17" s="25">
        <v>996.72260869334025</v>
      </c>
      <c r="AP17" s="27">
        <v>17959.817920918369</v>
      </c>
      <c r="AQ17" s="25">
        <v>1897.6411191072882</v>
      </c>
      <c r="AR17" s="27">
        <v>6815.3725765306117</v>
      </c>
      <c r="AS17" s="25">
        <v>1470.4528837715548</v>
      </c>
      <c r="AT17" s="27">
        <v>2247.64</v>
      </c>
      <c r="AU17" s="25">
        <v>290.84485522406646</v>
      </c>
      <c r="AV17" s="27">
        <v>2343.2584885204078</v>
      </c>
      <c r="AW17" s="25">
        <v>460.8024191255011</v>
      </c>
      <c r="AX17" s="27">
        <v>41931.082270408166</v>
      </c>
      <c r="AY17" s="25">
        <v>6118.1423835172618</v>
      </c>
      <c r="AZ17" s="27">
        <v>14182.84142857143</v>
      </c>
      <c r="BA17" s="25">
        <v>945.39117105059518</v>
      </c>
      <c r="BB17" s="27">
        <v>14856.084150765306</v>
      </c>
      <c r="BC17" s="25">
        <v>3381.2140304730265</v>
      </c>
      <c r="BD17" s="27">
        <v>5013.4714285714281</v>
      </c>
      <c r="BE17" s="25">
        <v>643.41751656221049</v>
      </c>
      <c r="BF17" s="27">
        <v>5335.9109056122443</v>
      </c>
      <c r="BG17" s="25">
        <v>1257.8829300195302</v>
      </c>
      <c r="BH17" s="27">
        <v>1826.3307142857143</v>
      </c>
      <c r="BI17" s="25">
        <v>269.94246047687739</v>
      </c>
    </row>
    <row r="18" spans="1:61" x14ac:dyDescent="0.25">
      <c r="A18" s="25" t="s">
        <v>59</v>
      </c>
      <c r="B18" s="26">
        <v>2372</v>
      </c>
      <c r="C18" s="85">
        <f t="shared" si="0"/>
        <v>2511.6714259832752</v>
      </c>
      <c r="D18" s="5">
        <f t="shared" si="1"/>
        <v>-5.8883400498851257</v>
      </c>
      <c r="E18" s="25">
        <v>17</v>
      </c>
      <c r="F18" s="27">
        <v>187.65714285714284</v>
      </c>
      <c r="G18" s="25">
        <v>-46.083401559142999</v>
      </c>
      <c r="H18" s="27">
        <v>630.30000000000007</v>
      </c>
      <c r="I18" s="25">
        <v>44.17398004374936</v>
      </c>
      <c r="J18" s="27">
        <v>276.18571428571431</v>
      </c>
      <c r="K18" s="25">
        <v>54.120413637528429</v>
      </c>
      <c r="L18" s="27">
        <v>1476.1428571428576</v>
      </c>
      <c r="M18" s="25">
        <v>28.727581409304985</v>
      </c>
      <c r="N18" s="27">
        <v>632.00000000000011</v>
      </c>
      <c r="O18" s="25">
        <v>133.30089558451681</v>
      </c>
      <c r="P18" s="27">
        <v>196.29999999999995</v>
      </c>
      <c r="Q18" s="25">
        <v>13.491724855959113</v>
      </c>
      <c r="R18" s="27">
        <v>211.51428571428576</v>
      </c>
      <c r="S18" s="25">
        <v>29.050915174261402</v>
      </c>
      <c r="T18" s="27">
        <v>5909.8395918367351</v>
      </c>
      <c r="U18" s="25">
        <v>-784.087286632614</v>
      </c>
      <c r="V18" s="27">
        <v>2582.7220408163266</v>
      </c>
      <c r="W18" s="25">
        <v>2.8009731137749263</v>
      </c>
      <c r="X18" s="27">
        <v>13896.087755102038</v>
      </c>
      <c r="Y18" s="25">
        <v>-1233.8361599950738</v>
      </c>
      <c r="Z18" s="27">
        <v>5949.7428571428572</v>
      </c>
      <c r="AA18" s="25">
        <v>757.97348026131044</v>
      </c>
      <c r="AB18" s="27">
        <v>1843.4559183673468</v>
      </c>
      <c r="AC18" s="25">
        <v>-109.47815057355905</v>
      </c>
      <c r="AD18" s="27">
        <v>1995.6946938775509</v>
      </c>
      <c r="AE18" s="25">
        <v>202.83471668544715</v>
      </c>
      <c r="AF18" s="27">
        <v>8858.5034693877533</v>
      </c>
      <c r="AG18" s="25">
        <v>1862.637510264623</v>
      </c>
      <c r="AH18" s="27">
        <v>46454.128571428555</v>
      </c>
      <c r="AI18" s="25">
        <v>1348.8143313269625</v>
      </c>
      <c r="AJ18" s="27">
        <v>19625.375510204078</v>
      </c>
      <c r="AK18" s="25">
        <v>4399.9406558530172</v>
      </c>
      <c r="AL18" s="27">
        <v>6292.5251020408168</v>
      </c>
      <c r="AM18" s="25">
        <v>498.21500363172169</v>
      </c>
      <c r="AN18" s="27">
        <v>6674.5871428571436</v>
      </c>
      <c r="AO18" s="25">
        <v>1003.9748815778185</v>
      </c>
      <c r="AP18" s="27">
        <v>20321.124489795915</v>
      </c>
      <c r="AQ18" s="25">
        <v>2312.3125044672588</v>
      </c>
      <c r="AR18" s="27">
        <v>8516.4999999999982</v>
      </c>
      <c r="AS18" s="25">
        <v>1860.3670674172006</v>
      </c>
      <c r="AT18" s="27">
        <v>2803.1106122448978</v>
      </c>
      <c r="AU18" s="25">
        <v>353.13113716897766</v>
      </c>
      <c r="AV18" s="27">
        <v>2934.3261224489802</v>
      </c>
      <c r="AW18" s="25">
        <v>508.58438703774658</v>
      </c>
      <c r="AX18" s="27">
        <v>47069.551020408158</v>
      </c>
      <c r="AY18" s="25">
        <v>7898.6665597132642</v>
      </c>
      <c r="AZ18" s="27">
        <v>14594.97551020408</v>
      </c>
      <c r="BA18" s="25">
        <v>837.66237665206063</v>
      </c>
      <c r="BB18" s="27">
        <v>15745.034693877551</v>
      </c>
      <c r="BC18" s="25">
        <v>3421.5887827718634</v>
      </c>
      <c r="BD18" s="27">
        <v>6096.0714285714294</v>
      </c>
      <c r="BE18" s="25">
        <v>802.09391526509955</v>
      </c>
      <c r="BF18" s="27">
        <v>6857.9163265306115</v>
      </c>
      <c r="BG18" s="25">
        <v>1480.1069463096792</v>
      </c>
      <c r="BH18" s="27">
        <v>2101.5646938775508</v>
      </c>
      <c r="BI18" s="25">
        <v>257.33708769199427</v>
      </c>
    </row>
    <row r="19" spans="1:61" x14ac:dyDescent="0.25">
      <c r="A19" s="25" t="s">
        <v>60</v>
      </c>
      <c r="B19" s="26">
        <v>2413</v>
      </c>
      <c r="C19" s="85">
        <f t="shared" si="0"/>
        <v>2455.1864883849844</v>
      </c>
      <c r="D19" s="5">
        <f t="shared" si="1"/>
        <v>-1.7483003889342887</v>
      </c>
      <c r="E19" s="25">
        <v>18</v>
      </c>
      <c r="F19" s="27">
        <v>186.7</v>
      </c>
      <c r="G19" s="25">
        <v>-46.030508987062731</v>
      </c>
      <c r="H19" s="27">
        <v>641.19285714285706</v>
      </c>
      <c r="I19" s="25">
        <v>46.008820172991804</v>
      </c>
      <c r="J19" s="27">
        <v>272.39999999999998</v>
      </c>
      <c r="K19" s="25">
        <v>52.143455263053369</v>
      </c>
      <c r="L19" s="27">
        <v>1492.4285714285718</v>
      </c>
      <c r="M19" s="25">
        <v>20.525317403443669</v>
      </c>
      <c r="N19" s="27">
        <v>585.47142857142853</v>
      </c>
      <c r="O19" s="25">
        <v>128.21358166269897</v>
      </c>
      <c r="P19" s="27">
        <v>198.79285714285712</v>
      </c>
      <c r="Q19" s="25">
        <v>14.153571146000742</v>
      </c>
      <c r="R19" s="27">
        <v>191.53749999999999</v>
      </c>
      <c r="S19" s="25">
        <v>27.243086535766246</v>
      </c>
      <c r="T19" s="27">
        <v>5998.7244897959172</v>
      </c>
      <c r="U19" s="25">
        <v>-804.17163424541798</v>
      </c>
      <c r="V19" s="27">
        <v>2544.212653061224</v>
      </c>
      <c r="W19" s="25">
        <v>4.1779670872874242</v>
      </c>
      <c r="X19" s="27">
        <v>13921.295918367347</v>
      </c>
      <c r="Y19" s="25">
        <v>-1319.9689243575228</v>
      </c>
      <c r="Z19" s="27">
        <v>5435.8738775510192</v>
      </c>
      <c r="AA19" s="25">
        <v>700.35595703776926</v>
      </c>
      <c r="AB19" s="27">
        <v>1855.8073469387755</v>
      </c>
      <c r="AC19" s="25">
        <v>-109.60838031938361</v>
      </c>
      <c r="AD19" s="27">
        <v>1782.5768877551018</v>
      </c>
      <c r="AE19" s="25">
        <v>169.72976669044067</v>
      </c>
      <c r="AF19" s="27">
        <v>8798.4868367346953</v>
      </c>
      <c r="AG19" s="25">
        <v>1800.1594742849848</v>
      </c>
      <c r="AH19" s="27">
        <v>47770.75</v>
      </c>
      <c r="AI19" s="25">
        <v>1048.8336304646257</v>
      </c>
      <c r="AJ19" s="27">
        <v>18428.759081632652</v>
      </c>
      <c r="AK19" s="25">
        <v>4280.0699717584575</v>
      </c>
      <c r="AL19" s="27">
        <v>6415.6164795918357</v>
      </c>
      <c r="AM19" s="25">
        <v>495.16659148895269</v>
      </c>
      <c r="AN19" s="27">
        <v>6106.6007525510213</v>
      </c>
      <c r="AO19" s="25">
        <v>908.07677066499764</v>
      </c>
      <c r="AP19" s="27">
        <v>20333.828571428574</v>
      </c>
      <c r="AQ19" s="25">
        <v>2233.0932346967093</v>
      </c>
      <c r="AR19" s="27">
        <v>7948.203061224488</v>
      </c>
      <c r="AS19" s="25">
        <v>1871.2407088285513</v>
      </c>
      <c r="AT19" s="27">
        <v>2754.9786734693871</v>
      </c>
      <c r="AU19" s="25">
        <v>345.32932765754271</v>
      </c>
      <c r="AV19" s="27">
        <v>2624.0224234693878</v>
      </c>
      <c r="AW19" s="25">
        <v>455.95507136036144</v>
      </c>
      <c r="AX19" s="27">
        <v>44186.075510204086</v>
      </c>
      <c r="AY19" s="25">
        <v>7583.8379412940803</v>
      </c>
      <c r="AZ19" s="27">
        <v>15178.841836734691</v>
      </c>
      <c r="BA19" s="25">
        <v>910.95614582148562</v>
      </c>
      <c r="BB19" s="27">
        <v>14477.68698979592</v>
      </c>
      <c r="BC19" s="25">
        <v>3373.4436393254846</v>
      </c>
      <c r="BD19" s="27">
        <v>5839.1698979591847</v>
      </c>
      <c r="BE19" s="25">
        <v>862.15549283622238</v>
      </c>
      <c r="BF19" s="27">
        <v>5783.6828826530609</v>
      </c>
      <c r="BG19" s="25">
        <v>1441.2525302846325</v>
      </c>
      <c r="BH19" s="27">
        <v>1933.2225637755098</v>
      </c>
      <c r="BI19" s="25">
        <v>257.18914249739731</v>
      </c>
    </row>
    <row r="20" spans="1:61" x14ac:dyDescent="0.25">
      <c r="A20" s="25" t="s">
        <v>61</v>
      </c>
      <c r="B20" s="26">
        <v>1937</v>
      </c>
      <c r="C20" s="85">
        <f t="shared" si="0"/>
        <v>1879.1077274956142</v>
      </c>
      <c r="D20" s="5">
        <f t="shared" si="1"/>
        <v>2.988759551078255</v>
      </c>
      <c r="E20" s="25">
        <v>19</v>
      </c>
      <c r="F20" s="27">
        <v>188.73214285714286</v>
      </c>
      <c r="G20" s="25">
        <v>-46.790904911498686</v>
      </c>
      <c r="H20" s="27">
        <v>612.00892857142844</v>
      </c>
      <c r="I20" s="25">
        <v>43.003030681088141</v>
      </c>
      <c r="J20" s="27">
        <v>268.59821428571428</v>
      </c>
      <c r="K20" s="25">
        <v>51.785708394135447</v>
      </c>
      <c r="L20" s="27">
        <v>953.20714285714291</v>
      </c>
      <c r="M20" s="25">
        <v>-29.991739910459607</v>
      </c>
      <c r="N20" s="27">
        <v>555.625</v>
      </c>
      <c r="O20" s="25">
        <v>96.300921950888053</v>
      </c>
      <c r="P20" s="27">
        <v>279.65321428571423</v>
      </c>
      <c r="Q20" s="25">
        <v>14.076328792892465</v>
      </c>
      <c r="R20" s="27">
        <v>513.125</v>
      </c>
      <c r="S20" s="25">
        <v>29.894825337592863</v>
      </c>
      <c r="T20" s="27">
        <v>5786.2806186224489</v>
      </c>
      <c r="U20" s="25">
        <v>-787.67909844614962</v>
      </c>
      <c r="V20" s="27">
        <v>2534.6394068877553</v>
      </c>
      <c r="W20" s="25">
        <v>-23.500299725891043</v>
      </c>
      <c r="X20" s="27">
        <v>8889.5819132653069</v>
      </c>
      <c r="Y20" s="25">
        <v>-1245.0673184574766</v>
      </c>
      <c r="Z20" s="27">
        <v>5217.0515178571422</v>
      </c>
      <c r="AA20" s="25">
        <v>435.1748957289268</v>
      </c>
      <c r="AB20" s="27">
        <v>2665.4138431122446</v>
      </c>
      <c r="AC20" s="25">
        <v>-155.07768953793877</v>
      </c>
      <c r="AD20" s="27">
        <v>4901.6238647959181</v>
      </c>
      <c r="AE20" s="25">
        <v>77.534661849776171</v>
      </c>
      <c r="AF20" s="27">
        <v>8390.2944738520418</v>
      </c>
      <c r="AG20" s="25">
        <v>1723.6111305685495</v>
      </c>
      <c r="AH20" s="27">
        <v>29903.825344387762</v>
      </c>
      <c r="AI20" s="25">
        <v>-530.14300488203594</v>
      </c>
      <c r="AJ20" s="27">
        <v>17155.404789540818</v>
      </c>
      <c r="AK20" s="25">
        <v>3327.3192932253255</v>
      </c>
      <c r="AL20" s="27">
        <v>8789.5381613520403</v>
      </c>
      <c r="AM20" s="25">
        <v>602.0591532609327</v>
      </c>
      <c r="AN20" s="27">
        <v>15614.117391581629</v>
      </c>
      <c r="AO20" s="25">
        <v>1004.490889836811</v>
      </c>
      <c r="AP20" s="27">
        <v>14105.100318877552</v>
      </c>
      <c r="AQ20" s="25">
        <v>1029.6412061010806</v>
      </c>
      <c r="AR20" s="27">
        <v>7767.3239604591827</v>
      </c>
      <c r="AS20" s="25">
        <v>1461.6954265438578</v>
      </c>
      <c r="AT20" s="27">
        <v>3936.0279738520403</v>
      </c>
      <c r="AU20" s="25">
        <v>440.83167793001007</v>
      </c>
      <c r="AV20" s="27">
        <v>6539.7625829081626</v>
      </c>
      <c r="AW20" s="25">
        <v>696.15187734345079</v>
      </c>
      <c r="AX20" s="27">
        <v>31001.082372448978</v>
      </c>
      <c r="AY20" s="25">
        <v>3143.0024833559628</v>
      </c>
      <c r="AZ20" s="27">
        <v>12567.163242346936</v>
      </c>
      <c r="BA20" s="25">
        <v>529.94450152701893</v>
      </c>
      <c r="BB20" s="27">
        <v>16561.793801020409</v>
      </c>
      <c r="BC20" s="25">
        <v>3508.5784462066126</v>
      </c>
      <c r="BD20" s="27">
        <v>7764.073177295918</v>
      </c>
      <c r="BE20" s="25">
        <v>677.75279550626465</v>
      </c>
      <c r="BF20" s="27">
        <v>12643.068584183675</v>
      </c>
      <c r="BG20" s="25">
        <v>2137.9723908241367</v>
      </c>
      <c r="BH20" s="27">
        <v>7975.0265752551013</v>
      </c>
      <c r="BI20" s="25">
        <v>141.03102105515489</v>
      </c>
    </row>
    <row r="21" spans="1:61" x14ac:dyDescent="0.25">
      <c r="A21" s="25" t="s">
        <v>62</v>
      </c>
      <c r="B21" s="26">
        <v>2674</v>
      </c>
      <c r="C21" s="85">
        <f t="shared" si="0"/>
        <v>2767.839068304178</v>
      </c>
      <c r="D21" s="5">
        <f t="shared" si="1"/>
        <v>-3.5093144466783097</v>
      </c>
      <c r="E21" s="25">
        <v>20</v>
      </c>
      <c r="F21" s="27">
        <v>181.76607142857139</v>
      </c>
      <c r="G21" s="25">
        <v>-44.428030668715699</v>
      </c>
      <c r="H21" s="27">
        <v>614.82678571428573</v>
      </c>
      <c r="I21" s="25">
        <v>45.756419623145185</v>
      </c>
      <c r="J21" s="27">
        <v>282.81785714285724</v>
      </c>
      <c r="K21" s="25">
        <v>54.189109990964035</v>
      </c>
      <c r="L21" s="27">
        <v>1094.0660714285714</v>
      </c>
      <c r="M21" s="25">
        <v>71.172928614094829</v>
      </c>
      <c r="N21" s="27">
        <v>628.32321428571424</v>
      </c>
      <c r="O21" s="25">
        <v>142.86495013252429</v>
      </c>
      <c r="P21" s="27">
        <v>170.20428571428567</v>
      </c>
      <c r="Q21" s="25">
        <v>15.010118875146311</v>
      </c>
      <c r="R21" s="27">
        <v>432.53364285714287</v>
      </c>
      <c r="S21" s="25">
        <v>99.707785186083399</v>
      </c>
      <c r="T21" s="27">
        <v>5611.5749330357139</v>
      </c>
      <c r="U21" s="25">
        <v>-711.57114340271949</v>
      </c>
      <c r="V21" s="27">
        <v>2570.0686033163265</v>
      </c>
      <c r="W21" s="25">
        <v>-13.345867201828373</v>
      </c>
      <c r="X21" s="27">
        <v>9967.6503603316323</v>
      </c>
      <c r="Y21" s="25">
        <v>-457.28759795911367</v>
      </c>
      <c r="Z21" s="27">
        <v>5676.4400542091826</v>
      </c>
      <c r="AA21" s="25">
        <v>796.62275109818665</v>
      </c>
      <c r="AB21" s="27">
        <v>1546.2067366071428</v>
      </c>
      <c r="AC21" s="25">
        <v>-79.417423529822699</v>
      </c>
      <c r="AD21" s="27">
        <v>3908.8998746173461</v>
      </c>
      <c r="AE21" s="25">
        <v>720.08725751415852</v>
      </c>
      <c r="AF21" s="27">
        <v>8832.8561160714307</v>
      </c>
      <c r="AG21" s="25">
        <v>1825.6180331123876</v>
      </c>
      <c r="AH21" s="27">
        <v>32849.210519770408</v>
      </c>
      <c r="AI21" s="25">
        <v>2541.991513571807</v>
      </c>
      <c r="AJ21" s="27">
        <v>19060.766132015302</v>
      </c>
      <c r="AK21" s="25">
        <v>4453.6847600054762</v>
      </c>
      <c r="AL21" s="27">
        <v>5315.5312735969392</v>
      </c>
      <c r="AM21" s="25">
        <v>512.05506257732225</v>
      </c>
      <c r="AN21" s="27">
        <v>13657.80987487245</v>
      </c>
      <c r="AO21" s="25">
        <v>3260.006240251189</v>
      </c>
      <c r="AP21" s="27">
        <v>14624.142940051021</v>
      </c>
      <c r="AQ21" s="25">
        <v>2086.1246520133805</v>
      </c>
      <c r="AR21" s="27">
        <v>8731.588654336736</v>
      </c>
      <c r="AS21" s="25">
        <v>1969.328190197559</v>
      </c>
      <c r="AT21" s="27">
        <v>2533.5676339285719</v>
      </c>
      <c r="AU21" s="25">
        <v>357.42385569726571</v>
      </c>
      <c r="AV21" s="27">
        <v>6599.3046114795916</v>
      </c>
      <c r="AW21" s="25">
        <v>1714.6951414799676</v>
      </c>
      <c r="AX21" s="27">
        <v>38910.925385841838</v>
      </c>
      <c r="AY21" s="25">
        <v>8713.4036269566095</v>
      </c>
      <c r="AZ21" s="27">
        <v>8343.8643207908153</v>
      </c>
      <c r="BA21" s="25">
        <v>822.91297319068622</v>
      </c>
      <c r="BB21" s="27">
        <v>15631.175263392861</v>
      </c>
      <c r="BC21" s="25">
        <v>3454.2689210823892</v>
      </c>
      <c r="BD21" s="27">
        <v>5044.4376626275507</v>
      </c>
      <c r="BE21" s="25">
        <v>752.9680844306896</v>
      </c>
      <c r="BF21" s="27">
        <v>11867.644018494901</v>
      </c>
      <c r="BG21" s="25">
        <v>3112.5498767836075</v>
      </c>
      <c r="BH21" s="27">
        <v>4141.5536323214283</v>
      </c>
      <c r="BI21" s="25">
        <v>926.22473454725105</v>
      </c>
    </row>
    <row r="22" spans="1:61" x14ac:dyDescent="0.25">
      <c r="A22" s="25" t="s">
        <v>63</v>
      </c>
      <c r="B22" s="24">
        <v>2610</v>
      </c>
      <c r="C22" s="85">
        <f t="shared" si="0"/>
        <v>2571.9176586026024</v>
      </c>
      <c r="D22" s="5">
        <f t="shared" si="1"/>
        <v>1.4590935401301768</v>
      </c>
      <c r="E22" s="25">
        <v>21</v>
      </c>
      <c r="F22" s="27">
        <v>196.13392857142856</v>
      </c>
      <c r="G22" s="25">
        <v>-44.840821799107324</v>
      </c>
      <c r="H22" s="27">
        <v>616.95000000000005</v>
      </c>
      <c r="I22" s="25">
        <v>44.797163003231447</v>
      </c>
      <c r="J22" s="27">
        <v>265.56428571428569</v>
      </c>
      <c r="K22" s="25">
        <v>52.014097043279236</v>
      </c>
      <c r="L22" s="27">
        <v>1644.839285714286</v>
      </c>
      <c r="M22" s="25">
        <v>30.67488332123397</v>
      </c>
      <c r="N22" s="27">
        <v>706.03571428571422</v>
      </c>
      <c r="O22" s="25">
        <v>148.79087789582471</v>
      </c>
      <c r="P22" s="27">
        <v>179.40821428571431</v>
      </c>
      <c r="Q22" s="25">
        <v>12.388109618761375</v>
      </c>
      <c r="R22" s="27">
        <v>211.68664285714286</v>
      </c>
      <c r="S22" s="25">
        <v>29.546211740408303</v>
      </c>
      <c r="T22" s="27">
        <v>6052.038533163266</v>
      </c>
      <c r="U22" s="25">
        <v>-721.34977608178451</v>
      </c>
      <c r="V22" s="27">
        <v>2617.3373852040813</v>
      </c>
      <c r="W22" s="25">
        <v>46.112998503908585</v>
      </c>
      <c r="X22" s="27">
        <v>16077.310618622449</v>
      </c>
      <c r="Y22" s="25">
        <v>-1355.749050806422</v>
      </c>
      <c r="Z22" s="27">
        <v>6971.1404974489787</v>
      </c>
      <c r="AA22" s="25">
        <v>882.780057277433</v>
      </c>
      <c r="AB22" s="27">
        <v>1731.9093418367345</v>
      </c>
      <c r="AC22" s="25">
        <v>-83.473194197268356</v>
      </c>
      <c r="AD22" s="27">
        <v>2080.4400922193881</v>
      </c>
      <c r="AE22" s="25">
        <v>232.24180734419821</v>
      </c>
      <c r="AF22" s="27">
        <v>8309.2832142857151</v>
      </c>
      <c r="AG22" s="25">
        <v>1741.6753177204018</v>
      </c>
      <c r="AH22" s="27">
        <v>50679.983801020397</v>
      </c>
      <c r="AI22" s="25">
        <v>1647.5872336432924</v>
      </c>
      <c r="AJ22" s="27">
        <v>21590.73035714286</v>
      </c>
      <c r="AK22" s="25">
        <v>4891.09921966002</v>
      </c>
      <c r="AL22" s="27">
        <v>5591.3890459183676</v>
      </c>
      <c r="AM22" s="25">
        <v>420.88167167372126</v>
      </c>
      <c r="AN22" s="27">
        <v>6586.0080913265319</v>
      </c>
      <c r="AO22" s="25">
        <v>945.90914670352538</v>
      </c>
      <c r="AP22" s="27">
        <v>21721.118239795916</v>
      </c>
      <c r="AQ22" s="25">
        <v>2552.1903836845254</v>
      </c>
      <c r="AR22" s="27">
        <v>9322.7859693877563</v>
      </c>
      <c r="AS22" s="25">
        <v>2095.1548915659846</v>
      </c>
      <c r="AT22" s="27">
        <v>2407.9419362244898</v>
      </c>
      <c r="AU22" s="25">
        <v>277.91590243792598</v>
      </c>
      <c r="AV22" s="27">
        <v>2860.8276964285715</v>
      </c>
      <c r="AW22" s="25">
        <v>479.51462528863783</v>
      </c>
      <c r="AX22" s="27">
        <v>58202.228954081613</v>
      </c>
      <c r="AY22" s="25">
        <v>9793.7743033977858</v>
      </c>
      <c r="AZ22" s="27">
        <v>14743.41387755102</v>
      </c>
      <c r="BA22" s="25">
        <v>948.69794137364681</v>
      </c>
      <c r="BB22" s="27">
        <v>17403.987427295917</v>
      </c>
      <c r="BC22" s="25">
        <v>3786.2521374806402</v>
      </c>
      <c r="BD22" s="27">
        <v>6242.037346938776</v>
      </c>
      <c r="BE22" s="25">
        <v>833.60925665691616</v>
      </c>
      <c r="BF22" s="27">
        <v>7447.0605127551025</v>
      </c>
      <c r="BG22" s="25">
        <v>1751.9763726417625</v>
      </c>
      <c r="BH22" s="27">
        <v>1926.4327389540817</v>
      </c>
      <c r="BI22" s="25">
        <v>205.08756133072063</v>
      </c>
    </row>
    <row r="23" spans="1:61" x14ac:dyDescent="0.25">
      <c r="A23" s="25" t="s">
        <v>64</v>
      </c>
      <c r="B23" s="26">
        <v>3079.3650793650795</v>
      </c>
      <c r="C23" s="85">
        <f t="shared" si="0"/>
        <v>2570.7809234630895</v>
      </c>
      <c r="D23" s="5">
        <f t="shared" si="1"/>
        <v>16.515877227745037</v>
      </c>
      <c r="E23" s="25">
        <v>22</v>
      </c>
      <c r="F23" s="27">
        <v>185.89464285714286</v>
      </c>
      <c r="G23" s="25">
        <v>-45.859746197021238</v>
      </c>
      <c r="H23" s="27">
        <v>621.86964285714282</v>
      </c>
      <c r="I23" s="25">
        <v>44.513998675082618</v>
      </c>
      <c r="J23" s="27">
        <v>291.23214285714283</v>
      </c>
      <c r="K23" s="25">
        <v>54.904237379077053</v>
      </c>
      <c r="L23" s="27">
        <v>1678.785714285714</v>
      </c>
      <c r="M23" s="25">
        <v>35.921953092946836</v>
      </c>
      <c r="N23" s="27">
        <v>777.5</v>
      </c>
      <c r="O23" s="25">
        <v>166.36745206610803</v>
      </c>
      <c r="P23" s="27">
        <v>218.83116071428569</v>
      </c>
      <c r="Q23" s="25">
        <v>15.022950569684946</v>
      </c>
      <c r="R23" s="27">
        <v>232.22321428571428</v>
      </c>
      <c r="S23" s="25">
        <v>35.223711032881127</v>
      </c>
      <c r="T23" s="27">
        <v>5796.8119228316327</v>
      </c>
      <c r="U23" s="25">
        <v>-785.31177896863073</v>
      </c>
      <c r="V23" s="27">
        <v>2712.9941135204076</v>
      </c>
      <c r="W23" s="25">
        <v>-13.968993846571287</v>
      </c>
      <c r="X23" s="27">
        <v>15562.23176020408</v>
      </c>
      <c r="Y23" s="25">
        <v>-1335.410079315247</v>
      </c>
      <c r="Z23" s="27">
        <v>7179.5457908163271</v>
      </c>
      <c r="AA23" s="25">
        <v>881.14760340950454</v>
      </c>
      <c r="AB23" s="27">
        <v>2041.1685868941322</v>
      </c>
      <c r="AC23" s="25">
        <v>-116.6720574292282</v>
      </c>
      <c r="AD23" s="27">
        <v>2155.5350542091837</v>
      </c>
      <c r="AE23" s="25">
        <v>230.81863158638461</v>
      </c>
      <c r="AF23" s="27">
        <v>9150.8336670918379</v>
      </c>
      <c r="AG23" s="25">
        <v>1847.0651506388695</v>
      </c>
      <c r="AH23" s="27">
        <v>52037.391198979596</v>
      </c>
      <c r="AI23" s="25">
        <v>1787.5203772493264</v>
      </c>
      <c r="AJ23" s="27">
        <v>24003.54961734694</v>
      </c>
      <c r="AK23" s="25">
        <v>5523.2543368961997</v>
      </c>
      <c r="AL23" s="27">
        <v>6874.2055132334172</v>
      </c>
      <c r="AM23" s="25">
        <v>532.54260505386776</v>
      </c>
      <c r="AN23" s="27">
        <v>7258.8532748724501</v>
      </c>
      <c r="AO23" s="25">
        <v>1143.7498047631254</v>
      </c>
      <c r="AP23" s="27">
        <v>24389.395153061221</v>
      </c>
      <c r="AQ23" s="25">
        <v>2752.8621123067001</v>
      </c>
      <c r="AR23" s="27">
        <v>11286.237499999999</v>
      </c>
      <c r="AS23" s="25">
        <v>2526.2219148226291</v>
      </c>
      <c r="AT23" s="27">
        <v>3247.5769225127556</v>
      </c>
      <c r="AU23" s="25">
        <v>396.52640469528603</v>
      </c>
      <c r="AV23" s="27">
        <v>3436.8418176020396</v>
      </c>
      <c r="AW23" s="25">
        <v>646.48648455965849</v>
      </c>
      <c r="AX23" s="27">
        <v>65844.729591836745</v>
      </c>
      <c r="AY23" s="25">
        <v>11401.279725980339</v>
      </c>
      <c r="AZ23" s="27">
        <v>18330.517404336733</v>
      </c>
      <c r="BA23" s="25">
        <v>1180.0235413042283</v>
      </c>
      <c r="BB23" s="27">
        <v>19546.116454081632</v>
      </c>
      <c r="BC23" s="25">
        <v>4493.8367239714698</v>
      </c>
      <c r="BD23" s="27">
        <v>8457.0030803571444</v>
      </c>
      <c r="BE23" s="25">
        <v>1228.3347470015749</v>
      </c>
      <c r="BF23" s="27">
        <v>9154.7121173469368</v>
      </c>
      <c r="BG23" s="25">
        <v>2342.3515962719175</v>
      </c>
      <c r="BH23" s="27">
        <v>2577.0222692920925</v>
      </c>
      <c r="BI23" s="25">
        <v>356.51633067098271</v>
      </c>
    </row>
    <row r="24" spans="1:61" x14ac:dyDescent="0.25">
      <c r="A24" s="25" t="s">
        <v>65</v>
      </c>
      <c r="B24" s="26">
        <v>2941.818181818182</v>
      </c>
      <c r="C24" s="85">
        <f t="shared" si="0"/>
        <v>2794.5372959221022</v>
      </c>
      <c r="D24" s="5">
        <f t="shared" si="1"/>
        <v>5.0064578024007336</v>
      </c>
      <c r="E24" s="25">
        <v>23</v>
      </c>
      <c r="F24" s="27">
        <v>179.25357142857143</v>
      </c>
      <c r="G24" s="25">
        <v>-43.587814506443607</v>
      </c>
      <c r="H24" s="27">
        <v>615.65</v>
      </c>
      <c r="I24" s="25">
        <v>49.992063277267647</v>
      </c>
      <c r="J24" s="27">
        <v>270.68571428571425</v>
      </c>
      <c r="K24" s="25">
        <v>54.390561209016845</v>
      </c>
      <c r="L24" s="27">
        <v>1545.9107142857142</v>
      </c>
      <c r="M24" s="25">
        <v>29.833546914518028</v>
      </c>
      <c r="N24" s="27">
        <v>663.51785714285711</v>
      </c>
      <c r="O24" s="25">
        <v>155.25504632267678</v>
      </c>
      <c r="P24" s="27">
        <v>202.87321428571431</v>
      </c>
      <c r="Q24" s="25">
        <v>16.452636868241736</v>
      </c>
      <c r="R24" s="27">
        <v>201.32678571428573</v>
      </c>
      <c r="S24" s="25">
        <v>30.869279573289752</v>
      </c>
      <c r="T24" s="27">
        <v>5515.7677806122447</v>
      </c>
      <c r="U24" s="25">
        <v>-673.18055680838052</v>
      </c>
      <c r="V24" s="27">
        <v>2393.0632653061225</v>
      </c>
      <c r="W24" s="25">
        <v>-3.077755769052434</v>
      </c>
      <c r="X24" s="27">
        <v>13847.304910714287</v>
      </c>
      <c r="Y24" s="25">
        <v>-1196.9672193700085</v>
      </c>
      <c r="Z24" s="27">
        <v>5888.3374362244895</v>
      </c>
      <c r="AA24" s="25">
        <v>875.60108431964238</v>
      </c>
      <c r="AB24" s="27">
        <v>1799.8112181122447</v>
      </c>
      <c r="AC24" s="25">
        <v>-93.635062356089577</v>
      </c>
      <c r="AD24" s="27">
        <v>1782.3615369897957</v>
      </c>
      <c r="AE24" s="25">
        <v>188.03989092044509</v>
      </c>
      <c r="AF24" s="27">
        <v>8552.1761224489801</v>
      </c>
      <c r="AG24" s="25">
        <v>1868.9867107593934</v>
      </c>
      <c r="AH24" s="27">
        <v>47432.844515306133</v>
      </c>
      <c r="AI24" s="25">
        <v>1604.6440001613428</v>
      </c>
      <c r="AJ24" s="27">
        <v>19802.656505102037</v>
      </c>
      <c r="AK24" s="25">
        <v>4787.3385335036328</v>
      </c>
      <c r="AL24" s="27">
        <v>6375.577334183673</v>
      </c>
      <c r="AM24" s="25">
        <v>590.82581684336037</v>
      </c>
      <c r="AN24" s="27">
        <v>6186.551033163264</v>
      </c>
      <c r="AO24" s="25">
        <v>995.34905903050083</v>
      </c>
      <c r="AP24" s="27">
        <v>20877.729591836731</v>
      </c>
      <c r="AQ24" s="25">
        <v>2327.6066893603966</v>
      </c>
      <c r="AR24" s="27">
        <v>8772.3785714285696</v>
      </c>
      <c r="AS24" s="25">
        <v>2022.698729145462</v>
      </c>
      <c r="AT24" s="27">
        <v>2918.7923469387752</v>
      </c>
      <c r="AU24" s="25">
        <v>415.76447110413443</v>
      </c>
      <c r="AV24" s="27">
        <v>2813.4460204081629</v>
      </c>
      <c r="AW24" s="25">
        <v>568.81512404654234</v>
      </c>
      <c r="AX24" s="27">
        <v>51765.443558673469</v>
      </c>
      <c r="AY24" s="25">
        <v>9800.4319122795532</v>
      </c>
      <c r="AZ24" s="27">
        <v>15746.464891581631</v>
      </c>
      <c r="BA24" s="25">
        <v>981.8990564280673</v>
      </c>
      <c r="BB24" s="27">
        <v>15636.158067602038</v>
      </c>
      <c r="BC24" s="25">
        <v>3724.1056009449039</v>
      </c>
      <c r="BD24" s="27">
        <v>6635.4802614795917</v>
      </c>
      <c r="BE24" s="25">
        <v>1047.125481900151</v>
      </c>
      <c r="BF24" s="27">
        <v>6965.10494260204</v>
      </c>
      <c r="BG24" s="25">
        <v>1894.1330213436222</v>
      </c>
      <c r="BH24" s="27">
        <v>2112.1162723214284</v>
      </c>
      <c r="BI24" s="25">
        <v>351.29069774398801</v>
      </c>
    </row>
    <row r="25" spans="1:61" x14ac:dyDescent="0.25">
      <c r="A25" s="25" t="s">
        <v>66</v>
      </c>
      <c r="B25" s="26">
        <v>3239</v>
      </c>
      <c r="C25" s="85">
        <f t="shared" si="0"/>
        <v>3042.887613100962</v>
      </c>
      <c r="D25" s="5">
        <f t="shared" si="1"/>
        <v>6.0547201883000321</v>
      </c>
      <c r="E25" s="25">
        <v>24</v>
      </c>
      <c r="F25" s="27">
        <v>164.94642857142861</v>
      </c>
      <c r="G25" s="25">
        <v>-37.943665256713828</v>
      </c>
      <c r="H25" s="27">
        <v>631.47142857142842</v>
      </c>
      <c r="I25" s="25">
        <v>46.725553208517923</v>
      </c>
      <c r="J25" s="27">
        <v>305.41964285714289</v>
      </c>
      <c r="K25" s="25">
        <v>58.934410693323869</v>
      </c>
      <c r="L25" s="27">
        <v>1541.7500000000002</v>
      </c>
      <c r="M25" s="25">
        <v>36.853128765932681</v>
      </c>
      <c r="N25" s="27">
        <v>684.71428571428578</v>
      </c>
      <c r="O25" s="25">
        <v>148.50326650135403</v>
      </c>
      <c r="P25" s="27">
        <v>224.27857142857144</v>
      </c>
      <c r="Q25" s="25">
        <v>15.890229396617773</v>
      </c>
      <c r="R25" s="27">
        <v>221.84821428571428</v>
      </c>
      <c r="S25" s="25">
        <v>30.886528647980775</v>
      </c>
      <c r="T25" s="27">
        <v>5248.6859693877559</v>
      </c>
      <c r="U25" s="25">
        <v>-588.17920028279696</v>
      </c>
      <c r="V25" s="27">
        <v>2500.9798660714287</v>
      </c>
      <c r="W25" s="25">
        <v>29.621604073156998</v>
      </c>
      <c r="X25" s="27">
        <v>12717.139413265304</v>
      </c>
      <c r="Y25" s="25">
        <v>-861.02289461794101</v>
      </c>
      <c r="Z25" s="27">
        <v>5457.6887755102034</v>
      </c>
      <c r="AA25" s="25">
        <v>736.64186497688604</v>
      </c>
      <c r="AB25" s="27">
        <v>1840.7246173469387</v>
      </c>
      <c r="AC25" s="25">
        <v>-82.952768481415049</v>
      </c>
      <c r="AD25" s="27">
        <v>1796.8608864795915</v>
      </c>
      <c r="AE25" s="25">
        <v>170.11239353064261</v>
      </c>
      <c r="AF25" s="27">
        <v>9733.1000765306126</v>
      </c>
      <c r="AG25" s="25">
        <v>2031.0051142953421</v>
      </c>
      <c r="AH25" s="27">
        <v>48508.008673469398</v>
      </c>
      <c r="AI25" s="25">
        <v>1854.2822177375017</v>
      </c>
      <c r="AJ25" s="27">
        <v>21180.630612244895</v>
      </c>
      <c r="AK25" s="25">
        <v>4873.8832936393355</v>
      </c>
      <c r="AL25" s="27">
        <v>7121.589489795917</v>
      </c>
      <c r="AM25" s="25">
        <v>570.29144241794654</v>
      </c>
      <c r="AN25" s="27">
        <v>6961.6043622448979</v>
      </c>
      <c r="AO25" s="25">
        <v>1009.1691513635487</v>
      </c>
      <c r="AP25" s="27">
        <v>23354.815752551018</v>
      </c>
      <c r="AQ25" s="25">
        <v>2719.8052641536715</v>
      </c>
      <c r="AR25" s="27">
        <v>10337.106632653062</v>
      </c>
      <c r="AS25" s="25">
        <v>2340.6799248709713</v>
      </c>
      <c r="AT25" s="27">
        <v>3487.1466198979592</v>
      </c>
      <c r="AU25" s="25">
        <v>434.38700467067389</v>
      </c>
      <c r="AV25" s="27">
        <v>3406.4730899234687</v>
      </c>
      <c r="AW25" s="25">
        <v>604.43494176251158</v>
      </c>
      <c r="AX25" s="27">
        <v>53423.316326530614</v>
      </c>
      <c r="AY25" s="25">
        <v>9294.6819942061447</v>
      </c>
      <c r="AZ25" s="27">
        <v>17333.006377551021</v>
      </c>
      <c r="BA25" s="25">
        <v>1093.2520734096606</v>
      </c>
      <c r="BB25" s="27">
        <v>17198.764732142852</v>
      </c>
      <c r="BC25" s="25">
        <v>3870.8557649547802</v>
      </c>
      <c r="BD25" s="27">
        <v>7689.4693877551026</v>
      </c>
      <c r="BE25" s="25">
        <v>1088.1032820158296</v>
      </c>
      <c r="BF25" s="27">
        <v>7838.4249999999984</v>
      </c>
      <c r="BG25" s="25">
        <v>1892.2300678077543</v>
      </c>
      <c r="BH25" s="27">
        <v>2515.7062117346941</v>
      </c>
      <c r="BI25" s="25">
        <v>303.88555134333012</v>
      </c>
    </row>
    <row r="26" spans="1:61" x14ac:dyDescent="0.25">
      <c r="A26" s="25" t="s">
        <v>67</v>
      </c>
      <c r="B26" s="26">
        <v>2535</v>
      </c>
      <c r="C26" s="85">
        <f t="shared" si="0"/>
        <v>2801.9175305165272</v>
      </c>
      <c r="D26" s="5">
        <f t="shared" si="1"/>
        <v>-10.529291144636183</v>
      </c>
      <c r="E26" s="25">
        <v>25</v>
      </c>
      <c r="F26" s="27">
        <v>180.71428571428572</v>
      </c>
      <c r="G26" s="25">
        <v>-45.191083674106721</v>
      </c>
      <c r="H26" s="27">
        <v>625.71428571428578</v>
      </c>
      <c r="I26" s="25">
        <v>43.099133948717324</v>
      </c>
      <c r="J26" s="27">
        <v>301.74285714285719</v>
      </c>
      <c r="K26" s="25">
        <v>57.294615468772605</v>
      </c>
      <c r="L26" s="27">
        <v>1605.714285714286</v>
      </c>
      <c r="M26" s="25">
        <v>26.350237400942959</v>
      </c>
      <c r="N26" s="27">
        <v>719.14285714285711</v>
      </c>
      <c r="O26" s="25">
        <v>159.2242611374995</v>
      </c>
      <c r="P26" s="27">
        <v>226.37142857142857</v>
      </c>
      <c r="Q26" s="25">
        <v>17.230156403336895</v>
      </c>
      <c r="R26" s="27">
        <v>229.82857142857145</v>
      </c>
      <c r="S26" s="25">
        <v>34.683169326391692</v>
      </c>
      <c r="T26" s="27">
        <v>5661.6436734693871</v>
      </c>
      <c r="U26" s="25">
        <v>-786.15393080740159</v>
      </c>
      <c r="V26" s="27">
        <v>2712.7630612244898</v>
      </c>
      <c r="W26" s="25">
        <v>-17.922536161931372</v>
      </c>
      <c r="X26" s="27">
        <v>14498.195918367348</v>
      </c>
      <c r="Y26" s="25">
        <v>-1426.6846111278962</v>
      </c>
      <c r="Z26" s="27">
        <v>6420.936734693878</v>
      </c>
      <c r="AA26" s="25">
        <v>774.42306471209008</v>
      </c>
      <c r="AB26" s="27">
        <v>2031.5457142857144</v>
      </c>
      <c r="AC26" s="25">
        <v>-118.88194645757778</v>
      </c>
      <c r="AD26" s="27">
        <v>2058.3677551020405</v>
      </c>
      <c r="AE26" s="25">
        <v>209.48067502872749</v>
      </c>
      <c r="AF26" s="27">
        <v>9513.9916326530602</v>
      </c>
      <c r="AG26" s="25">
        <v>1917.9555078107005</v>
      </c>
      <c r="AH26" s="27">
        <v>50082.142857142848</v>
      </c>
      <c r="AI26" s="25">
        <v>1292.0881347409088</v>
      </c>
      <c r="AJ26" s="27">
        <v>22142.897959183672</v>
      </c>
      <c r="AK26" s="25">
        <v>5246.1362274511921</v>
      </c>
      <c r="AL26" s="27">
        <v>7119.0569387755104</v>
      </c>
      <c r="AM26" s="25">
        <v>574.23989446862981</v>
      </c>
      <c r="AN26" s="27">
        <v>7147.0667346938762</v>
      </c>
      <c r="AO26" s="25">
        <v>1107.9984102836875</v>
      </c>
      <c r="AP26" s="27">
        <v>24186.797959183674</v>
      </c>
      <c r="AQ26" s="25">
        <v>2731.0507698800066</v>
      </c>
      <c r="AR26" s="27">
        <v>10824.465306122453</v>
      </c>
      <c r="AS26" s="25">
        <v>2567.4870874875783</v>
      </c>
      <c r="AT26" s="27">
        <v>3503.8236734693874</v>
      </c>
      <c r="AU26" s="25">
        <v>454.20051550444674</v>
      </c>
      <c r="AV26" s="27">
        <v>3496.9936734693879</v>
      </c>
      <c r="AW26" s="25">
        <v>666.2381422075623</v>
      </c>
      <c r="AX26" s="27">
        <v>58820.571428571428</v>
      </c>
      <c r="AY26" s="25">
        <v>10502.122307058855</v>
      </c>
      <c r="AZ26" s="27">
        <v>18283.293877551023</v>
      </c>
      <c r="BA26" s="25">
        <v>1195.1021915244187</v>
      </c>
      <c r="BB26" s="27">
        <v>18643.595918367348</v>
      </c>
      <c r="BC26" s="25">
        <v>4463.2490409959073</v>
      </c>
      <c r="BD26" s="27">
        <v>8251.0897959183676</v>
      </c>
      <c r="BE26" s="25">
        <v>1324.0806644795066</v>
      </c>
      <c r="BF26" s="27">
        <v>8598.942857142858</v>
      </c>
      <c r="BG26" s="25">
        <v>2322.6542112086358</v>
      </c>
      <c r="BH26" s="27">
        <v>2647.3836734693878</v>
      </c>
      <c r="BI26" s="25">
        <v>404.65000548891055</v>
      </c>
    </row>
    <row r="27" spans="1:61" x14ac:dyDescent="0.25">
      <c r="A27" s="25" t="s">
        <v>68</v>
      </c>
      <c r="B27" s="26">
        <v>2655</v>
      </c>
      <c r="C27" s="85">
        <f t="shared" si="0"/>
        <v>2676.3544624624901</v>
      </c>
      <c r="D27" s="5">
        <f t="shared" si="1"/>
        <v>-0.80431120386026822</v>
      </c>
      <c r="E27" s="25">
        <v>26</v>
      </c>
      <c r="F27" s="27">
        <v>184.72499999999999</v>
      </c>
      <c r="G27" s="25">
        <v>-44.159197163694195</v>
      </c>
      <c r="H27" s="27">
        <v>599.99464285714271</v>
      </c>
      <c r="I27" s="25">
        <v>42.862357313607561</v>
      </c>
      <c r="J27" s="27">
        <v>284.48571428571427</v>
      </c>
      <c r="K27" s="25">
        <v>55.204904787723521</v>
      </c>
      <c r="L27" s="27">
        <v>1644.0535714285713</v>
      </c>
      <c r="M27" s="25">
        <v>28.321709934265606</v>
      </c>
      <c r="N27" s="27">
        <v>740.58928571428578</v>
      </c>
      <c r="O27" s="25">
        <v>161.86854110615801</v>
      </c>
      <c r="P27" s="27">
        <v>229.84910714285715</v>
      </c>
      <c r="Q27" s="25">
        <v>17.228589448794985</v>
      </c>
      <c r="R27" s="27">
        <v>241.37678571428575</v>
      </c>
      <c r="S27" s="25">
        <v>39.239653632522561</v>
      </c>
      <c r="T27" s="27">
        <v>5801.4986364795923</v>
      </c>
      <c r="U27" s="25">
        <v>-781.03617898883817</v>
      </c>
      <c r="V27" s="27">
        <v>2575.3448979591835</v>
      </c>
      <c r="W27" s="25">
        <v>-22.854038288659464</v>
      </c>
      <c r="X27" s="27">
        <v>15104.467920918369</v>
      </c>
      <c r="Y27" s="25">
        <v>-1335.4288864879779</v>
      </c>
      <c r="Z27" s="27">
        <v>6770.773660714287</v>
      </c>
      <c r="AA27" s="25">
        <v>863.10723354086338</v>
      </c>
      <c r="AB27" s="27">
        <v>2066.7170312499998</v>
      </c>
      <c r="AC27" s="25">
        <v>-131.29409521731333</v>
      </c>
      <c r="AD27" s="27">
        <v>2175.1996492346939</v>
      </c>
      <c r="AE27" s="25">
        <v>227.31324983060975</v>
      </c>
      <c r="AF27" s="27">
        <v>8658.9301020408166</v>
      </c>
      <c r="AG27" s="25">
        <v>1817.3677419349992</v>
      </c>
      <c r="AH27" s="27">
        <v>49193.207366071438</v>
      </c>
      <c r="AI27" s="25">
        <v>1546.2069449698602</v>
      </c>
      <c r="AJ27" s="27">
        <v>21992.412659438774</v>
      </c>
      <c r="AK27" s="25">
        <v>5171.5393389390292</v>
      </c>
      <c r="AL27" s="27">
        <v>6982.0015609056118</v>
      </c>
      <c r="AM27" s="25">
        <v>601.32905776282382</v>
      </c>
      <c r="AN27" s="27">
        <v>7286.6840019132651</v>
      </c>
      <c r="AO27" s="25">
        <v>1210.8164447984923</v>
      </c>
      <c r="AP27" s="27">
        <v>23381.731632653064</v>
      </c>
      <c r="AQ27" s="25">
        <v>2479.4612769114315</v>
      </c>
      <c r="AR27" s="27">
        <v>10463.960204081632</v>
      </c>
      <c r="AS27" s="25">
        <v>2291.6882380032985</v>
      </c>
      <c r="AT27" s="27">
        <v>3550.0969897959176</v>
      </c>
      <c r="AU27" s="25">
        <v>488.86947985412206</v>
      </c>
      <c r="AV27" s="27">
        <v>3693.317653061225</v>
      </c>
      <c r="AW27" s="25">
        <v>772.06502376154424</v>
      </c>
      <c r="AX27" s="27">
        <v>61936.82238520409</v>
      </c>
      <c r="AY27" s="25">
        <v>10481.811218053597</v>
      </c>
      <c r="AZ27" s="27">
        <v>19085.776737882657</v>
      </c>
      <c r="BA27" s="25">
        <v>1111.5302306642905</v>
      </c>
      <c r="BB27" s="27">
        <v>20106.777327806121</v>
      </c>
      <c r="BC27" s="25">
        <v>4525.1054902184205</v>
      </c>
      <c r="BD27" s="27">
        <v>8588.4660554846942</v>
      </c>
      <c r="BE27" s="25">
        <v>1192.5260204227843</v>
      </c>
      <c r="BF27" s="27">
        <v>9200.1291772959175</v>
      </c>
      <c r="BG27" s="25">
        <v>2309.773810671833</v>
      </c>
      <c r="BH27" s="27">
        <v>3025.7702248086734</v>
      </c>
      <c r="BI27" s="25">
        <v>539.37382274454944</v>
      </c>
    </row>
    <row r="28" spans="1:61" x14ac:dyDescent="0.25">
      <c r="A28" s="25" t="s">
        <v>69</v>
      </c>
      <c r="B28" s="26">
        <v>2558</v>
      </c>
      <c r="C28" s="85">
        <f t="shared" si="0"/>
        <v>2558.156759219512</v>
      </c>
      <c r="D28" s="5">
        <f>(B28-C28)/B28*100</f>
        <v>-6.1281946642677354E-3</v>
      </c>
      <c r="E28" s="25">
        <v>27</v>
      </c>
      <c r="F28" s="27">
        <v>182.43928571428563</v>
      </c>
      <c r="G28" s="25">
        <v>-44.795005652081286</v>
      </c>
      <c r="H28" s="27">
        <v>620.30357142857144</v>
      </c>
      <c r="I28" s="25">
        <v>45.987041527375581</v>
      </c>
      <c r="J28" s="27">
        <v>244.63035714285712</v>
      </c>
      <c r="K28" s="25">
        <v>48.497629463376533</v>
      </c>
      <c r="L28" s="27">
        <v>1596.8214285714284</v>
      </c>
      <c r="M28" s="25">
        <v>35.151958769028731</v>
      </c>
      <c r="N28" s="27">
        <v>663.0642857142858</v>
      </c>
      <c r="O28" s="25">
        <v>143.39456632024141</v>
      </c>
      <c r="P28" s="27">
        <v>210.92321428571429</v>
      </c>
      <c r="Q28" s="25">
        <v>16.779627177816995</v>
      </c>
      <c r="R28" s="27">
        <v>205.13124999999999</v>
      </c>
      <c r="S28" s="25">
        <v>33.842472162703551</v>
      </c>
      <c r="T28" s="27">
        <v>5662.7800063775458</v>
      </c>
      <c r="U28" s="25">
        <v>-746.42030390602974</v>
      </c>
      <c r="V28" s="27">
        <v>2234.6890975765291</v>
      </c>
      <c r="W28" s="25">
        <v>5.6241393203948995</v>
      </c>
      <c r="X28" s="27">
        <v>14539.658099489785</v>
      </c>
      <c r="Y28" s="25">
        <v>-1261.1882756426946</v>
      </c>
      <c r="Z28" s="27">
        <v>6063.1323749999956</v>
      </c>
      <c r="AA28" s="25">
        <v>751.72007075377371</v>
      </c>
      <c r="AB28" s="27">
        <v>1923.9349394132644</v>
      </c>
      <c r="AC28" s="25">
        <v>-97.728833980380671</v>
      </c>
      <c r="AD28" s="27">
        <v>1868.6728172831622</v>
      </c>
      <c r="AE28" s="25">
        <v>223.66714752030515</v>
      </c>
      <c r="AF28" s="27">
        <v>7716.1076543367344</v>
      </c>
      <c r="AG28" s="25">
        <v>1644.367170563286</v>
      </c>
      <c r="AH28" s="27">
        <v>49350.89719387755</v>
      </c>
      <c r="AI28" s="25">
        <v>1629.2685782204715</v>
      </c>
      <c r="AJ28" s="27">
        <v>20310.863637755101</v>
      </c>
      <c r="AK28" s="25">
        <v>4649.7842477150616</v>
      </c>
      <c r="AL28" s="27">
        <v>6692.7296747448981</v>
      </c>
      <c r="AM28" s="25">
        <v>604.08250142735471</v>
      </c>
      <c r="AN28" s="27">
        <v>6424.6966517857145</v>
      </c>
      <c r="AO28" s="25">
        <v>1129.2699059052622</v>
      </c>
      <c r="AP28" s="27">
        <v>19470.100739795918</v>
      </c>
      <c r="AQ28" s="25">
        <v>2326.0887781795518</v>
      </c>
      <c r="AR28" s="27">
        <v>8125.2056433673479</v>
      </c>
      <c r="AS28" s="25">
        <v>1904.392051345864</v>
      </c>
      <c r="AT28" s="27">
        <v>2667.8328909438778</v>
      </c>
      <c r="AU28" s="25">
        <v>379.20745183417336</v>
      </c>
      <c r="AV28" s="27">
        <v>2554.1464100765306</v>
      </c>
      <c r="AW28" s="25">
        <v>525.11886723519763</v>
      </c>
      <c r="AX28" s="27">
        <v>53487.417142857135</v>
      </c>
      <c r="AY28" s="25">
        <v>9068.8375555023958</v>
      </c>
      <c r="AZ28" s="27">
        <v>16891.546556122452</v>
      </c>
      <c r="BA28" s="25">
        <v>1109.6926775546319</v>
      </c>
      <c r="BB28" s="27">
        <v>16454.467378826532</v>
      </c>
      <c r="BC28" s="25">
        <v>3891.6110342712773</v>
      </c>
      <c r="BD28" s="27">
        <v>6997.3332882653049</v>
      </c>
      <c r="BE28" s="25">
        <v>1046.1821051596507</v>
      </c>
      <c r="BF28" s="27">
        <v>6847.3272704081628</v>
      </c>
      <c r="BG28" s="25">
        <v>1767.6050780557998</v>
      </c>
      <c r="BH28" s="27">
        <v>2265.7494993622449</v>
      </c>
      <c r="BI28" s="25">
        <v>397.58893414739885</v>
      </c>
    </row>
    <row r="29" spans="1:61" x14ac:dyDescent="0.25">
      <c r="B29" s="26"/>
      <c r="C29" s="86"/>
      <c r="D29" s="5"/>
      <c r="F29" s="27"/>
      <c r="H29" s="27"/>
      <c r="J29" s="27"/>
      <c r="L29" s="27"/>
      <c r="N29" s="27"/>
      <c r="P29" s="27"/>
      <c r="R29" s="27"/>
      <c r="T29" s="27"/>
      <c r="V29" s="27"/>
      <c r="X29" s="27"/>
      <c r="Z29" s="27"/>
      <c r="AB29" s="27"/>
      <c r="AD29" s="27"/>
      <c r="AF29" s="27"/>
      <c r="AH29" s="27"/>
      <c r="AJ29" s="27"/>
      <c r="AL29" s="27"/>
      <c r="AN29" s="27"/>
      <c r="AP29" s="27"/>
      <c r="AR29" s="27"/>
      <c r="AT29" s="27"/>
      <c r="AV29" s="27"/>
      <c r="AX29" s="27"/>
      <c r="AZ29" s="27"/>
      <c r="BB29" s="27"/>
      <c r="BD29" s="27"/>
      <c r="BF29" s="27"/>
      <c r="BH29" s="27"/>
    </row>
    <row r="30" spans="1:61" x14ac:dyDescent="0.25">
      <c r="A30" s="25" t="s">
        <v>70</v>
      </c>
      <c r="B30" s="28">
        <v>2822</v>
      </c>
      <c r="C30" s="85">
        <f>$D$62+($D$63*E30)+($D$64*AG30)+($D$65*AB30)</f>
        <v>2683.7614849730517</v>
      </c>
      <c r="D30" s="5">
        <f>(B30-C30)/B30*100</f>
        <v>4.8986008159797425</v>
      </c>
      <c r="E30" s="25">
        <v>28</v>
      </c>
      <c r="F30" s="27">
        <v>185.63457792207794</v>
      </c>
      <c r="G30" s="25">
        <v>-45.790802266749438</v>
      </c>
      <c r="H30" s="27">
        <v>608.37805194805196</v>
      </c>
      <c r="I30" s="25">
        <v>43.094953669594631</v>
      </c>
      <c r="J30" s="27">
        <v>260.19821428571436</v>
      </c>
      <c r="K30" s="25">
        <v>48.777675912972306</v>
      </c>
      <c r="L30" s="27">
        <v>1700.0176623376622</v>
      </c>
      <c r="M30" s="25">
        <v>30.864891201735183</v>
      </c>
      <c r="N30" s="27">
        <v>631.05357142857144</v>
      </c>
      <c r="O30" s="25">
        <v>131.05445671181479</v>
      </c>
      <c r="P30" s="27">
        <v>225.72428571428568</v>
      </c>
      <c r="Q30" s="25">
        <v>14.950913596299706</v>
      </c>
      <c r="R30" s="27">
        <v>232.82619805194807</v>
      </c>
      <c r="S30" s="25">
        <v>33.03395957956603</v>
      </c>
      <c r="T30" s="27">
        <v>5656.8239447630285</v>
      </c>
      <c r="U30" s="25">
        <v>-750.7875177022911</v>
      </c>
      <c r="V30" s="27">
        <v>2427.2806251739325</v>
      </c>
      <c r="W30" s="25">
        <v>-17.715761871497165</v>
      </c>
      <c r="X30" s="27">
        <v>15729.857526943832</v>
      </c>
      <c r="Y30" s="25">
        <v>-1482.4529651745679</v>
      </c>
      <c r="Z30" s="27">
        <v>5839.9847744666049</v>
      </c>
      <c r="AA30" s="25">
        <v>664.11620035389626</v>
      </c>
      <c r="AB30" s="27">
        <v>1993.09956447124</v>
      </c>
      <c r="AC30" s="25">
        <v>-135.6124837117714</v>
      </c>
      <c r="AD30" s="27">
        <v>2156.9514396699483</v>
      </c>
      <c r="AE30" s="25">
        <v>209.00499759340022</v>
      </c>
      <c r="AF30" s="27">
        <v>8045.9417152133592</v>
      </c>
      <c r="AG30" s="25">
        <v>1733.3098011730001</v>
      </c>
      <c r="AH30" s="27">
        <v>51625.016860954638</v>
      </c>
      <c r="AI30" s="25">
        <v>1493.501442893853</v>
      </c>
      <c r="AJ30" s="27">
        <v>19071.825426716139</v>
      </c>
      <c r="AK30" s="25">
        <v>4279.9504138694219</v>
      </c>
      <c r="AL30" s="27">
        <v>6943.4900538033407</v>
      </c>
      <c r="AM30" s="25">
        <v>510.74147795185587</v>
      </c>
      <c r="AN30" s="27">
        <v>7098.3759920492494</v>
      </c>
      <c r="AO30" s="25">
        <v>1065.0365638431565</v>
      </c>
      <c r="AP30" s="27">
        <v>21993.574259276436</v>
      </c>
      <c r="AQ30" s="25">
        <v>2430.511721693435</v>
      </c>
      <c r="AR30" s="27">
        <v>8062.7705676020405</v>
      </c>
      <c r="AS30" s="25">
        <v>1740.9559379249899</v>
      </c>
      <c r="AT30" s="27">
        <v>3006.0543214285717</v>
      </c>
      <c r="AU30" s="25">
        <v>346.31028752876205</v>
      </c>
      <c r="AV30" s="27">
        <v>3037.9583134218465</v>
      </c>
      <c r="AW30" s="25">
        <v>529.92364146830062</v>
      </c>
      <c r="AX30" s="27">
        <v>53943.841869202224</v>
      </c>
      <c r="AY30" s="25">
        <v>9001.4008709394093</v>
      </c>
      <c r="AZ30" s="27">
        <v>19243.871762523191</v>
      </c>
      <c r="BA30" s="25">
        <v>1019.0286747119414</v>
      </c>
      <c r="BB30" s="27">
        <v>19854.769364156688</v>
      </c>
      <c r="BC30" s="25">
        <v>4486.7043461061567</v>
      </c>
      <c r="BD30" s="27">
        <v>7073.3070918367348</v>
      </c>
      <c r="BE30" s="25">
        <v>975.06929748215202</v>
      </c>
      <c r="BF30" s="27">
        <v>7365.8226479012073</v>
      </c>
      <c r="BG30" s="25">
        <v>1735.1749959878232</v>
      </c>
      <c r="BH30" s="27">
        <v>2655.7571630333955</v>
      </c>
      <c r="BI30" s="25">
        <v>339.77273683811836</v>
      </c>
    </row>
    <row r="31" spans="1:61" x14ac:dyDescent="0.25">
      <c r="A31" s="25" t="s">
        <v>314</v>
      </c>
      <c r="B31" s="28">
        <v>2558</v>
      </c>
      <c r="C31" s="85">
        <f>$D$62+($D$63*E31)+($D$64*AG31)+($D$65*AB31)</f>
        <v>2695.0567463392717</v>
      </c>
      <c r="D31" s="5">
        <f>(B31-C31)/B31*100</f>
        <v>-5.3579650640841177</v>
      </c>
      <c r="E31" s="25">
        <v>29</v>
      </c>
      <c r="F31" s="27">
        <v>163.51428571428568</v>
      </c>
      <c r="G31" s="25">
        <v>-39.198693189125031</v>
      </c>
      <c r="H31" s="27">
        <v>604.30159090909103</v>
      </c>
      <c r="I31" s="25">
        <v>44.588361718726325</v>
      </c>
      <c r="J31" s="27">
        <v>285.26964285714286</v>
      </c>
      <c r="K31" s="25">
        <v>52.859409251580047</v>
      </c>
      <c r="L31" s="27">
        <v>1758.3392857142853</v>
      </c>
      <c r="M31" s="25">
        <v>35.458037461607596</v>
      </c>
      <c r="N31" s="27">
        <v>845.58928571428578</v>
      </c>
      <c r="O31" s="25">
        <v>181.96565583064867</v>
      </c>
      <c r="P31" s="27">
        <v>251.33749999999998</v>
      </c>
      <c r="Q31" s="25">
        <v>16.937614089290253</v>
      </c>
      <c r="R31" s="27">
        <v>248.95178571428571</v>
      </c>
      <c r="S31" s="25">
        <v>36.043300258180231</v>
      </c>
      <c r="T31" s="27">
        <v>5019.8858205009274</v>
      </c>
      <c r="U31" s="25">
        <v>-631.59572646450977</v>
      </c>
      <c r="V31" s="27">
        <v>2345.4287500000005</v>
      </c>
      <c r="W31" s="25">
        <v>-39.550199705194686</v>
      </c>
      <c r="X31" s="27">
        <v>14352.88035714286</v>
      </c>
      <c r="Y31" s="25">
        <v>-1275.7972122314143</v>
      </c>
      <c r="Z31" s="27">
        <v>6702.341479591837</v>
      </c>
      <c r="AA31" s="25">
        <v>815.66957827198428</v>
      </c>
      <c r="AB31" s="27">
        <v>2060.0119642857139</v>
      </c>
      <c r="AC31" s="25">
        <v>-138.41968489603227</v>
      </c>
      <c r="AD31" s="27">
        <v>2009.7303316326531</v>
      </c>
      <c r="AE31" s="25">
        <v>200.11399848370422</v>
      </c>
      <c r="AF31" s="27">
        <v>8733.7468155728202</v>
      </c>
      <c r="AG31" s="25">
        <v>1741.7543518512555</v>
      </c>
      <c r="AH31" s="27">
        <v>53026.715607026897</v>
      </c>
      <c r="AI31" s="25">
        <v>1681.5928614126551</v>
      </c>
      <c r="AJ31" s="27">
        <v>25120.156709763451</v>
      </c>
      <c r="AK31" s="25">
        <v>5669.5582254565779</v>
      </c>
      <c r="AL31" s="27">
        <v>7673.4618599837659</v>
      </c>
      <c r="AM31" s="25">
        <v>552.97879494404162</v>
      </c>
      <c r="AN31" s="27">
        <v>7512.6686225069598</v>
      </c>
      <c r="AO31" s="25">
        <v>1134.2761095459521</v>
      </c>
      <c r="AP31" s="27">
        <v>24958.758577806115</v>
      </c>
      <c r="AQ31" s="25">
        <v>2665.9684966533277</v>
      </c>
      <c r="AR31" s="27">
        <v>11982.232468112245</v>
      </c>
      <c r="AS31" s="25">
        <v>2592.5774376689014</v>
      </c>
      <c r="AT31" s="27">
        <v>3672.8672289540809</v>
      </c>
      <c r="AU31" s="25">
        <v>417.68491250935182</v>
      </c>
      <c r="AV31" s="27">
        <v>3594.187024872449</v>
      </c>
      <c r="AW31" s="25">
        <v>619.06287485613814</v>
      </c>
      <c r="AX31" s="27">
        <v>74755.291262755098</v>
      </c>
      <c r="AY31" s="25">
        <v>12770.66735152824</v>
      </c>
      <c r="AZ31" s="27">
        <v>22110.370886479588</v>
      </c>
      <c r="BA31" s="25">
        <v>1306.0191683018591</v>
      </c>
      <c r="BB31" s="27">
        <v>21953.666804846936</v>
      </c>
      <c r="BC31" s="25">
        <v>4848.5975031809558</v>
      </c>
      <c r="BD31" s="27">
        <v>10620.28082270408</v>
      </c>
      <c r="BE31" s="25">
        <v>1533.5047169658633</v>
      </c>
      <c r="BF31" s="27">
        <v>10745.22857780612</v>
      </c>
      <c r="BG31" s="25">
        <v>2560.1081915952914</v>
      </c>
      <c r="BH31" s="27">
        <v>3174.7087021683669</v>
      </c>
      <c r="BI31" s="25">
        <v>419.5075075921165</v>
      </c>
    </row>
    <row r="32" spans="1:61" x14ac:dyDescent="0.25">
      <c r="A32" s="25" t="s">
        <v>315</v>
      </c>
      <c r="B32" s="29"/>
      <c r="C32" s="85">
        <f t="shared" ref="C32" si="2">$D$62+($D$63*E32)+($D$64*AG32)+($D$65*AB32)</f>
        <v>2821.128043534789</v>
      </c>
      <c r="D32" s="87"/>
      <c r="E32" s="29">
        <v>30</v>
      </c>
      <c r="F32" s="27">
        <v>172.45375695732838</v>
      </c>
      <c r="G32" s="25">
        <v>-41.59064083459014</v>
      </c>
      <c r="H32" s="27">
        <v>605.13869047619039</v>
      </c>
      <c r="I32" s="25">
        <v>41.835408852017807</v>
      </c>
      <c r="J32" s="27">
        <v>278.88814935064931</v>
      </c>
      <c r="K32" s="25">
        <v>53.278841038765016</v>
      </c>
      <c r="L32" s="27">
        <v>1703.889285714286</v>
      </c>
      <c r="M32" s="25">
        <v>26.637191315531524</v>
      </c>
      <c r="N32" s="27">
        <v>817.16</v>
      </c>
      <c r="O32" s="25">
        <v>164.12102569189875</v>
      </c>
      <c r="P32" s="27">
        <v>233.03444196428572</v>
      </c>
      <c r="Q32" s="25">
        <v>17.642408671689118</v>
      </c>
      <c r="R32" s="27">
        <v>261.94237301587305</v>
      </c>
      <c r="S32" s="25">
        <v>37.010937264661422</v>
      </c>
      <c r="T32" s="27">
        <v>5231.2694166243327</v>
      </c>
      <c r="U32" s="25">
        <v>-675.17617464862167</v>
      </c>
      <c r="V32" s="27">
        <v>2398.711912489759</v>
      </c>
      <c r="W32" s="25">
        <v>-14.912373687334195</v>
      </c>
      <c r="X32" s="27">
        <v>14629.917107573548</v>
      </c>
      <c r="Y32" s="25">
        <v>-1340.7248234327253</v>
      </c>
      <c r="Z32" s="27">
        <v>6974.9476411343758</v>
      </c>
      <c r="AA32" s="25">
        <v>801.3135856990524</v>
      </c>
      <c r="AB32" s="27">
        <v>1997.1432632769017</v>
      </c>
      <c r="AC32" s="25">
        <v>-118.65876492860743</v>
      </c>
      <c r="AD32" s="27">
        <v>2248.4784766171188</v>
      </c>
      <c r="AE32" s="25">
        <v>206.01506238341116</v>
      </c>
      <c r="AF32" s="27">
        <v>8658.5031020987935</v>
      </c>
      <c r="AG32" s="25">
        <v>1773.4930991420551</v>
      </c>
      <c r="AH32" s="27">
        <v>51618.528422382835</v>
      </c>
      <c r="AI32" s="25">
        <v>1345.4028096263346</v>
      </c>
      <c r="AJ32" s="27">
        <v>24632.310756235835</v>
      </c>
      <c r="AK32" s="25">
        <v>5402.6172166369115</v>
      </c>
      <c r="AL32" s="27">
        <v>7250.7254788832197</v>
      </c>
      <c r="AM32" s="25">
        <v>639.63688273800028</v>
      </c>
      <c r="AN32" s="27">
        <v>8035.0149287210261</v>
      </c>
      <c r="AO32" s="25">
        <v>1211.4920562913337</v>
      </c>
      <c r="AP32" s="27">
        <v>23887.600987360853</v>
      </c>
      <c r="AQ32" s="25">
        <v>2649.7847682983765</v>
      </c>
      <c r="AR32" s="27">
        <v>11433.803197588124</v>
      </c>
      <c r="AS32" s="25">
        <v>2462.8055575965664</v>
      </c>
      <c r="AT32" s="27">
        <v>3475.6844563137747</v>
      </c>
      <c r="AU32" s="25">
        <v>468.85029113902982</v>
      </c>
      <c r="AV32" s="27">
        <v>3774.2001248853326</v>
      </c>
      <c r="AW32" s="25">
        <v>686.22555618142519</v>
      </c>
      <c r="AX32" s="27">
        <v>70292.300020408176</v>
      </c>
      <c r="AY32" s="25">
        <v>11021.503642027144</v>
      </c>
      <c r="AZ32" s="27">
        <v>20031.247900758222</v>
      </c>
      <c r="BA32" s="25">
        <v>1207.4612049084003</v>
      </c>
      <c r="BB32" s="27">
        <v>22386.90909626165</v>
      </c>
      <c r="BC32" s="25">
        <v>4841.8384604144276</v>
      </c>
      <c r="BD32" s="27">
        <v>9595.0486635204106</v>
      </c>
      <c r="BE32" s="25">
        <v>1199.9423338857366</v>
      </c>
      <c r="BF32" s="27">
        <v>10935.841957006802</v>
      </c>
      <c r="BG32" s="25">
        <v>2548.9119505587232</v>
      </c>
      <c r="BH32" s="27">
        <v>3170.4975692481576</v>
      </c>
      <c r="BI32" s="25">
        <v>437.36325257308886</v>
      </c>
    </row>
    <row r="33" spans="1:61" x14ac:dyDescent="0.25">
      <c r="A33" s="31" t="s">
        <v>677</v>
      </c>
      <c r="B33" s="30"/>
      <c r="C33" s="88">
        <f>$D$62+($D$63*E33)+($D$64*AG33)+($D$65*AB33)</f>
        <v>2753.3613991999409</v>
      </c>
      <c r="D33" s="84"/>
      <c r="E33" s="30">
        <v>31</v>
      </c>
      <c r="F33" s="27">
        <v>180.10892857142858</v>
      </c>
      <c r="G33" s="25">
        <v>-42.815266973346539</v>
      </c>
      <c r="H33" s="27">
        <v>626.19571428571442</v>
      </c>
      <c r="I33" s="25">
        <v>42.628347966295749</v>
      </c>
      <c r="J33" s="27">
        <v>255.64297052154194</v>
      </c>
      <c r="K33" s="25">
        <v>48.826490904957538</v>
      </c>
      <c r="L33" s="27">
        <v>1565.816224489796</v>
      </c>
      <c r="M33" s="25">
        <v>36.223725521117771</v>
      </c>
      <c r="N33" s="27">
        <v>631.67517006802723</v>
      </c>
      <c r="O33" s="25">
        <v>126.87092251904409</v>
      </c>
      <c r="P33" s="27">
        <v>219.03952922077929</v>
      </c>
      <c r="Q33" s="25">
        <v>15.747330084007933</v>
      </c>
      <c r="R33" s="27">
        <v>220.16584415584413</v>
      </c>
      <c r="S33" s="25">
        <v>30.358943381052477</v>
      </c>
      <c r="T33" s="27">
        <v>5669.7778510596545</v>
      </c>
      <c r="U33" s="25">
        <v>-731.19812473019419</v>
      </c>
      <c r="V33" s="27">
        <v>2327.6149744897957</v>
      </c>
      <c r="W33" s="25">
        <v>-4.0753365814501343</v>
      </c>
      <c r="X33" s="27">
        <v>14259.705187009418</v>
      </c>
      <c r="Y33" s="25">
        <v>-1147.4919565572884</v>
      </c>
      <c r="Z33" s="27">
        <v>5726.2985872206036</v>
      </c>
      <c r="AA33" s="25">
        <v>675.18577404555708</v>
      </c>
      <c r="AB33" s="27">
        <v>1993.6846898770868</v>
      </c>
      <c r="AC33" s="25">
        <v>-97.058322131731174</v>
      </c>
      <c r="AD33" s="27">
        <v>2007.181192393321</v>
      </c>
      <c r="AE33" s="25">
        <v>191.17066607189187</v>
      </c>
      <c r="AF33" s="27">
        <v>8193.5177781266357</v>
      </c>
      <c r="AG33" s="25">
        <v>1696.2786021869933</v>
      </c>
      <c r="AH33" s="27">
        <v>49119.501293358277</v>
      </c>
      <c r="AI33" s="25">
        <v>1588.7622328382374</v>
      </c>
      <c r="AJ33" s="27">
        <v>19828.628633774391</v>
      </c>
      <c r="AK33" s="25">
        <v>4259.8878969207453</v>
      </c>
      <c r="AL33" s="27">
        <v>6998.2430499714583</v>
      </c>
      <c r="AM33" s="25">
        <v>571.98834457116311</v>
      </c>
      <c r="AN33" s="27">
        <v>7011.4109053203947</v>
      </c>
      <c r="AO33" s="25">
        <v>1013.5621661176091</v>
      </c>
      <c r="AP33" s="27">
        <v>19942.032350958645</v>
      </c>
      <c r="AQ33" s="25">
        <v>2220.8506793439556</v>
      </c>
      <c r="AR33" s="27">
        <v>8148.7817322643341</v>
      </c>
      <c r="AS33" s="25">
        <v>1641.1854200156413</v>
      </c>
      <c r="AT33" s="27">
        <v>2961.5991768928343</v>
      </c>
      <c r="AU33" s="25">
        <v>361.99132266963016</v>
      </c>
      <c r="AV33" s="27">
        <v>2953.679338157081</v>
      </c>
      <c r="AW33" s="25">
        <v>503.42700299274054</v>
      </c>
      <c r="AX33" s="27">
        <v>50235.292061392698</v>
      </c>
      <c r="AY33" s="25">
        <v>8308.5664425400519</v>
      </c>
      <c r="AZ33" s="27">
        <v>17280.310210899308</v>
      </c>
      <c r="BA33" s="25">
        <v>1133.7298275604878</v>
      </c>
      <c r="BB33" s="27">
        <v>17365.216195493078</v>
      </c>
      <c r="BC33" s="25">
        <v>3853.3788968219151</v>
      </c>
      <c r="BD33" s="27">
        <v>7014.9224885259309</v>
      </c>
      <c r="BE33" s="25">
        <v>925.97018799840032</v>
      </c>
      <c r="BF33" s="27">
        <v>7083.9455996466113</v>
      </c>
      <c r="BG33" s="25">
        <v>1562.0902841858313</v>
      </c>
      <c r="BH33" s="27">
        <v>2518.4759193919722</v>
      </c>
      <c r="BI33" s="25">
        <v>334.76328805742151</v>
      </c>
    </row>
    <row r="36" spans="1:61" ht="15.75" thickBot="1" x14ac:dyDescent="0.3">
      <c r="B36" s="106" t="s">
        <v>678</v>
      </c>
      <c r="C36" s="107"/>
      <c r="D36" s="107"/>
      <c r="E36" s="107"/>
      <c r="F36" s="107"/>
      <c r="G36" s="32"/>
      <c r="H36" s="32"/>
    </row>
    <row r="37" spans="1:61" ht="37.5" thickBot="1" x14ac:dyDescent="0.3">
      <c r="B37" s="33" t="s">
        <v>679</v>
      </c>
      <c r="C37" s="34" t="s">
        <v>680</v>
      </c>
      <c r="D37" s="35" t="s">
        <v>681</v>
      </c>
      <c r="E37" s="35" t="s">
        <v>682</v>
      </c>
      <c r="F37" s="36" t="s">
        <v>683</v>
      </c>
      <c r="G37" s="32"/>
      <c r="H37" s="32"/>
    </row>
    <row r="38" spans="1:61" x14ac:dyDescent="0.25">
      <c r="B38" s="37">
        <v>1</v>
      </c>
      <c r="C38" s="38" t="s">
        <v>684</v>
      </c>
      <c r="D38" s="39">
        <v>0.72921641470701459</v>
      </c>
      <c r="E38" s="39">
        <v>0.71838507129529516</v>
      </c>
      <c r="F38" s="40">
        <v>266.3786521804563</v>
      </c>
      <c r="G38" s="32"/>
      <c r="H38" s="32"/>
    </row>
    <row r="39" spans="1:61" x14ac:dyDescent="0.25">
      <c r="B39" s="41">
        <v>2</v>
      </c>
      <c r="C39" s="42" t="s">
        <v>685</v>
      </c>
      <c r="D39" s="43">
        <v>0.80884039868217705</v>
      </c>
      <c r="E39" s="43">
        <v>0.79291043190569177</v>
      </c>
      <c r="F39" s="44">
        <v>228.42871230966912</v>
      </c>
      <c r="G39" s="32"/>
      <c r="H39" s="32"/>
    </row>
    <row r="40" spans="1:61" ht="15.75" thickBot="1" x14ac:dyDescent="0.3">
      <c r="B40" s="45">
        <v>3</v>
      </c>
      <c r="C40" s="46" t="s">
        <v>686</v>
      </c>
      <c r="D40" s="47">
        <v>0.87604193969469257</v>
      </c>
      <c r="E40" s="47">
        <v>0.85987349704617422</v>
      </c>
      <c r="F40" s="48">
        <v>187.90213827227217</v>
      </c>
      <c r="G40" s="32"/>
      <c r="H40" s="32"/>
    </row>
    <row r="41" spans="1:61" x14ac:dyDescent="0.25">
      <c r="B41" s="32"/>
      <c r="C41" s="32"/>
      <c r="D41" s="32"/>
      <c r="E41" s="32"/>
      <c r="F41" s="32"/>
      <c r="G41" s="32"/>
      <c r="H41" s="32"/>
    </row>
    <row r="42" spans="1:61" ht="15.75" thickBot="1" x14ac:dyDescent="0.3">
      <c r="B42" s="94" t="s">
        <v>687</v>
      </c>
      <c r="C42" s="95"/>
      <c r="D42" s="95"/>
      <c r="E42" s="95"/>
      <c r="F42" s="95"/>
      <c r="G42" s="95"/>
      <c r="H42" s="95"/>
    </row>
    <row r="43" spans="1:61" ht="25.5" thickBot="1" x14ac:dyDescent="0.3">
      <c r="B43" s="96" t="s">
        <v>679</v>
      </c>
      <c r="C43" s="108"/>
      <c r="D43" s="34" t="s">
        <v>688</v>
      </c>
      <c r="E43" s="35" t="s">
        <v>689</v>
      </c>
      <c r="F43" s="35" t="s">
        <v>690</v>
      </c>
      <c r="G43" s="35" t="s">
        <v>691</v>
      </c>
      <c r="H43" s="36" t="s">
        <v>692</v>
      </c>
    </row>
    <row r="44" spans="1:61" ht="24" x14ac:dyDescent="0.25">
      <c r="B44" s="105">
        <v>1</v>
      </c>
      <c r="C44" s="49" t="s">
        <v>693</v>
      </c>
      <c r="D44" s="50">
        <v>4777194.7336922325</v>
      </c>
      <c r="E44" s="51">
        <v>1</v>
      </c>
      <c r="F44" s="39">
        <v>4777194.7336922325</v>
      </c>
      <c r="G44" s="39">
        <v>67.324650967857693</v>
      </c>
      <c r="H44" s="52" t="s">
        <v>694</v>
      </c>
    </row>
    <row r="45" spans="1:61" x14ac:dyDescent="0.25">
      <c r="B45" s="90"/>
      <c r="C45" s="53" t="s">
        <v>695</v>
      </c>
      <c r="D45" s="54">
        <v>1773939.6584369126</v>
      </c>
      <c r="E45" s="55">
        <v>25</v>
      </c>
      <c r="F45" s="43">
        <v>70957.586337476503</v>
      </c>
      <c r="G45" s="56"/>
      <c r="H45" s="57"/>
    </row>
    <row r="46" spans="1:61" x14ac:dyDescent="0.25">
      <c r="B46" s="91"/>
      <c r="C46" s="58" t="s">
        <v>696</v>
      </c>
      <c r="D46" s="59">
        <v>6551134.3921291456</v>
      </c>
      <c r="E46" s="60">
        <v>26</v>
      </c>
      <c r="F46" s="61"/>
      <c r="G46" s="61"/>
      <c r="H46" s="62"/>
    </row>
    <row r="47" spans="1:61" ht="24" x14ac:dyDescent="0.25">
      <c r="B47" s="89">
        <v>2</v>
      </c>
      <c r="C47" s="63" t="s">
        <v>693</v>
      </c>
      <c r="D47" s="64">
        <v>5298822.1535502598</v>
      </c>
      <c r="E47" s="65">
        <v>2</v>
      </c>
      <c r="F47" s="66">
        <v>2649411.0767751299</v>
      </c>
      <c r="G47" s="66">
        <v>50.774769968518299</v>
      </c>
      <c r="H47" s="67" t="s">
        <v>697</v>
      </c>
    </row>
    <row r="48" spans="1:61" x14ac:dyDescent="0.25">
      <c r="B48" s="90"/>
      <c r="C48" s="53" t="s">
        <v>695</v>
      </c>
      <c r="D48" s="54">
        <v>1252312.2385788858</v>
      </c>
      <c r="E48" s="55">
        <v>24</v>
      </c>
      <c r="F48" s="43">
        <v>52179.676607453577</v>
      </c>
      <c r="G48" s="56"/>
      <c r="H48" s="57"/>
    </row>
    <row r="49" spans="2:8" x14ac:dyDescent="0.25">
      <c r="B49" s="91"/>
      <c r="C49" s="58" t="s">
        <v>696</v>
      </c>
      <c r="D49" s="59">
        <v>6551134.3921291456</v>
      </c>
      <c r="E49" s="60">
        <v>26</v>
      </c>
      <c r="F49" s="61"/>
      <c r="G49" s="61"/>
      <c r="H49" s="62"/>
    </row>
    <row r="50" spans="2:8" ht="24.75" thickBot="1" x14ac:dyDescent="0.3">
      <c r="B50" s="92">
        <v>3</v>
      </c>
      <c r="C50" s="63" t="s">
        <v>693</v>
      </c>
      <c r="D50" s="64">
        <v>5739068.4800814278</v>
      </c>
      <c r="E50" s="65">
        <v>3</v>
      </c>
      <c r="F50" s="66">
        <v>1913022.8266938094</v>
      </c>
      <c r="G50" s="66">
        <v>54.182209056168496</v>
      </c>
      <c r="H50" s="67" t="s">
        <v>698</v>
      </c>
    </row>
    <row r="51" spans="2:8" x14ac:dyDescent="0.25">
      <c r="B51" s="90"/>
      <c r="C51" s="53" t="s">
        <v>695</v>
      </c>
      <c r="D51" s="54">
        <v>812065.91204771819</v>
      </c>
      <c r="E51" s="55">
        <v>23</v>
      </c>
      <c r="F51" s="43">
        <v>35307.213567292092</v>
      </c>
      <c r="G51" s="56"/>
      <c r="H51" s="57"/>
    </row>
    <row r="52" spans="2:8" ht="15.75" thickBot="1" x14ac:dyDescent="0.3">
      <c r="B52" s="93"/>
      <c r="C52" s="68" t="s">
        <v>696</v>
      </c>
      <c r="D52" s="69">
        <v>6551134.3921291456</v>
      </c>
      <c r="E52" s="70">
        <v>26</v>
      </c>
      <c r="F52" s="71"/>
      <c r="G52" s="71"/>
      <c r="H52" s="72"/>
    </row>
    <row r="53" spans="2:8" x14ac:dyDescent="0.25">
      <c r="B53" s="32"/>
      <c r="C53" s="32"/>
      <c r="D53" s="32"/>
      <c r="E53" s="32"/>
      <c r="F53" s="32"/>
      <c r="G53" s="32"/>
      <c r="H53" s="32"/>
    </row>
    <row r="54" spans="2:8" ht="15.75" thickBot="1" x14ac:dyDescent="0.3">
      <c r="B54" s="94" t="s">
        <v>699</v>
      </c>
      <c r="C54" s="95"/>
      <c r="D54" s="95"/>
      <c r="E54" s="95"/>
      <c r="F54" s="95"/>
      <c r="G54" s="95"/>
      <c r="H54" s="95"/>
    </row>
    <row r="55" spans="2:8" ht="25.5" thickBot="1" x14ac:dyDescent="0.3">
      <c r="B55" s="96" t="s">
        <v>679</v>
      </c>
      <c r="C55" s="97"/>
      <c r="D55" s="99" t="s">
        <v>700</v>
      </c>
      <c r="E55" s="100"/>
      <c r="F55" s="73" t="s">
        <v>701</v>
      </c>
      <c r="G55" s="101" t="s">
        <v>702</v>
      </c>
      <c r="H55" s="103" t="s">
        <v>692</v>
      </c>
    </row>
    <row r="56" spans="2:8" ht="15.75" thickBot="1" x14ac:dyDescent="0.3">
      <c r="B56" s="93"/>
      <c r="C56" s="98"/>
      <c r="D56" s="74" t="s">
        <v>703</v>
      </c>
      <c r="E56" s="75" t="s">
        <v>704</v>
      </c>
      <c r="F56" s="75" t="s">
        <v>705</v>
      </c>
      <c r="G56" s="102"/>
      <c r="H56" s="104"/>
    </row>
    <row r="57" spans="2:8" x14ac:dyDescent="0.25">
      <c r="B57" s="105">
        <v>1</v>
      </c>
      <c r="C57" s="49" t="s">
        <v>706</v>
      </c>
      <c r="D57" s="50">
        <v>1383.2778620556401</v>
      </c>
      <c r="E57" s="39">
        <v>105.4452943941122</v>
      </c>
      <c r="F57" s="76"/>
      <c r="G57" s="39">
        <v>13.118440893962537</v>
      </c>
      <c r="H57" s="77">
        <v>1.0390113374124905E-12</v>
      </c>
    </row>
    <row r="58" spans="2:8" x14ac:dyDescent="0.25">
      <c r="B58" s="91"/>
      <c r="C58" s="58" t="s">
        <v>707</v>
      </c>
      <c r="D58" s="59">
        <v>54.004447052066091</v>
      </c>
      <c r="E58" s="78">
        <v>6.5817664633956117</v>
      </c>
      <c r="F58" s="78">
        <v>0.85394169280286025</v>
      </c>
      <c r="G58" s="78">
        <v>8.2051600208562476</v>
      </c>
      <c r="H58" s="79">
        <v>1.4763336345145527E-8</v>
      </c>
    </row>
    <row r="59" spans="2:8" x14ac:dyDescent="0.25">
      <c r="B59" s="89">
        <v>2</v>
      </c>
      <c r="C59" s="63" t="s">
        <v>706</v>
      </c>
      <c r="D59" s="64">
        <v>-598.42228273576939</v>
      </c>
      <c r="E59" s="66">
        <v>633.25930182461673</v>
      </c>
      <c r="F59" s="80"/>
      <c r="G59" s="66">
        <v>-0.94498774990202106</v>
      </c>
      <c r="H59" s="81">
        <v>0.35408244205789619</v>
      </c>
    </row>
    <row r="60" spans="2:8" x14ac:dyDescent="0.25">
      <c r="B60" s="90"/>
      <c r="C60" s="53" t="s">
        <v>707</v>
      </c>
      <c r="D60" s="54">
        <v>42.849457478026245</v>
      </c>
      <c r="E60" s="43">
        <v>6.6560606520935908</v>
      </c>
      <c r="F60" s="43">
        <v>0.6775541691815179</v>
      </c>
      <c r="G60" s="43">
        <v>6.4376603095628973</v>
      </c>
      <c r="H60" s="82">
        <v>1.1733682001972341E-6</v>
      </c>
    </row>
    <row r="61" spans="2:8" x14ac:dyDescent="0.25">
      <c r="B61" s="91"/>
      <c r="C61" s="58" t="s">
        <v>708</v>
      </c>
      <c r="D61" s="59">
        <v>1.2409514179351862</v>
      </c>
      <c r="E61" s="78">
        <v>0.39248698952400818</v>
      </c>
      <c r="F61" s="78">
        <v>0.3327710060453466</v>
      </c>
      <c r="G61" s="78">
        <v>3.1617644687793605</v>
      </c>
      <c r="H61" s="79">
        <v>4.2125335023429399E-3</v>
      </c>
    </row>
    <row r="62" spans="2:8" ht="15.75" thickBot="1" x14ac:dyDescent="0.3">
      <c r="B62" s="92">
        <v>3</v>
      </c>
      <c r="C62" s="63" t="s">
        <v>706</v>
      </c>
      <c r="D62" s="64">
        <v>290.55945777154557</v>
      </c>
      <c r="E62" s="66">
        <v>578.55621004458953</v>
      </c>
      <c r="F62" s="80"/>
      <c r="G62" s="66">
        <v>0.50221474201988436</v>
      </c>
      <c r="H62" s="81">
        <v>0.62029082047796003</v>
      </c>
    </row>
    <row r="63" spans="2:8" x14ac:dyDescent="0.25">
      <c r="B63" s="90"/>
      <c r="C63" s="53" t="s">
        <v>707</v>
      </c>
      <c r="D63" s="54">
        <v>41.066893556231406</v>
      </c>
      <c r="E63" s="43">
        <v>5.498401272205113</v>
      </c>
      <c r="F63" s="43">
        <v>0.64936749686101025</v>
      </c>
      <c r="G63" s="43">
        <v>7.4688789564755949</v>
      </c>
      <c r="H63" s="82">
        <v>1.3653178948962424E-7</v>
      </c>
    </row>
    <row r="64" spans="2:8" x14ac:dyDescent="0.25">
      <c r="B64" s="90"/>
      <c r="C64" s="53" t="s">
        <v>708</v>
      </c>
      <c r="D64" s="54">
        <v>1.4375518472778936</v>
      </c>
      <c r="E64" s="43">
        <v>0.32761957514479001</v>
      </c>
      <c r="F64" s="43">
        <v>0.38549097696103063</v>
      </c>
      <c r="G64" s="43">
        <v>4.3878692127678089</v>
      </c>
      <c r="H64" s="82">
        <v>2.1411334433015295E-4</v>
      </c>
    </row>
    <row r="65" spans="2:8" ht="15.75" thickBot="1" x14ac:dyDescent="0.3">
      <c r="B65" s="93"/>
      <c r="C65" s="68" t="s">
        <v>709</v>
      </c>
      <c r="D65" s="69">
        <v>-0.62635792070191476</v>
      </c>
      <c r="E65" s="47">
        <v>0.17738072497671184</v>
      </c>
      <c r="F65" s="47">
        <v>-0.26305911037842772</v>
      </c>
      <c r="G65" s="47">
        <v>-3.5311498517336015</v>
      </c>
      <c r="H65" s="83">
        <v>1.7869796262288381E-3</v>
      </c>
    </row>
    <row r="66" spans="2:8" x14ac:dyDescent="0.25">
      <c r="B66" s="32"/>
      <c r="C66" s="32"/>
      <c r="D66" s="32"/>
      <c r="E66" s="32"/>
      <c r="F66" s="32"/>
      <c r="G66" s="32"/>
      <c r="H66" s="32"/>
    </row>
    <row r="283" spans="6:6" x14ac:dyDescent="0.25">
      <c r="F283" s="27"/>
    </row>
    <row r="284" spans="6:6" x14ac:dyDescent="0.25">
      <c r="F284" s="27"/>
    </row>
    <row r="285" spans="6:6" x14ac:dyDescent="0.25">
      <c r="F285" s="27"/>
    </row>
    <row r="286" spans="6:6" x14ac:dyDescent="0.25">
      <c r="F286" s="27"/>
    </row>
    <row r="287" spans="6:6" x14ac:dyDescent="0.25">
      <c r="F287" s="27"/>
    </row>
    <row r="288" spans="6:6" x14ac:dyDescent="0.25">
      <c r="F288" s="27"/>
    </row>
    <row r="289" spans="6:6" x14ac:dyDescent="0.25">
      <c r="F289" s="27"/>
    </row>
    <row r="290" spans="6:6" x14ac:dyDescent="0.25">
      <c r="F290" s="27"/>
    </row>
    <row r="291" spans="6:6" x14ac:dyDescent="0.25">
      <c r="F291" s="27"/>
    </row>
    <row r="292" spans="6:6" x14ac:dyDescent="0.25">
      <c r="F292" s="27"/>
    </row>
    <row r="293" spans="6:6" x14ac:dyDescent="0.25">
      <c r="F293" s="27"/>
    </row>
    <row r="294" spans="6:6" x14ac:dyDescent="0.25">
      <c r="F294" s="27"/>
    </row>
    <row r="295" spans="6:6" x14ac:dyDescent="0.25">
      <c r="F295" s="27"/>
    </row>
    <row r="296" spans="6:6" x14ac:dyDescent="0.25">
      <c r="F296" s="27"/>
    </row>
    <row r="297" spans="6:6" x14ac:dyDescent="0.25">
      <c r="F297" s="27"/>
    </row>
    <row r="298" spans="6:6" x14ac:dyDescent="0.25">
      <c r="F298" s="27"/>
    </row>
    <row r="299" spans="6:6" x14ac:dyDescent="0.25">
      <c r="F299" s="27"/>
    </row>
    <row r="300" spans="6:6" x14ac:dyDescent="0.25">
      <c r="F300" s="27"/>
    </row>
    <row r="301" spans="6:6" x14ac:dyDescent="0.25">
      <c r="F301" s="27"/>
    </row>
    <row r="302" spans="6:6" x14ac:dyDescent="0.25">
      <c r="F302" s="27"/>
    </row>
    <row r="303" spans="6:6" x14ac:dyDescent="0.25">
      <c r="F303" s="27"/>
    </row>
    <row r="304" spans="6:6" x14ac:dyDescent="0.25">
      <c r="F304" s="27"/>
    </row>
    <row r="305" spans="6:6" x14ac:dyDescent="0.25">
      <c r="F305" s="27"/>
    </row>
    <row r="306" spans="6:6" x14ac:dyDescent="0.25">
      <c r="F306" s="27"/>
    </row>
    <row r="307" spans="6:6" x14ac:dyDescent="0.25">
      <c r="F307" s="27"/>
    </row>
    <row r="308" spans="6:6" x14ac:dyDescent="0.25">
      <c r="F308" s="27"/>
    </row>
    <row r="309" spans="6:6" x14ac:dyDescent="0.25">
      <c r="F309" s="27"/>
    </row>
    <row r="310" spans="6:6" x14ac:dyDescent="0.25">
      <c r="F310" s="27"/>
    </row>
    <row r="311" spans="6:6" x14ac:dyDescent="0.25">
      <c r="F311" s="27"/>
    </row>
    <row r="312" spans="6:6" x14ac:dyDescent="0.25">
      <c r="F312" s="27"/>
    </row>
    <row r="313" spans="6:6" x14ac:dyDescent="0.25">
      <c r="F313" s="27"/>
    </row>
    <row r="319" spans="6:6" x14ac:dyDescent="0.25">
      <c r="F319" s="27"/>
    </row>
    <row r="320" spans="6:6" x14ac:dyDescent="0.25">
      <c r="F320" s="27"/>
    </row>
    <row r="321" spans="6:6" x14ac:dyDescent="0.25">
      <c r="F321" s="27"/>
    </row>
    <row r="322" spans="6:6" x14ac:dyDescent="0.25">
      <c r="F322" s="27"/>
    </row>
    <row r="323" spans="6:6" x14ac:dyDescent="0.25">
      <c r="F323" s="27"/>
    </row>
    <row r="324" spans="6:6" x14ac:dyDescent="0.25">
      <c r="F324" s="27"/>
    </row>
    <row r="325" spans="6:6" x14ac:dyDescent="0.25">
      <c r="F325" s="27"/>
    </row>
    <row r="326" spans="6:6" x14ac:dyDescent="0.25">
      <c r="F326" s="27"/>
    </row>
    <row r="327" spans="6:6" x14ac:dyDescent="0.25">
      <c r="F327" s="27"/>
    </row>
    <row r="328" spans="6:6" x14ac:dyDescent="0.25">
      <c r="F328" s="27"/>
    </row>
    <row r="329" spans="6:6" x14ac:dyDescent="0.25">
      <c r="F329" s="27"/>
    </row>
    <row r="330" spans="6:6" x14ac:dyDescent="0.25">
      <c r="F330" s="27"/>
    </row>
    <row r="331" spans="6:6" x14ac:dyDescent="0.25">
      <c r="F331" s="27"/>
    </row>
    <row r="332" spans="6:6" x14ac:dyDescent="0.25">
      <c r="F332" s="27"/>
    </row>
    <row r="333" spans="6:6" x14ac:dyDescent="0.25">
      <c r="F333" s="27"/>
    </row>
    <row r="334" spans="6:6" x14ac:dyDescent="0.25">
      <c r="F334" s="27"/>
    </row>
    <row r="335" spans="6:6" x14ac:dyDescent="0.25">
      <c r="F335" s="27"/>
    </row>
    <row r="336" spans="6:6" x14ac:dyDescent="0.25">
      <c r="F336" s="27"/>
    </row>
    <row r="337" spans="6:6" x14ac:dyDescent="0.25">
      <c r="F337" s="27"/>
    </row>
    <row r="338" spans="6:6" x14ac:dyDescent="0.25">
      <c r="F338" s="27"/>
    </row>
    <row r="339" spans="6:6" x14ac:dyDescent="0.25">
      <c r="F339" s="27"/>
    </row>
    <row r="340" spans="6:6" x14ac:dyDescent="0.25">
      <c r="F340" s="27"/>
    </row>
    <row r="341" spans="6:6" x14ac:dyDescent="0.25">
      <c r="F341" s="27"/>
    </row>
    <row r="342" spans="6:6" x14ac:dyDescent="0.25">
      <c r="F342" s="27"/>
    </row>
    <row r="343" spans="6:6" x14ac:dyDescent="0.25">
      <c r="F343" s="27"/>
    </row>
    <row r="344" spans="6:6" x14ac:dyDescent="0.25">
      <c r="F344" s="27"/>
    </row>
    <row r="345" spans="6:6" x14ac:dyDescent="0.25">
      <c r="F345" s="27"/>
    </row>
    <row r="346" spans="6:6" x14ac:dyDescent="0.25">
      <c r="F346" s="27"/>
    </row>
    <row r="347" spans="6:6" x14ac:dyDescent="0.25">
      <c r="F347" s="27"/>
    </row>
    <row r="348" spans="6:6" x14ac:dyDescent="0.25">
      <c r="F348" s="27"/>
    </row>
    <row r="349" spans="6:6" x14ac:dyDescent="0.25">
      <c r="F349" s="27"/>
    </row>
    <row r="355" spans="6:6" x14ac:dyDescent="0.25">
      <c r="F355" s="27"/>
    </row>
    <row r="356" spans="6:6" x14ac:dyDescent="0.25">
      <c r="F356" s="27"/>
    </row>
    <row r="357" spans="6:6" x14ac:dyDescent="0.25">
      <c r="F357" s="27"/>
    </row>
    <row r="358" spans="6:6" x14ac:dyDescent="0.25">
      <c r="F358" s="27"/>
    </row>
    <row r="359" spans="6:6" x14ac:dyDescent="0.25">
      <c r="F359" s="27"/>
    </row>
    <row r="360" spans="6:6" x14ac:dyDescent="0.25">
      <c r="F360" s="27"/>
    </row>
    <row r="361" spans="6:6" x14ac:dyDescent="0.25">
      <c r="F361" s="27"/>
    </row>
    <row r="362" spans="6:6" x14ac:dyDescent="0.25">
      <c r="F362" s="27"/>
    </row>
    <row r="363" spans="6:6" x14ac:dyDescent="0.25">
      <c r="F363" s="27"/>
    </row>
    <row r="364" spans="6:6" x14ac:dyDescent="0.25">
      <c r="F364" s="27"/>
    </row>
    <row r="365" spans="6:6" x14ac:dyDescent="0.25">
      <c r="F365" s="27"/>
    </row>
    <row r="366" spans="6:6" x14ac:dyDescent="0.25">
      <c r="F366" s="27"/>
    </row>
    <row r="367" spans="6:6" x14ac:dyDescent="0.25">
      <c r="F367" s="27"/>
    </row>
    <row r="368" spans="6:6" x14ac:dyDescent="0.25">
      <c r="F368" s="27"/>
    </row>
    <row r="369" spans="6:6" x14ac:dyDescent="0.25">
      <c r="F369" s="27"/>
    </row>
    <row r="370" spans="6:6" x14ac:dyDescent="0.25">
      <c r="F370" s="27"/>
    </row>
    <row r="371" spans="6:6" x14ac:dyDescent="0.25">
      <c r="F371" s="27"/>
    </row>
    <row r="372" spans="6:6" x14ac:dyDescent="0.25">
      <c r="F372" s="27"/>
    </row>
    <row r="373" spans="6:6" x14ac:dyDescent="0.25">
      <c r="F373" s="27"/>
    </row>
    <row r="374" spans="6:6" x14ac:dyDescent="0.25">
      <c r="F374" s="27"/>
    </row>
    <row r="375" spans="6:6" x14ac:dyDescent="0.25">
      <c r="F375" s="27"/>
    </row>
    <row r="376" spans="6:6" x14ac:dyDescent="0.25">
      <c r="F376" s="27"/>
    </row>
    <row r="377" spans="6:6" x14ac:dyDescent="0.25">
      <c r="F377" s="27"/>
    </row>
    <row r="378" spans="6:6" x14ac:dyDescent="0.25">
      <c r="F378" s="27"/>
    </row>
    <row r="379" spans="6:6" x14ac:dyDescent="0.25">
      <c r="F379" s="27"/>
    </row>
    <row r="380" spans="6:6" x14ac:dyDescent="0.25">
      <c r="F380" s="27"/>
    </row>
    <row r="381" spans="6:6" x14ac:dyDescent="0.25">
      <c r="F381" s="27"/>
    </row>
    <row r="382" spans="6:6" x14ac:dyDescent="0.25">
      <c r="F382" s="27"/>
    </row>
    <row r="383" spans="6:6" x14ac:dyDescent="0.25">
      <c r="F383" s="27"/>
    </row>
    <row r="384" spans="6:6" x14ac:dyDescent="0.25">
      <c r="F384" s="27"/>
    </row>
    <row r="385" spans="6:6" x14ac:dyDescent="0.25">
      <c r="F385" s="27"/>
    </row>
    <row r="391" spans="6:6" x14ac:dyDescent="0.25">
      <c r="F391" s="27"/>
    </row>
    <row r="392" spans="6:6" x14ac:dyDescent="0.25">
      <c r="F392" s="27"/>
    </row>
    <row r="393" spans="6:6" x14ac:dyDescent="0.25">
      <c r="F393" s="27"/>
    </row>
    <row r="394" spans="6:6" x14ac:dyDescent="0.25">
      <c r="F394" s="27"/>
    </row>
    <row r="395" spans="6:6" x14ac:dyDescent="0.25">
      <c r="F395" s="27"/>
    </row>
    <row r="396" spans="6:6" x14ac:dyDescent="0.25">
      <c r="F396" s="27"/>
    </row>
    <row r="397" spans="6:6" x14ac:dyDescent="0.25">
      <c r="F397" s="27"/>
    </row>
    <row r="398" spans="6:6" x14ac:dyDescent="0.25">
      <c r="F398" s="27"/>
    </row>
    <row r="399" spans="6:6" x14ac:dyDescent="0.25">
      <c r="F399" s="27"/>
    </row>
    <row r="400" spans="6:6" x14ac:dyDescent="0.25">
      <c r="F400" s="27"/>
    </row>
    <row r="401" spans="6:6" x14ac:dyDescent="0.25">
      <c r="F401" s="27"/>
    </row>
    <row r="402" spans="6:6" x14ac:dyDescent="0.25">
      <c r="F402" s="27"/>
    </row>
    <row r="403" spans="6:6" x14ac:dyDescent="0.25">
      <c r="F403" s="27"/>
    </row>
    <row r="404" spans="6:6" x14ac:dyDescent="0.25">
      <c r="F404" s="27"/>
    </row>
    <row r="405" spans="6:6" x14ac:dyDescent="0.25">
      <c r="F405" s="27"/>
    </row>
    <row r="406" spans="6:6" x14ac:dyDescent="0.25">
      <c r="F406" s="27"/>
    </row>
    <row r="407" spans="6:6" x14ac:dyDescent="0.25">
      <c r="F407" s="27"/>
    </row>
    <row r="408" spans="6:6" x14ac:dyDescent="0.25">
      <c r="F408" s="27"/>
    </row>
    <row r="409" spans="6:6" x14ac:dyDescent="0.25">
      <c r="F409" s="27"/>
    </row>
    <row r="410" spans="6:6" x14ac:dyDescent="0.25">
      <c r="F410" s="27"/>
    </row>
    <row r="411" spans="6:6" x14ac:dyDescent="0.25">
      <c r="F411" s="27"/>
    </row>
    <row r="412" spans="6:6" x14ac:dyDescent="0.25">
      <c r="F412" s="27"/>
    </row>
    <row r="413" spans="6:6" x14ac:dyDescent="0.25">
      <c r="F413" s="27"/>
    </row>
    <row r="414" spans="6:6" x14ac:dyDescent="0.25">
      <c r="F414" s="27"/>
    </row>
    <row r="415" spans="6:6" x14ac:dyDescent="0.25">
      <c r="F415" s="27"/>
    </row>
    <row r="416" spans="6:6" x14ac:dyDescent="0.25">
      <c r="F416" s="27"/>
    </row>
    <row r="417" spans="6:6" x14ac:dyDescent="0.25">
      <c r="F417" s="27"/>
    </row>
    <row r="418" spans="6:6" x14ac:dyDescent="0.25">
      <c r="F418" s="27"/>
    </row>
    <row r="419" spans="6:6" x14ac:dyDescent="0.25">
      <c r="F419" s="27"/>
    </row>
    <row r="420" spans="6:6" x14ac:dyDescent="0.25">
      <c r="F420" s="27"/>
    </row>
    <row r="421" spans="6:6" x14ac:dyDescent="0.25">
      <c r="F421" s="27"/>
    </row>
    <row r="427" spans="6:6" x14ac:dyDescent="0.25">
      <c r="F427" s="27"/>
    </row>
    <row r="428" spans="6:6" x14ac:dyDescent="0.25">
      <c r="F428" s="27"/>
    </row>
    <row r="429" spans="6:6" x14ac:dyDescent="0.25">
      <c r="F429" s="27"/>
    </row>
    <row r="430" spans="6:6" x14ac:dyDescent="0.25">
      <c r="F430" s="27"/>
    </row>
    <row r="431" spans="6:6" x14ac:dyDescent="0.25">
      <c r="F431" s="27"/>
    </row>
    <row r="432" spans="6:6" x14ac:dyDescent="0.25">
      <c r="F432" s="27"/>
    </row>
    <row r="433" spans="6:6" x14ac:dyDescent="0.25">
      <c r="F433" s="27"/>
    </row>
    <row r="434" spans="6:6" x14ac:dyDescent="0.25">
      <c r="F434" s="27"/>
    </row>
    <row r="435" spans="6:6" x14ac:dyDescent="0.25">
      <c r="F435" s="27"/>
    </row>
    <row r="436" spans="6:6" x14ac:dyDescent="0.25">
      <c r="F436" s="27"/>
    </row>
    <row r="437" spans="6:6" x14ac:dyDescent="0.25">
      <c r="F437" s="27"/>
    </row>
    <row r="438" spans="6:6" x14ac:dyDescent="0.25">
      <c r="F438" s="27"/>
    </row>
    <row r="439" spans="6:6" x14ac:dyDescent="0.25">
      <c r="F439" s="27"/>
    </row>
    <row r="440" spans="6:6" x14ac:dyDescent="0.25">
      <c r="F440" s="27"/>
    </row>
    <row r="441" spans="6:6" x14ac:dyDescent="0.25">
      <c r="F441" s="27"/>
    </row>
    <row r="442" spans="6:6" x14ac:dyDescent="0.25">
      <c r="F442" s="27"/>
    </row>
    <row r="443" spans="6:6" x14ac:dyDescent="0.25">
      <c r="F443" s="27"/>
    </row>
    <row r="444" spans="6:6" x14ac:dyDescent="0.25">
      <c r="F444" s="27"/>
    </row>
    <row r="445" spans="6:6" x14ac:dyDescent="0.25">
      <c r="F445" s="27"/>
    </row>
    <row r="446" spans="6:6" x14ac:dyDescent="0.25">
      <c r="F446" s="27"/>
    </row>
    <row r="447" spans="6:6" x14ac:dyDescent="0.25">
      <c r="F447" s="27"/>
    </row>
    <row r="448" spans="6:6" x14ac:dyDescent="0.25">
      <c r="F448" s="27"/>
    </row>
    <row r="449" spans="6:6" x14ac:dyDescent="0.25">
      <c r="F449" s="27"/>
    </row>
    <row r="450" spans="6:6" x14ac:dyDescent="0.25">
      <c r="F450" s="27"/>
    </row>
    <row r="451" spans="6:6" x14ac:dyDescent="0.25">
      <c r="F451" s="27"/>
    </row>
    <row r="452" spans="6:6" x14ac:dyDescent="0.25">
      <c r="F452" s="27"/>
    </row>
    <row r="453" spans="6:6" x14ac:dyDescent="0.25">
      <c r="F453" s="27"/>
    </row>
    <row r="454" spans="6:6" x14ac:dyDescent="0.25">
      <c r="F454" s="27"/>
    </row>
    <row r="455" spans="6:6" x14ac:dyDescent="0.25">
      <c r="F455" s="27"/>
    </row>
    <row r="456" spans="6:6" x14ac:dyDescent="0.25">
      <c r="F456" s="27"/>
    </row>
    <row r="457" spans="6:6" x14ac:dyDescent="0.25">
      <c r="F457" s="27"/>
    </row>
    <row r="463" spans="6:6" x14ac:dyDescent="0.25">
      <c r="F463" s="27"/>
    </row>
    <row r="464" spans="6:6" x14ac:dyDescent="0.25">
      <c r="F464" s="27"/>
    </row>
    <row r="465" spans="6:6" x14ac:dyDescent="0.25">
      <c r="F465" s="27"/>
    </row>
    <row r="466" spans="6:6" x14ac:dyDescent="0.25">
      <c r="F466" s="27"/>
    </row>
    <row r="467" spans="6:6" x14ac:dyDescent="0.25">
      <c r="F467" s="27"/>
    </row>
    <row r="468" spans="6:6" x14ac:dyDescent="0.25">
      <c r="F468" s="27"/>
    </row>
    <row r="469" spans="6:6" x14ac:dyDescent="0.25">
      <c r="F469" s="27"/>
    </row>
    <row r="470" spans="6:6" x14ac:dyDescent="0.25">
      <c r="F470" s="27"/>
    </row>
    <row r="471" spans="6:6" x14ac:dyDescent="0.25">
      <c r="F471" s="27"/>
    </row>
    <row r="472" spans="6:6" x14ac:dyDescent="0.25">
      <c r="F472" s="27"/>
    </row>
    <row r="473" spans="6:6" x14ac:dyDescent="0.25">
      <c r="F473" s="27"/>
    </row>
    <row r="474" spans="6:6" x14ac:dyDescent="0.25">
      <c r="F474" s="27"/>
    </row>
    <row r="475" spans="6:6" x14ac:dyDescent="0.25">
      <c r="F475" s="27"/>
    </row>
    <row r="476" spans="6:6" x14ac:dyDescent="0.25">
      <c r="F476" s="27"/>
    </row>
    <row r="477" spans="6:6" x14ac:dyDescent="0.25">
      <c r="F477" s="27"/>
    </row>
    <row r="478" spans="6:6" x14ac:dyDescent="0.25">
      <c r="F478" s="27"/>
    </row>
    <row r="479" spans="6:6" x14ac:dyDescent="0.25">
      <c r="F479" s="27"/>
    </row>
    <row r="480" spans="6:6" x14ac:dyDescent="0.25">
      <c r="F480" s="27"/>
    </row>
    <row r="481" spans="6:6" x14ac:dyDescent="0.25">
      <c r="F481" s="27"/>
    </row>
    <row r="482" spans="6:6" x14ac:dyDescent="0.25">
      <c r="F482" s="27"/>
    </row>
    <row r="483" spans="6:6" x14ac:dyDescent="0.25">
      <c r="F483" s="27"/>
    </row>
    <row r="484" spans="6:6" x14ac:dyDescent="0.25">
      <c r="F484" s="27"/>
    </row>
    <row r="485" spans="6:6" x14ac:dyDescent="0.25">
      <c r="F485" s="27"/>
    </row>
    <row r="486" spans="6:6" x14ac:dyDescent="0.25">
      <c r="F486" s="27"/>
    </row>
    <row r="487" spans="6:6" x14ac:dyDescent="0.25">
      <c r="F487" s="27"/>
    </row>
    <row r="488" spans="6:6" x14ac:dyDescent="0.25">
      <c r="F488" s="27"/>
    </row>
    <row r="489" spans="6:6" x14ac:dyDescent="0.25">
      <c r="F489" s="27"/>
    </row>
    <row r="490" spans="6:6" x14ac:dyDescent="0.25">
      <c r="F490" s="27"/>
    </row>
    <row r="491" spans="6:6" x14ac:dyDescent="0.25">
      <c r="F491" s="27"/>
    </row>
    <row r="492" spans="6:6" x14ac:dyDescent="0.25">
      <c r="F492" s="27"/>
    </row>
    <row r="493" spans="6:6" x14ac:dyDescent="0.25">
      <c r="F493" s="27"/>
    </row>
    <row r="499" spans="6:6" x14ac:dyDescent="0.25">
      <c r="F499" s="27"/>
    </row>
    <row r="500" spans="6:6" x14ac:dyDescent="0.25">
      <c r="F500" s="27"/>
    </row>
    <row r="501" spans="6:6" x14ac:dyDescent="0.25">
      <c r="F501" s="27"/>
    </row>
    <row r="502" spans="6:6" x14ac:dyDescent="0.25">
      <c r="F502" s="27"/>
    </row>
    <row r="503" spans="6:6" x14ac:dyDescent="0.25">
      <c r="F503" s="27"/>
    </row>
    <row r="504" spans="6:6" x14ac:dyDescent="0.25">
      <c r="F504" s="27"/>
    </row>
    <row r="505" spans="6:6" x14ac:dyDescent="0.25">
      <c r="F505" s="27"/>
    </row>
    <row r="506" spans="6:6" x14ac:dyDescent="0.25">
      <c r="F506" s="27"/>
    </row>
    <row r="507" spans="6:6" x14ac:dyDescent="0.25">
      <c r="F507" s="27"/>
    </row>
    <row r="508" spans="6:6" x14ac:dyDescent="0.25">
      <c r="F508" s="27"/>
    </row>
    <row r="509" spans="6:6" x14ac:dyDescent="0.25">
      <c r="F509" s="27"/>
    </row>
    <row r="510" spans="6:6" x14ac:dyDescent="0.25">
      <c r="F510" s="27"/>
    </row>
    <row r="511" spans="6:6" x14ac:dyDescent="0.25">
      <c r="F511" s="27"/>
    </row>
    <row r="512" spans="6:6" x14ac:dyDescent="0.25">
      <c r="F512" s="27"/>
    </row>
    <row r="513" spans="6:6" x14ac:dyDescent="0.25">
      <c r="F513" s="27"/>
    </row>
    <row r="514" spans="6:6" x14ac:dyDescent="0.25">
      <c r="F514" s="27"/>
    </row>
    <row r="515" spans="6:6" x14ac:dyDescent="0.25">
      <c r="F515" s="27"/>
    </row>
    <row r="516" spans="6:6" x14ac:dyDescent="0.25">
      <c r="F516" s="27"/>
    </row>
    <row r="517" spans="6:6" x14ac:dyDescent="0.25">
      <c r="F517" s="27"/>
    </row>
    <row r="518" spans="6:6" x14ac:dyDescent="0.25">
      <c r="F518" s="27"/>
    </row>
    <row r="519" spans="6:6" x14ac:dyDescent="0.25">
      <c r="F519" s="27"/>
    </row>
    <row r="520" spans="6:6" x14ac:dyDescent="0.25">
      <c r="F520" s="27"/>
    </row>
    <row r="521" spans="6:6" x14ac:dyDescent="0.25">
      <c r="F521" s="27"/>
    </row>
    <row r="522" spans="6:6" x14ac:dyDescent="0.25">
      <c r="F522" s="27"/>
    </row>
    <row r="523" spans="6:6" x14ac:dyDescent="0.25">
      <c r="F523" s="27"/>
    </row>
    <row r="524" spans="6:6" x14ac:dyDescent="0.25">
      <c r="F524" s="27"/>
    </row>
    <row r="525" spans="6:6" x14ac:dyDescent="0.25">
      <c r="F525" s="27"/>
    </row>
    <row r="526" spans="6:6" x14ac:dyDescent="0.25">
      <c r="F526" s="27"/>
    </row>
    <row r="527" spans="6:6" x14ac:dyDescent="0.25">
      <c r="F527" s="27"/>
    </row>
    <row r="528" spans="6:6" x14ac:dyDescent="0.25">
      <c r="F528" s="27"/>
    </row>
    <row r="529" spans="6:6" x14ac:dyDescent="0.25">
      <c r="F529" s="27"/>
    </row>
    <row r="535" spans="6:6" x14ac:dyDescent="0.25">
      <c r="F535" s="27"/>
    </row>
    <row r="536" spans="6:6" x14ac:dyDescent="0.25">
      <c r="F536" s="27"/>
    </row>
    <row r="537" spans="6:6" x14ac:dyDescent="0.25">
      <c r="F537" s="27"/>
    </row>
    <row r="538" spans="6:6" x14ac:dyDescent="0.25">
      <c r="F538" s="27"/>
    </row>
    <row r="539" spans="6:6" x14ac:dyDescent="0.25">
      <c r="F539" s="27"/>
    </row>
    <row r="540" spans="6:6" x14ac:dyDescent="0.25">
      <c r="F540" s="27"/>
    </row>
    <row r="541" spans="6:6" x14ac:dyDescent="0.25">
      <c r="F541" s="27"/>
    </row>
    <row r="542" spans="6:6" x14ac:dyDescent="0.25">
      <c r="F542" s="27"/>
    </row>
    <row r="543" spans="6:6" x14ac:dyDescent="0.25">
      <c r="F543" s="27"/>
    </row>
    <row r="544" spans="6:6" x14ac:dyDescent="0.25">
      <c r="F544" s="27"/>
    </row>
    <row r="545" spans="6:6" x14ac:dyDescent="0.25">
      <c r="F545" s="27"/>
    </row>
    <row r="546" spans="6:6" x14ac:dyDescent="0.25">
      <c r="F546" s="27"/>
    </row>
    <row r="547" spans="6:6" x14ac:dyDescent="0.25">
      <c r="F547" s="27"/>
    </row>
    <row r="548" spans="6:6" x14ac:dyDescent="0.25">
      <c r="F548" s="27"/>
    </row>
    <row r="549" spans="6:6" x14ac:dyDescent="0.25">
      <c r="F549" s="27"/>
    </row>
    <row r="550" spans="6:6" x14ac:dyDescent="0.25">
      <c r="F550" s="27"/>
    </row>
    <row r="551" spans="6:6" x14ac:dyDescent="0.25">
      <c r="F551" s="27"/>
    </row>
    <row r="552" spans="6:6" x14ac:dyDescent="0.25">
      <c r="F552" s="27"/>
    </row>
    <row r="553" spans="6:6" x14ac:dyDescent="0.25">
      <c r="F553" s="27"/>
    </row>
    <row r="554" spans="6:6" x14ac:dyDescent="0.25">
      <c r="F554" s="27"/>
    </row>
    <row r="555" spans="6:6" x14ac:dyDescent="0.25">
      <c r="F555" s="27"/>
    </row>
    <row r="556" spans="6:6" x14ac:dyDescent="0.25">
      <c r="F556" s="27"/>
    </row>
    <row r="557" spans="6:6" x14ac:dyDescent="0.25">
      <c r="F557" s="27"/>
    </row>
    <row r="558" spans="6:6" x14ac:dyDescent="0.25">
      <c r="F558" s="27"/>
    </row>
    <row r="559" spans="6:6" x14ac:dyDescent="0.25">
      <c r="F559" s="27"/>
    </row>
    <row r="560" spans="6:6" x14ac:dyDescent="0.25">
      <c r="F560" s="27"/>
    </row>
    <row r="561" spans="6:6" x14ac:dyDescent="0.25">
      <c r="F561" s="27"/>
    </row>
    <row r="562" spans="6:6" x14ac:dyDescent="0.25">
      <c r="F562" s="27"/>
    </row>
    <row r="563" spans="6:6" x14ac:dyDescent="0.25">
      <c r="F563" s="27"/>
    </row>
    <row r="564" spans="6:6" x14ac:dyDescent="0.25">
      <c r="F564" s="27"/>
    </row>
    <row r="565" spans="6:6" x14ac:dyDescent="0.25">
      <c r="F565" s="27"/>
    </row>
    <row r="571" spans="6:6" x14ac:dyDescent="0.25">
      <c r="F571" s="27"/>
    </row>
    <row r="572" spans="6:6" x14ac:dyDescent="0.25">
      <c r="F572" s="27"/>
    </row>
    <row r="573" spans="6:6" x14ac:dyDescent="0.25">
      <c r="F573" s="27"/>
    </row>
    <row r="574" spans="6:6" x14ac:dyDescent="0.25">
      <c r="F574" s="27"/>
    </row>
    <row r="575" spans="6:6" x14ac:dyDescent="0.25">
      <c r="F575" s="27"/>
    </row>
    <row r="576" spans="6:6" x14ac:dyDescent="0.25">
      <c r="F576" s="27"/>
    </row>
    <row r="577" spans="6:6" x14ac:dyDescent="0.25">
      <c r="F577" s="27"/>
    </row>
    <row r="578" spans="6:6" x14ac:dyDescent="0.25">
      <c r="F578" s="27"/>
    </row>
    <row r="579" spans="6:6" x14ac:dyDescent="0.25">
      <c r="F579" s="27"/>
    </row>
    <row r="580" spans="6:6" x14ac:dyDescent="0.25">
      <c r="F580" s="27"/>
    </row>
    <row r="581" spans="6:6" x14ac:dyDescent="0.25">
      <c r="F581" s="27"/>
    </row>
    <row r="582" spans="6:6" x14ac:dyDescent="0.25">
      <c r="F582" s="27"/>
    </row>
    <row r="583" spans="6:6" x14ac:dyDescent="0.25">
      <c r="F583" s="27"/>
    </row>
    <row r="584" spans="6:6" x14ac:dyDescent="0.25">
      <c r="F584" s="27"/>
    </row>
    <row r="585" spans="6:6" x14ac:dyDescent="0.25">
      <c r="F585" s="27"/>
    </row>
    <row r="586" spans="6:6" x14ac:dyDescent="0.25">
      <c r="F586" s="27"/>
    </row>
    <row r="587" spans="6:6" x14ac:dyDescent="0.25">
      <c r="F587" s="27"/>
    </row>
    <row r="588" spans="6:6" x14ac:dyDescent="0.25">
      <c r="F588" s="27"/>
    </row>
    <row r="589" spans="6:6" x14ac:dyDescent="0.25">
      <c r="F589" s="27"/>
    </row>
    <row r="590" spans="6:6" x14ac:dyDescent="0.25">
      <c r="F590" s="27"/>
    </row>
    <row r="591" spans="6:6" x14ac:dyDescent="0.25">
      <c r="F591" s="27"/>
    </row>
    <row r="592" spans="6:6" x14ac:dyDescent="0.25">
      <c r="F592" s="27"/>
    </row>
    <row r="593" spans="6:6" x14ac:dyDescent="0.25">
      <c r="F593" s="27"/>
    </row>
    <row r="594" spans="6:6" x14ac:dyDescent="0.25">
      <c r="F594" s="27"/>
    </row>
    <row r="595" spans="6:6" x14ac:dyDescent="0.25">
      <c r="F595" s="27"/>
    </row>
    <row r="596" spans="6:6" x14ac:dyDescent="0.25">
      <c r="F596" s="27"/>
    </row>
    <row r="597" spans="6:6" x14ac:dyDescent="0.25">
      <c r="F597" s="27"/>
    </row>
    <row r="598" spans="6:6" x14ac:dyDescent="0.25">
      <c r="F598" s="27"/>
    </row>
    <row r="599" spans="6:6" x14ac:dyDescent="0.25">
      <c r="F599" s="27"/>
    </row>
    <row r="600" spans="6:6" x14ac:dyDescent="0.25">
      <c r="F600" s="27"/>
    </row>
    <row r="601" spans="6:6" x14ac:dyDescent="0.25">
      <c r="F601" s="27"/>
    </row>
    <row r="607" spans="6:6" x14ac:dyDescent="0.25">
      <c r="F607" s="27"/>
    </row>
    <row r="608" spans="6:6" x14ac:dyDescent="0.25">
      <c r="F608" s="27"/>
    </row>
    <row r="609" spans="6:6" x14ac:dyDescent="0.25">
      <c r="F609" s="27"/>
    </row>
    <row r="610" spans="6:6" x14ac:dyDescent="0.25">
      <c r="F610" s="27"/>
    </row>
    <row r="611" spans="6:6" x14ac:dyDescent="0.25">
      <c r="F611" s="27"/>
    </row>
    <row r="612" spans="6:6" x14ac:dyDescent="0.25">
      <c r="F612" s="27"/>
    </row>
    <row r="613" spans="6:6" x14ac:dyDescent="0.25">
      <c r="F613" s="27"/>
    </row>
    <row r="614" spans="6:6" x14ac:dyDescent="0.25">
      <c r="F614" s="27"/>
    </row>
    <row r="615" spans="6:6" x14ac:dyDescent="0.25">
      <c r="F615" s="27"/>
    </row>
    <row r="616" spans="6:6" x14ac:dyDescent="0.25">
      <c r="F616" s="27"/>
    </row>
    <row r="617" spans="6:6" x14ac:dyDescent="0.25">
      <c r="F617" s="27"/>
    </row>
    <row r="618" spans="6:6" x14ac:dyDescent="0.25">
      <c r="F618" s="27"/>
    </row>
    <row r="619" spans="6:6" x14ac:dyDescent="0.25">
      <c r="F619" s="27"/>
    </row>
    <row r="620" spans="6:6" x14ac:dyDescent="0.25">
      <c r="F620" s="27"/>
    </row>
    <row r="621" spans="6:6" x14ac:dyDescent="0.25">
      <c r="F621" s="27"/>
    </row>
    <row r="622" spans="6:6" x14ac:dyDescent="0.25">
      <c r="F622" s="27"/>
    </row>
    <row r="623" spans="6:6" x14ac:dyDescent="0.25">
      <c r="F623" s="27"/>
    </row>
    <row r="624" spans="6:6" x14ac:dyDescent="0.25">
      <c r="F624" s="27"/>
    </row>
    <row r="625" spans="6:6" x14ac:dyDescent="0.25">
      <c r="F625" s="27"/>
    </row>
    <row r="626" spans="6:6" x14ac:dyDescent="0.25">
      <c r="F626" s="27"/>
    </row>
    <row r="627" spans="6:6" x14ac:dyDescent="0.25">
      <c r="F627" s="27"/>
    </row>
    <row r="628" spans="6:6" x14ac:dyDescent="0.25">
      <c r="F628" s="27"/>
    </row>
    <row r="629" spans="6:6" x14ac:dyDescent="0.25">
      <c r="F629" s="27"/>
    </row>
    <row r="630" spans="6:6" x14ac:dyDescent="0.25">
      <c r="F630" s="27"/>
    </row>
    <row r="631" spans="6:6" x14ac:dyDescent="0.25">
      <c r="F631" s="27"/>
    </row>
    <row r="632" spans="6:6" x14ac:dyDescent="0.25">
      <c r="F632" s="27"/>
    </row>
    <row r="633" spans="6:6" x14ac:dyDescent="0.25">
      <c r="F633" s="27"/>
    </row>
    <row r="634" spans="6:6" x14ac:dyDescent="0.25">
      <c r="F634" s="27"/>
    </row>
    <row r="635" spans="6:6" x14ac:dyDescent="0.25">
      <c r="F635" s="27"/>
    </row>
    <row r="636" spans="6:6" x14ac:dyDescent="0.25">
      <c r="F636" s="27"/>
    </row>
    <row r="637" spans="6:6" x14ac:dyDescent="0.25">
      <c r="F637" s="27"/>
    </row>
    <row r="643" spans="6:6" x14ac:dyDescent="0.25">
      <c r="F643" s="27"/>
    </row>
    <row r="644" spans="6:6" x14ac:dyDescent="0.25">
      <c r="F644" s="27"/>
    </row>
    <row r="645" spans="6:6" x14ac:dyDescent="0.25">
      <c r="F645" s="27"/>
    </row>
    <row r="646" spans="6:6" x14ac:dyDescent="0.25">
      <c r="F646" s="27"/>
    </row>
    <row r="647" spans="6:6" x14ac:dyDescent="0.25">
      <c r="F647" s="27"/>
    </row>
    <row r="648" spans="6:6" x14ac:dyDescent="0.25">
      <c r="F648" s="27"/>
    </row>
    <row r="649" spans="6:6" x14ac:dyDescent="0.25">
      <c r="F649" s="27"/>
    </row>
    <row r="650" spans="6:6" x14ac:dyDescent="0.25">
      <c r="F650" s="27"/>
    </row>
    <row r="651" spans="6:6" x14ac:dyDescent="0.25">
      <c r="F651" s="27"/>
    </row>
    <row r="652" spans="6:6" x14ac:dyDescent="0.25">
      <c r="F652" s="27"/>
    </row>
    <row r="653" spans="6:6" x14ac:dyDescent="0.25">
      <c r="F653" s="27"/>
    </row>
    <row r="654" spans="6:6" x14ac:dyDescent="0.25">
      <c r="F654" s="27"/>
    </row>
    <row r="655" spans="6:6" x14ac:dyDescent="0.25">
      <c r="F655" s="27"/>
    </row>
    <row r="656" spans="6:6" x14ac:dyDescent="0.25">
      <c r="F656" s="27"/>
    </row>
    <row r="657" spans="6:6" x14ac:dyDescent="0.25">
      <c r="F657" s="27"/>
    </row>
    <row r="658" spans="6:6" x14ac:dyDescent="0.25">
      <c r="F658" s="27"/>
    </row>
    <row r="659" spans="6:6" x14ac:dyDescent="0.25">
      <c r="F659" s="27"/>
    </row>
    <row r="660" spans="6:6" x14ac:dyDescent="0.25">
      <c r="F660" s="27"/>
    </row>
    <row r="661" spans="6:6" x14ac:dyDescent="0.25">
      <c r="F661" s="27"/>
    </row>
    <row r="662" spans="6:6" x14ac:dyDescent="0.25">
      <c r="F662" s="27"/>
    </row>
    <row r="663" spans="6:6" x14ac:dyDescent="0.25">
      <c r="F663" s="27"/>
    </row>
    <row r="664" spans="6:6" x14ac:dyDescent="0.25">
      <c r="F664" s="27"/>
    </row>
    <row r="665" spans="6:6" x14ac:dyDescent="0.25">
      <c r="F665" s="27"/>
    </row>
    <row r="666" spans="6:6" x14ac:dyDescent="0.25">
      <c r="F666" s="27"/>
    </row>
    <row r="667" spans="6:6" x14ac:dyDescent="0.25">
      <c r="F667" s="27"/>
    </row>
    <row r="668" spans="6:6" x14ac:dyDescent="0.25">
      <c r="F668" s="27"/>
    </row>
    <row r="669" spans="6:6" x14ac:dyDescent="0.25">
      <c r="F669" s="27"/>
    </row>
    <row r="670" spans="6:6" x14ac:dyDescent="0.25">
      <c r="F670" s="27"/>
    </row>
    <row r="671" spans="6:6" x14ac:dyDescent="0.25">
      <c r="F671" s="27"/>
    </row>
    <row r="672" spans="6:6" x14ac:dyDescent="0.25">
      <c r="F672" s="27"/>
    </row>
    <row r="673" spans="6:6" x14ac:dyDescent="0.25">
      <c r="F673" s="27"/>
    </row>
    <row r="679" spans="6:6" x14ac:dyDescent="0.25">
      <c r="F679" s="27"/>
    </row>
    <row r="680" spans="6:6" x14ac:dyDescent="0.25">
      <c r="F680" s="27"/>
    </row>
    <row r="681" spans="6:6" x14ac:dyDescent="0.25">
      <c r="F681" s="27"/>
    </row>
    <row r="682" spans="6:6" x14ac:dyDescent="0.25">
      <c r="F682" s="27"/>
    </row>
    <row r="683" spans="6:6" x14ac:dyDescent="0.25">
      <c r="F683" s="27"/>
    </row>
    <row r="684" spans="6:6" x14ac:dyDescent="0.25">
      <c r="F684" s="27"/>
    </row>
    <row r="685" spans="6:6" x14ac:dyDescent="0.25">
      <c r="F685" s="27"/>
    </row>
    <row r="686" spans="6:6" x14ac:dyDescent="0.25">
      <c r="F686" s="27"/>
    </row>
    <row r="687" spans="6:6" x14ac:dyDescent="0.25">
      <c r="F687" s="27"/>
    </row>
    <row r="688" spans="6:6" x14ac:dyDescent="0.25">
      <c r="F688" s="27"/>
    </row>
    <row r="689" spans="6:6" x14ac:dyDescent="0.25">
      <c r="F689" s="27"/>
    </row>
    <row r="690" spans="6:6" x14ac:dyDescent="0.25">
      <c r="F690" s="27"/>
    </row>
    <row r="691" spans="6:6" x14ac:dyDescent="0.25">
      <c r="F691" s="27"/>
    </row>
    <row r="692" spans="6:6" x14ac:dyDescent="0.25">
      <c r="F692" s="27"/>
    </row>
    <row r="693" spans="6:6" x14ac:dyDescent="0.25">
      <c r="F693" s="27"/>
    </row>
    <row r="694" spans="6:6" x14ac:dyDescent="0.25">
      <c r="F694" s="27"/>
    </row>
    <row r="695" spans="6:6" x14ac:dyDescent="0.25">
      <c r="F695" s="27"/>
    </row>
    <row r="696" spans="6:6" x14ac:dyDescent="0.25">
      <c r="F696" s="27"/>
    </row>
    <row r="697" spans="6:6" x14ac:dyDescent="0.25">
      <c r="F697" s="27"/>
    </row>
    <row r="698" spans="6:6" x14ac:dyDescent="0.25">
      <c r="F698" s="27"/>
    </row>
    <row r="699" spans="6:6" x14ac:dyDescent="0.25">
      <c r="F699" s="27"/>
    </row>
    <row r="700" spans="6:6" x14ac:dyDescent="0.25">
      <c r="F700" s="27"/>
    </row>
    <row r="701" spans="6:6" x14ac:dyDescent="0.25">
      <c r="F701" s="27"/>
    </row>
    <row r="702" spans="6:6" x14ac:dyDescent="0.25">
      <c r="F702" s="27"/>
    </row>
    <row r="703" spans="6:6" x14ac:dyDescent="0.25">
      <c r="F703" s="27"/>
    </row>
    <row r="704" spans="6:6" x14ac:dyDescent="0.25">
      <c r="F704" s="27"/>
    </row>
    <row r="705" spans="6:6" x14ac:dyDescent="0.25">
      <c r="F705" s="27"/>
    </row>
    <row r="706" spans="6:6" x14ac:dyDescent="0.25">
      <c r="F706" s="27"/>
    </row>
    <row r="707" spans="6:6" x14ac:dyDescent="0.25">
      <c r="F707" s="27"/>
    </row>
    <row r="708" spans="6:6" x14ac:dyDescent="0.25">
      <c r="F708" s="27"/>
    </row>
    <row r="709" spans="6:6" x14ac:dyDescent="0.25">
      <c r="F709" s="27"/>
    </row>
    <row r="715" spans="6:6" x14ac:dyDescent="0.25">
      <c r="F715" s="27"/>
    </row>
    <row r="716" spans="6:6" x14ac:dyDescent="0.25">
      <c r="F716" s="27"/>
    </row>
    <row r="717" spans="6:6" x14ac:dyDescent="0.25">
      <c r="F717" s="27"/>
    </row>
    <row r="718" spans="6:6" x14ac:dyDescent="0.25">
      <c r="F718" s="27"/>
    </row>
    <row r="719" spans="6:6" x14ac:dyDescent="0.25">
      <c r="F719" s="27"/>
    </row>
    <row r="720" spans="6:6" x14ac:dyDescent="0.25">
      <c r="F720" s="27"/>
    </row>
    <row r="721" spans="6:6" x14ac:dyDescent="0.25">
      <c r="F721" s="27"/>
    </row>
    <row r="722" spans="6:6" x14ac:dyDescent="0.25">
      <c r="F722" s="27"/>
    </row>
    <row r="723" spans="6:6" x14ac:dyDescent="0.25">
      <c r="F723" s="27"/>
    </row>
    <row r="724" spans="6:6" x14ac:dyDescent="0.25">
      <c r="F724" s="27"/>
    </row>
    <row r="725" spans="6:6" x14ac:dyDescent="0.25">
      <c r="F725" s="27"/>
    </row>
    <row r="726" spans="6:6" x14ac:dyDescent="0.25">
      <c r="F726" s="27"/>
    </row>
    <row r="727" spans="6:6" x14ac:dyDescent="0.25">
      <c r="F727" s="27"/>
    </row>
    <row r="728" spans="6:6" x14ac:dyDescent="0.25">
      <c r="F728" s="27"/>
    </row>
    <row r="729" spans="6:6" x14ac:dyDescent="0.25">
      <c r="F729" s="27"/>
    </row>
    <row r="730" spans="6:6" x14ac:dyDescent="0.25">
      <c r="F730" s="27"/>
    </row>
    <row r="731" spans="6:6" x14ac:dyDescent="0.25">
      <c r="F731" s="27"/>
    </row>
    <row r="732" spans="6:6" x14ac:dyDescent="0.25">
      <c r="F732" s="27"/>
    </row>
    <row r="733" spans="6:6" x14ac:dyDescent="0.25">
      <c r="F733" s="27"/>
    </row>
    <row r="734" spans="6:6" x14ac:dyDescent="0.25">
      <c r="F734" s="27"/>
    </row>
    <row r="735" spans="6:6" x14ac:dyDescent="0.25">
      <c r="F735" s="27"/>
    </row>
    <row r="736" spans="6:6" x14ac:dyDescent="0.25">
      <c r="F736" s="27"/>
    </row>
    <row r="737" spans="6:6" x14ac:dyDescent="0.25">
      <c r="F737" s="27"/>
    </row>
    <row r="738" spans="6:6" x14ac:dyDescent="0.25">
      <c r="F738" s="27"/>
    </row>
    <row r="739" spans="6:6" x14ac:dyDescent="0.25">
      <c r="F739" s="27"/>
    </row>
    <row r="740" spans="6:6" x14ac:dyDescent="0.25">
      <c r="F740" s="27"/>
    </row>
    <row r="741" spans="6:6" x14ac:dyDescent="0.25">
      <c r="F741" s="27"/>
    </row>
    <row r="742" spans="6:6" x14ac:dyDescent="0.25">
      <c r="F742" s="27"/>
    </row>
    <row r="743" spans="6:6" x14ac:dyDescent="0.25">
      <c r="F743" s="27"/>
    </row>
    <row r="744" spans="6:6" x14ac:dyDescent="0.25">
      <c r="F744" s="27"/>
    </row>
    <row r="745" spans="6:6" x14ac:dyDescent="0.25">
      <c r="F745" s="27"/>
    </row>
    <row r="751" spans="6:6" x14ac:dyDescent="0.25">
      <c r="F751" s="27"/>
    </row>
    <row r="752" spans="6:6" x14ac:dyDescent="0.25">
      <c r="F752" s="27"/>
    </row>
    <row r="753" spans="6:6" x14ac:dyDescent="0.25">
      <c r="F753" s="27"/>
    </row>
    <row r="754" spans="6:6" x14ac:dyDescent="0.25">
      <c r="F754" s="27"/>
    </row>
    <row r="755" spans="6:6" x14ac:dyDescent="0.25">
      <c r="F755" s="27"/>
    </row>
    <row r="756" spans="6:6" x14ac:dyDescent="0.25">
      <c r="F756" s="27"/>
    </row>
    <row r="757" spans="6:6" x14ac:dyDescent="0.25">
      <c r="F757" s="27"/>
    </row>
    <row r="758" spans="6:6" x14ac:dyDescent="0.25">
      <c r="F758" s="27"/>
    </row>
    <row r="759" spans="6:6" x14ac:dyDescent="0.25">
      <c r="F759" s="27"/>
    </row>
    <row r="760" spans="6:6" x14ac:dyDescent="0.25">
      <c r="F760" s="27"/>
    </row>
    <row r="761" spans="6:6" x14ac:dyDescent="0.25">
      <c r="F761" s="27"/>
    </row>
    <row r="762" spans="6:6" x14ac:dyDescent="0.25">
      <c r="F762" s="27"/>
    </row>
    <row r="763" spans="6:6" x14ac:dyDescent="0.25">
      <c r="F763" s="27"/>
    </row>
    <row r="764" spans="6:6" x14ac:dyDescent="0.25">
      <c r="F764" s="27"/>
    </row>
    <row r="765" spans="6:6" x14ac:dyDescent="0.25">
      <c r="F765" s="27"/>
    </row>
    <row r="766" spans="6:6" x14ac:dyDescent="0.25">
      <c r="F766" s="27"/>
    </row>
    <row r="767" spans="6:6" x14ac:dyDescent="0.25">
      <c r="F767" s="27"/>
    </row>
    <row r="768" spans="6:6" x14ac:dyDescent="0.25">
      <c r="F768" s="27"/>
    </row>
    <row r="769" spans="6:6" x14ac:dyDescent="0.25">
      <c r="F769" s="27"/>
    </row>
    <row r="770" spans="6:6" x14ac:dyDescent="0.25">
      <c r="F770" s="27"/>
    </row>
    <row r="771" spans="6:6" x14ac:dyDescent="0.25">
      <c r="F771" s="27"/>
    </row>
    <row r="772" spans="6:6" x14ac:dyDescent="0.25">
      <c r="F772" s="27"/>
    </row>
    <row r="773" spans="6:6" x14ac:dyDescent="0.25">
      <c r="F773" s="27"/>
    </row>
    <row r="774" spans="6:6" x14ac:dyDescent="0.25">
      <c r="F774" s="27"/>
    </row>
    <row r="775" spans="6:6" x14ac:dyDescent="0.25">
      <c r="F775" s="27"/>
    </row>
    <row r="776" spans="6:6" x14ac:dyDescent="0.25">
      <c r="F776" s="27"/>
    </row>
    <row r="777" spans="6:6" x14ac:dyDescent="0.25">
      <c r="F777" s="27"/>
    </row>
    <row r="778" spans="6:6" x14ac:dyDescent="0.25">
      <c r="F778" s="27"/>
    </row>
    <row r="779" spans="6:6" x14ac:dyDescent="0.25">
      <c r="F779" s="27"/>
    </row>
    <row r="780" spans="6:6" x14ac:dyDescent="0.25">
      <c r="F780" s="27"/>
    </row>
    <row r="781" spans="6:6" x14ac:dyDescent="0.25">
      <c r="F781" s="27"/>
    </row>
    <row r="787" spans="6:6" x14ac:dyDescent="0.25">
      <c r="F787" s="27"/>
    </row>
    <row r="788" spans="6:6" x14ac:dyDescent="0.25">
      <c r="F788" s="27"/>
    </row>
    <row r="789" spans="6:6" x14ac:dyDescent="0.25">
      <c r="F789" s="27"/>
    </row>
    <row r="790" spans="6:6" x14ac:dyDescent="0.25">
      <c r="F790" s="27"/>
    </row>
    <row r="791" spans="6:6" x14ac:dyDescent="0.25">
      <c r="F791" s="27"/>
    </row>
    <row r="792" spans="6:6" x14ac:dyDescent="0.25">
      <c r="F792" s="27"/>
    </row>
    <row r="793" spans="6:6" x14ac:dyDescent="0.25">
      <c r="F793" s="27"/>
    </row>
    <row r="794" spans="6:6" x14ac:dyDescent="0.25">
      <c r="F794" s="27"/>
    </row>
    <row r="795" spans="6:6" x14ac:dyDescent="0.25">
      <c r="F795" s="27"/>
    </row>
    <row r="796" spans="6:6" x14ac:dyDescent="0.25">
      <c r="F796" s="27"/>
    </row>
    <row r="797" spans="6:6" x14ac:dyDescent="0.25">
      <c r="F797" s="27"/>
    </row>
    <row r="798" spans="6:6" x14ac:dyDescent="0.25">
      <c r="F798" s="27"/>
    </row>
    <row r="799" spans="6:6" x14ac:dyDescent="0.25">
      <c r="F799" s="27"/>
    </row>
    <row r="800" spans="6:6" x14ac:dyDescent="0.25">
      <c r="F800" s="27"/>
    </row>
    <row r="801" spans="6:6" x14ac:dyDescent="0.25">
      <c r="F801" s="27"/>
    </row>
    <row r="802" spans="6:6" x14ac:dyDescent="0.25">
      <c r="F802" s="27"/>
    </row>
    <row r="803" spans="6:6" x14ac:dyDescent="0.25">
      <c r="F803" s="27"/>
    </row>
    <row r="804" spans="6:6" x14ac:dyDescent="0.25">
      <c r="F804" s="27"/>
    </row>
    <row r="805" spans="6:6" x14ac:dyDescent="0.25">
      <c r="F805" s="27"/>
    </row>
    <row r="806" spans="6:6" x14ac:dyDescent="0.25">
      <c r="F806" s="27"/>
    </row>
    <row r="807" spans="6:6" x14ac:dyDescent="0.25">
      <c r="F807" s="27"/>
    </row>
    <row r="808" spans="6:6" x14ac:dyDescent="0.25">
      <c r="F808" s="27"/>
    </row>
    <row r="809" spans="6:6" x14ac:dyDescent="0.25">
      <c r="F809" s="27"/>
    </row>
    <row r="810" spans="6:6" x14ac:dyDescent="0.25">
      <c r="F810" s="27"/>
    </row>
    <row r="811" spans="6:6" x14ac:dyDescent="0.25">
      <c r="F811" s="27"/>
    </row>
    <row r="812" spans="6:6" x14ac:dyDescent="0.25">
      <c r="F812" s="27"/>
    </row>
    <row r="813" spans="6:6" x14ac:dyDescent="0.25">
      <c r="F813" s="27"/>
    </row>
    <row r="814" spans="6:6" x14ac:dyDescent="0.25">
      <c r="F814" s="27"/>
    </row>
    <row r="815" spans="6:6" x14ac:dyDescent="0.25">
      <c r="F815" s="27"/>
    </row>
    <row r="816" spans="6:6" x14ac:dyDescent="0.25">
      <c r="F816" s="27"/>
    </row>
    <row r="817" spans="6:6" x14ac:dyDescent="0.25">
      <c r="F817" s="27"/>
    </row>
    <row r="823" spans="6:6" x14ac:dyDescent="0.25">
      <c r="F823" s="27"/>
    </row>
    <row r="824" spans="6:6" x14ac:dyDescent="0.25">
      <c r="F824" s="27"/>
    </row>
    <row r="825" spans="6:6" x14ac:dyDescent="0.25">
      <c r="F825" s="27"/>
    </row>
    <row r="826" spans="6:6" x14ac:dyDescent="0.25">
      <c r="F826" s="27"/>
    </row>
    <row r="827" spans="6:6" x14ac:dyDescent="0.25">
      <c r="F827" s="27"/>
    </row>
    <row r="828" spans="6:6" x14ac:dyDescent="0.25">
      <c r="F828" s="27"/>
    </row>
    <row r="829" spans="6:6" x14ac:dyDescent="0.25">
      <c r="F829" s="27"/>
    </row>
    <row r="830" spans="6:6" x14ac:dyDescent="0.25">
      <c r="F830" s="27"/>
    </row>
    <row r="831" spans="6:6" x14ac:dyDescent="0.25">
      <c r="F831" s="27"/>
    </row>
    <row r="832" spans="6:6" x14ac:dyDescent="0.25">
      <c r="F832" s="27"/>
    </row>
    <row r="833" spans="6:6" x14ac:dyDescent="0.25">
      <c r="F833" s="27"/>
    </row>
    <row r="834" spans="6:6" x14ac:dyDescent="0.25">
      <c r="F834" s="27"/>
    </row>
    <row r="835" spans="6:6" x14ac:dyDescent="0.25">
      <c r="F835" s="27"/>
    </row>
    <row r="836" spans="6:6" x14ac:dyDescent="0.25">
      <c r="F836" s="27"/>
    </row>
    <row r="837" spans="6:6" x14ac:dyDescent="0.25">
      <c r="F837" s="27"/>
    </row>
    <row r="838" spans="6:6" x14ac:dyDescent="0.25">
      <c r="F838" s="27"/>
    </row>
    <row r="839" spans="6:6" x14ac:dyDescent="0.25">
      <c r="F839" s="27"/>
    </row>
    <row r="840" spans="6:6" x14ac:dyDescent="0.25">
      <c r="F840" s="27"/>
    </row>
    <row r="841" spans="6:6" x14ac:dyDescent="0.25">
      <c r="F841" s="27"/>
    </row>
    <row r="842" spans="6:6" x14ac:dyDescent="0.25">
      <c r="F842" s="27"/>
    </row>
    <row r="843" spans="6:6" x14ac:dyDescent="0.25">
      <c r="F843" s="27"/>
    </row>
    <row r="844" spans="6:6" x14ac:dyDescent="0.25">
      <c r="F844" s="27"/>
    </row>
    <row r="845" spans="6:6" x14ac:dyDescent="0.25">
      <c r="F845" s="27"/>
    </row>
    <row r="846" spans="6:6" x14ac:dyDescent="0.25">
      <c r="F846" s="27"/>
    </row>
    <row r="847" spans="6:6" x14ac:dyDescent="0.25">
      <c r="F847" s="27"/>
    </row>
    <row r="848" spans="6:6" x14ac:dyDescent="0.25">
      <c r="F848" s="27"/>
    </row>
    <row r="849" spans="6:6" x14ac:dyDescent="0.25">
      <c r="F849" s="27"/>
    </row>
    <row r="850" spans="6:6" x14ac:dyDescent="0.25">
      <c r="F850" s="27"/>
    </row>
    <row r="851" spans="6:6" x14ac:dyDescent="0.25">
      <c r="F851" s="27"/>
    </row>
    <row r="852" spans="6:6" x14ac:dyDescent="0.25">
      <c r="F852" s="27"/>
    </row>
    <row r="853" spans="6:6" x14ac:dyDescent="0.25">
      <c r="F853" s="27"/>
    </row>
    <row r="859" spans="6:6" x14ac:dyDescent="0.25">
      <c r="F859" s="27"/>
    </row>
    <row r="860" spans="6:6" x14ac:dyDescent="0.25">
      <c r="F860" s="27"/>
    </row>
    <row r="861" spans="6:6" x14ac:dyDescent="0.25">
      <c r="F861" s="27"/>
    </row>
    <row r="862" spans="6:6" x14ac:dyDescent="0.25">
      <c r="F862" s="27"/>
    </row>
    <row r="863" spans="6:6" x14ac:dyDescent="0.25">
      <c r="F863" s="27"/>
    </row>
    <row r="864" spans="6:6" x14ac:dyDescent="0.25">
      <c r="F864" s="27"/>
    </row>
    <row r="865" spans="6:6" x14ac:dyDescent="0.25">
      <c r="F865" s="27"/>
    </row>
    <row r="866" spans="6:6" x14ac:dyDescent="0.25">
      <c r="F866" s="27"/>
    </row>
    <row r="867" spans="6:6" x14ac:dyDescent="0.25">
      <c r="F867" s="27"/>
    </row>
    <row r="868" spans="6:6" x14ac:dyDescent="0.25">
      <c r="F868" s="27"/>
    </row>
    <row r="869" spans="6:6" x14ac:dyDescent="0.25">
      <c r="F869" s="27"/>
    </row>
    <row r="870" spans="6:6" x14ac:dyDescent="0.25">
      <c r="F870" s="27"/>
    </row>
    <row r="871" spans="6:6" x14ac:dyDescent="0.25">
      <c r="F871" s="27"/>
    </row>
    <row r="872" spans="6:6" x14ac:dyDescent="0.25">
      <c r="F872" s="27"/>
    </row>
    <row r="873" spans="6:6" x14ac:dyDescent="0.25">
      <c r="F873" s="27"/>
    </row>
    <row r="874" spans="6:6" x14ac:dyDescent="0.25">
      <c r="F874" s="27"/>
    </row>
    <row r="875" spans="6:6" x14ac:dyDescent="0.25">
      <c r="F875" s="27"/>
    </row>
    <row r="876" spans="6:6" x14ac:dyDescent="0.25">
      <c r="F876" s="27"/>
    </row>
    <row r="877" spans="6:6" x14ac:dyDescent="0.25">
      <c r="F877" s="27"/>
    </row>
    <row r="878" spans="6:6" x14ac:dyDescent="0.25">
      <c r="F878" s="27"/>
    </row>
    <row r="879" spans="6:6" x14ac:dyDescent="0.25">
      <c r="F879" s="27"/>
    </row>
    <row r="880" spans="6:6" x14ac:dyDescent="0.25">
      <c r="F880" s="27"/>
    </row>
    <row r="881" spans="6:6" x14ac:dyDescent="0.25">
      <c r="F881" s="27"/>
    </row>
    <row r="882" spans="6:6" x14ac:dyDescent="0.25">
      <c r="F882" s="27"/>
    </row>
    <row r="883" spans="6:6" x14ac:dyDescent="0.25">
      <c r="F883" s="27"/>
    </row>
    <row r="884" spans="6:6" x14ac:dyDescent="0.25">
      <c r="F884" s="27"/>
    </row>
    <row r="885" spans="6:6" x14ac:dyDescent="0.25">
      <c r="F885" s="27"/>
    </row>
    <row r="886" spans="6:6" x14ac:dyDescent="0.25">
      <c r="F886" s="27"/>
    </row>
    <row r="887" spans="6:6" x14ac:dyDescent="0.25">
      <c r="F887" s="27"/>
    </row>
    <row r="888" spans="6:6" x14ac:dyDescent="0.25">
      <c r="F888" s="27"/>
    </row>
    <row r="889" spans="6:6" x14ac:dyDescent="0.25">
      <c r="F889" s="27"/>
    </row>
    <row r="895" spans="6:6" x14ac:dyDescent="0.25">
      <c r="F895" s="27"/>
    </row>
    <row r="896" spans="6:6" x14ac:dyDescent="0.25">
      <c r="F896" s="27"/>
    </row>
    <row r="897" spans="6:6" x14ac:dyDescent="0.25">
      <c r="F897" s="27"/>
    </row>
    <row r="898" spans="6:6" x14ac:dyDescent="0.25">
      <c r="F898" s="27"/>
    </row>
    <row r="899" spans="6:6" x14ac:dyDescent="0.25">
      <c r="F899" s="27"/>
    </row>
    <row r="900" spans="6:6" x14ac:dyDescent="0.25">
      <c r="F900" s="27"/>
    </row>
    <row r="901" spans="6:6" x14ac:dyDescent="0.25">
      <c r="F901" s="27"/>
    </row>
    <row r="902" spans="6:6" x14ac:dyDescent="0.25">
      <c r="F902" s="27"/>
    </row>
    <row r="903" spans="6:6" x14ac:dyDescent="0.25">
      <c r="F903" s="27"/>
    </row>
    <row r="904" spans="6:6" x14ac:dyDescent="0.25">
      <c r="F904" s="27"/>
    </row>
    <row r="905" spans="6:6" x14ac:dyDescent="0.25">
      <c r="F905" s="27"/>
    </row>
    <row r="906" spans="6:6" x14ac:dyDescent="0.25">
      <c r="F906" s="27"/>
    </row>
    <row r="907" spans="6:6" x14ac:dyDescent="0.25">
      <c r="F907" s="27"/>
    </row>
    <row r="908" spans="6:6" x14ac:dyDescent="0.25">
      <c r="F908" s="27"/>
    </row>
    <row r="909" spans="6:6" x14ac:dyDescent="0.25">
      <c r="F909" s="27"/>
    </row>
    <row r="910" spans="6:6" x14ac:dyDescent="0.25">
      <c r="F910" s="27"/>
    </row>
    <row r="911" spans="6:6" x14ac:dyDescent="0.25">
      <c r="F911" s="27"/>
    </row>
    <row r="912" spans="6:6" x14ac:dyDescent="0.25">
      <c r="F912" s="27"/>
    </row>
    <row r="913" spans="6:6" x14ac:dyDescent="0.25">
      <c r="F913" s="27"/>
    </row>
    <row r="914" spans="6:6" x14ac:dyDescent="0.25">
      <c r="F914" s="27"/>
    </row>
    <row r="915" spans="6:6" x14ac:dyDescent="0.25">
      <c r="F915" s="27"/>
    </row>
    <row r="916" spans="6:6" x14ac:dyDescent="0.25">
      <c r="F916" s="27"/>
    </row>
    <row r="917" spans="6:6" x14ac:dyDescent="0.25">
      <c r="F917" s="27"/>
    </row>
    <row r="918" spans="6:6" x14ac:dyDescent="0.25">
      <c r="F918" s="27"/>
    </row>
    <row r="919" spans="6:6" x14ac:dyDescent="0.25">
      <c r="F919" s="27"/>
    </row>
    <row r="920" spans="6:6" x14ac:dyDescent="0.25">
      <c r="F920" s="27"/>
    </row>
    <row r="921" spans="6:6" x14ac:dyDescent="0.25">
      <c r="F921" s="27"/>
    </row>
    <row r="922" spans="6:6" x14ac:dyDescent="0.25">
      <c r="F922" s="27"/>
    </row>
    <row r="923" spans="6:6" x14ac:dyDescent="0.25">
      <c r="F923" s="27"/>
    </row>
    <row r="924" spans="6:6" x14ac:dyDescent="0.25">
      <c r="F924" s="27"/>
    </row>
    <row r="925" spans="6:6" x14ac:dyDescent="0.25">
      <c r="F925" s="27"/>
    </row>
    <row r="931" spans="6:6" x14ac:dyDescent="0.25">
      <c r="F931" s="27"/>
    </row>
    <row r="932" spans="6:6" x14ac:dyDescent="0.25">
      <c r="F932" s="27"/>
    </row>
    <row r="933" spans="6:6" x14ac:dyDescent="0.25">
      <c r="F933" s="27"/>
    </row>
    <row r="934" spans="6:6" x14ac:dyDescent="0.25">
      <c r="F934" s="27"/>
    </row>
    <row r="935" spans="6:6" x14ac:dyDescent="0.25">
      <c r="F935" s="27"/>
    </row>
    <row r="936" spans="6:6" x14ac:dyDescent="0.25">
      <c r="F936" s="27"/>
    </row>
    <row r="937" spans="6:6" x14ac:dyDescent="0.25">
      <c r="F937" s="27"/>
    </row>
    <row r="938" spans="6:6" x14ac:dyDescent="0.25">
      <c r="F938" s="27"/>
    </row>
    <row r="939" spans="6:6" x14ac:dyDescent="0.25">
      <c r="F939" s="27"/>
    </row>
    <row r="940" spans="6:6" x14ac:dyDescent="0.25">
      <c r="F940" s="27"/>
    </row>
    <row r="941" spans="6:6" x14ac:dyDescent="0.25">
      <c r="F941" s="27"/>
    </row>
    <row r="942" spans="6:6" x14ac:dyDescent="0.25">
      <c r="F942" s="27"/>
    </row>
    <row r="943" spans="6:6" x14ac:dyDescent="0.25">
      <c r="F943" s="27"/>
    </row>
    <row r="944" spans="6:6" x14ac:dyDescent="0.25">
      <c r="F944" s="27"/>
    </row>
    <row r="945" spans="6:6" x14ac:dyDescent="0.25">
      <c r="F945" s="27"/>
    </row>
    <row r="946" spans="6:6" x14ac:dyDescent="0.25">
      <c r="F946" s="27"/>
    </row>
    <row r="947" spans="6:6" x14ac:dyDescent="0.25">
      <c r="F947" s="27"/>
    </row>
    <row r="948" spans="6:6" x14ac:dyDescent="0.25">
      <c r="F948" s="27"/>
    </row>
    <row r="949" spans="6:6" x14ac:dyDescent="0.25">
      <c r="F949" s="27"/>
    </row>
    <row r="950" spans="6:6" x14ac:dyDescent="0.25">
      <c r="F950" s="27"/>
    </row>
    <row r="951" spans="6:6" x14ac:dyDescent="0.25">
      <c r="F951" s="27"/>
    </row>
    <row r="952" spans="6:6" x14ac:dyDescent="0.25">
      <c r="F952" s="27"/>
    </row>
    <row r="953" spans="6:6" x14ac:dyDescent="0.25">
      <c r="F953" s="27"/>
    </row>
    <row r="954" spans="6:6" x14ac:dyDescent="0.25">
      <c r="F954" s="27"/>
    </row>
    <row r="955" spans="6:6" x14ac:dyDescent="0.25">
      <c r="F955" s="27"/>
    </row>
    <row r="956" spans="6:6" x14ac:dyDescent="0.25">
      <c r="F956" s="27"/>
    </row>
    <row r="957" spans="6:6" x14ac:dyDescent="0.25">
      <c r="F957" s="27"/>
    </row>
    <row r="958" spans="6:6" x14ac:dyDescent="0.25">
      <c r="F958" s="27"/>
    </row>
    <row r="959" spans="6:6" x14ac:dyDescent="0.25">
      <c r="F959" s="27"/>
    </row>
    <row r="960" spans="6:6" x14ac:dyDescent="0.25">
      <c r="F960" s="27"/>
    </row>
    <row r="961" spans="6:6" x14ac:dyDescent="0.25">
      <c r="F961" s="27"/>
    </row>
    <row r="967" spans="6:6" x14ac:dyDescent="0.25">
      <c r="F967" s="27"/>
    </row>
    <row r="968" spans="6:6" x14ac:dyDescent="0.25">
      <c r="F968" s="27"/>
    </row>
    <row r="969" spans="6:6" x14ac:dyDescent="0.25">
      <c r="F969" s="27"/>
    </row>
    <row r="970" spans="6:6" x14ac:dyDescent="0.25">
      <c r="F970" s="27"/>
    </row>
    <row r="971" spans="6:6" x14ac:dyDescent="0.25">
      <c r="F971" s="27"/>
    </row>
    <row r="972" spans="6:6" x14ac:dyDescent="0.25">
      <c r="F972" s="27"/>
    </row>
    <row r="973" spans="6:6" x14ac:dyDescent="0.25">
      <c r="F973" s="27"/>
    </row>
    <row r="974" spans="6:6" x14ac:dyDescent="0.25">
      <c r="F974" s="27"/>
    </row>
    <row r="975" spans="6:6" x14ac:dyDescent="0.25">
      <c r="F975" s="27"/>
    </row>
    <row r="976" spans="6:6" x14ac:dyDescent="0.25">
      <c r="F976" s="27"/>
    </row>
    <row r="977" spans="6:6" x14ac:dyDescent="0.25">
      <c r="F977" s="27"/>
    </row>
    <row r="978" spans="6:6" x14ac:dyDescent="0.25">
      <c r="F978" s="27"/>
    </row>
    <row r="979" spans="6:6" x14ac:dyDescent="0.25">
      <c r="F979" s="27"/>
    </row>
    <row r="980" spans="6:6" x14ac:dyDescent="0.25">
      <c r="F980" s="27"/>
    </row>
    <row r="981" spans="6:6" x14ac:dyDescent="0.25">
      <c r="F981" s="27"/>
    </row>
    <row r="982" spans="6:6" x14ac:dyDescent="0.25">
      <c r="F982" s="27"/>
    </row>
    <row r="983" spans="6:6" x14ac:dyDescent="0.25">
      <c r="F983" s="27"/>
    </row>
    <row r="984" spans="6:6" x14ac:dyDescent="0.25">
      <c r="F984" s="27"/>
    </row>
    <row r="985" spans="6:6" x14ac:dyDescent="0.25">
      <c r="F985" s="27"/>
    </row>
    <row r="986" spans="6:6" x14ac:dyDescent="0.25">
      <c r="F986" s="27"/>
    </row>
    <row r="987" spans="6:6" x14ac:dyDescent="0.25">
      <c r="F987" s="27"/>
    </row>
    <row r="988" spans="6:6" x14ac:dyDescent="0.25">
      <c r="F988" s="27"/>
    </row>
    <row r="989" spans="6:6" x14ac:dyDescent="0.25">
      <c r="F989" s="27"/>
    </row>
    <row r="990" spans="6:6" x14ac:dyDescent="0.25">
      <c r="F990" s="27"/>
    </row>
    <row r="991" spans="6:6" x14ac:dyDescent="0.25">
      <c r="F991" s="27"/>
    </row>
    <row r="992" spans="6:6" x14ac:dyDescent="0.25">
      <c r="F992" s="27"/>
    </row>
    <row r="993" spans="6:6" x14ac:dyDescent="0.25">
      <c r="F993" s="27"/>
    </row>
    <row r="994" spans="6:6" x14ac:dyDescent="0.25">
      <c r="F994" s="27"/>
    </row>
    <row r="995" spans="6:6" x14ac:dyDescent="0.25">
      <c r="F995" s="27"/>
    </row>
    <row r="996" spans="6:6" x14ac:dyDescent="0.25">
      <c r="F996" s="27"/>
    </row>
    <row r="997" spans="6:6" x14ac:dyDescent="0.25">
      <c r="F997" s="27"/>
    </row>
  </sheetData>
  <mergeCells count="14">
    <mergeCell ref="B50:B52"/>
    <mergeCell ref="B36:F36"/>
    <mergeCell ref="B42:H42"/>
    <mergeCell ref="B43:C43"/>
    <mergeCell ref="B44:B46"/>
    <mergeCell ref="B47:B49"/>
    <mergeCell ref="B59:B61"/>
    <mergeCell ref="B62:B65"/>
    <mergeCell ref="B54:H54"/>
    <mergeCell ref="B55:C56"/>
    <mergeCell ref="D55:E55"/>
    <mergeCell ref="G55:G56"/>
    <mergeCell ref="H55:H56"/>
    <mergeCell ref="B57:B58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71"/>
  <sheetViews>
    <sheetView workbookViewId="0">
      <selection activeCell="F35" sqref="F35"/>
    </sheetView>
  </sheetViews>
  <sheetFormatPr defaultRowHeight="15" x14ac:dyDescent="0.25"/>
  <sheetData>
    <row r="1" spans="1:58" x14ac:dyDescent="0.25">
      <c r="A1" t="s">
        <v>310</v>
      </c>
      <c r="B1" t="s">
        <v>32</v>
      </c>
      <c r="C1" t="s">
        <v>41</v>
      </c>
      <c r="D1" t="s">
        <v>42</v>
      </c>
      <c r="E1" t="s">
        <v>80</v>
      </c>
      <c r="F1" t="s">
        <v>81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  <c r="M1" t="s">
        <v>96</v>
      </c>
      <c r="N1" t="s">
        <v>97</v>
      </c>
      <c r="O1" t="s">
        <v>98</v>
      </c>
      <c r="P1" t="s">
        <v>99</v>
      </c>
      <c r="Q1" t="s">
        <v>108</v>
      </c>
      <c r="R1" t="s">
        <v>109</v>
      </c>
      <c r="S1" t="s">
        <v>118</v>
      </c>
      <c r="T1" t="s">
        <v>119</v>
      </c>
      <c r="U1" t="s">
        <v>128</v>
      </c>
      <c r="V1" t="s">
        <v>129</v>
      </c>
      <c r="W1" t="s">
        <v>138</v>
      </c>
      <c r="X1" t="s">
        <v>139</v>
      </c>
      <c r="Y1" t="s">
        <v>148</v>
      </c>
      <c r="Z1" t="s">
        <v>149</v>
      </c>
      <c r="AA1" t="s">
        <v>158</v>
      </c>
      <c r="AB1" t="s">
        <v>159</v>
      </c>
      <c r="AC1" t="s">
        <v>168</v>
      </c>
      <c r="AD1" t="s">
        <v>169</v>
      </c>
      <c r="AE1" t="s">
        <v>178</v>
      </c>
      <c r="AF1" t="s">
        <v>179</v>
      </c>
      <c r="AG1" t="s">
        <v>188</v>
      </c>
      <c r="AH1" t="s">
        <v>189</v>
      </c>
      <c r="AI1" t="s">
        <v>198</v>
      </c>
      <c r="AJ1" t="s">
        <v>199</v>
      </c>
      <c r="AK1" t="s">
        <v>208</v>
      </c>
      <c r="AL1" t="s">
        <v>209</v>
      </c>
      <c r="AM1" t="s">
        <v>218</v>
      </c>
      <c r="AN1" t="s">
        <v>219</v>
      </c>
      <c r="AO1" t="s">
        <v>228</v>
      </c>
      <c r="AP1" t="s">
        <v>229</v>
      </c>
      <c r="AQ1" t="s">
        <v>238</v>
      </c>
      <c r="AR1" t="s">
        <v>239</v>
      </c>
      <c r="AS1" t="s">
        <v>248</v>
      </c>
      <c r="AT1" t="s">
        <v>249</v>
      </c>
      <c r="AU1" t="s">
        <v>258</v>
      </c>
      <c r="AV1" t="s">
        <v>259</v>
      </c>
      <c r="AW1" t="s">
        <v>268</v>
      </c>
      <c r="AX1" t="s">
        <v>269</v>
      </c>
      <c r="AY1" t="s">
        <v>278</v>
      </c>
      <c r="AZ1" t="s">
        <v>279</v>
      </c>
      <c r="BA1" t="s">
        <v>288</v>
      </c>
      <c r="BB1" t="s">
        <v>289</v>
      </c>
      <c r="BC1" t="s">
        <v>298</v>
      </c>
      <c r="BD1" t="s">
        <v>299</v>
      </c>
      <c r="BE1" t="s">
        <v>308</v>
      </c>
      <c r="BF1" t="s">
        <v>309</v>
      </c>
    </row>
    <row r="2" spans="1:58" x14ac:dyDescent="0.25">
      <c r="A2" s="1">
        <v>1688</v>
      </c>
      <c r="B2">
        <v>1</v>
      </c>
      <c r="C2" s="17">
        <v>198.46250000000001</v>
      </c>
      <c r="D2">
        <v>-49.632497402811381</v>
      </c>
      <c r="E2" s="17">
        <v>631.69285714285718</v>
      </c>
      <c r="F2">
        <v>45.053728259876088</v>
      </c>
      <c r="G2" s="17">
        <v>275.28749999999997</v>
      </c>
      <c r="H2">
        <v>51.148364622538814</v>
      </c>
      <c r="I2" s="17">
        <v>1519.1071428571433</v>
      </c>
      <c r="J2">
        <v>17.075324073645916</v>
      </c>
      <c r="K2" s="17">
        <v>583.70357142857131</v>
      </c>
      <c r="L2">
        <v>121.85573978295518</v>
      </c>
      <c r="M2" s="17">
        <v>195.31607142857143</v>
      </c>
      <c r="N2">
        <v>12.839032171538809</v>
      </c>
      <c r="O2" s="17">
        <v>186.62678571428575</v>
      </c>
      <c r="P2">
        <v>27.560583240421046</v>
      </c>
      <c r="Q2" s="17">
        <v>6297.0142984693875</v>
      </c>
      <c r="R2">
        <v>-862.53784400602729</v>
      </c>
      <c r="S2" s="17">
        <v>2742.086973852041</v>
      </c>
      <c r="T2">
        <v>-22.046519406408184</v>
      </c>
      <c r="U2" s="17">
        <v>15042.182461734694</v>
      </c>
      <c r="V2">
        <v>-1523.0415853139436</v>
      </c>
      <c r="W2" s="17">
        <v>5726.4365752551021</v>
      </c>
      <c r="X2">
        <v>656.18460282787635</v>
      </c>
      <c r="Y2" s="17">
        <v>1941.2753922193876</v>
      </c>
      <c r="Z2">
        <v>-130.1350912864373</v>
      </c>
      <c r="AA2" s="17">
        <v>1843.3112914540818</v>
      </c>
      <c r="AB2">
        <v>186.8870064089293</v>
      </c>
      <c r="AC2" s="17">
        <v>8773.858609693878</v>
      </c>
      <c r="AD2">
        <v>1755.4769112091387</v>
      </c>
      <c r="AE2" s="17">
        <v>47951.146173469388</v>
      </c>
      <c r="AF2">
        <v>1049.3609771664878</v>
      </c>
      <c r="AG2" s="17">
        <v>18218.151403061223</v>
      </c>
      <c r="AH2">
        <v>4054.3453168744318</v>
      </c>
      <c r="AI2" s="17">
        <v>6220.7324872448971</v>
      </c>
      <c r="AJ2">
        <v>456.90971072680668</v>
      </c>
      <c r="AK2" s="17">
        <v>5889.67343112245</v>
      </c>
      <c r="AL2">
        <v>904.08162215337154</v>
      </c>
      <c r="AM2" s="17">
        <v>20907.866772959183</v>
      </c>
      <c r="AN2">
        <v>2134.5068089255401</v>
      </c>
      <c r="AO2" s="17">
        <v>7954.7890114795928</v>
      </c>
      <c r="AP2">
        <v>1717.6242242164906</v>
      </c>
      <c r="AQ2" s="17">
        <v>2725.382350127551</v>
      </c>
      <c r="AR2">
        <v>304.97953541347482</v>
      </c>
      <c r="AS2" s="17">
        <v>2579.7179049744896</v>
      </c>
      <c r="AT2">
        <v>461.91191868984691</v>
      </c>
      <c r="AU2" s="17">
        <v>44667.094260204089</v>
      </c>
      <c r="AV2">
        <v>7143.5113734416418</v>
      </c>
      <c r="AW2" s="17">
        <v>15090.62697704082</v>
      </c>
      <c r="AX2">
        <v>638.25029093098453</v>
      </c>
      <c r="AY2" s="17">
        <v>14268.802614795917</v>
      </c>
      <c r="AZ2">
        <v>3204.5028820875868</v>
      </c>
      <c r="BA2" s="17">
        <v>5687.5485012755089</v>
      </c>
      <c r="BB2">
        <v>715.2782565933652</v>
      </c>
      <c r="BC2" s="17">
        <v>5520.7789477040815</v>
      </c>
      <c r="BD2">
        <v>1337.3082371918154</v>
      </c>
      <c r="BE2" s="17">
        <v>1842.511629464286</v>
      </c>
      <c r="BF2">
        <v>247.86853669351419</v>
      </c>
    </row>
    <row r="3" spans="1:58" x14ac:dyDescent="0.25">
      <c r="A3" s="1">
        <v>1365</v>
      </c>
      <c r="B3">
        <v>2</v>
      </c>
      <c r="C3" s="17">
        <v>190.7714285714286</v>
      </c>
      <c r="D3">
        <v>-49.051828641150834</v>
      </c>
      <c r="E3" s="17">
        <v>632.6593506493507</v>
      </c>
      <c r="F3">
        <v>43.520948265567078</v>
      </c>
      <c r="G3" s="17">
        <v>268.85847152847157</v>
      </c>
      <c r="H3">
        <v>50.282131858619884</v>
      </c>
      <c r="I3" s="17">
        <v>1499.8993246753246</v>
      </c>
      <c r="J3">
        <v>26.404401033398074</v>
      </c>
      <c r="K3" s="17">
        <v>594.4197392290248</v>
      </c>
      <c r="L3">
        <v>121.10124803710559</v>
      </c>
      <c r="M3" s="17">
        <v>252.47721428571427</v>
      </c>
      <c r="N3">
        <v>-5.4911432732369256</v>
      </c>
      <c r="O3" s="17">
        <v>188.30042857142854</v>
      </c>
      <c r="P3">
        <v>26.150952885256594</v>
      </c>
      <c r="Q3" s="17">
        <v>6055.0200665584398</v>
      </c>
      <c r="R3">
        <v>-884.9884596332912</v>
      </c>
      <c r="S3" s="17">
        <v>2568.7719623287421</v>
      </c>
      <c r="T3">
        <v>-32.779751198465242</v>
      </c>
      <c r="U3" s="17">
        <v>14285.078563566789</v>
      </c>
      <c r="V3">
        <v>-1374.7004264203297</v>
      </c>
      <c r="W3" s="17">
        <v>5572.8533585600899</v>
      </c>
      <c r="X3">
        <v>648.08336660841155</v>
      </c>
      <c r="Y3" s="17">
        <v>2232.7256207908163</v>
      </c>
      <c r="Z3">
        <v>-244.18684238128978</v>
      </c>
      <c r="AA3" s="17">
        <v>1788.1233286989798</v>
      </c>
      <c r="AB3">
        <v>168.39084053201492</v>
      </c>
      <c r="AC3" s="17">
        <v>8572.7780155130567</v>
      </c>
      <c r="AD3">
        <v>1697.6814689478256</v>
      </c>
      <c r="AE3" s="17">
        <v>47320.144120556593</v>
      </c>
      <c r="AF3">
        <v>1368.6030183750584</v>
      </c>
      <c r="AG3" s="17">
        <v>18566.62103925406</v>
      </c>
      <c r="AH3">
        <v>4058.9805719071901</v>
      </c>
      <c r="AI3" s="17">
        <v>7839.9628191651209</v>
      </c>
      <c r="AJ3">
        <v>-74.448325145488909</v>
      </c>
      <c r="AK3" s="17">
        <v>5952.7357749350649</v>
      </c>
      <c r="AL3">
        <v>857.56434268963403</v>
      </c>
      <c r="AM3" s="17">
        <v>20080.282152105814</v>
      </c>
      <c r="AN3">
        <v>2126.1826561437388</v>
      </c>
      <c r="AO3" s="17">
        <v>7904.0013359438744</v>
      </c>
      <c r="AP3">
        <v>1650.9289938604456</v>
      </c>
      <c r="AQ3" s="17">
        <v>3474.3877048337376</v>
      </c>
      <c r="AR3">
        <v>43.632422888589318</v>
      </c>
      <c r="AS3" s="17">
        <v>2540.0603471131258</v>
      </c>
      <c r="AT3">
        <v>440.10360365171181</v>
      </c>
      <c r="AU3" s="17">
        <v>44934.632287593122</v>
      </c>
      <c r="AV3">
        <v>7268.3007486250808</v>
      </c>
      <c r="AW3" s="17">
        <v>19591.032671760666</v>
      </c>
      <c r="AX3">
        <v>-787.6102784541032</v>
      </c>
      <c r="AY3" s="17">
        <v>14153.532116435988</v>
      </c>
      <c r="AZ3">
        <v>3027.2167512907504</v>
      </c>
      <c r="BA3" s="17">
        <v>8891.5585498153541</v>
      </c>
      <c r="BB3">
        <v>-199.04365879098717</v>
      </c>
      <c r="BC3" s="17">
        <v>5655.8655796922585</v>
      </c>
      <c r="BD3">
        <v>1310.9998975330823</v>
      </c>
      <c r="BE3" s="17">
        <v>2547.0721039081641</v>
      </c>
      <c r="BF3">
        <v>60.570925944903209</v>
      </c>
    </row>
    <row r="4" spans="1:58" x14ac:dyDescent="0.25">
      <c r="A4" s="1">
        <v>1894</v>
      </c>
      <c r="B4">
        <v>3</v>
      </c>
      <c r="C4" s="17">
        <v>193.38928571428573</v>
      </c>
      <c r="D4">
        <v>-50.001047897595853</v>
      </c>
      <c r="E4" s="17">
        <v>637.55892857142862</v>
      </c>
      <c r="F4">
        <v>42.760529302331392</v>
      </c>
      <c r="G4" s="17">
        <v>282.04285714285714</v>
      </c>
      <c r="H4">
        <v>53.160446958279962</v>
      </c>
      <c r="I4" s="17">
        <v>1471.1785714285713</v>
      </c>
      <c r="J4">
        <v>26.984334662108651</v>
      </c>
      <c r="K4" s="17">
        <v>614.25714285714287</v>
      </c>
      <c r="L4">
        <v>121.41002594359759</v>
      </c>
      <c r="M4" s="17">
        <v>202.30178571428573</v>
      </c>
      <c r="N4">
        <v>11.108343238786324</v>
      </c>
      <c r="O4" s="17">
        <v>201.41964285714289</v>
      </c>
      <c r="P4">
        <v>25.690116746580031</v>
      </c>
      <c r="Q4" s="17">
        <v>6199.2681951530622</v>
      </c>
      <c r="R4">
        <v>-913.53162076287447</v>
      </c>
      <c r="S4" s="17">
        <v>2730.7185714285715</v>
      </c>
      <c r="T4">
        <v>-19.489200406393536</v>
      </c>
      <c r="U4" s="17">
        <v>14150.94349489796</v>
      </c>
      <c r="V4">
        <v>-1346.5282992576258</v>
      </c>
      <c r="W4" s="17">
        <v>5775.8956632653071</v>
      </c>
      <c r="X4">
        <v>665.66217559433744</v>
      </c>
      <c r="Y4" s="17">
        <v>1952.0396747448976</v>
      </c>
      <c r="Z4">
        <v>-132.24923525527043</v>
      </c>
      <c r="AA4" s="17">
        <v>1928.9156058673468</v>
      </c>
      <c r="AB4">
        <v>159.5925867848631</v>
      </c>
      <c r="AC4" s="17">
        <v>9075.4835714285728</v>
      </c>
      <c r="AD4">
        <v>1814.7737538384501</v>
      </c>
      <c r="AE4" s="17">
        <v>46813.072512755105</v>
      </c>
      <c r="AF4">
        <v>1330.121593433882</v>
      </c>
      <c r="AG4" s="17">
        <v>19302.652729591839</v>
      </c>
      <c r="AH4">
        <v>4202.6857406591307</v>
      </c>
      <c r="AI4" s="17">
        <v>6512.743600127551</v>
      </c>
      <c r="AJ4">
        <v>410.41532936907998</v>
      </c>
      <c r="AK4" s="17">
        <v>6420.3251116071433</v>
      </c>
      <c r="AL4">
        <v>847.18102328327916</v>
      </c>
      <c r="AM4" s="17">
        <v>20687.763265306123</v>
      </c>
      <c r="AN4">
        <v>2214.3315112189885</v>
      </c>
      <c r="AO4" s="17">
        <v>8616.6916326530609</v>
      </c>
      <c r="AP4">
        <v>1774.3438413792651</v>
      </c>
      <c r="AQ4" s="17">
        <v>2914.5327551020409</v>
      </c>
      <c r="AR4">
        <v>298.68454658791956</v>
      </c>
      <c r="AS4" s="17">
        <v>2865.0184693877559</v>
      </c>
      <c r="AT4">
        <v>456.54576738731515</v>
      </c>
      <c r="AU4" s="17">
        <v>45996.562755102044</v>
      </c>
      <c r="AV4">
        <v>7340.1874952957996</v>
      </c>
      <c r="AW4" s="17">
        <v>15018.279145408162</v>
      </c>
      <c r="AX4">
        <v>627.8813736649455</v>
      </c>
      <c r="AY4" s="17">
        <v>14969.360395408159</v>
      </c>
      <c r="AZ4">
        <v>3042.5075200413849</v>
      </c>
      <c r="BA4" s="17">
        <v>6258.0833418367329</v>
      </c>
      <c r="BB4">
        <v>602.75364003187724</v>
      </c>
      <c r="BC4" s="17">
        <v>6392.1639030612241</v>
      </c>
      <c r="BD4">
        <v>1348.2641061005613</v>
      </c>
      <c r="BE4" s="17">
        <v>2074.906514668367</v>
      </c>
      <c r="BF4">
        <v>181.40663842909981</v>
      </c>
    </row>
    <row r="5" spans="1:58" x14ac:dyDescent="0.25">
      <c r="A5" s="1">
        <v>1611</v>
      </c>
      <c r="B5">
        <v>4</v>
      </c>
      <c r="C5" s="17">
        <v>197.19821428571427</v>
      </c>
      <c r="D5">
        <v>-49.817630618160251</v>
      </c>
      <c r="E5" s="17">
        <v>606.06428571428569</v>
      </c>
      <c r="F5">
        <v>40.640247968576467</v>
      </c>
      <c r="G5" s="17">
        <v>245.77500000000001</v>
      </c>
      <c r="H5">
        <v>45.377260815227373</v>
      </c>
      <c r="I5" s="17">
        <v>1531.9642857142858</v>
      </c>
      <c r="J5">
        <v>33.524288136083648</v>
      </c>
      <c r="K5" s="17">
        <v>550.82142857142867</v>
      </c>
      <c r="L5">
        <v>108.8430275789777</v>
      </c>
      <c r="M5" s="17">
        <v>181.34464285714287</v>
      </c>
      <c r="N5">
        <v>12.30638728527315</v>
      </c>
      <c r="O5" s="17">
        <v>173.51250000000002</v>
      </c>
      <c r="P5">
        <v>23.309221679755748</v>
      </c>
      <c r="Q5" s="17">
        <v>5983.6559056122451</v>
      </c>
      <c r="R5">
        <v>-859.3094199602873</v>
      </c>
      <c r="S5" s="17">
        <v>2419.3654017857139</v>
      </c>
      <c r="T5">
        <v>-18.746083003652998</v>
      </c>
      <c r="U5" s="17">
        <v>15123.053890306122</v>
      </c>
      <c r="V5">
        <v>-1324.4255728875605</v>
      </c>
      <c r="W5" s="17">
        <v>5398.0982780612258</v>
      </c>
      <c r="X5">
        <v>602.66682597785723</v>
      </c>
      <c r="Y5" s="17">
        <v>1790.5996141581631</v>
      </c>
      <c r="Z5">
        <v>-105.63700404484898</v>
      </c>
      <c r="AA5" s="17">
        <v>1706.913753188775</v>
      </c>
      <c r="AB5">
        <v>147.509813824335</v>
      </c>
      <c r="AC5" s="17">
        <v>7566.5712500000009</v>
      </c>
      <c r="AD5">
        <v>1478.4585000016939</v>
      </c>
      <c r="AE5" s="17">
        <v>46346.796683673478</v>
      </c>
      <c r="AF5">
        <v>1431.8620061397921</v>
      </c>
      <c r="AG5" s="17">
        <v>16596.635459183672</v>
      </c>
      <c r="AH5">
        <v>3461.7927783117325</v>
      </c>
      <c r="AI5" s="17">
        <v>5573.6837882653053</v>
      </c>
      <c r="AJ5">
        <v>422.90923764387782</v>
      </c>
      <c r="AK5" s="17">
        <v>5314.9519260204088</v>
      </c>
      <c r="AL5">
        <v>750.29756015631631</v>
      </c>
      <c r="AM5" s="17">
        <v>18686.073852040819</v>
      </c>
      <c r="AN5">
        <v>2020.1529435469924</v>
      </c>
      <c r="AO5" s="17">
        <v>6737.2340561224482</v>
      </c>
      <c r="AP5">
        <v>1334.8734060470019</v>
      </c>
      <c r="AQ5" s="17">
        <v>2287.7083227040812</v>
      </c>
      <c r="AR5">
        <v>253.03617346580438</v>
      </c>
      <c r="AS5" s="17">
        <v>2179.5955548469387</v>
      </c>
      <c r="AT5">
        <v>362.6097572042035</v>
      </c>
      <c r="AU5" s="17">
        <v>42674.001275510207</v>
      </c>
      <c r="AV5">
        <v>6836.144671237681</v>
      </c>
      <c r="AW5" s="17">
        <v>13927.768048469385</v>
      </c>
      <c r="AX5">
        <v>800.03079669720171</v>
      </c>
      <c r="AY5" s="17">
        <v>13374.882971938776</v>
      </c>
      <c r="AZ5">
        <v>2741.4610231474026</v>
      </c>
      <c r="BA5" s="17">
        <v>5008.833864795919</v>
      </c>
      <c r="BB5">
        <v>578.25746158736615</v>
      </c>
      <c r="BC5" s="17">
        <v>4921.3538903061226</v>
      </c>
      <c r="BD5">
        <v>1030.7815388435727</v>
      </c>
      <c r="BE5" s="17">
        <v>1612.0221396683673</v>
      </c>
      <c r="BF5">
        <v>186.86489783735743</v>
      </c>
    </row>
    <row r="6" spans="1:58" x14ac:dyDescent="0.25">
      <c r="A6" s="1">
        <v>1715</v>
      </c>
      <c r="B6">
        <v>5</v>
      </c>
      <c r="C6" s="17">
        <v>191.32678571428571</v>
      </c>
      <c r="D6">
        <v>-48.275585674893208</v>
      </c>
      <c r="E6" s="17">
        <v>638.04642857142846</v>
      </c>
      <c r="F6">
        <v>41.987808051531772</v>
      </c>
      <c r="G6" s="17">
        <v>274.88392857142861</v>
      </c>
      <c r="H6">
        <v>50.751752218984095</v>
      </c>
      <c r="I6" s="17">
        <v>1489.5178571428571</v>
      </c>
      <c r="J6">
        <v>28.499101586784427</v>
      </c>
      <c r="K6" s="17">
        <v>565.99999999999989</v>
      </c>
      <c r="L6">
        <v>113.5987408252961</v>
      </c>
      <c r="M6" s="17">
        <v>192.63035714285715</v>
      </c>
      <c r="N6">
        <v>12.143341545333787</v>
      </c>
      <c r="O6" s="17">
        <v>183.57678571428568</v>
      </c>
      <c r="P6">
        <v>26.04957815794112</v>
      </c>
      <c r="Q6" s="17">
        <v>6120.5524426020402</v>
      </c>
      <c r="R6">
        <v>-896.13640322319338</v>
      </c>
      <c r="S6" s="17">
        <v>2631.4225797193885</v>
      </c>
      <c r="T6">
        <v>-45.150718398856533</v>
      </c>
      <c r="U6" s="17">
        <v>14227.849330357141</v>
      </c>
      <c r="V6">
        <v>-1318.3808878560567</v>
      </c>
      <c r="W6" s="17">
        <v>5373.9285714285716</v>
      </c>
      <c r="X6">
        <v>591.72921188271926</v>
      </c>
      <c r="Y6" s="17">
        <v>1841.9169866071427</v>
      </c>
      <c r="Z6">
        <v>-123.35196205006507</v>
      </c>
      <c r="AA6" s="17">
        <v>1751.6045822704082</v>
      </c>
      <c r="AB6">
        <v>170.87587034113943</v>
      </c>
      <c r="AC6" s="17">
        <v>8830.0232079081616</v>
      </c>
      <c r="AD6">
        <v>1683.4377571784366</v>
      </c>
      <c r="AE6" s="17">
        <v>47503.785012755099</v>
      </c>
      <c r="AF6">
        <v>1452.5611975265647</v>
      </c>
      <c r="AG6" s="17">
        <v>17916.114285714288</v>
      </c>
      <c r="AH6">
        <v>3905.450323479844</v>
      </c>
      <c r="AI6" s="17">
        <v>6192.8560267857138</v>
      </c>
      <c r="AJ6">
        <v>421.62941652436575</v>
      </c>
      <c r="AK6" s="17">
        <v>5866.2451211734697</v>
      </c>
      <c r="AL6">
        <v>843.21624556878601</v>
      </c>
      <c r="AM6" s="17">
        <v>20352.532748724494</v>
      </c>
      <c r="AN6">
        <v>2154.2545776567122</v>
      </c>
      <c r="AO6" s="17">
        <v>7774.9469387755089</v>
      </c>
      <c r="AP6">
        <v>1672.9331175643611</v>
      </c>
      <c r="AQ6" s="17">
        <v>2694.1511447704083</v>
      </c>
      <c r="AR6">
        <v>301.13871374572454</v>
      </c>
      <c r="AS6" s="17">
        <v>2555.5058322704085</v>
      </c>
      <c r="AT6">
        <v>452.36032758669234</v>
      </c>
      <c r="AU6" s="17">
        <v>42448.48979591838</v>
      </c>
      <c r="AV6">
        <v>6612.9544970056068</v>
      </c>
      <c r="AW6" s="17">
        <v>14411.429751275511</v>
      </c>
      <c r="AX6">
        <v>758.41565426617933</v>
      </c>
      <c r="AY6" s="17">
        <v>13725.159151785712</v>
      </c>
      <c r="AZ6">
        <v>2898.2211921937278</v>
      </c>
      <c r="BA6" s="17">
        <v>5469.5775510204076</v>
      </c>
      <c r="BB6">
        <v>679.91364904128261</v>
      </c>
      <c r="BC6" s="17">
        <v>5276.6857142857134</v>
      </c>
      <c r="BD6">
        <v>1208.4297984982611</v>
      </c>
      <c r="BE6" s="17">
        <v>1795.7822034438775</v>
      </c>
      <c r="BF6">
        <v>221.75175878455792</v>
      </c>
    </row>
    <row r="7" spans="1:58" x14ac:dyDescent="0.25">
      <c r="A7" s="1">
        <v>1526</v>
      </c>
      <c r="B7">
        <v>6</v>
      </c>
      <c r="C7" s="17">
        <v>194.32321428571427</v>
      </c>
      <c r="D7">
        <v>-48.07392454097625</v>
      </c>
      <c r="E7" s="17">
        <v>599.89107142857142</v>
      </c>
      <c r="F7">
        <v>38.706944173714973</v>
      </c>
      <c r="G7" s="17">
        <v>268.98928571428576</v>
      </c>
      <c r="H7">
        <v>49.855579402786667</v>
      </c>
      <c r="I7" s="17">
        <v>1573.625</v>
      </c>
      <c r="J7">
        <v>30.716609385678876</v>
      </c>
      <c r="K7" s="17">
        <v>651.01785714285711</v>
      </c>
      <c r="L7">
        <v>124.48262220004372</v>
      </c>
      <c r="M7" s="17">
        <v>203.51607142857145</v>
      </c>
      <c r="N7">
        <v>13.012672967789364</v>
      </c>
      <c r="O7" s="17">
        <v>198.91964285714286</v>
      </c>
      <c r="P7">
        <v>30.673256320788525</v>
      </c>
      <c r="Q7" s="17">
        <v>5837.5564508928583</v>
      </c>
      <c r="R7">
        <v>-853.67489372968737</v>
      </c>
      <c r="S7" s="17">
        <v>2606.470644132653</v>
      </c>
      <c r="T7">
        <v>-36.643364338907148</v>
      </c>
      <c r="U7" s="17">
        <v>15275.597672193879</v>
      </c>
      <c r="V7">
        <v>-1321.2335675793104</v>
      </c>
      <c r="W7" s="17">
        <v>6262.9062818877564</v>
      </c>
      <c r="X7">
        <v>666.36868827189915</v>
      </c>
      <c r="Y7" s="17">
        <v>1972.2292251275512</v>
      </c>
      <c r="Z7">
        <v>-120.57043132668097</v>
      </c>
      <c r="AA7" s="17">
        <v>1919.1843845663261</v>
      </c>
      <c r="AB7">
        <v>208.50614573973499</v>
      </c>
      <c r="AC7" s="17">
        <v>8192.8297640306137</v>
      </c>
      <c r="AD7">
        <v>1580.3080301815085</v>
      </c>
      <c r="AE7" s="17">
        <v>47144.982940051013</v>
      </c>
      <c r="AF7">
        <v>1314.1221674255639</v>
      </c>
      <c r="AG7" s="17">
        <v>19326.676371173467</v>
      </c>
      <c r="AH7">
        <v>4026.4694346730089</v>
      </c>
      <c r="AI7" s="17">
        <v>6184.1547544642854</v>
      </c>
      <c r="AJ7">
        <v>426.98793070847904</v>
      </c>
      <c r="AK7" s="17">
        <v>5992.8438807397961</v>
      </c>
      <c r="AL7">
        <v>941.8819748451856</v>
      </c>
      <c r="AM7" s="17">
        <v>21073.994579081631</v>
      </c>
      <c r="AN7">
        <v>2036.7683809874288</v>
      </c>
      <c r="AO7" s="17">
        <v>8867.389859693878</v>
      </c>
      <c r="AP7">
        <v>1693.7147563303588</v>
      </c>
      <c r="AQ7" s="17">
        <v>2857.0863839285707</v>
      </c>
      <c r="AR7">
        <v>321.39007758076491</v>
      </c>
      <c r="AS7" s="17">
        <v>2766.7937946428569</v>
      </c>
      <c r="AT7">
        <v>534.27862831854907</v>
      </c>
      <c r="AU7" s="17">
        <v>51640.70758928571</v>
      </c>
      <c r="AV7">
        <v>7468.2269567479889</v>
      </c>
      <c r="AW7" s="17">
        <v>16032.633769132652</v>
      </c>
      <c r="AX7">
        <v>772.45463608748366</v>
      </c>
      <c r="AY7" s="17">
        <v>15745.346460459185</v>
      </c>
      <c r="AZ7">
        <v>3398.7208915248912</v>
      </c>
      <c r="BA7" s="17">
        <v>6730.6451849489804</v>
      </c>
      <c r="BB7">
        <v>739.72229555284196</v>
      </c>
      <c r="BC7" s="17">
        <v>6754.3812181122448</v>
      </c>
      <c r="BD7">
        <v>1574.4141005438148</v>
      </c>
      <c r="BE7" s="17">
        <v>2094.6472799744902</v>
      </c>
      <c r="BF7">
        <v>293.36878788479771</v>
      </c>
    </row>
    <row r="8" spans="1:58" x14ac:dyDescent="0.25">
      <c r="A8" s="1">
        <v>1814</v>
      </c>
      <c r="B8">
        <v>7</v>
      </c>
      <c r="C8" s="17">
        <v>185.15535714285716</v>
      </c>
      <c r="D8">
        <v>-44.611912040268727</v>
      </c>
      <c r="E8" s="17">
        <v>606.69642857142867</v>
      </c>
      <c r="F8">
        <v>39.553662198533118</v>
      </c>
      <c r="G8" s="17">
        <v>253.1767857142857</v>
      </c>
      <c r="H8">
        <v>46.887910166986472</v>
      </c>
      <c r="I8" s="17">
        <v>1537.5892857142858</v>
      </c>
      <c r="J8">
        <v>35.33650260062872</v>
      </c>
      <c r="K8" s="17">
        <v>581.45357142857142</v>
      </c>
      <c r="L8">
        <v>122.69363638355414</v>
      </c>
      <c r="M8" s="17">
        <v>187.94464285714287</v>
      </c>
      <c r="N8">
        <v>12.928711533174942</v>
      </c>
      <c r="O8" s="17">
        <v>177.64464285714288</v>
      </c>
      <c r="P8">
        <v>26.693908239464623</v>
      </c>
      <c r="Q8" s="17">
        <v>5627.9935165816323</v>
      </c>
      <c r="R8">
        <v>-762.33469533458151</v>
      </c>
      <c r="S8" s="17">
        <v>2337.0214190051024</v>
      </c>
      <c r="T8">
        <v>-41.548234302622873</v>
      </c>
      <c r="U8" s="17">
        <v>14182.309151785714</v>
      </c>
      <c r="V8">
        <v>-1190.2731396778045</v>
      </c>
      <c r="W8" s="17">
        <v>5316.7447512755107</v>
      </c>
      <c r="X8">
        <v>625.39807390432497</v>
      </c>
      <c r="Y8" s="17">
        <v>1731.9744866071428</v>
      </c>
      <c r="Z8">
        <v>-114.52332961682285</v>
      </c>
      <c r="AA8" s="17">
        <v>1629.3443335459183</v>
      </c>
      <c r="AB8">
        <v>162.95334283541439</v>
      </c>
      <c r="AC8" s="17">
        <v>7784.2259196428568</v>
      </c>
      <c r="AD8">
        <v>1503.0002626192634</v>
      </c>
      <c r="AE8" s="17">
        <v>46427.858711734691</v>
      </c>
      <c r="AF8">
        <v>1466.9982773555998</v>
      </c>
      <c r="AG8" s="17">
        <v>17521.263257653063</v>
      </c>
      <c r="AH8">
        <v>3952.4513314674218</v>
      </c>
      <c r="AI8" s="17">
        <v>5747.9388915816326</v>
      </c>
      <c r="AJ8">
        <v>421.63927032980411</v>
      </c>
      <c r="AK8" s="17">
        <v>5410.9215038265311</v>
      </c>
      <c r="AL8">
        <v>832.39348001925475</v>
      </c>
      <c r="AM8" s="17">
        <v>19268.670503826535</v>
      </c>
      <c r="AN8">
        <v>2099.6044524523431</v>
      </c>
      <c r="AO8" s="17">
        <v>7498.6553380102032</v>
      </c>
      <c r="AP8">
        <v>1640.0944932501372</v>
      </c>
      <c r="AQ8" s="17">
        <v>2474.8296014030616</v>
      </c>
      <c r="AR8">
        <v>302.76781054425214</v>
      </c>
      <c r="AS8" s="17">
        <v>2344.1545503826533</v>
      </c>
      <c r="AT8">
        <v>449.07355385354629</v>
      </c>
      <c r="AU8" s="17">
        <v>45150.199426020416</v>
      </c>
      <c r="AV8">
        <v>7945.5562263774082</v>
      </c>
      <c r="AW8" s="17">
        <v>14442.413297193878</v>
      </c>
      <c r="AX8">
        <v>925.22035548857184</v>
      </c>
      <c r="AY8" s="17">
        <v>13681.545440051019</v>
      </c>
      <c r="AZ8">
        <v>3140.0302532295023</v>
      </c>
      <c r="BA8" s="17">
        <v>5580.1707589285734</v>
      </c>
      <c r="BB8">
        <v>820.1201069129072</v>
      </c>
      <c r="BC8" s="17">
        <v>5392.5739221938775</v>
      </c>
      <c r="BD8">
        <v>1327.7840560306124</v>
      </c>
      <c r="BE8" s="17">
        <v>1727.7156664540819</v>
      </c>
      <c r="BF8">
        <v>248.3649712121873</v>
      </c>
    </row>
    <row r="9" spans="1:58" x14ac:dyDescent="0.25">
      <c r="A9" s="1">
        <v>2084</v>
      </c>
      <c r="B9">
        <v>8</v>
      </c>
      <c r="C9" s="17">
        <v>188.13750000000002</v>
      </c>
      <c r="D9">
        <v>-48.006334502577502</v>
      </c>
      <c r="E9" s="17">
        <v>636.21750000000009</v>
      </c>
      <c r="F9">
        <v>42.182145289350508</v>
      </c>
      <c r="G9" s="17">
        <v>267.20714285714286</v>
      </c>
      <c r="H9">
        <v>50.354218898265081</v>
      </c>
      <c r="I9" s="17">
        <v>1568.9464285714284</v>
      </c>
      <c r="J9">
        <v>31.981620905505871</v>
      </c>
      <c r="K9" s="17">
        <v>597.17857142857133</v>
      </c>
      <c r="L9">
        <v>117.01043371242602</v>
      </c>
      <c r="M9" s="17">
        <v>202.18571428571428</v>
      </c>
      <c r="N9">
        <v>13.615211450401906</v>
      </c>
      <c r="O9" s="17">
        <v>190.68214285714285</v>
      </c>
      <c r="P9">
        <v>27.933038760124546</v>
      </c>
      <c r="Q9" s="17">
        <v>6004.7442480867358</v>
      </c>
      <c r="R9">
        <v>-877.42570740856559</v>
      </c>
      <c r="S9" s="17">
        <v>2519.5822321428568</v>
      </c>
      <c r="T9">
        <v>-30.198743215767923</v>
      </c>
      <c r="U9" s="17">
        <v>14698.644164540819</v>
      </c>
      <c r="V9">
        <v>-1347.2353626852989</v>
      </c>
      <c r="W9" s="17">
        <v>5574.5936862244898</v>
      </c>
      <c r="X9">
        <v>558.12229211305225</v>
      </c>
      <c r="Y9" s="17">
        <v>1903.34887755102</v>
      </c>
      <c r="Z9">
        <v>-119.60410383335427</v>
      </c>
      <c r="AA9" s="17">
        <v>1786.2419579081632</v>
      </c>
      <c r="AB9">
        <v>175.0099665210862</v>
      </c>
      <c r="AC9" s="17">
        <v>8553.4747831632649</v>
      </c>
      <c r="AD9">
        <v>1696.5157062508513</v>
      </c>
      <c r="AE9" s="17">
        <v>49644.100133928579</v>
      </c>
      <c r="AF9">
        <v>1603.8294277198431</v>
      </c>
      <c r="AG9" s="17">
        <v>18794.545829081631</v>
      </c>
      <c r="AH9">
        <v>3995.6123128909294</v>
      </c>
      <c r="AI9" s="17">
        <v>6457.1464693877542</v>
      </c>
      <c r="AJ9">
        <v>459.23580363778319</v>
      </c>
      <c r="AK9" s="17">
        <v>6045.0659068877549</v>
      </c>
      <c r="AL9">
        <v>885.69838972472758</v>
      </c>
      <c r="AM9" s="17">
        <v>20801.650892857142</v>
      </c>
      <c r="AN9">
        <v>2308.0229384178433</v>
      </c>
      <c r="AO9" s="17">
        <v>7937.0742346938787</v>
      </c>
      <c r="AP9">
        <v>1639.9159124590008</v>
      </c>
      <c r="AQ9" s="17">
        <v>2738.6563265306127</v>
      </c>
      <c r="AR9">
        <v>323.49029284395328</v>
      </c>
      <c r="AS9" s="17">
        <v>2559.7952295918367</v>
      </c>
      <c r="AT9">
        <v>463.30767561301491</v>
      </c>
      <c r="AU9" s="17">
        <v>47605.396045918365</v>
      </c>
      <c r="AV9">
        <v>7391.4843485814308</v>
      </c>
      <c r="AW9" s="17">
        <v>15831.141836734692</v>
      </c>
      <c r="AX9">
        <v>910.7087521295598</v>
      </c>
      <c r="AY9" s="17">
        <v>15072.287946428571</v>
      </c>
      <c r="AZ9">
        <v>3289.695510456992</v>
      </c>
      <c r="BA9" s="17">
        <v>6089.7285714285726</v>
      </c>
      <c r="BB9">
        <v>775.70011362350192</v>
      </c>
      <c r="BC9" s="17">
        <v>5892.2917091836744</v>
      </c>
      <c r="BD9">
        <v>1388.4608962060213</v>
      </c>
      <c r="BE9" s="17">
        <v>1957.1677551020407</v>
      </c>
      <c r="BF9">
        <v>257.0113385296653</v>
      </c>
    </row>
    <row r="10" spans="1:58" x14ac:dyDescent="0.25">
      <c r="A10" s="1">
        <v>1656</v>
      </c>
      <c r="B10">
        <v>9</v>
      </c>
      <c r="C10" s="17">
        <v>190.29821428571427</v>
      </c>
      <c r="D10">
        <v>-47.432556644171882</v>
      </c>
      <c r="E10" s="17">
        <v>613.41535714285715</v>
      </c>
      <c r="F10">
        <v>37.467786537376703</v>
      </c>
      <c r="G10" s="17">
        <v>272.72499999999997</v>
      </c>
      <c r="H10">
        <v>48.534884205895921</v>
      </c>
      <c r="I10" s="17">
        <v>1582.5178571428571</v>
      </c>
      <c r="J10">
        <v>28.637960367079113</v>
      </c>
      <c r="K10" s="17">
        <v>631.83928571428578</v>
      </c>
      <c r="L10">
        <v>123.96697913948728</v>
      </c>
      <c r="M10" s="17">
        <v>209.09821428571431</v>
      </c>
      <c r="N10">
        <v>14.988265840295517</v>
      </c>
      <c r="O10" s="17">
        <v>202.65357142857144</v>
      </c>
      <c r="P10">
        <v>29.696116641507135</v>
      </c>
      <c r="Q10" s="17">
        <v>5835.4100720663255</v>
      </c>
      <c r="R10">
        <v>-817.83918686653067</v>
      </c>
      <c r="S10" s="17">
        <v>2586.6624808673464</v>
      </c>
      <c r="T10">
        <v>-41.183890019295575</v>
      </c>
      <c r="U10" s="17">
        <v>14993.47305484694</v>
      </c>
      <c r="V10">
        <v>-1351.0094189955321</v>
      </c>
      <c r="W10" s="17">
        <v>5913.5314094387768</v>
      </c>
      <c r="X10">
        <v>638.15112285940472</v>
      </c>
      <c r="Y10" s="17">
        <v>1974.2322991071433</v>
      </c>
      <c r="Z10">
        <v>-121.65985506770078</v>
      </c>
      <c r="AA10" s="17">
        <v>1901.1638839285717</v>
      </c>
      <c r="AB10">
        <v>186.21062548709449</v>
      </c>
      <c r="AC10" s="17">
        <v>8468.552230867348</v>
      </c>
      <c r="AD10">
        <v>1523.9648412382867</v>
      </c>
      <c r="AE10" s="17">
        <v>48501.556753826517</v>
      </c>
      <c r="AF10">
        <v>1076.233982428972</v>
      </c>
      <c r="AG10" s="17">
        <v>19350.721077806124</v>
      </c>
      <c r="AH10">
        <v>3973.9028172599142</v>
      </c>
      <c r="AI10" s="17">
        <v>6475.9430618622455</v>
      </c>
      <c r="AJ10">
        <v>465.13756414027085</v>
      </c>
      <c r="AK10" s="17">
        <v>6256.2526951530617</v>
      </c>
      <c r="AL10">
        <v>952.29818340538475</v>
      </c>
      <c r="AM10" s="17">
        <v>21585.124426020408</v>
      </c>
      <c r="AN10">
        <v>2022.3238919033331</v>
      </c>
      <c r="AO10" s="17">
        <v>8615.64674744898</v>
      </c>
      <c r="AP10">
        <v>1693.0364647797678</v>
      </c>
      <c r="AQ10" s="17">
        <v>2940.595644132653</v>
      </c>
      <c r="AR10">
        <v>319.87201680641812</v>
      </c>
      <c r="AS10" s="17">
        <v>2819.3851658163267</v>
      </c>
      <c r="AT10">
        <v>492.20189729042556</v>
      </c>
      <c r="AU10" s="17">
        <v>51067.304528061242</v>
      </c>
      <c r="AV10">
        <v>7693.8637101276945</v>
      </c>
      <c r="AW10" s="17">
        <v>16650.407238520409</v>
      </c>
      <c r="AX10">
        <v>857.49702778535971</v>
      </c>
      <c r="AY10" s="17">
        <v>16262.02774234694</v>
      </c>
      <c r="AZ10">
        <v>3414.8182757363056</v>
      </c>
      <c r="BA10" s="17">
        <v>6870.9421237244896</v>
      </c>
      <c r="BB10">
        <v>896.98737242910443</v>
      </c>
      <c r="BC10" s="17">
        <v>6927.0628188775518</v>
      </c>
      <c r="BD10">
        <v>1518.7743292987477</v>
      </c>
      <c r="BE10" s="17">
        <v>2241.3117410714285</v>
      </c>
      <c r="BF10">
        <v>320.09269956032432</v>
      </c>
    </row>
    <row r="11" spans="1:58" x14ac:dyDescent="0.25">
      <c r="A11" s="1">
        <v>1794</v>
      </c>
      <c r="B11">
        <v>10</v>
      </c>
      <c r="C11" s="17">
        <v>185.11607142857142</v>
      </c>
      <c r="D11">
        <v>-46.141104046712009</v>
      </c>
      <c r="E11" s="17">
        <v>617.92142857142858</v>
      </c>
      <c r="F11">
        <v>44.331400833802746</v>
      </c>
      <c r="G11" s="17">
        <v>259.39821428571429</v>
      </c>
      <c r="H11">
        <v>48.715014344748958</v>
      </c>
      <c r="I11" s="17">
        <v>1550.5357142857147</v>
      </c>
      <c r="J11">
        <v>31.111934820786612</v>
      </c>
      <c r="K11" s="17">
        <v>628.76785714285722</v>
      </c>
      <c r="L11">
        <v>131.6334251419529</v>
      </c>
      <c r="M11" s="17">
        <v>193.0410714285714</v>
      </c>
      <c r="N11">
        <v>14.483688982707131</v>
      </c>
      <c r="O11" s="17">
        <v>189.43749999999997</v>
      </c>
      <c r="P11">
        <v>27.316520473223584</v>
      </c>
      <c r="Q11" s="17">
        <v>5709.8340688775506</v>
      </c>
      <c r="R11">
        <v>-796.83883138452438</v>
      </c>
      <c r="S11" s="17">
        <v>2391.3463743622442</v>
      </c>
      <c r="T11">
        <v>-24.336567602454945</v>
      </c>
      <c r="U11" s="17">
        <v>14370.266262755102</v>
      </c>
      <c r="V11">
        <v>-1287.6981579057306</v>
      </c>
      <c r="W11" s="17">
        <v>5814.3498405612245</v>
      </c>
      <c r="X11">
        <v>702.9710191143547</v>
      </c>
      <c r="Y11" s="17">
        <v>1781.8062978316325</v>
      </c>
      <c r="Z11">
        <v>-99.525698737086515</v>
      </c>
      <c r="AA11" s="17">
        <v>1752.8173628826535</v>
      </c>
      <c r="AB11">
        <v>177.18030260193416</v>
      </c>
      <c r="AC11" s="17">
        <v>8195.3430739795913</v>
      </c>
      <c r="AD11">
        <v>1660.4030469868924</v>
      </c>
      <c r="AE11" s="17">
        <v>47430.743112244898</v>
      </c>
      <c r="AF11">
        <v>1448.9999967720296</v>
      </c>
      <c r="AG11" s="17">
        <v>19238.784311224488</v>
      </c>
      <c r="AH11">
        <v>4277.7909490347838</v>
      </c>
      <c r="AI11" s="17">
        <v>6026.56786989796</v>
      </c>
      <c r="AJ11">
        <v>485.1757090533419</v>
      </c>
      <c r="AK11" s="17">
        <v>5876.699323979592</v>
      </c>
      <c r="AL11">
        <v>874.98620508903059</v>
      </c>
      <c r="AM11" s="17">
        <v>19664.901084183675</v>
      </c>
      <c r="AN11">
        <v>2176.7018488482036</v>
      </c>
      <c r="AO11" s="17">
        <v>8037.3868941326537</v>
      </c>
      <c r="AP11">
        <v>1743.0648108331459</v>
      </c>
      <c r="AQ11" s="17">
        <v>2579.2643144132653</v>
      </c>
      <c r="AR11">
        <v>320.94769322661102</v>
      </c>
      <c r="AS11" s="17">
        <v>2498.4736575255101</v>
      </c>
      <c r="AT11">
        <v>440.87174876308603</v>
      </c>
      <c r="AU11" s="17">
        <v>49300.5338010204</v>
      </c>
      <c r="AV11">
        <v>8472.9490603920203</v>
      </c>
      <c r="AW11" s="17">
        <v>14915.633227040818</v>
      </c>
      <c r="AX11">
        <v>967.21027455643411</v>
      </c>
      <c r="AY11" s="17">
        <v>14692.481313775508</v>
      </c>
      <c r="AZ11">
        <v>3318.9910145964104</v>
      </c>
      <c r="BA11" s="17">
        <v>6069.0131696428571</v>
      </c>
      <c r="BB11">
        <v>888.05494932927058</v>
      </c>
      <c r="BC11" s="17">
        <v>6005.5956313775532</v>
      </c>
      <c r="BD11">
        <v>1423.051228678077</v>
      </c>
      <c r="BE11" s="17">
        <v>1868.3385809948979</v>
      </c>
      <c r="BF11">
        <v>270.92742142330667</v>
      </c>
    </row>
    <row r="12" spans="1:58" x14ac:dyDescent="0.25">
      <c r="A12" s="1">
        <v>1981</v>
      </c>
      <c r="B12">
        <v>11</v>
      </c>
      <c r="C12" s="17">
        <v>185.84642857142859</v>
      </c>
      <c r="D12">
        <v>-45.792813526989164</v>
      </c>
      <c r="E12" s="17">
        <v>618.45535714285711</v>
      </c>
      <c r="F12">
        <v>43.937581749047077</v>
      </c>
      <c r="G12" s="17">
        <v>277.75714285714281</v>
      </c>
      <c r="H12">
        <v>50.936812099167348</v>
      </c>
      <c r="I12" s="17">
        <v>1562.0000000000002</v>
      </c>
      <c r="J12">
        <v>32.948728510734334</v>
      </c>
      <c r="K12" s="17">
        <v>689.89285714285722</v>
      </c>
      <c r="L12">
        <v>134.68727601986171</v>
      </c>
      <c r="M12" s="17">
        <v>209.35892857142858</v>
      </c>
      <c r="N12">
        <v>13.85074674354709</v>
      </c>
      <c r="O12" s="17">
        <v>214.91071428571428</v>
      </c>
      <c r="P12">
        <v>31.087008153716894</v>
      </c>
      <c r="Q12" s="17">
        <v>5763.0529987244881</v>
      </c>
      <c r="R12">
        <v>-766.03938635182828</v>
      </c>
      <c r="S12" s="17">
        <v>2570.4552551020406</v>
      </c>
      <c r="T12">
        <v>-24.914901061024043</v>
      </c>
      <c r="U12" s="17">
        <v>14494.302551020408</v>
      </c>
      <c r="V12">
        <v>-1314.9754855549079</v>
      </c>
      <c r="W12" s="17">
        <v>6323.6536989795914</v>
      </c>
      <c r="X12">
        <v>662.46937020212556</v>
      </c>
      <c r="Y12" s="17">
        <v>1938.0705420918366</v>
      </c>
      <c r="Z12">
        <v>-126.34556778469353</v>
      </c>
      <c r="AA12" s="17">
        <v>1983.9675892857144</v>
      </c>
      <c r="AB12">
        <v>202.11091928318911</v>
      </c>
      <c r="AC12" s="17">
        <v>8670.0908622448987</v>
      </c>
      <c r="AD12">
        <v>1695.7154511708984</v>
      </c>
      <c r="AE12" s="17">
        <v>48005.637091836732</v>
      </c>
      <c r="AF12">
        <v>1592.8170664517886</v>
      </c>
      <c r="AG12" s="17">
        <v>20979.177589285711</v>
      </c>
      <c r="AH12">
        <v>4314.260468244096</v>
      </c>
      <c r="AI12" s="17">
        <v>6509.1008182397954</v>
      </c>
      <c r="AJ12">
        <v>450.7618662279649</v>
      </c>
      <c r="AK12" s="17">
        <v>6630.6793329081629</v>
      </c>
      <c r="AL12">
        <v>981.78078901883998</v>
      </c>
      <c r="AM12" s="17">
        <v>21526.82244897959</v>
      </c>
      <c r="AN12">
        <v>2364.2120225070862</v>
      </c>
      <c r="AO12" s="17">
        <v>9594.7668367346942</v>
      </c>
      <c r="AP12">
        <v>1903.2306688367853</v>
      </c>
      <c r="AQ12" s="17">
        <v>2968.5540561224498</v>
      </c>
      <c r="AR12">
        <v>325.06029408539774</v>
      </c>
      <c r="AS12" s="17">
        <v>3026.973520408163</v>
      </c>
      <c r="AT12">
        <v>510.58445374247657</v>
      </c>
      <c r="AU12" s="17">
        <v>54737.862244897959</v>
      </c>
      <c r="AV12">
        <v>8757.8974973771801</v>
      </c>
      <c r="AW12" s="17">
        <v>16382.362500000001</v>
      </c>
      <c r="AX12">
        <v>989.83907452349592</v>
      </c>
      <c r="AY12" s="17">
        <v>16869.907653061222</v>
      </c>
      <c r="AZ12">
        <v>3738.9622067058663</v>
      </c>
      <c r="BA12" s="17">
        <v>7302.4643494897964</v>
      </c>
      <c r="BB12">
        <v>945.95935817360987</v>
      </c>
      <c r="BC12" s="17">
        <v>7769.3029336734689</v>
      </c>
      <c r="BD12">
        <v>1756.7000213811457</v>
      </c>
      <c r="BE12" s="17">
        <v>2290.3888201530613</v>
      </c>
      <c r="BF12">
        <v>292.21049677482495</v>
      </c>
    </row>
    <row r="13" spans="1:58" x14ac:dyDescent="0.25">
      <c r="A13" s="1">
        <v>1798</v>
      </c>
      <c r="B13">
        <v>12</v>
      </c>
      <c r="C13" s="17">
        <v>182.18821428571428</v>
      </c>
      <c r="D13">
        <v>-44.296823436085567</v>
      </c>
      <c r="E13" s="17">
        <v>592.39071428571435</v>
      </c>
      <c r="F13">
        <v>40.194862401874225</v>
      </c>
      <c r="G13" s="17">
        <v>251.36892857142857</v>
      </c>
      <c r="H13">
        <v>49.904358470778689</v>
      </c>
      <c r="I13" s="17">
        <v>1625.2392857142854</v>
      </c>
      <c r="J13">
        <v>28.164484525324173</v>
      </c>
      <c r="K13" s="17">
        <v>658.87142857142862</v>
      </c>
      <c r="L13">
        <v>140.79604036646066</v>
      </c>
      <c r="M13" s="17">
        <v>201.62428571428572</v>
      </c>
      <c r="N13">
        <v>15.57205945504025</v>
      </c>
      <c r="O13" s="17">
        <v>199.18642857142859</v>
      </c>
      <c r="P13">
        <v>29.549636016919081</v>
      </c>
      <c r="Q13" s="17">
        <v>5398.6791752551017</v>
      </c>
      <c r="R13">
        <v>-719.40991102512965</v>
      </c>
      <c r="S13" s="17">
        <v>2270.3092406887754</v>
      </c>
      <c r="T13">
        <v>-8.1753963904117199</v>
      </c>
      <c r="U13" s="17">
        <v>14795.084749744896</v>
      </c>
      <c r="V13">
        <v>-1346.5187806078839</v>
      </c>
      <c r="W13" s="17">
        <v>5904.2322484693887</v>
      </c>
      <c r="X13">
        <v>696.45071006505395</v>
      </c>
      <c r="Y13" s="17">
        <v>1823.2761846938772</v>
      </c>
      <c r="Z13">
        <v>-104.15413926312904</v>
      </c>
      <c r="AA13" s="17">
        <v>1795.3440267857143</v>
      </c>
      <c r="AB13">
        <v>185.60009880813854</v>
      </c>
      <c r="AC13" s="17">
        <v>7537.213222704082</v>
      </c>
      <c r="AD13">
        <v>1590.1437740095598</v>
      </c>
      <c r="AE13" s="17">
        <v>48104.691829081625</v>
      </c>
      <c r="AF13">
        <v>1330.8950450241193</v>
      </c>
      <c r="AG13" s="17">
        <v>19364.431494897966</v>
      </c>
      <c r="AH13">
        <v>4420.438452893718</v>
      </c>
      <c r="AI13" s="17">
        <v>6045.7861142857146</v>
      </c>
      <c r="AJ13">
        <v>520.43188861720046</v>
      </c>
      <c r="AK13" s="17">
        <v>5922.2147321428583</v>
      </c>
      <c r="AL13">
        <v>927.30436387925852</v>
      </c>
      <c r="AM13" s="17">
        <v>20374.27181147959</v>
      </c>
      <c r="AN13">
        <v>2312.4532610333908</v>
      </c>
      <c r="AO13" s="17">
        <v>8262.9081617346947</v>
      </c>
      <c r="AP13">
        <v>1863.2715050630491</v>
      </c>
      <c r="AQ13" s="17">
        <v>2649.8439704081629</v>
      </c>
      <c r="AR13">
        <v>356.86268602803005</v>
      </c>
      <c r="AS13" s="17">
        <v>2567.6993364795912</v>
      </c>
      <c r="AT13">
        <v>473.85167513685042</v>
      </c>
      <c r="AU13" s="17">
        <v>54011.788239795926</v>
      </c>
      <c r="AV13">
        <v>8763.563014458834</v>
      </c>
      <c r="AW13" s="17">
        <v>16446.073481632651</v>
      </c>
      <c r="AX13">
        <v>1035.6986656691311</v>
      </c>
      <c r="AY13" s="17">
        <v>16259.808319897957</v>
      </c>
      <c r="AZ13">
        <v>3562.8859614962739</v>
      </c>
      <c r="BA13" s="17">
        <v>6651.5344020408156</v>
      </c>
      <c r="BB13">
        <v>1006.4429586532951</v>
      </c>
      <c r="BC13" s="17">
        <v>6756.4439785714285</v>
      </c>
      <c r="BD13">
        <v>1684.8922572101669</v>
      </c>
      <c r="BE13" s="17">
        <v>2063.0469204081637</v>
      </c>
      <c r="BF13">
        <v>308.06208666638452</v>
      </c>
    </row>
    <row r="14" spans="1:58" x14ac:dyDescent="0.25">
      <c r="A14" s="1">
        <v>1959</v>
      </c>
      <c r="B14">
        <v>13</v>
      </c>
      <c r="C14" s="17">
        <v>181.82000000000002</v>
      </c>
      <c r="D14">
        <v>-44.801317807233822</v>
      </c>
      <c r="E14" s="17">
        <v>607.54142857142847</v>
      </c>
      <c r="F14">
        <v>45.803563141646393</v>
      </c>
      <c r="G14" s="17">
        <v>292.54142857142853</v>
      </c>
      <c r="H14">
        <v>55.188728817376642</v>
      </c>
      <c r="I14" s="17">
        <v>1667.3257142857144</v>
      </c>
      <c r="J14">
        <v>27.874365730680044</v>
      </c>
      <c r="K14" s="17">
        <v>816.36571428571426</v>
      </c>
      <c r="L14">
        <v>159.50358666646659</v>
      </c>
      <c r="M14" s="17">
        <v>234.18142857142857</v>
      </c>
      <c r="N14">
        <v>17.771712459137945</v>
      </c>
      <c r="O14" s="17">
        <v>239.76285714285714</v>
      </c>
      <c r="P14">
        <v>38.061690669839393</v>
      </c>
      <c r="Q14" s="17">
        <v>5560.9506163265314</v>
      </c>
      <c r="R14">
        <v>-704.69473105402346</v>
      </c>
      <c r="S14" s="17">
        <v>2652.259832653061</v>
      </c>
      <c r="T14">
        <v>-24.865381588102952</v>
      </c>
      <c r="U14" s="17">
        <v>15110.911079591837</v>
      </c>
      <c r="V14">
        <v>-1333.5225818888375</v>
      </c>
      <c r="W14" s="17">
        <v>7263.435069387755</v>
      </c>
      <c r="X14">
        <v>753.87959523300503</v>
      </c>
      <c r="Y14" s="17">
        <v>2123.1332836734696</v>
      </c>
      <c r="Z14">
        <v>-112.5875712345547</v>
      </c>
      <c r="AA14" s="17">
        <v>2155.2460959183672</v>
      </c>
      <c r="AB14">
        <v>234.18896210281287</v>
      </c>
      <c r="AC14" s="17">
        <v>8977.7031571428561</v>
      </c>
      <c r="AD14">
        <v>1806.5035998805481</v>
      </c>
      <c r="AE14" s="17">
        <v>50594.33561428573</v>
      </c>
      <c r="AF14">
        <v>1721.8438647722587</v>
      </c>
      <c r="AG14" s="17">
        <v>24428.87002244898</v>
      </c>
      <c r="AH14">
        <v>5154.4857793595029</v>
      </c>
      <c r="AI14" s="17">
        <v>7193.7502163265299</v>
      </c>
      <c r="AJ14">
        <v>604.57451169884757</v>
      </c>
      <c r="AK14" s="17">
        <v>7279.1365346938774</v>
      </c>
      <c r="AL14">
        <v>1164.4858127557341</v>
      </c>
      <c r="AM14" s="17">
        <v>24475.909385714283</v>
      </c>
      <c r="AN14">
        <v>2564.6031082503214</v>
      </c>
      <c r="AO14" s="17">
        <v>12147.353273469387</v>
      </c>
      <c r="AP14">
        <v>2482.3924771038855</v>
      </c>
      <c r="AQ14" s="17">
        <v>3583.4597693877545</v>
      </c>
      <c r="AR14">
        <v>467.23419958129415</v>
      </c>
      <c r="AS14" s="17">
        <v>3621.4669040816334</v>
      </c>
      <c r="AT14">
        <v>732.95208243450224</v>
      </c>
      <c r="AU14" s="17">
        <v>68595.408148979594</v>
      </c>
      <c r="AV14">
        <v>10082.674228413707</v>
      </c>
      <c r="AW14" s="17">
        <v>19654.149244897959</v>
      </c>
      <c r="AX14">
        <v>1043.4065662715702</v>
      </c>
      <c r="AY14" s="17">
        <v>20121.040985714284</v>
      </c>
      <c r="AZ14">
        <v>4553.5978879687918</v>
      </c>
      <c r="BA14" s="17">
        <v>9737.7408122448978</v>
      </c>
      <c r="BB14">
        <v>1248.3861864229771</v>
      </c>
      <c r="BC14" s="17">
        <v>10147.224926530611</v>
      </c>
      <c r="BD14">
        <v>2560.9116901963935</v>
      </c>
      <c r="BE14" s="17">
        <v>2910.0694346938781</v>
      </c>
      <c r="BF14">
        <v>481.28270706743103</v>
      </c>
    </row>
    <row r="15" spans="1:58" x14ac:dyDescent="0.25">
      <c r="A15" s="1">
        <v>1694</v>
      </c>
      <c r="B15">
        <v>14</v>
      </c>
      <c r="C15" s="17">
        <v>186.46785714285716</v>
      </c>
      <c r="D15">
        <v>-47.32660490839266</v>
      </c>
      <c r="E15" s="17">
        <v>609.34285714285727</v>
      </c>
      <c r="F15">
        <v>42.990887221714814</v>
      </c>
      <c r="G15" s="17">
        <v>280.91785714285714</v>
      </c>
      <c r="H15">
        <v>52.865577497861977</v>
      </c>
      <c r="I15" s="17">
        <v>1652.8928571428567</v>
      </c>
      <c r="J15">
        <v>30.393837243803517</v>
      </c>
      <c r="K15" s="17">
        <v>714</v>
      </c>
      <c r="L15">
        <v>154.07910992678168</v>
      </c>
      <c r="M15" s="17">
        <v>220.48571428571424</v>
      </c>
      <c r="N15">
        <v>15.465305731346531</v>
      </c>
      <c r="O15" s="17">
        <v>225.95892857142857</v>
      </c>
      <c r="P15">
        <v>31.615816276020777</v>
      </c>
      <c r="Q15" s="17">
        <v>5684.3206632653055</v>
      </c>
      <c r="R15">
        <v>-780.11456546519946</v>
      </c>
      <c r="S15" s="17">
        <v>2613.8387627551019</v>
      </c>
      <c r="T15">
        <v>1.3569858696422585</v>
      </c>
      <c r="U15" s="17">
        <v>15393.568239795919</v>
      </c>
      <c r="V15">
        <v>-1476.1774233746473</v>
      </c>
      <c r="W15" s="17">
        <v>6607.1387755102032</v>
      </c>
      <c r="X15">
        <v>797.93187889715546</v>
      </c>
      <c r="Y15" s="17">
        <v>2050.4739795918367</v>
      </c>
      <c r="Z15">
        <v>-118.1248835360031</v>
      </c>
      <c r="AA15" s="17">
        <v>2093.7919323979595</v>
      </c>
      <c r="AB15">
        <v>193.55126684626049</v>
      </c>
      <c r="AC15" s="17">
        <v>8690.9317857142851</v>
      </c>
      <c r="AD15">
        <v>1775.3169922303471</v>
      </c>
      <c r="AE15" s="17">
        <v>50229.53826530611</v>
      </c>
      <c r="AF15">
        <v>1390.1253883210538</v>
      </c>
      <c r="AG15" s="17">
        <v>21640.202040816326</v>
      </c>
      <c r="AH15">
        <v>4887.4502359960716</v>
      </c>
      <c r="AI15" s="17">
        <v>6803.3112244897957</v>
      </c>
      <c r="AJ15">
        <v>538.35321096835867</v>
      </c>
      <c r="AK15" s="17">
        <v>6929.9860969387737</v>
      </c>
      <c r="AL15">
        <v>1017.8961873016134</v>
      </c>
      <c r="AM15" s="17">
        <v>23059.660331632647</v>
      </c>
      <c r="AN15">
        <v>2548.8471196222454</v>
      </c>
      <c r="AO15" s="17">
        <v>10019.755102040817</v>
      </c>
      <c r="AP15">
        <v>2149.045036557759</v>
      </c>
      <c r="AQ15" s="17">
        <v>3236.5445918367345</v>
      </c>
      <c r="AR15">
        <v>387.9886124755696</v>
      </c>
      <c r="AS15" s="17">
        <v>3268.6037818877553</v>
      </c>
      <c r="AT15">
        <v>556.91056801437776</v>
      </c>
      <c r="AU15" s="17">
        <v>59849.081632653062</v>
      </c>
      <c r="AV15">
        <v>10192.113727852786</v>
      </c>
      <c r="AW15" s="17">
        <v>18214.54183673469</v>
      </c>
      <c r="AX15">
        <v>1097.7448604108142</v>
      </c>
      <c r="AY15" s="17">
        <v>18822.913839285713</v>
      </c>
      <c r="AZ15">
        <v>4115.120653019002</v>
      </c>
      <c r="BA15" s="17">
        <v>7967.8734693877559</v>
      </c>
      <c r="BB15">
        <v>1113.2983667088458</v>
      </c>
      <c r="BC15" s="17">
        <v>8363.3867346938787</v>
      </c>
      <c r="BD15">
        <v>1940.1413020771081</v>
      </c>
      <c r="BE15" s="17">
        <v>2583.0483163265312</v>
      </c>
      <c r="BF15">
        <v>345.50910482012199</v>
      </c>
    </row>
    <row r="16" spans="1:58" x14ac:dyDescent="0.25">
      <c r="A16" s="1">
        <v>2079</v>
      </c>
      <c r="B16">
        <v>15</v>
      </c>
      <c r="C16" s="17">
        <v>189.11250000000001</v>
      </c>
      <c r="D16">
        <v>-46.596530691188711</v>
      </c>
      <c r="E16" s="17">
        <v>615.81214285714304</v>
      </c>
      <c r="F16">
        <v>41.867659299651052</v>
      </c>
      <c r="G16" s="17">
        <v>255.52499999999998</v>
      </c>
      <c r="H16">
        <v>48.096798150354928</v>
      </c>
      <c r="I16" s="17">
        <v>1560.8571428571427</v>
      </c>
      <c r="J16">
        <v>29.550551103254065</v>
      </c>
      <c r="K16" s="17">
        <v>589.05357142857133</v>
      </c>
      <c r="L16">
        <v>119.56955323101769</v>
      </c>
      <c r="M16" s="17">
        <v>191.34107142857141</v>
      </c>
      <c r="N16">
        <v>14.484589999068211</v>
      </c>
      <c r="O16" s="17">
        <v>186.53928571428574</v>
      </c>
      <c r="P16">
        <v>27.191510098093431</v>
      </c>
      <c r="Q16" s="17">
        <v>5826.0176084183677</v>
      </c>
      <c r="R16">
        <v>-817.46948548489775</v>
      </c>
      <c r="S16" s="17">
        <v>2412.1255931122455</v>
      </c>
      <c r="T16">
        <v>-30.793963854119447</v>
      </c>
      <c r="U16" s="17">
        <v>14754.087244897961</v>
      </c>
      <c r="V16">
        <v>-1317.2500542192906</v>
      </c>
      <c r="W16" s="17">
        <v>5544.3009247448972</v>
      </c>
      <c r="X16">
        <v>652.1056494122796</v>
      </c>
      <c r="Y16" s="17">
        <v>1808.3113042091836</v>
      </c>
      <c r="Z16">
        <v>-101.92439295738221</v>
      </c>
      <c r="AA16" s="17">
        <v>1757.8044451530614</v>
      </c>
      <c r="AB16">
        <v>176.32695318678421</v>
      </c>
      <c r="AC16" s="17">
        <v>7956.2369413265287</v>
      </c>
      <c r="AD16">
        <v>1593.8726027780449</v>
      </c>
      <c r="AE16" s="17">
        <v>48142.053877551014</v>
      </c>
      <c r="AF16">
        <v>1378.6920490916282</v>
      </c>
      <c r="AG16" s="17">
        <v>18015.643380102043</v>
      </c>
      <c r="AH16">
        <v>3890.3094823374668</v>
      </c>
      <c r="AI16" s="17">
        <v>5974.9413533163279</v>
      </c>
      <c r="AJ16">
        <v>501.76265010548866</v>
      </c>
      <c r="AK16" s="17">
        <v>5763.8284005102059</v>
      </c>
      <c r="AL16">
        <v>878.26365478521905</v>
      </c>
      <c r="AM16" s="17">
        <v>20023.937755102037</v>
      </c>
      <c r="AN16">
        <v>2141.8106522236326</v>
      </c>
      <c r="AO16" s="17">
        <v>7486.5730229591827</v>
      </c>
      <c r="AP16">
        <v>1551.2428985261793</v>
      </c>
      <c r="AQ16" s="17">
        <v>2520.028195153061</v>
      </c>
      <c r="AR16">
        <v>318.24037559538374</v>
      </c>
      <c r="AS16" s="17">
        <v>2414.1678188775509</v>
      </c>
      <c r="AT16">
        <v>424.26211695672259</v>
      </c>
      <c r="AU16" s="17">
        <v>46438.75</v>
      </c>
      <c r="AV16">
        <v>7251.8155006550323</v>
      </c>
      <c r="AW16" s="17">
        <v>15138.801530612247</v>
      </c>
      <c r="AX16">
        <v>896.06450783717037</v>
      </c>
      <c r="AY16" s="17">
        <v>14725.052040816325</v>
      </c>
      <c r="AZ16">
        <v>3203.634860343434</v>
      </c>
      <c r="BA16" s="17">
        <v>5639.3323022959185</v>
      </c>
      <c r="BB16">
        <v>742.74307221915819</v>
      </c>
      <c r="BC16" s="17">
        <v>5630.2890943877555</v>
      </c>
      <c r="BD16">
        <v>1323.3641205504957</v>
      </c>
      <c r="BE16" s="17">
        <v>1824.5784757653059</v>
      </c>
      <c r="BF16">
        <v>246.44136343676809</v>
      </c>
    </row>
    <row r="17" spans="1:58" x14ac:dyDescent="0.25">
      <c r="A17" s="1">
        <v>2090</v>
      </c>
      <c r="B17">
        <v>16</v>
      </c>
      <c r="C17" s="17">
        <v>178.57500000000002</v>
      </c>
      <c r="D17">
        <v>-45.438571367005373</v>
      </c>
      <c r="E17" s="17">
        <v>631.303</v>
      </c>
      <c r="F17">
        <v>45.220359174305926</v>
      </c>
      <c r="G17" s="17">
        <v>235.95357142857142</v>
      </c>
      <c r="H17">
        <v>45.507584036733562</v>
      </c>
      <c r="I17" s="17">
        <v>1534.2235714285712</v>
      </c>
      <c r="J17">
        <v>32.433713491030851</v>
      </c>
      <c r="K17" s="17">
        <v>546.39285714285711</v>
      </c>
      <c r="L17">
        <v>107.81798963223078</v>
      </c>
      <c r="M17" s="17">
        <v>183.81428571428572</v>
      </c>
      <c r="N17">
        <v>13.70250803174501</v>
      </c>
      <c r="O17" s="17">
        <v>192.63464285714284</v>
      </c>
      <c r="P17">
        <v>29.478192916647288</v>
      </c>
      <c r="Q17" s="17">
        <v>5676.3265433673469</v>
      </c>
      <c r="R17">
        <v>-754.36388865280492</v>
      </c>
      <c r="S17" s="17">
        <v>2212.3649362244901</v>
      </c>
      <c r="T17">
        <v>-44.058177378837172</v>
      </c>
      <c r="U17" s="17">
        <v>13671.034375000001</v>
      </c>
      <c r="V17">
        <v>-1319.393244805538</v>
      </c>
      <c r="W17" s="17">
        <v>5121.5340561224484</v>
      </c>
      <c r="X17">
        <v>507.89698762440935</v>
      </c>
      <c r="Y17" s="17">
        <v>1632.8630612244899</v>
      </c>
      <c r="Z17">
        <v>-107.18647096122238</v>
      </c>
      <c r="AA17" s="17">
        <v>1717.0310778061225</v>
      </c>
      <c r="AB17">
        <v>197.96648382886102</v>
      </c>
      <c r="AC17" s="17">
        <v>7621.5940178571436</v>
      </c>
      <c r="AD17">
        <v>1578.6841194612618</v>
      </c>
      <c r="AE17" s="17">
        <v>48436.354420714284</v>
      </c>
      <c r="AF17">
        <v>1657.6972370685382</v>
      </c>
      <c r="AG17" s="17">
        <v>17277.447321428572</v>
      </c>
      <c r="AH17">
        <v>3699.1676270588182</v>
      </c>
      <c r="AI17" s="17">
        <v>5889.3837142857137</v>
      </c>
      <c r="AJ17">
        <v>483.04963818042046</v>
      </c>
      <c r="AK17" s="17">
        <v>6141.3372937244894</v>
      </c>
      <c r="AL17">
        <v>996.72260869334025</v>
      </c>
      <c r="AM17" s="17">
        <v>17959.817920918369</v>
      </c>
      <c r="AN17">
        <v>1897.6411191072882</v>
      </c>
      <c r="AO17" s="17">
        <v>6815.3725765306117</v>
      </c>
      <c r="AP17">
        <v>1470.4528837715548</v>
      </c>
      <c r="AQ17" s="17">
        <v>2247.64</v>
      </c>
      <c r="AR17">
        <v>290.84485522406646</v>
      </c>
      <c r="AS17" s="17">
        <v>2343.2584885204078</v>
      </c>
      <c r="AT17">
        <v>460.8024191255011</v>
      </c>
      <c r="AU17" s="17">
        <v>41931.082270408166</v>
      </c>
      <c r="AV17">
        <v>6118.1423835172618</v>
      </c>
      <c r="AW17" s="17">
        <v>14182.84142857143</v>
      </c>
      <c r="AX17">
        <v>945.39117105059518</v>
      </c>
      <c r="AY17" s="17">
        <v>14856.084150765306</v>
      </c>
      <c r="AZ17">
        <v>3381.2140304730265</v>
      </c>
      <c r="BA17" s="17">
        <v>5013.4714285714281</v>
      </c>
      <c r="BB17">
        <v>643.41751656221049</v>
      </c>
      <c r="BC17" s="17">
        <v>5335.9109056122443</v>
      </c>
      <c r="BD17">
        <v>1257.8829300195302</v>
      </c>
      <c r="BE17" s="17">
        <v>1826.3307142857143</v>
      </c>
      <c r="BF17">
        <v>269.94246047687739</v>
      </c>
    </row>
    <row r="18" spans="1:58" x14ac:dyDescent="0.25">
      <c r="A18" s="1">
        <v>2372</v>
      </c>
      <c r="B18">
        <v>17</v>
      </c>
      <c r="C18" s="17">
        <v>187.65714285714284</v>
      </c>
      <c r="D18">
        <v>-46.083401559142999</v>
      </c>
      <c r="E18" s="17">
        <v>630.30000000000007</v>
      </c>
      <c r="F18">
        <v>44.17398004374936</v>
      </c>
      <c r="G18" s="17">
        <v>276.18571428571431</v>
      </c>
      <c r="H18">
        <v>54.120413637528429</v>
      </c>
      <c r="I18" s="17">
        <v>1476.1428571428576</v>
      </c>
      <c r="J18">
        <v>28.727581409304985</v>
      </c>
      <c r="K18" s="17">
        <v>632.00000000000011</v>
      </c>
      <c r="L18">
        <v>133.30089558451681</v>
      </c>
      <c r="M18" s="17">
        <v>196.29999999999995</v>
      </c>
      <c r="N18">
        <v>13.491724855959113</v>
      </c>
      <c r="O18" s="17">
        <v>211.51428571428576</v>
      </c>
      <c r="P18">
        <v>29.050915174261402</v>
      </c>
      <c r="Q18" s="17">
        <v>5909.8395918367351</v>
      </c>
      <c r="R18">
        <v>-784.087286632614</v>
      </c>
      <c r="S18" s="17">
        <v>2582.7220408163266</v>
      </c>
      <c r="T18">
        <v>2.8009731137749263</v>
      </c>
      <c r="U18" s="17">
        <v>13896.087755102038</v>
      </c>
      <c r="V18">
        <v>-1233.8361599950738</v>
      </c>
      <c r="W18" s="17">
        <v>5949.7428571428572</v>
      </c>
      <c r="X18">
        <v>757.97348026131044</v>
      </c>
      <c r="Y18" s="17">
        <v>1843.4559183673468</v>
      </c>
      <c r="Z18">
        <v>-109.47815057355905</v>
      </c>
      <c r="AA18" s="17">
        <v>1995.6946938775509</v>
      </c>
      <c r="AB18">
        <v>202.83471668544715</v>
      </c>
      <c r="AC18" s="17">
        <v>8858.5034693877533</v>
      </c>
      <c r="AD18">
        <v>1862.637510264623</v>
      </c>
      <c r="AE18" s="17">
        <v>46454.128571428555</v>
      </c>
      <c r="AF18">
        <v>1348.8143313269625</v>
      </c>
      <c r="AG18" s="17">
        <v>19625.375510204078</v>
      </c>
      <c r="AH18">
        <v>4399.9406558530172</v>
      </c>
      <c r="AI18" s="17">
        <v>6292.5251020408168</v>
      </c>
      <c r="AJ18">
        <v>498.21500363172169</v>
      </c>
      <c r="AK18" s="17">
        <v>6674.5871428571436</v>
      </c>
      <c r="AL18">
        <v>1003.9748815778185</v>
      </c>
      <c r="AM18" s="17">
        <v>20321.124489795915</v>
      </c>
      <c r="AN18">
        <v>2312.3125044672588</v>
      </c>
      <c r="AO18" s="17">
        <v>8516.4999999999982</v>
      </c>
      <c r="AP18">
        <v>1860.3670674172006</v>
      </c>
      <c r="AQ18" s="17">
        <v>2803.1106122448978</v>
      </c>
      <c r="AR18">
        <v>353.13113716897766</v>
      </c>
      <c r="AS18" s="17">
        <v>2934.3261224489802</v>
      </c>
      <c r="AT18">
        <v>508.58438703774658</v>
      </c>
      <c r="AU18" s="17">
        <v>47069.551020408158</v>
      </c>
      <c r="AV18">
        <v>7898.6665597132642</v>
      </c>
      <c r="AW18" s="17">
        <v>14594.97551020408</v>
      </c>
      <c r="AX18">
        <v>837.66237665206063</v>
      </c>
      <c r="AY18" s="17">
        <v>15745.034693877551</v>
      </c>
      <c r="AZ18">
        <v>3421.5887827718634</v>
      </c>
      <c r="BA18" s="17">
        <v>6096.0714285714294</v>
      </c>
      <c r="BB18">
        <v>802.09391526509955</v>
      </c>
      <c r="BC18" s="17">
        <v>6857.9163265306115</v>
      </c>
      <c r="BD18">
        <v>1480.1069463096792</v>
      </c>
      <c r="BE18" s="17">
        <v>2101.5646938775508</v>
      </c>
      <c r="BF18">
        <v>257.33708769199427</v>
      </c>
    </row>
    <row r="19" spans="1:58" x14ac:dyDescent="0.25">
      <c r="A19" s="1">
        <v>2413</v>
      </c>
      <c r="B19">
        <v>18</v>
      </c>
      <c r="C19" s="17">
        <v>186.7</v>
      </c>
      <c r="D19">
        <v>-46.030508987062731</v>
      </c>
      <c r="E19" s="17">
        <v>641.19285714285706</v>
      </c>
      <c r="F19">
        <v>46.008820172991804</v>
      </c>
      <c r="G19" s="17">
        <v>272.39999999999998</v>
      </c>
      <c r="H19">
        <v>52.143455263053369</v>
      </c>
      <c r="I19" s="17">
        <v>1492.4285714285718</v>
      </c>
      <c r="J19">
        <v>20.525317403443669</v>
      </c>
      <c r="K19" s="17">
        <v>585.47142857142853</v>
      </c>
      <c r="L19">
        <v>128.21358166269897</v>
      </c>
      <c r="M19" s="17">
        <v>198.79285714285712</v>
      </c>
      <c r="N19">
        <v>14.153571146000742</v>
      </c>
      <c r="O19" s="17">
        <v>191.53749999999999</v>
      </c>
      <c r="P19">
        <v>27.243086535766246</v>
      </c>
      <c r="Q19" s="17">
        <v>5998.7244897959172</v>
      </c>
      <c r="R19">
        <v>-804.17163424541798</v>
      </c>
      <c r="S19" s="17">
        <v>2544.212653061224</v>
      </c>
      <c r="T19">
        <v>4.1779670872874242</v>
      </c>
      <c r="U19" s="17">
        <v>13921.295918367347</v>
      </c>
      <c r="V19">
        <v>-1319.9689243575228</v>
      </c>
      <c r="W19" s="17">
        <v>5435.8738775510192</v>
      </c>
      <c r="X19">
        <v>700.35595703776926</v>
      </c>
      <c r="Y19" s="17">
        <v>1855.8073469387755</v>
      </c>
      <c r="Z19">
        <v>-109.60838031938361</v>
      </c>
      <c r="AA19" s="17">
        <v>1782.5768877551018</v>
      </c>
      <c r="AB19">
        <v>169.72976669044067</v>
      </c>
      <c r="AC19" s="17">
        <v>8798.4868367346953</v>
      </c>
      <c r="AD19">
        <v>1800.1594742849848</v>
      </c>
      <c r="AE19" s="17">
        <v>47770.75</v>
      </c>
      <c r="AF19">
        <v>1048.8336304646257</v>
      </c>
      <c r="AG19" s="17">
        <v>18428.759081632652</v>
      </c>
      <c r="AH19">
        <v>4280.0699717584575</v>
      </c>
      <c r="AI19" s="17">
        <v>6415.6164795918357</v>
      </c>
      <c r="AJ19">
        <v>495.16659148895269</v>
      </c>
      <c r="AK19" s="17">
        <v>6106.6007525510213</v>
      </c>
      <c r="AL19">
        <v>908.07677066499764</v>
      </c>
      <c r="AM19" s="17">
        <v>20333.828571428574</v>
      </c>
      <c r="AN19">
        <v>2233.0932346967093</v>
      </c>
      <c r="AO19" s="17">
        <v>7948.203061224488</v>
      </c>
      <c r="AP19">
        <v>1871.2407088285513</v>
      </c>
      <c r="AQ19" s="17">
        <v>2754.9786734693871</v>
      </c>
      <c r="AR19">
        <v>345.32932765754271</v>
      </c>
      <c r="AS19" s="17">
        <v>2624.0224234693878</v>
      </c>
      <c r="AT19">
        <v>455.95507136036144</v>
      </c>
      <c r="AU19" s="17">
        <v>44186.075510204086</v>
      </c>
      <c r="AV19">
        <v>7583.8379412940803</v>
      </c>
      <c r="AW19" s="17">
        <v>15178.841836734691</v>
      </c>
      <c r="AX19">
        <v>910.95614582148562</v>
      </c>
      <c r="AY19" s="17">
        <v>14477.68698979592</v>
      </c>
      <c r="AZ19">
        <v>3373.4436393254846</v>
      </c>
      <c r="BA19" s="17">
        <v>5839.1698979591847</v>
      </c>
      <c r="BB19">
        <v>862.15549283622238</v>
      </c>
      <c r="BC19" s="17">
        <v>5783.6828826530609</v>
      </c>
      <c r="BD19">
        <v>1441.2525302846325</v>
      </c>
      <c r="BE19" s="17">
        <v>1933.2225637755098</v>
      </c>
      <c r="BF19">
        <v>257.18914249739731</v>
      </c>
    </row>
    <row r="20" spans="1:58" x14ac:dyDescent="0.25">
      <c r="A20" s="1">
        <v>1937</v>
      </c>
      <c r="B20">
        <v>19</v>
      </c>
      <c r="C20" s="17">
        <v>188.73214285714286</v>
      </c>
      <c r="D20">
        <v>-46.790904911498686</v>
      </c>
      <c r="E20" s="17">
        <v>612.00892857142844</v>
      </c>
      <c r="F20">
        <v>43.003030681088141</v>
      </c>
      <c r="G20" s="17">
        <v>268.59821428571428</v>
      </c>
      <c r="H20">
        <v>51.785708394135447</v>
      </c>
      <c r="I20" s="17">
        <v>953.20714285714291</v>
      </c>
      <c r="J20">
        <v>-29.991739910459607</v>
      </c>
      <c r="K20" s="17">
        <v>555.625</v>
      </c>
      <c r="L20">
        <v>96.300921950888053</v>
      </c>
      <c r="M20" s="17">
        <v>279.65321428571423</v>
      </c>
      <c r="N20">
        <v>14.076328792892465</v>
      </c>
      <c r="O20" s="17">
        <v>513.125</v>
      </c>
      <c r="P20">
        <v>29.894825337592863</v>
      </c>
      <c r="Q20" s="17">
        <v>5786.2806186224489</v>
      </c>
      <c r="R20">
        <v>-787.67909844614962</v>
      </c>
      <c r="S20" s="17">
        <v>2534.6394068877553</v>
      </c>
      <c r="T20">
        <v>-23.500299725891043</v>
      </c>
      <c r="U20" s="17">
        <v>8889.5819132653069</v>
      </c>
      <c r="V20">
        <v>-1245.0673184574766</v>
      </c>
      <c r="W20" s="17">
        <v>5217.0515178571422</v>
      </c>
      <c r="X20">
        <v>435.1748957289268</v>
      </c>
      <c r="Y20" s="17">
        <v>2665.4138431122446</v>
      </c>
      <c r="Z20">
        <v>-155.07768953793877</v>
      </c>
      <c r="AA20" s="17">
        <v>4901.6238647959181</v>
      </c>
      <c r="AB20">
        <v>77.534661849776171</v>
      </c>
      <c r="AC20" s="17">
        <v>8390.2944738520418</v>
      </c>
      <c r="AD20">
        <v>1723.6111305685495</v>
      </c>
      <c r="AE20" s="17">
        <v>29903.825344387762</v>
      </c>
      <c r="AF20">
        <v>-530.14300488203594</v>
      </c>
      <c r="AG20" s="17">
        <v>17155.404789540818</v>
      </c>
      <c r="AH20">
        <v>3327.3192932253255</v>
      </c>
      <c r="AI20" s="17">
        <v>8789.5381613520403</v>
      </c>
      <c r="AJ20">
        <v>602.0591532609327</v>
      </c>
      <c r="AK20" s="17">
        <v>15614.117391581629</v>
      </c>
      <c r="AL20">
        <v>1004.490889836811</v>
      </c>
      <c r="AM20" s="17">
        <v>14105.100318877552</v>
      </c>
      <c r="AN20">
        <v>1029.6412061010806</v>
      </c>
      <c r="AO20" s="17">
        <v>7767.3239604591827</v>
      </c>
      <c r="AP20">
        <v>1461.6954265438578</v>
      </c>
      <c r="AQ20" s="17">
        <v>3936.0279738520403</v>
      </c>
      <c r="AR20">
        <v>440.83167793001007</v>
      </c>
      <c r="AS20" s="17">
        <v>6539.7625829081626</v>
      </c>
      <c r="AT20">
        <v>696.15187734345079</v>
      </c>
      <c r="AU20" s="17">
        <v>31001.082372448978</v>
      </c>
      <c r="AV20">
        <v>3143.0024833559628</v>
      </c>
      <c r="AW20" s="17">
        <v>12567.163242346936</v>
      </c>
      <c r="AX20">
        <v>529.94450152701893</v>
      </c>
      <c r="AY20" s="17">
        <v>16561.793801020409</v>
      </c>
      <c r="AZ20">
        <v>3508.5784462066126</v>
      </c>
      <c r="BA20" s="17">
        <v>7764.073177295918</v>
      </c>
      <c r="BB20">
        <v>677.75279550626465</v>
      </c>
      <c r="BC20" s="17">
        <v>12643.068584183675</v>
      </c>
      <c r="BD20">
        <v>2137.9723908241367</v>
      </c>
      <c r="BE20" s="17">
        <v>7975.0265752551013</v>
      </c>
      <c r="BF20">
        <v>141.03102105515489</v>
      </c>
    </row>
    <row r="21" spans="1:58" x14ac:dyDescent="0.25">
      <c r="A21" s="1">
        <v>2674</v>
      </c>
      <c r="B21">
        <v>20</v>
      </c>
      <c r="C21" s="17">
        <v>181.76607142857139</v>
      </c>
      <c r="D21">
        <v>-44.428030668715699</v>
      </c>
      <c r="E21" s="17">
        <v>614.82678571428573</v>
      </c>
      <c r="F21">
        <v>45.756419623145185</v>
      </c>
      <c r="G21" s="17">
        <v>282.81785714285724</v>
      </c>
      <c r="H21">
        <v>54.189109990964035</v>
      </c>
      <c r="I21" s="17">
        <v>1094.0660714285714</v>
      </c>
      <c r="J21">
        <v>71.172928614094829</v>
      </c>
      <c r="K21" s="17">
        <v>628.32321428571424</v>
      </c>
      <c r="L21">
        <v>142.86495013252429</v>
      </c>
      <c r="M21" s="17">
        <v>170.20428571428567</v>
      </c>
      <c r="N21">
        <v>15.010118875146311</v>
      </c>
      <c r="O21" s="17">
        <v>432.53364285714287</v>
      </c>
      <c r="P21">
        <v>99.707785186083399</v>
      </c>
      <c r="Q21" s="17">
        <v>5611.5749330357139</v>
      </c>
      <c r="R21">
        <v>-711.57114340271949</v>
      </c>
      <c r="S21" s="17">
        <v>2570.0686033163265</v>
      </c>
      <c r="T21">
        <v>-13.345867201828373</v>
      </c>
      <c r="U21" s="17">
        <v>9967.6503603316323</v>
      </c>
      <c r="V21">
        <v>-457.28759795911367</v>
      </c>
      <c r="W21" s="17">
        <v>5676.4400542091826</v>
      </c>
      <c r="X21">
        <v>796.62275109818665</v>
      </c>
      <c r="Y21" s="17">
        <v>1546.2067366071428</v>
      </c>
      <c r="Z21">
        <v>-79.417423529822699</v>
      </c>
      <c r="AA21" s="17">
        <v>3908.8998746173461</v>
      </c>
      <c r="AB21">
        <v>720.08725751415852</v>
      </c>
      <c r="AC21" s="17">
        <v>8832.8561160714307</v>
      </c>
      <c r="AD21">
        <v>1825.6180331123876</v>
      </c>
      <c r="AE21" s="17">
        <v>32849.210519770408</v>
      </c>
      <c r="AF21">
        <v>2541.991513571807</v>
      </c>
      <c r="AG21" s="17">
        <v>19060.766132015302</v>
      </c>
      <c r="AH21">
        <v>4453.6847600054762</v>
      </c>
      <c r="AI21" s="17">
        <v>5315.5312735969392</v>
      </c>
      <c r="AJ21">
        <v>512.05506257732225</v>
      </c>
      <c r="AK21" s="17">
        <v>13657.80987487245</v>
      </c>
      <c r="AL21">
        <v>3260.006240251189</v>
      </c>
      <c r="AM21" s="17">
        <v>14624.142940051021</v>
      </c>
      <c r="AN21">
        <v>2086.1246520133805</v>
      </c>
      <c r="AO21" s="17">
        <v>8731.588654336736</v>
      </c>
      <c r="AP21">
        <v>1969.328190197559</v>
      </c>
      <c r="AQ21" s="17">
        <v>2533.5676339285719</v>
      </c>
      <c r="AR21">
        <v>357.42385569726571</v>
      </c>
      <c r="AS21" s="17">
        <v>6599.3046114795916</v>
      </c>
      <c r="AT21">
        <v>1714.6951414799676</v>
      </c>
      <c r="AU21" s="17">
        <v>38910.925385841838</v>
      </c>
      <c r="AV21">
        <v>8713.4036269566095</v>
      </c>
      <c r="AW21" s="17">
        <v>8343.8643207908153</v>
      </c>
      <c r="AX21">
        <v>822.91297319068622</v>
      </c>
      <c r="AY21" s="17">
        <v>15631.175263392861</v>
      </c>
      <c r="AZ21">
        <v>3454.2689210823892</v>
      </c>
      <c r="BA21" s="17">
        <v>5044.4376626275507</v>
      </c>
      <c r="BB21">
        <v>752.9680844306896</v>
      </c>
      <c r="BC21" s="17">
        <v>11867.644018494901</v>
      </c>
      <c r="BD21">
        <v>3112.5498767836075</v>
      </c>
      <c r="BE21" s="17">
        <v>4141.5536323214283</v>
      </c>
      <c r="BF21">
        <v>926.22473454725105</v>
      </c>
    </row>
    <row r="22" spans="1:58" x14ac:dyDescent="0.25">
      <c r="A22" s="24">
        <v>2610</v>
      </c>
      <c r="B22">
        <v>21</v>
      </c>
      <c r="C22" s="17">
        <v>196.13392857142856</v>
      </c>
      <c r="D22">
        <v>-44.840821799107324</v>
      </c>
      <c r="E22" s="17">
        <v>616.95000000000005</v>
      </c>
      <c r="F22">
        <v>44.797163003231447</v>
      </c>
      <c r="G22" s="17">
        <v>265.56428571428569</v>
      </c>
      <c r="H22">
        <v>52.014097043279236</v>
      </c>
      <c r="I22" s="17">
        <v>1644.839285714286</v>
      </c>
      <c r="J22">
        <v>30.67488332123397</v>
      </c>
      <c r="K22" s="17">
        <v>706.03571428571422</v>
      </c>
      <c r="L22">
        <v>148.79087789582471</v>
      </c>
      <c r="M22" s="17">
        <v>179.40821428571431</v>
      </c>
      <c r="N22">
        <v>12.388109618761375</v>
      </c>
      <c r="O22" s="17">
        <v>211.68664285714286</v>
      </c>
      <c r="P22">
        <v>29.546211740408303</v>
      </c>
      <c r="Q22" s="17">
        <v>6052.038533163266</v>
      </c>
      <c r="R22">
        <v>-721.34977608178451</v>
      </c>
      <c r="S22" s="17">
        <v>2617.3373852040813</v>
      </c>
      <c r="T22">
        <v>46.112998503908585</v>
      </c>
      <c r="U22" s="17">
        <v>16077.310618622449</v>
      </c>
      <c r="V22">
        <v>-1355.749050806422</v>
      </c>
      <c r="W22" s="17">
        <v>6971.1404974489787</v>
      </c>
      <c r="X22">
        <v>882.780057277433</v>
      </c>
      <c r="Y22" s="17">
        <v>1731.9093418367345</v>
      </c>
      <c r="Z22">
        <v>-83.473194197268356</v>
      </c>
      <c r="AA22" s="17">
        <v>2080.4400922193881</v>
      </c>
      <c r="AB22">
        <v>232.24180734419821</v>
      </c>
      <c r="AC22" s="17">
        <v>8309.2832142857151</v>
      </c>
      <c r="AD22">
        <v>1741.6753177204018</v>
      </c>
      <c r="AE22" s="17">
        <v>50679.983801020397</v>
      </c>
      <c r="AF22">
        <v>1647.5872336432924</v>
      </c>
      <c r="AG22" s="17">
        <v>21590.73035714286</v>
      </c>
      <c r="AH22">
        <v>4891.09921966002</v>
      </c>
      <c r="AI22" s="17">
        <v>5591.3890459183676</v>
      </c>
      <c r="AJ22">
        <v>420.88167167372126</v>
      </c>
      <c r="AK22" s="17">
        <v>6586.0080913265319</v>
      </c>
      <c r="AL22">
        <v>945.90914670352538</v>
      </c>
      <c r="AM22" s="17">
        <v>21721.118239795916</v>
      </c>
      <c r="AN22">
        <v>2552.1903836845254</v>
      </c>
      <c r="AO22" s="17">
        <v>9322.7859693877563</v>
      </c>
      <c r="AP22">
        <v>2095.1548915659846</v>
      </c>
      <c r="AQ22" s="17">
        <v>2407.9419362244898</v>
      </c>
      <c r="AR22">
        <v>277.91590243792598</v>
      </c>
      <c r="AS22" s="17">
        <v>2860.8276964285715</v>
      </c>
      <c r="AT22">
        <v>479.51462528863783</v>
      </c>
      <c r="AU22" s="17">
        <v>58202.228954081613</v>
      </c>
      <c r="AV22">
        <v>9793.7743033977858</v>
      </c>
      <c r="AW22" s="17">
        <v>14743.41387755102</v>
      </c>
      <c r="AX22">
        <v>948.69794137364681</v>
      </c>
      <c r="AY22" s="17">
        <v>17403.987427295917</v>
      </c>
      <c r="AZ22">
        <v>3786.2521374806402</v>
      </c>
      <c r="BA22" s="17">
        <v>6242.037346938776</v>
      </c>
      <c r="BB22">
        <v>833.60925665691616</v>
      </c>
      <c r="BC22" s="17">
        <v>7447.0605127551025</v>
      </c>
      <c r="BD22">
        <v>1751.9763726417625</v>
      </c>
      <c r="BE22" s="17">
        <v>1926.4327389540817</v>
      </c>
      <c r="BF22">
        <v>205.08756133072063</v>
      </c>
    </row>
    <row r="23" spans="1:58" x14ac:dyDescent="0.25">
      <c r="A23" s="1">
        <v>3079.3650793650795</v>
      </c>
      <c r="B23">
        <v>22</v>
      </c>
      <c r="C23" s="17">
        <v>185.89464285714286</v>
      </c>
      <c r="D23">
        <v>-45.859746197021238</v>
      </c>
      <c r="E23" s="17">
        <v>621.86964285714282</v>
      </c>
      <c r="F23">
        <v>44.513998675082618</v>
      </c>
      <c r="G23" s="17">
        <v>291.23214285714283</v>
      </c>
      <c r="H23">
        <v>54.904237379077053</v>
      </c>
      <c r="I23" s="17">
        <v>1678.785714285714</v>
      </c>
      <c r="J23">
        <v>35.921953092946836</v>
      </c>
      <c r="K23" s="17">
        <v>777.5</v>
      </c>
      <c r="L23">
        <v>166.36745206610803</v>
      </c>
      <c r="M23" s="17">
        <v>218.83116071428569</v>
      </c>
      <c r="N23">
        <v>15.022950569684946</v>
      </c>
      <c r="O23" s="17">
        <v>232.22321428571428</v>
      </c>
      <c r="P23">
        <v>35.223711032881127</v>
      </c>
      <c r="Q23" s="17">
        <v>5796.8119228316327</v>
      </c>
      <c r="R23">
        <v>-785.31177896863073</v>
      </c>
      <c r="S23" s="17">
        <v>2712.9941135204076</v>
      </c>
      <c r="T23">
        <v>-13.968993846571287</v>
      </c>
      <c r="U23" s="17">
        <v>15562.23176020408</v>
      </c>
      <c r="V23">
        <v>-1335.410079315247</v>
      </c>
      <c r="W23" s="17">
        <v>7179.5457908163271</v>
      </c>
      <c r="X23">
        <v>881.14760340950454</v>
      </c>
      <c r="Y23" s="17">
        <v>2041.1685868941322</v>
      </c>
      <c r="Z23">
        <v>-116.6720574292282</v>
      </c>
      <c r="AA23" s="17">
        <v>2155.5350542091837</v>
      </c>
      <c r="AB23">
        <v>230.81863158638461</v>
      </c>
      <c r="AC23" s="17">
        <v>9150.8336670918379</v>
      </c>
      <c r="AD23">
        <v>1847.0651506388695</v>
      </c>
      <c r="AE23" s="17">
        <v>52037.391198979596</v>
      </c>
      <c r="AF23">
        <v>1787.5203772493264</v>
      </c>
      <c r="AG23" s="17">
        <v>24003.54961734694</v>
      </c>
      <c r="AH23">
        <v>5523.2543368961997</v>
      </c>
      <c r="AI23" s="17">
        <v>6874.2055132334172</v>
      </c>
      <c r="AJ23">
        <v>532.54260505386776</v>
      </c>
      <c r="AK23" s="17">
        <v>7258.8532748724501</v>
      </c>
      <c r="AL23">
        <v>1143.7498047631254</v>
      </c>
      <c r="AM23" s="17">
        <v>24389.395153061221</v>
      </c>
      <c r="AN23">
        <v>2752.8621123067001</v>
      </c>
      <c r="AO23" s="17">
        <v>11286.237499999999</v>
      </c>
      <c r="AP23">
        <v>2526.2219148226291</v>
      </c>
      <c r="AQ23" s="17">
        <v>3247.5769225127556</v>
      </c>
      <c r="AR23">
        <v>396.52640469528603</v>
      </c>
      <c r="AS23" s="17">
        <v>3436.8418176020396</v>
      </c>
      <c r="AT23">
        <v>646.48648455965849</v>
      </c>
      <c r="AU23" s="17">
        <v>65844.729591836745</v>
      </c>
      <c r="AV23">
        <v>11401.279725980339</v>
      </c>
      <c r="AW23" s="17">
        <v>18330.517404336733</v>
      </c>
      <c r="AX23">
        <v>1180.0235413042283</v>
      </c>
      <c r="AY23" s="17">
        <v>19546.116454081632</v>
      </c>
      <c r="AZ23">
        <v>4493.8367239714698</v>
      </c>
      <c r="BA23" s="17">
        <v>8457.0030803571444</v>
      </c>
      <c r="BB23">
        <v>1228.3347470015749</v>
      </c>
      <c r="BC23" s="17">
        <v>9154.7121173469368</v>
      </c>
      <c r="BD23">
        <v>2342.3515962719175</v>
      </c>
      <c r="BE23" s="17">
        <v>2577.0222692920925</v>
      </c>
      <c r="BF23">
        <v>356.51633067098271</v>
      </c>
    </row>
    <row r="24" spans="1:58" x14ac:dyDescent="0.25">
      <c r="A24" s="1">
        <v>2941.818181818182</v>
      </c>
      <c r="B24">
        <v>23</v>
      </c>
      <c r="C24" s="17">
        <v>179.25357142857143</v>
      </c>
      <c r="D24">
        <v>-43.587814506443607</v>
      </c>
      <c r="E24" s="17">
        <v>615.65</v>
      </c>
      <c r="F24">
        <v>49.992063277267647</v>
      </c>
      <c r="G24" s="17">
        <v>270.68571428571425</v>
      </c>
      <c r="H24">
        <v>54.390561209016845</v>
      </c>
      <c r="I24" s="17">
        <v>1545.9107142857142</v>
      </c>
      <c r="J24">
        <v>29.833546914518028</v>
      </c>
      <c r="K24" s="17">
        <v>663.51785714285711</v>
      </c>
      <c r="L24">
        <v>155.25504632267678</v>
      </c>
      <c r="M24" s="17">
        <v>202.87321428571431</v>
      </c>
      <c r="N24">
        <v>16.452636868241736</v>
      </c>
      <c r="O24" s="17">
        <v>201.32678571428573</v>
      </c>
      <c r="P24">
        <v>30.869279573289752</v>
      </c>
      <c r="Q24" s="17">
        <v>5515.7677806122447</v>
      </c>
      <c r="R24">
        <v>-673.18055680838052</v>
      </c>
      <c r="S24" s="17">
        <v>2393.0632653061225</v>
      </c>
      <c r="T24">
        <v>-3.077755769052434</v>
      </c>
      <c r="U24" s="17">
        <v>13847.304910714287</v>
      </c>
      <c r="V24">
        <v>-1196.9672193700085</v>
      </c>
      <c r="W24" s="17">
        <v>5888.3374362244895</v>
      </c>
      <c r="X24">
        <v>875.60108431964238</v>
      </c>
      <c r="Y24" s="17">
        <v>1799.8112181122447</v>
      </c>
      <c r="Z24">
        <v>-93.635062356089577</v>
      </c>
      <c r="AA24" s="17">
        <v>1782.3615369897957</v>
      </c>
      <c r="AB24">
        <v>188.03989092044509</v>
      </c>
      <c r="AC24" s="17">
        <v>8552.1761224489801</v>
      </c>
      <c r="AD24">
        <v>1868.9867107593934</v>
      </c>
      <c r="AE24" s="17">
        <v>47432.844515306133</v>
      </c>
      <c r="AF24">
        <v>1604.6440001613428</v>
      </c>
      <c r="AG24" s="17">
        <v>19802.656505102037</v>
      </c>
      <c r="AH24">
        <v>4787.3385335036328</v>
      </c>
      <c r="AI24" s="17">
        <v>6375.577334183673</v>
      </c>
      <c r="AJ24">
        <v>590.82581684336037</v>
      </c>
      <c r="AK24" s="17">
        <v>6186.551033163264</v>
      </c>
      <c r="AL24">
        <v>995.34905903050083</v>
      </c>
      <c r="AM24" s="17">
        <v>20877.729591836731</v>
      </c>
      <c r="AN24">
        <v>2327.6066893603966</v>
      </c>
      <c r="AO24" s="17">
        <v>8772.3785714285696</v>
      </c>
      <c r="AP24">
        <v>2022.698729145462</v>
      </c>
      <c r="AQ24" s="17">
        <v>2918.7923469387752</v>
      </c>
      <c r="AR24">
        <v>415.76447110413443</v>
      </c>
      <c r="AS24" s="17">
        <v>2813.4460204081629</v>
      </c>
      <c r="AT24">
        <v>568.81512404654234</v>
      </c>
      <c r="AU24" s="17">
        <v>51765.443558673469</v>
      </c>
      <c r="AV24">
        <v>9800.4319122795532</v>
      </c>
      <c r="AW24" s="17">
        <v>15746.464891581631</v>
      </c>
      <c r="AX24">
        <v>981.8990564280673</v>
      </c>
      <c r="AY24" s="17">
        <v>15636.158067602038</v>
      </c>
      <c r="AZ24">
        <v>3724.1056009449039</v>
      </c>
      <c r="BA24" s="17">
        <v>6635.4802614795917</v>
      </c>
      <c r="BB24">
        <v>1047.125481900151</v>
      </c>
      <c r="BC24" s="17">
        <v>6965.10494260204</v>
      </c>
      <c r="BD24">
        <v>1894.1330213436222</v>
      </c>
      <c r="BE24" s="17">
        <v>2112.1162723214284</v>
      </c>
      <c r="BF24">
        <v>351.29069774398801</v>
      </c>
    </row>
    <row r="25" spans="1:58" x14ac:dyDescent="0.25">
      <c r="A25" s="1">
        <v>3239</v>
      </c>
      <c r="B25">
        <v>24</v>
      </c>
      <c r="C25" s="17">
        <v>164.94642857142861</v>
      </c>
      <c r="D25">
        <v>-37.943665256713828</v>
      </c>
      <c r="E25" s="17">
        <v>631.47142857142842</v>
      </c>
      <c r="F25">
        <v>46.725553208517923</v>
      </c>
      <c r="G25" s="17">
        <v>305.41964285714289</v>
      </c>
      <c r="H25">
        <v>58.934410693323869</v>
      </c>
      <c r="I25" s="17">
        <v>1541.7500000000002</v>
      </c>
      <c r="J25">
        <v>36.853128765932681</v>
      </c>
      <c r="K25" s="17">
        <v>684.71428571428578</v>
      </c>
      <c r="L25">
        <v>148.50326650135403</v>
      </c>
      <c r="M25" s="17">
        <v>224.27857142857144</v>
      </c>
      <c r="N25">
        <v>15.890229396617773</v>
      </c>
      <c r="O25" s="17">
        <v>221.84821428571428</v>
      </c>
      <c r="P25">
        <v>30.886528647980775</v>
      </c>
      <c r="Q25" s="17">
        <v>5248.6859693877559</v>
      </c>
      <c r="R25">
        <v>-588.17920028279696</v>
      </c>
      <c r="S25" s="17">
        <v>2500.9798660714287</v>
      </c>
      <c r="T25">
        <v>29.621604073156998</v>
      </c>
      <c r="U25" s="17">
        <v>12717.139413265304</v>
      </c>
      <c r="V25">
        <v>-861.02289461794101</v>
      </c>
      <c r="W25" s="17">
        <v>5457.6887755102034</v>
      </c>
      <c r="X25">
        <v>736.64186497688604</v>
      </c>
      <c r="Y25" s="17">
        <v>1840.7246173469387</v>
      </c>
      <c r="Z25">
        <v>-82.952768481415049</v>
      </c>
      <c r="AA25" s="17">
        <v>1796.8608864795915</v>
      </c>
      <c r="AB25">
        <v>170.11239353064261</v>
      </c>
      <c r="AC25" s="17">
        <v>9733.1000765306126</v>
      </c>
      <c r="AD25">
        <v>2031.0051142953421</v>
      </c>
      <c r="AE25" s="17">
        <v>48508.008673469398</v>
      </c>
      <c r="AF25">
        <v>1854.2822177375017</v>
      </c>
      <c r="AG25" s="17">
        <v>21180.630612244895</v>
      </c>
      <c r="AH25">
        <v>4873.8832936393355</v>
      </c>
      <c r="AI25" s="17">
        <v>7121.589489795917</v>
      </c>
      <c r="AJ25">
        <v>570.29144241794654</v>
      </c>
      <c r="AK25" s="17">
        <v>6961.6043622448979</v>
      </c>
      <c r="AL25">
        <v>1009.1691513635487</v>
      </c>
      <c r="AM25" s="17">
        <v>23354.815752551018</v>
      </c>
      <c r="AN25">
        <v>2719.8052641536715</v>
      </c>
      <c r="AO25" s="17">
        <v>10337.106632653062</v>
      </c>
      <c r="AP25">
        <v>2340.6799248709713</v>
      </c>
      <c r="AQ25" s="17">
        <v>3487.1466198979592</v>
      </c>
      <c r="AR25">
        <v>434.38700467067389</v>
      </c>
      <c r="AS25" s="17">
        <v>3406.4730899234687</v>
      </c>
      <c r="AT25">
        <v>604.43494176251158</v>
      </c>
      <c r="AU25" s="17">
        <v>53423.316326530614</v>
      </c>
      <c r="AV25">
        <v>9294.6819942061447</v>
      </c>
      <c r="AW25" s="17">
        <v>17333.006377551021</v>
      </c>
      <c r="AX25">
        <v>1093.2520734096606</v>
      </c>
      <c r="AY25" s="17">
        <v>17198.764732142852</v>
      </c>
      <c r="AZ25">
        <v>3870.8557649547802</v>
      </c>
      <c r="BA25" s="17">
        <v>7689.4693877551026</v>
      </c>
      <c r="BB25">
        <v>1088.1032820158296</v>
      </c>
      <c r="BC25" s="17">
        <v>7838.4249999999984</v>
      </c>
      <c r="BD25">
        <v>1892.2300678077543</v>
      </c>
      <c r="BE25" s="17">
        <v>2515.7062117346941</v>
      </c>
      <c r="BF25">
        <v>303.88555134333012</v>
      </c>
    </row>
    <row r="26" spans="1:58" x14ac:dyDescent="0.25">
      <c r="A26" s="1">
        <v>2535</v>
      </c>
      <c r="B26">
        <v>25</v>
      </c>
      <c r="C26" s="17">
        <v>180.71428571428572</v>
      </c>
      <c r="D26">
        <v>-45.191083674106721</v>
      </c>
      <c r="E26" s="17">
        <v>625.71428571428578</v>
      </c>
      <c r="F26">
        <v>43.099133948717324</v>
      </c>
      <c r="G26" s="17">
        <v>301.74285714285719</v>
      </c>
      <c r="H26">
        <v>57.294615468772605</v>
      </c>
      <c r="I26" s="17">
        <v>1605.714285714286</v>
      </c>
      <c r="J26">
        <v>26.350237400942959</v>
      </c>
      <c r="K26" s="17">
        <v>719.14285714285711</v>
      </c>
      <c r="L26">
        <v>159.2242611374995</v>
      </c>
      <c r="M26" s="17">
        <v>226.37142857142857</v>
      </c>
      <c r="N26">
        <v>17.230156403336895</v>
      </c>
      <c r="O26" s="17">
        <v>229.82857142857145</v>
      </c>
      <c r="P26">
        <v>34.683169326391692</v>
      </c>
      <c r="Q26" s="17">
        <v>5661.6436734693871</v>
      </c>
      <c r="R26">
        <v>-786.15393080740159</v>
      </c>
      <c r="S26" s="17">
        <v>2712.7630612244898</v>
      </c>
      <c r="T26">
        <v>-17.922536161931372</v>
      </c>
      <c r="U26" s="17">
        <v>14498.195918367348</v>
      </c>
      <c r="V26">
        <v>-1426.6846111278962</v>
      </c>
      <c r="W26" s="17">
        <v>6420.936734693878</v>
      </c>
      <c r="X26">
        <v>774.42306471209008</v>
      </c>
      <c r="Y26" s="17">
        <v>2031.5457142857144</v>
      </c>
      <c r="Z26">
        <v>-118.88194645757778</v>
      </c>
      <c r="AA26" s="17">
        <v>2058.3677551020405</v>
      </c>
      <c r="AB26">
        <v>209.48067502872749</v>
      </c>
      <c r="AC26" s="17">
        <v>9513.9916326530602</v>
      </c>
      <c r="AD26">
        <v>1917.9555078107005</v>
      </c>
      <c r="AE26" s="17">
        <v>50082.142857142848</v>
      </c>
      <c r="AF26">
        <v>1292.0881347409088</v>
      </c>
      <c r="AG26" s="17">
        <v>22142.897959183672</v>
      </c>
      <c r="AH26">
        <v>5246.1362274511921</v>
      </c>
      <c r="AI26" s="17">
        <v>7119.0569387755104</v>
      </c>
      <c r="AJ26">
        <v>574.23989446862981</v>
      </c>
      <c r="AK26" s="17">
        <v>7147.0667346938762</v>
      </c>
      <c r="AL26">
        <v>1107.9984102836875</v>
      </c>
      <c r="AM26" s="17">
        <v>24186.797959183674</v>
      </c>
      <c r="AN26">
        <v>2731.0507698800066</v>
      </c>
      <c r="AO26" s="17">
        <v>10824.465306122453</v>
      </c>
      <c r="AP26">
        <v>2567.4870874875783</v>
      </c>
      <c r="AQ26" s="17">
        <v>3503.8236734693874</v>
      </c>
      <c r="AR26">
        <v>454.20051550444674</v>
      </c>
      <c r="AS26" s="17">
        <v>3496.9936734693879</v>
      </c>
      <c r="AT26">
        <v>666.2381422075623</v>
      </c>
      <c r="AU26" s="17">
        <v>58820.571428571428</v>
      </c>
      <c r="AV26">
        <v>10502.122307058855</v>
      </c>
      <c r="AW26" s="17">
        <v>18283.293877551023</v>
      </c>
      <c r="AX26">
        <v>1195.1021915244187</v>
      </c>
      <c r="AY26" s="17">
        <v>18643.595918367348</v>
      </c>
      <c r="AZ26">
        <v>4463.2490409959073</v>
      </c>
      <c r="BA26" s="17">
        <v>8251.0897959183676</v>
      </c>
      <c r="BB26">
        <v>1324.0806644795066</v>
      </c>
      <c r="BC26" s="17">
        <v>8598.942857142858</v>
      </c>
      <c r="BD26">
        <v>2322.6542112086358</v>
      </c>
      <c r="BE26" s="17">
        <v>2647.3836734693878</v>
      </c>
      <c r="BF26">
        <v>404.65000548891055</v>
      </c>
    </row>
    <row r="27" spans="1:58" x14ac:dyDescent="0.25">
      <c r="A27" s="1">
        <v>2655</v>
      </c>
      <c r="B27">
        <v>26</v>
      </c>
      <c r="C27" s="17">
        <v>184.72499999999999</v>
      </c>
      <c r="D27">
        <v>-44.159197163694195</v>
      </c>
      <c r="E27" s="17">
        <v>599.99464285714271</v>
      </c>
      <c r="F27">
        <v>42.862357313607561</v>
      </c>
      <c r="G27" s="17">
        <v>284.48571428571427</v>
      </c>
      <c r="H27">
        <v>55.204904787723521</v>
      </c>
      <c r="I27" s="17">
        <v>1644.0535714285713</v>
      </c>
      <c r="J27">
        <v>28.321709934265606</v>
      </c>
      <c r="K27" s="17">
        <v>740.58928571428578</v>
      </c>
      <c r="L27">
        <v>161.86854110615801</v>
      </c>
      <c r="M27" s="17">
        <v>229.84910714285715</v>
      </c>
      <c r="N27">
        <v>17.228589448794985</v>
      </c>
      <c r="O27" s="17">
        <v>241.37678571428575</v>
      </c>
      <c r="P27">
        <v>39.239653632522561</v>
      </c>
      <c r="Q27" s="17">
        <v>5801.4986364795923</v>
      </c>
      <c r="R27">
        <v>-781.03617898883817</v>
      </c>
      <c r="S27" s="17">
        <v>2575.3448979591835</v>
      </c>
      <c r="T27">
        <v>-22.854038288659464</v>
      </c>
      <c r="U27" s="17">
        <v>15104.467920918369</v>
      </c>
      <c r="V27">
        <v>-1335.4288864879779</v>
      </c>
      <c r="W27" s="17">
        <v>6770.773660714287</v>
      </c>
      <c r="X27">
        <v>863.10723354086338</v>
      </c>
      <c r="Y27" s="17">
        <v>2066.7170312499998</v>
      </c>
      <c r="Z27">
        <v>-131.29409521731333</v>
      </c>
      <c r="AA27" s="17">
        <v>2175.1996492346939</v>
      </c>
      <c r="AB27">
        <v>227.31324983060975</v>
      </c>
      <c r="AC27" s="17">
        <v>8658.9301020408166</v>
      </c>
      <c r="AD27">
        <v>1817.3677419349992</v>
      </c>
      <c r="AE27" s="17">
        <v>49193.207366071438</v>
      </c>
      <c r="AF27">
        <v>1546.2069449698602</v>
      </c>
      <c r="AG27" s="17">
        <v>21992.412659438774</v>
      </c>
      <c r="AH27">
        <v>5171.5393389390292</v>
      </c>
      <c r="AI27" s="17">
        <v>6982.0015609056118</v>
      </c>
      <c r="AJ27">
        <v>601.32905776282382</v>
      </c>
      <c r="AK27" s="17">
        <v>7286.6840019132651</v>
      </c>
      <c r="AL27">
        <v>1210.8164447984923</v>
      </c>
      <c r="AM27" s="17">
        <v>23381.731632653064</v>
      </c>
      <c r="AN27">
        <v>2479.4612769114315</v>
      </c>
      <c r="AO27" s="17">
        <v>10463.960204081632</v>
      </c>
      <c r="AP27">
        <v>2291.6882380032985</v>
      </c>
      <c r="AQ27" s="17">
        <v>3550.0969897959176</v>
      </c>
      <c r="AR27">
        <v>488.86947985412206</v>
      </c>
      <c r="AS27" s="17">
        <v>3693.317653061225</v>
      </c>
      <c r="AT27">
        <v>772.06502376154424</v>
      </c>
      <c r="AU27" s="17">
        <v>61936.82238520409</v>
      </c>
      <c r="AV27">
        <v>10481.811218053597</v>
      </c>
      <c r="AW27" s="17">
        <v>19085.776737882657</v>
      </c>
      <c r="AX27">
        <v>1111.5302306642905</v>
      </c>
      <c r="AY27" s="17">
        <v>20106.777327806121</v>
      </c>
      <c r="AZ27">
        <v>4525.1054902184205</v>
      </c>
      <c r="BA27" s="17">
        <v>8588.4660554846942</v>
      </c>
      <c r="BB27">
        <v>1192.5260204227843</v>
      </c>
      <c r="BC27" s="17">
        <v>9200.1291772959175</v>
      </c>
      <c r="BD27">
        <v>2309.773810671833</v>
      </c>
      <c r="BE27" s="17">
        <v>3025.7702248086734</v>
      </c>
      <c r="BF27">
        <v>539.37382274454944</v>
      </c>
    </row>
    <row r="28" spans="1:58" x14ac:dyDescent="0.25">
      <c r="A28" s="6">
        <v>2558</v>
      </c>
      <c r="B28">
        <v>27</v>
      </c>
      <c r="C28" s="17">
        <v>182.43928571428563</v>
      </c>
      <c r="D28">
        <v>-44.795005652081286</v>
      </c>
      <c r="E28" s="17">
        <v>620.30357142857144</v>
      </c>
      <c r="F28">
        <v>45.987041527375581</v>
      </c>
      <c r="G28" s="17">
        <v>244.63035714285712</v>
      </c>
      <c r="H28">
        <v>48.497629463376533</v>
      </c>
      <c r="I28" s="17">
        <v>1596.8214285714284</v>
      </c>
      <c r="J28">
        <v>35.151958769028731</v>
      </c>
      <c r="K28" s="17">
        <v>663.0642857142858</v>
      </c>
      <c r="L28">
        <v>143.39456632024141</v>
      </c>
      <c r="M28" s="17">
        <v>210.92321428571429</v>
      </c>
      <c r="N28">
        <v>16.779627177816995</v>
      </c>
      <c r="O28" s="17">
        <v>205.13124999999999</v>
      </c>
      <c r="P28">
        <v>33.842472162703551</v>
      </c>
      <c r="Q28" s="17">
        <v>5662.7800063775458</v>
      </c>
      <c r="R28">
        <v>-746.42030390602974</v>
      </c>
      <c r="S28" s="17">
        <v>2234.6890975765291</v>
      </c>
      <c r="T28">
        <v>5.6241393203948995</v>
      </c>
      <c r="U28" s="17">
        <v>14539.658099489785</v>
      </c>
      <c r="V28">
        <v>-1261.1882756426946</v>
      </c>
      <c r="W28" s="17">
        <v>6063.1323749999956</v>
      </c>
      <c r="X28">
        <v>751.72007075377371</v>
      </c>
      <c r="Y28" s="17">
        <v>1923.9349394132644</v>
      </c>
      <c r="Z28">
        <v>-97.728833980380671</v>
      </c>
      <c r="AA28" s="17">
        <v>1868.6728172831622</v>
      </c>
      <c r="AB28">
        <v>223.66714752030515</v>
      </c>
      <c r="AC28" s="17">
        <v>7716.1076543367344</v>
      </c>
      <c r="AD28">
        <v>1644.367170563286</v>
      </c>
      <c r="AE28" s="17">
        <v>49350.89719387755</v>
      </c>
      <c r="AF28">
        <v>1629.2685782204715</v>
      </c>
      <c r="AG28" s="17">
        <v>20310.863637755101</v>
      </c>
      <c r="AH28">
        <v>4649.7842477150616</v>
      </c>
      <c r="AI28" s="17">
        <v>6692.7296747448981</v>
      </c>
      <c r="AJ28">
        <v>604.08250142735471</v>
      </c>
      <c r="AK28" s="17">
        <v>6424.6966517857145</v>
      </c>
      <c r="AL28">
        <v>1129.2699059052622</v>
      </c>
      <c r="AM28" s="17">
        <v>19470.100739795918</v>
      </c>
      <c r="AN28">
        <v>2326.0887781795518</v>
      </c>
      <c r="AO28" s="17">
        <v>8125.2056433673479</v>
      </c>
      <c r="AP28">
        <v>1904.392051345864</v>
      </c>
      <c r="AQ28" s="17">
        <v>2667.8328909438778</v>
      </c>
      <c r="AR28">
        <v>379.20745183417336</v>
      </c>
      <c r="AS28" s="17">
        <v>2554.1464100765306</v>
      </c>
      <c r="AT28">
        <v>525.11886723519763</v>
      </c>
      <c r="AU28" s="17">
        <v>53487.417142857135</v>
      </c>
      <c r="AV28">
        <v>9068.8375555023958</v>
      </c>
      <c r="AW28" s="17">
        <v>16891.546556122452</v>
      </c>
      <c r="AX28">
        <v>1109.6926775546319</v>
      </c>
      <c r="AY28" s="17">
        <v>16454.467378826532</v>
      </c>
      <c r="AZ28">
        <v>3891.6110342712773</v>
      </c>
      <c r="BA28" s="17">
        <v>6997.3332882653049</v>
      </c>
      <c r="BB28">
        <v>1046.1821051596507</v>
      </c>
      <c r="BC28" s="17">
        <v>6847.3272704081628</v>
      </c>
      <c r="BD28">
        <v>1767.6050780557998</v>
      </c>
      <c r="BE28" s="17">
        <v>2265.7494993622449</v>
      </c>
      <c r="BF28">
        <v>397.58893414739885</v>
      </c>
    </row>
    <row r="29" spans="1:58" x14ac:dyDescent="0.25">
      <c r="A29" s="1"/>
    </row>
    <row r="30" spans="1:58" x14ac:dyDescent="0.25">
      <c r="A30" s="6"/>
    </row>
    <row r="32" spans="1:58" x14ac:dyDescent="0.25">
      <c r="A32" s="7"/>
      <c r="B32" s="7"/>
    </row>
    <row r="33" spans="1:2" x14ac:dyDescent="0.25">
      <c r="A33" s="14"/>
      <c r="B33" s="14"/>
    </row>
    <row r="34" spans="1:2" x14ac:dyDescent="0.25">
      <c r="A34" s="9"/>
      <c r="B34" s="9"/>
    </row>
    <row r="35" spans="1:2" x14ac:dyDescent="0.25">
      <c r="A35" s="11"/>
      <c r="B35" s="12"/>
    </row>
    <row r="36" spans="1:2" x14ac:dyDescent="0.25">
      <c r="A36" s="11"/>
      <c r="B36" s="12"/>
    </row>
    <row r="37" spans="1:2" x14ac:dyDescent="0.25">
      <c r="A37" s="11"/>
      <c r="B37" s="12"/>
    </row>
    <row r="38" spans="1:2" x14ac:dyDescent="0.25">
      <c r="A38" s="8"/>
      <c r="B38" s="8"/>
    </row>
    <row r="39" spans="1:2" x14ac:dyDescent="0.25">
      <c r="A39" s="8"/>
      <c r="B39" s="8"/>
    </row>
    <row r="40" spans="1:2" x14ac:dyDescent="0.25">
      <c r="A40" s="8"/>
      <c r="B40" s="8"/>
    </row>
    <row r="41" spans="1:2" x14ac:dyDescent="0.25">
      <c r="A41" s="8"/>
      <c r="B41" s="8"/>
    </row>
    <row r="42" spans="1:2" x14ac:dyDescent="0.25">
      <c r="A42" s="15"/>
      <c r="B42" s="15"/>
    </row>
    <row r="43" spans="1:2" x14ac:dyDescent="0.25">
      <c r="A43" s="15"/>
      <c r="B43" s="9"/>
    </row>
    <row r="44" spans="1:2" x14ac:dyDescent="0.25">
      <c r="A44" s="10"/>
      <c r="B44" s="12"/>
    </row>
    <row r="45" spans="1:2" x14ac:dyDescent="0.25">
      <c r="A45" s="10"/>
      <c r="B45" s="12"/>
    </row>
    <row r="46" spans="1:2" x14ac:dyDescent="0.25">
      <c r="A46" s="10"/>
      <c r="B46" s="13"/>
    </row>
    <row r="47" spans="1:2" x14ac:dyDescent="0.25">
      <c r="A47" s="10"/>
      <c r="B47" s="12"/>
    </row>
    <row r="48" spans="1:2" x14ac:dyDescent="0.25">
      <c r="A48" s="10"/>
      <c r="B48" s="12"/>
    </row>
    <row r="49" spans="1:2" x14ac:dyDescent="0.25">
      <c r="A49" s="10"/>
      <c r="B49" s="13"/>
    </row>
    <row r="50" spans="1:2" x14ac:dyDescent="0.25">
      <c r="A50" s="10"/>
      <c r="B50" s="12"/>
    </row>
    <row r="51" spans="1:2" x14ac:dyDescent="0.25">
      <c r="A51" s="10"/>
      <c r="B51" s="12"/>
    </row>
    <row r="52" spans="1:2" x14ac:dyDescent="0.25">
      <c r="A52" s="10"/>
      <c r="B52" s="13"/>
    </row>
    <row r="53" spans="1:2" x14ac:dyDescent="0.25">
      <c r="A53" s="8"/>
      <c r="B53" s="8"/>
    </row>
    <row r="54" spans="1:2" x14ac:dyDescent="0.25">
      <c r="A54" s="8"/>
      <c r="B54" s="8"/>
    </row>
    <row r="55" spans="1:2" x14ac:dyDescent="0.25">
      <c r="A55" s="8"/>
      <c r="B55" s="8"/>
    </row>
    <row r="56" spans="1:2" x14ac:dyDescent="0.25">
      <c r="A56" s="8"/>
      <c r="B56" s="8"/>
    </row>
    <row r="57" spans="1:2" x14ac:dyDescent="0.25">
      <c r="A57" s="8"/>
      <c r="B57" s="8"/>
    </row>
    <row r="58" spans="1:2" x14ac:dyDescent="0.25">
      <c r="A58" s="15"/>
      <c r="B58" s="15"/>
    </row>
    <row r="59" spans="1:2" x14ac:dyDescent="0.25">
      <c r="A59" s="15"/>
      <c r="B59" s="9"/>
    </row>
    <row r="60" spans="1:2" x14ac:dyDescent="0.25">
      <c r="A60" s="15"/>
      <c r="B60" s="9"/>
    </row>
    <row r="61" spans="1:2" x14ac:dyDescent="0.25">
      <c r="A61" s="10"/>
      <c r="B61" s="13"/>
    </row>
    <row r="62" spans="1:2" x14ac:dyDescent="0.25">
      <c r="A62" s="10"/>
      <c r="B62" s="12"/>
    </row>
    <row r="63" spans="1:2" x14ac:dyDescent="0.25">
      <c r="A63" s="10"/>
      <c r="B63" s="13"/>
    </row>
    <row r="64" spans="1:2" x14ac:dyDescent="0.25">
      <c r="A64" s="10"/>
      <c r="B64" s="12"/>
    </row>
    <row r="65" spans="1:2" x14ac:dyDescent="0.25">
      <c r="A65" s="10"/>
      <c r="B65" s="12"/>
    </row>
    <row r="66" spans="1:2" x14ac:dyDescent="0.25">
      <c r="A66" s="10"/>
      <c r="B66" s="13"/>
    </row>
    <row r="67" spans="1:2" x14ac:dyDescent="0.25">
      <c r="A67" s="10"/>
      <c r="B67" s="12"/>
    </row>
    <row r="68" spans="1:2" x14ac:dyDescent="0.25">
      <c r="A68" s="10"/>
      <c r="B68" s="12"/>
    </row>
    <row r="69" spans="1:2" x14ac:dyDescent="0.25">
      <c r="A69" s="10"/>
      <c r="B69" s="12"/>
    </row>
    <row r="70" spans="1:2" x14ac:dyDescent="0.25">
      <c r="A70" s="8"/>
      <c r="B70" s="8"/>
    </row>
    <row r="71" spans="1:2" x14ac:dyDescent="0.25">
      <c r="A71" s="7"/>
      <c r="B71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WEATHER INDICES</vt:lpstr>
      <vt:lpstr>TIME TREND</vt:lpstr>
      <vt:lpstr>VALIDATION</vt:lpstr>
      <vt:lpstr>SPSS</vt:lpstr>
    </vt:vector>
  </TitlesOfParts>
  <Company>----------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----------</dc:creator>
  <cp:lastModifiedBy>Core i 5</cp:lastModifiedBy>
  <dcterms:created xsi:type="dcterms:W3CDTF">2013-01-27T21:00:55Z</dcterms:created>
  <dcterms:modified xsi:type="dcterms:W3CDTF">2016-03-19T18:45:43Z</dcterms:modified>
</cp:coreProperties>
</file>